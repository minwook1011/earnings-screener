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2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르네사스일렉트로닉스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IFRS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361933</v>
      </c>
      <c r="D4" s="12" t="n">
        <v>351790</v>
      </c>
      <c r="E4" s="12" t="n">
        <v>358807</v>
      </c>
      <c r="F4" s="12" t="n">
        <v>345282</v>
      </c>
      <c r="G4" s="12" t="n">
        <v>292600</v>
      </c>
      <c r="H4" s="12" t="n">
        <v>308777</v>
      </c>
      <c r="I4" s="12" t="n">
        <v>325534</v>
      </c>
      <c r="J4" s="12" t="n">
        <v>335364</v>
      </c>
      <c r="K4" s="12" t="n">
        <v>351537</v>
      </c>
      <c r="L4" s="12" t="n">
        <v>380293</v>
      </c>
      <c r="M4" s="12" t="n">
        <v>418449</v>
      </c>
      <c r="N4" s="12" t="n">
        <v>435917</v>
      </c>
      <c r="O4" s="11" t="n"/>
      <c r="P4" s="12" t="n">
        <v>780261</v>
      </c>
      <c r="Q4" s="12" t="n">
        <v>756503</v>
      </c>
      <c r="R4" s="12" t="n">
        <v>718243</v>
      </c>
      <c r="S4" s="12" t="n">
        <v>715673</v>
      </c>
      <c r="T4" s="12" t="n">
        <v>993908</v>
      </c>
      <c r="U4" s="12" t="n">
        <v>1500853</v>
      </c>
      <c r="V4" s="12" t="n">
        <v>1469415</v>
      </c>
      <c r="W4" s="12" t="n">
        <v>1348479</v>
      </c>
      <c r="X4" s="12" t="n">
        <v>1321212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AutomotiveReportableSegmentMember</t>
        </is>
      </c>
      <c r="B7" s="10" t="n"/>
      <c r="C7" s="19" t="n">
        <v>171962</v>
      </c>
      <c r="D7" s="20" t="n">
        <v>178154</v>
      </c>
      <c r="E7" s="20" t="n">
        <v>190404</v>
      </c>
      <c r="F7" s="20" t="n">
        <v>185464</v>
      </c>
      <c r="G7" s="20" t="n">
        <v>148790</v>
      </c>
      <c r="H7" s="20" t="n">
        <v>155297</v>
      </c>
      <c r="I7" s="20" t="n">
        <v>161009</v>
      </c>
      <c r="J7" s="20" t="n">
        <v>158791</v>
      </c>
      <c r="K7" s="20" t="n">
        <v>164593</v>
      </c>
      <c r="L7" s="20" t="n">
        <v>171749</v>
      </c>
      <c r="M7" s="20" t="n">
        <v>186930</v>
      </c>
      <c r="N7" s="20" t="n">
        <v>189474</v>
      </c>
      <c r="O7" s="19" t="n"/>
      <c r="P7" s="20" t="n"/>
      <c r="Q7" s="20" t="n"/>
      <c r="R7" s="20" t="n"/>
      <c r="S7" s="20" t="n"/>
      <c r="T7" s="20" t="n"/>
      <c r="U7" s="20" t="n"/>
      <c r="V7" s="20" t="n">
        <v>660409</v>
      </c>
      <c r="W7" s="20" t="n">
        <v>702812</v>
      </c>
      <c r="X7" s="20" t="n">
        <v>639690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IndustrialInfrastructureIoTReportableSegmentMember</t>
        </is>
      </c>
      <c r="B10" s="10" t="n"/>
      <c r="C10" s="19" t="n">
        <v>187797</v>
      </c>
      <c r="D10" s="20" t="n">
        <v>171575</v>
      </c>
      <c r="E10" s="20" t="n">
        <v>166193</v>
      </c>
      <c r="F10" s="20" t="n">
        <v>158198</v>
      </c>
      <c r="G10" s="20" t="n">
        <v>140794</v>
      </c>
      <c r="H10" s="20" t="n">
        <v>150776</v>
      </c>
      <c r="I10" s="20" t="n">
        <v>147607</v>
      </c>
      <c r="J10" s="20" t="n">
        <v>166529</v>
      </c>
      <c r="K10" s="20" t="n">
        <v>206848</v>
      </c>
      <c r="L10" s="20" t="n">
        <v>198964</v>
      </c>
      <c r="M10" s="20" t="n">
        <v>213242</v>
      </c>
      <c r="N10" s="20" t="n">
        <v>243804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799338</v>
      </c>
      <c r="W10" s="20" t="n">
        <v>636760</v>
      </c>
      <c r="X10" s="20" t="n">
        <v>671760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2174</v>
      </c>
      <c r="D13" s="20" t="n">
        <v>2061</v>
      </c>
      <c r="E13" s="20" t="n">
        <v>2210</v>
      </c>
      <c r="F13" s="20" t="n">
        <v>1620</v>
      </c>
      <c r="G13" s="20" t="n">
        <v>3016</v>
      </c>
      <c r="H13" s="20" t="n">
        <v>2704</v>
      </c>
      <c r="I13" s="20" t="n">
        <v>16021</v>
      </c>
      <c r="J13" s="20" t="n">
        <v>8881</v>
      </c>
      <c r="K13" s="20" t="n">
        <v>-20574</v>
      </c>
      <c r="L13" s="20" t="n">
        <v>9181</v>
      </c>
      <c r="M13" s="20" t="n">
        <v>18277</v>
      </c>
      <c r="N13" s="20" t="n">
        <v>1890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9960</v>
      </c>
      <c r="W13" s="20" t="n">
        <v>8907</v>
      </c>
      <c r="X13" s="20" t="n">
        <v>7032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AdjustmentMember</t>
        </is>
      </c>
      <c r="B16" s="10" t="n"/>
      <c r="C16" s="19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-7552</v>
      </c>
      <c r="M16" s="20" t="n">
        <v>-13178</v>
      </c>
      <c r="N16" s="20" t="n">
        <v>0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0</v>
      </c>
      <c r="W16" s="20" t="n">
        <v>0</v>
      </c>
      <c r="X16" s="20" t="n">
        <v>0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/>
      <c r="G19" s="20" t="n"/>
      <c r="H19" s="20" t="n">
        <v>308777</v>
      </c>
      <c r="I19" s="20" t="n"/>
      <c r="J19" s="20" t="n"/>
      <c r="K19" s="20" t="n"/>
      <c r="L19" s="20" t="n">
        <v>380293</v>
      </c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158436</v>
      </c>
      <c r="D23" s="20" t="n">
        <v>154327</v>
      </c>
      <c r="E23" s="20" t="n">
        <v>157876</v>
      </c>
      <c r="F23" s="20" t="n">
        <v>153120</v>
      </c>
      <c r="G23" s="20" t="n">
        <v>133360</v>
      </c>
      <c r="H23" s="20" t="n">
        <v>135915</v>
      </c>
      <c r="I23" s="20" t="n">
        <v>144192</v>
      </c>
      <c r="J23" s="20" t="n">
        <v>143099</v>
      </c>
      <c r="K23" s="20" t="n">
        <v>144214</v>
      </c>
      <c r="L23" s="20" t="n">
        <v>156994</v>
      </c>
      <c r="M23" s="20" t="n">
        <v>173337</v>
      </c>
      <c r="N23" s="20" t="n">
        <v>178857</v>
      </c>
      <c r="O23" s="19" t="n"/>
      <c r="P23" s="20" t="n">
        <v>427463</v>
      </c>
      <c r="Q23" s="20" t="n">
        <v>424066</v>
      </c>
      <c r="R23" s="20" t="n">
        <v>423451</v>
      </c>
      <c r="S23" s="20" t="n">
        <v>379984</v>
      </c>
      <c r="T23" s="20" t="n">
        <v>497780</v>
      </c>
      <c r="U23" s="20" t="n">
        <v>646864</v>
      </c>
      <c r="V23" s="20" t="n">
        <v>635087</v>
      </c>
      <c r="W23" s="20" t="n">
        <v>598683</v>
      </c>
      <c r="X23" s="20" t="n">
        <v>567420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123159</v>
      </c>
      <c r="D29" s="20" t="n">
        <v>119869</v>
      </c>
      <c r="E29" s="20" t="n">
        <v>131171</v>
      </c>
      <c r="F29" s="20" t="n">
        <v>137385</v>
      </c>
      <c r="G29" s="20" t="n">
        <v>139050</v>
      </c>
      <c r="H29" s="20" t="n">
        <v>135318</v>
      </c>
      <c r="I29" s="20" t="n">
        <v>128369</v>
      </c>
      <c r="J29" s="20" t="n">
        <v>123403</v>
      </c>
      <c r="K29" s="20" t="n">
        <v>134159</v>
      </c>
      <c r="L29" s="20" t="n">
        <v>131834</v>
      </c>
      <c r="M29" s="20" t="n">
        <v>140223</v>
      </c>
      <c r="N29" s="20" t="n">
        <v>140121</v>
      </c>
      <c r="O29" s="19" t="n"/>
      <c r="P29" s="20" t="n">
        <v>274398</v>
      </c>
      <c r="Q29" s="20" t="n">
        <v>251021</v>
      </c>
      <c r="R29" s="20" t="n">
        <v>273454</v>
      </c>
      <c r="S29" s="20" t="n">
        <v>266268</v>
      </c>
      <c r="T29" s="20" t="n">
        <v>317199</v>
      </c>
      <c r="U29" s="20" t="n">
        <v>426878</v>
      </c>
      <c r="V29" s="20" t="n">
        <v>466020</v>
      </c>
      <c r="W29" s="20" t="n">
        <v>527475</v>
      </c>
      <c r="X29" s="20" t="n">
        <v>521249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72364</v>
      </c>
      <c r="D31" s="12" t="n">
        <v>77836</v>
      </c>
      <c r="E31" s="12" t="n">
        <v>69672</v>
      </c>
      <c r="F31" s="12" t="n">
        <v>53383</v>
      </c>
      <c r="G31" s="12" t="n">
        <v>22086</v>
      </c>
      <c r="H31" s="12" t="n">
        <v>21525</v>
      </c>
      <c r="I31" s="12" t="n">
        <v>39776</v>
      </c>
      <c r="J31" s="12" t="n">
        <v>72620</v>
      </c>
      <c r="K31" s="12" t="n">
        <v>67245</v>
      </c>
      <c r="L31" s="12" t="n">
        <v>90564</v>
      </c>
      <c r="M31" s="12" t="n">
        <v>102116</v>
      </c>
      <c r="N31" s="12" t="n">
        <v>565311</v>
      </c>
      <c r="O31" s="11" t="n"/>
      <c r="P31" s="12" t="n">
        <v>78400</v>
      </c>
      <c r="Q31" s="12" t="n">
        <v>68196</v>
      </c>
      <c r="R31" s="12" t="n">
        <v>6263</v>
      </c>
      <c r="S31" s="12" t="n">
        <v>65142</v>
      </c>
      <c r="T31" s="12" t="n">
        <v>173827</v>
      </c>
      <c r="U31" s="12" t="n">
        <v>424153</v>
      </c>
      <c r="V31" s="12" t="n">
        <v>390766</v>
      </c>
      <c r="W31" s="12" t="n">
        <v>222977</v>
      </c>
      <c r="X31" s="12" t="n">
        <v>201166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기타이익</t>
        </is>
      </c>
      <c r="B47" s="10" t="n"/>
      <c r="C47" s="19" t="n">
        <v>1788</v>
      </c>
      <c r="D47" s="20" t="n">
        <v>2524</v>
      </c>
      <c r="E47" s="20" t="n">
        <v>5751</v>
      </c>
      <c r="F47" s="20" t="n">
        <v>1248</v>
      </c>
      <c r="G47" s="20" t="n">
        <v>10438</v>
      </c>
      <c r="H47" s="20" t="n">
        <v>551</v>
      </c>
      <c r="I47" s="20" t="n">
        <v>1732</v>
      </c>
      <c r="J47" s="20" t="n">
        <v>3684</v>
      </c>
      <c r="K47" s="20" t="n">
        <v>277</v>
      </c>
      <c r="L47" s="20" t="n">
        <v>3491</v>
      </c>
      <c r="M47" s="20" t="n">
        <v>668</v>
      </c>
      <c r="N47" s="20" t="n">
        <v>451330</v>
      </c>
      <c r="O47" s="19" t="n"/>
      <c r="P47" s="20" t="n">
        <v>15369</v>
      </c>
      <c r="Q47" s="20" t="n">
        <v>8953</v>
      </c>
      <c r="R47" s="20" t="n">
        <v>2302</v>
      </c>
      <c r="S47" s="20" t="n">
        <v>4036</v>
      </c>
      <c r="T47" s="20" t="n">
        <v>8031</v>
      </c>
      <c r="U47" s="20" t="n">
        <v>17677</v>
      </c>
      <c r="V47" s="20" t="n">
        <v>38404</v>
      </c>
      <c r="W47" s="20" t="n">
        <v>19961</v>
      </c>
      <c r="X47" s="20" t="n">
        <v>6244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기타손실</t>
        </is>
      </c>
      <c r="B49" s="10" t="n"/>
      <c r="C49" s="19" t="n">
        <v>9762</v>
      </c>
      <c r="D49" s="20" t="n">
        <v>2282</v>
      </c>
      <c r="E49" s="20" t="n">
        <v>5839</v>
      </c>
      <c r="F49" s="20" t="n">
        <v>2642</v>
      </c>
      <c r="G49" s="20" t="n">
        <v>8542</v>
      </c>
      <c r="H49" s="20" t="n">
        <v>16570</v>
      </c>
      <c r="I49" s="20" t="n">
        <v>14929</v>
      </c>
      <c r="J49" s="20" t="n">
        <v>-74</v>
      </c>
      <c r="K49" s="20" t="n">
        <v>6196</v>
      </c>
      <c r="L49" s="20" t="n">
        <v>4392</v>
      </c>
      <c r="M49" s="20" t="n">
        <v>3441</v>
      </c>
      <c r="N49" s="20" t="n">
        <v>2958</v>
      </c>
      <c r="O49" s="19" t="n"/>
      <c r="P49" s="20" t="n">
        <v>5865</v>
      </c>
      <c r="Q49" s="20" t="n">
        <v>22173</v>
      </c>
      <c r="R49" s="20" t="n">
        <v>17377</v>
      </c>
      <c r="S49" s="20" t="n">
        <v>8315</v>
      </c>
      <c r="T49" s="20" t="n">
        <v>13133</v>
      </c>
      <c r="U49" s="20" t="n">
        <v>20635</v>
      </c>
      <c r="V49" s="20" t="n">
        <v>15946</v>
      </c>
      <c r="W49" s="20" t="n">
        <v>19305</v>
      </c>
      <c r="X49" s="20" t="n">
        <v>37621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금융수익</t>
        </is>
      </c>
      <c r="B51" s="10" t="n"/>
      <c r="C51" s="19" t="n">
        <v>6470</v>
      </c>
      <c r="D51" s="20" t="n">
        <v>18050</v>
      </c>
      <c r="E51" s="20" t="n">
        <v>6953</v>
      </c>
      <c r="F51" s="20" t="n">
        <v>15423</v>
      </c>
      <c r="G51" s="20" t="n">
        <v>11674</v>
      </c>
      <c r="H51" s="20" t="n">
        <v>9879</v>
      </c>
      <c r="I51" s="20" t="n">
        <v>-3050</v>
      </c>
      <c r="J51" s="20" t="n">
        <v>4332</v>
      </c>
      <c r="K51" s="20" t="n">
        <v>3491</v>
      </c>
      <c r="L51" s="20" t="n">
        <v>5014</v>
      </c>
      <c r="M51" s="20" t="n">
        <v>68007</v>
      </c>
      <c r="N51" s="20" t="n">
        <v>-42399</v>
      </c>
      <c r="O51" s="19" t="n"/>
      <c r="P51" s="20" t="n">
        <v>2061</v>
      </c>
      <c r="Q51" s="20" t="n">
        <v>1609</v>
      </c>
      <c r="R51" s="20" t="n">
        <v>2186</v>
      </c>
      <c r="S51" s="20" t="n">
        <v>7623</v>
      </c>
      <c r="T51" s="20" t="n">
        <v>4140</v>
      </c>
      <c r="U51" s="20" t="n">
        <v>1409</v>
      </c>
      <c r="V51" s="20" t="n">
        <v>38142</v>
      </c>
      <c r="W51" s="20" t="n">
        <v>52100</v>
      </c>
      <c r="X51" s="20" t="n">
        <v>14652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금융원가</t>
        </is>
      </c>
      <c r="B53" s="10" t="n"/>
      <c r="C53" s="19" t="n">
        <v>166</v>
      </c>
      <c r="D53" s="20" t="n">
        <v>4134</v>
      </c>
      <c r="E53" s="20" t="n">
        <v>2392</v>
      </c>
      <c r="F53" s="20" t="n">
        <v>-16</v>
      </c>
      <c r="G53" s="20" t="n">
        <v>4462</v>
      </c>
      <c r="H53" s="20" t="n">
        <v>4557</v>
      </c>
      <c r="I53" s="20" t="n">
        <v>232623</v>
      </c>
      <c r="J53" s="20" t="n">
        <v>-43225</v>
      </c>
      <c r="K53" s="20" t="n">
        <v>51686</v>
      </c>
      <c r="L53" s="20" t="n">
        <v>10930</v>
      </c>
      <c r="M53" s="20" t="n">
        <v>-266</v>
      </c>
      <c r="N53" s="20" t="n">
        <v>7407</v>
      </c>
      <c r="O53" s="19" t="n"/>
      <c r="P53" s="20" t="n">
        <v>5173</v>
      </c>
      <c r="Q53" s="20" t="n">
        <v>2131</v>
      </c>
      <c r="R53" s="20" t="n">
        <v>8774</v>
      </c>
      <c r="S53" s="20" t="n">
        <v>7549</v>
      </c>
      <c r="T53" s="20" t="n">
        <v>35249</v>
      </c>
      <c r="U53" s="20" t="n">
        <v>63280</v>
      </c>
      <c r="V53" s="20" t="n">
        <v>6735</v>
      </c>
      <c r="W53" s="20" t="n">
        <v>10972</v>
      </c>
      <c r="X53" s="20" t="n">
        <v>245641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78668</v>
      </c>
      <c r="D55" s="12" t="n">
        <v>91752</v>
      </c>
      <c r="E55" s="12" t="n">
        <v>74233</v>
      </c>
      <c r="F55" s="12" t="n">
        <v>68709</v>
      </c>
      <c r="G55" s="12" t="n">
        <v>29139</v>
      </c>
      <c r="H55" s="12" t="n">
        <v>26769</v>
      </c>
      <c r="I55" s="12" t="n">
        <v>-196057</v>
      </c>
      <c r="J55" s="12" t="n">
        <v>120045</v>
      </c>
      <c r="K55" s="12" t="n">
        <v>18968</v>
      </c>
      <c r="L55" s="12" t="n">
        <v>84518</v>
      </c>
      <c r="M55" s="12" t="n">
        <v>170267</v>
      </c>
      <c r="N55" s="12" t="n">
        <v>515401</v>
      </c>
      <c r="O55" s="11" t="n"/>
      <c r="P55" s="12" t="n">
        <v>84792</v>
      </c>
      <c r="Q55" s="12" t="n">
        <v>67723</v>
      </c>
      <c r="R55" s="12" t="n">
        <v>-325</v>
      </c>
      <c r="S55" s="12" t="n">
        <v>65216</v>
      </c>
      <c r="T55" s="12" t="n">
        <v>142718</v>
      </c>
      <c r="U55" s="12" t="n">
        <v>362282</v>
      </c>
      <c r="V55" s="12" t="n">
        <v>422173</v>
      </c>
      <c r="W55" s="12" t="n">
        <v>263833</v>
      </c>
      <c r="X55" s="12" t="n">
        <v>-30275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12744</v>
      </c>
      <c r="D57" s="20" t="n">
        <v>11714</v>
      </c>
      <c r="E57" s="20" t="n">
        <v>14528</v>
      </c>
      <c r="F57" s="20" t="n">
        <v>11161</v>
      </c>
      <c r="G57" s="20" t="n">
        <v>7008</v>
      </c>
      <c r="H57" s="20" t="n">
        <v>707</v>
      </c>
      <c r="I57" s="20" t="n">
        <v>5326</v>
      </c>
      <c r="J57" s="20" t="n">
        <v>13718</v>
      </c>
      <c r="K57" s="20" t="n">
        <v>1632</v>
      </c>
      <c r="L57" s="20" t="n">
        <v>16271</v>
      </c>
      <c r="M57" s="20" t="n">
        <v>20885</v>
      </c>
      <c r="N57" s="20" t="n">
        <v>143025</v>
      </c>
      <c r="O57" s="19" t="n"/>
      <c r="P57" s="20" t="n">
        <v>7517</v>
      </c>
      <c r="Q57" s="20" t="n">
        <v>16664</v>
      </c>
      <c r="R57" s="20" t="n">
        <v>5903</v>
      </c>
      <c r="S57" s="20" t="n">
        <v>19490</v>
      </c>
      <c r="T57" s="20" t="n">
        <v>23031</v>
      </c>
      <c r="U57" s="20" t="n">
        <v>105512</v>
      </c>
      <c r="V57" s="20" t="n">
        <v>84862</v>
      </c>
      <c r="W57" s="20" t="n">
        <v>44411</v>
      </c>
      <c r="X57" s="20" t="n">
        <v>21383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65924</v>
      </c>
      <c r="D59" s="12" t="n">
        <v>80038</v>
      </c>
      <c r="E59" s="12" t="n">
        <v>59705</v>
      </c>
      <c r="F59" s="12" t="n">
        <v>57548</v>
      </c>
      <c r="G59" s="12" t="n">
        <v>22131</v>
      </c>
      <c r="H59" s="12" t="n">
        <v>26062</v>
      </c>
      <c r="I59" s="12" t="n">
        <v>-201383</v>
      </c>
      <c r="J59" s="12" t="n">
        <v>106327</v>
      </c>
      <c r="K59" s="12" t="n">
        <v>17336</v>
      </c>
      <c r="L59" s="12" t="n">
        <v>68247</v>
      </c>
      <c r="M59" s="12" t="n">
        <v>149382</v>
      </c>
      <c r="N59" s="12" t="n">
        <v>372376</v>
      </c>
      <c r="O59" s="11" t="n"/>
      <c r="P59" s="12" t="n">
        <v>77275</v>
      </c>
      <c r="Q59" s="12" t="n">
        <v>51059</v>
      </c>
      <c r="R59" s="12" t="n">
        <v>-6228</v>
      </c>
      <c r="S59" s="12" t="n">
        <v>45726</v>
      </c>
      <c r="T59" s="12" t="n">
        <v>119687</v>
      </c>
      <c r="U59" s="12" t="n">
        <v>256770</v>
      </c>
      <c r="V59" s="12" t="n">
        <v>337311</v>
      </c>
      <c r="W59" s="12" t="n">
        <v>219422</v>
      </c>
      <c r="X59" s="12" t="n">
        <v>-51658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66078</v>
      </c>
      <c r="D61" s="12" t="n">
        <v>79866</v>
      </c>
      <c r="E61" s="12" t="n">
        <v>59721</v>
      </c>
      <c r="F61" s="12" t="n">
        <v>57709</v>
      </c>
      <c r="G61" s="12" t="n">
        <v>21788</v>
      </c>
      <c r="H61" s="12" t="n">
        <v>26006</v>
      </c>
      <c r="I61" s="12" t="n">
        <v>-201348</v>
      </c>
      <c r="J61" s="12" t="n">
        <v>106256</v>
      </c>
      <c r="K61" s="12" t="n">
        <v>17323</v>
      </c>
      <c r="L61" s="12" t="n">
        <v>68149</v>
      </c>
      <c r="M61" s="12" t="n">
        <v>149184</v>
      </c>
      <c r="N61" s="12" t="n">
        <v>372193</v>
      </c>
      <c r="O61" s="11" t="n"/>
      <c r="P61" s="12" t="n">
        <v>77196</v>
      </c>
      <c r="Q61" s="12" t="n">
        <v>50989</v>
      </c>
      <c r="R61" s="12" t="n">
        <v>-6317</v>
      </c>
      <c r="S61" s="12" t="n">
        <v>45626</v>
      </c>
      <c r="T61" s="12" t="n">
        <v>119536</v>
      </c>
      <c r="U61" s="12" t="n">
        <v>256615</v>
      </c>
      <c r="V61" s="12" t="n">
        <v>337086</v>
      </c>
      <c r="W61" s="12" t="n">
        <v>219084</v>
      </c>
      <c r="X61" s="12" t="n">
        <v>-51763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(2026.10.29)</t>
        </is>
      </c>
      <c r="B65" s="27" t="n">
        <v>3058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1870614885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2026.10.29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2023.4Q</t>
        </is>
      </c>
      <c r="D95" s="5" t="inlineStr">
        <is>
          <t>2024.1Q</t>
        </is>
      </c>
      <c r="E95" s="5" t="inlineStr">
        <is>
          <t>2024.2Q</t>
        </is>
      </c>
      <c r="F95" s="5" t="inlineStr">
        <is>
          <t>2024.3Q</t>
        </is>
      </c>
      <c r="G95" s="5" t="inlineStr">
        <is>
          <t>2024.4Q</t>
        </is>
      </c>
      <c r="H95" s="5" t="inlineStr">
        <is>
          <t>2025.1Q</t>
        </is>
      </c>
      <c r="I95" s="5" t="inlineStr">
        <is>
          <t>2025.2Q</t>
        </is>
      </c>
      <c r="J95" s="5" t="inlineStr">
        <is>
          <t>2025.3Q</t>
        </is>
      </c>
      <c r="K95" s="5" t="inlineStr">
        <is>
          <t>2025.4Q</t>
        </is>
      </c>
      <c r="L95" s="5" t="inlineStr">
        <is>
          <t>2026.1Q</t>
        </is>
      </c>
      <c r="M95" s="5" t="inlineStr">
        <is>
          <t>2026.2Q</t>
        </is>
      </c>
      <c r="N95" s="5" t="inlineStr">
        <is>
          <t>2026.3Q</t>
        </is>
      </c>
      <c r="O95" s="5" t="inlineStr">
        <is>
          <t>2016</t>
        </is>
      </c>
      <c r="P95" s="5" t="inlineStr">
        <is>
          <t>2017</t>
        </is>
      </c>
      <c r="Q95" s="5" t="inlineStr">
        <is>
          <t>2018</t>
        </is>
      </c>
      <c r="R95" s="5" t="inlineStr">
        <is>
          <t>2019</t>
        </is>
      </c>
      <c r="S95" s="5" t="inlineStr">
        <is>
          <t>2020</t>
        </is>
      </c>
      <c r="T95" s="5" t="inlineStr">
        <is>
          <t>2021</t>
        </is>
      </c>
      <c r="U95" s="5" t="inlineStr">
        <is>
          <t>2022</t>
        </is>
      </c>
      <c r="V95" s="5" t="inlineStr">
        <is>
          <t>2023</t>
        </is>
      </c>
      <c r="W95" s="5" t="inlineStr">
        <is>
          <t>2024</t>
        </is>
      </c>
      <c r="X95" s="5" t="inlineStr">
        <is>
          <t>2025</t>
        </is>
      </c>
      <c r="Y95" s="5" t="inlineStr">
        <is>
          <t>2026(MW)</t>
        </is>
      </c>
      <c r="Z95" s="5" t="inlineStr">
        <is>
          <t>2027(MW)</t>
        </is>
      </c>
      <c r="AA95" s="5" t="inlineStr">
        <is>
          <t>2028(MW)</t>
        </is>
      </c>
      <c r="AB95" s="5" t="inlineStr">
        <is>
          <t>2029(MW)</t>
        </is>
      </c>
      <c r="AC95" s="5" t="inlineStr">
        <is>
          <t>2030(MW)</t>
        </is>
      </c>
    </row>
    <row r="96">
      <c r="A96" s="9" t="inlineStr">
        <is>
          <t>매출수익</t>
        </is>
      </c>
      <c r="C96" s="12" t="n">
        <v>361933</v>
      </c>
      <c r="D96" s="12" t="n">
        <v>351790</v>
      </c>
      <c r="E96" s="12" t="n">
        <v>358807</v>
      </c>
      <c r="F96" s="12" t="n">
        <v>345282</v>
      </c>
      <c r="G96" s="12" t="n">
        <v>292600</v>
      </c>
      <c r="H96" s="12" t="n">
        <v>308777</v>
      </c>
      <c r="I96" s="12" t="n">
        <v>325534</v>
      </c>
      <c r="J96" s="12" t="n">
        <v>335364</v>
      </c>
      <c r="K96" s="12" t="n">
        <v>351537</v>
      </c>
      <c r="L96" s="12" t="n">
        <v>380293</v>
      </c>
      <c r="M96" s="12" t="n">
        <v>418449</v>
      </c>
      <c r="N96" s="12" t="n">
        <v>435917</v>
      </c>
      <c r="U96" s="12" t="n">
        <v>390813</v>
      </c>
      <c r="V96" s="12" t="n">
        <v>361933</v>
      </c>
      <c r="W96" s="12" t="n">
        <v>292600</v>
      </c>
      <c r="X96" s="12" t="n">
        <v>351537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158436</v>
      </c>
      <c r="D98" s="20" t="n">
        <v>154327</v>
      </c>
      <c r="E98" s="20" t="n">
        <v>157876</v>
      </c>
      <c r="F98" s="20" t="n">
        <v>153120</v>
      </c>
      <c r="G98" s="20" t="n">
        <v>133360</v>
      </c>
      <c r="H98" s="20" t="n">
        <v>135915</v>
      </c>
      <c r="I98" s="20" t="n">
        <v>144192</v>
      </c>
      <c r="J98" s="20" t="n">
        <v>143099</v>
      </c>
      <c r="K98" s="20" t="n">
        <v>144214</v>
      </c>
      <c r="L98" s="20" t="n">
        <v>156994</v>
      </c>
      <c r="M98" s="20" t="n">
        <v>173337</v>
      </c>
      <c r="N98" s="20" t="n">
        <v>178857</v>
      </c>
      <c r="U98" s="20" t="n">
        <v>172571</v>
      </c>
      <c r="V98" s="20" t="n">
        <v>158436</v>
      </c>
      <c r="W98" s="20" t="n">
        <v>133360</v>
      </c>
      <c r="X98" s="20" t="n">
        <v>144214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203497</v>
      </c>
      <c r="D100" s="12" t="n">
        <v>197463</v>
      </c>
      <c r="E100" s="12" t="n">
        <v>200931</v>
      </c>
      <c r="F100" s="12" t="n">
        <v>192162</v>
      </c>
      <c r="G100" s="12" t="n">
        <v>159240</v>
      </c>
      <c r="H100" s="12" t="n">
        <v>172862</v>
      </c>
      <c r="I100" s="12" t="n">
        <v>181342</v>
      </c>
      <c r="J100" s="12" t="n">
        <v>192265</v>
      </c>
      <c r="K100" s="12" t="n">
        <v>207323</v>
      </c>
      <c r="L100" s="12" t="n">
        <v>223299</v>
      </c>
      <c r="M100" s="12" t="n">
        <v>245112</v>
      </c>
      <c r="N100" s="12" t="n">
        <v>257060</v>
      </c>
      <c r="U100" s="12" t="n">
        <v>218242</v>
      </c>
      <c r="V100" s="12" t="n">
        <v>203497</v>
      </c>
      <c r="W100" s="12" t="n">
        <v>159240</v>
      </c>
      <c r="X100" s="12" t="n">
        <v>207323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123159</v>
      </c>
      <c r="D102" s="20" t="n">
        <v>119869</v>
      </c>
      <c r="E102" s="20" t="n">
        <v>131171</v>
      </c>
      <c r="F102" s="20" t="n">
        <v>137385</v>
      </c>
      <c r="G102" s="20" t="n">
        <v>139050</v>
      </c>
      <c r="H102" s="20" t="n">
        <v>135318</v>
      </c>
      <c r="I102" s="20" t="n">
        <v>128369</v>
      </c>
      <c r="J102" s="20" t="n">
        <v>123403</v>
      </c>
      <c r="K102" s="20" t="n">
        <v>134159</v>
      </c>
      <c r="L102" s="20" t="n">
        <v>131834</v>
      </c>
      <c r="M102" s="20" t="n">
        <v>140223</v>
      </c>
      <c r="N102" s="20" t="n">
        <v>140121</v>
      </c>
      <c r="U102" s="20" t="n">
        <v>117002</v>
      </c>
      <c r="V102" s="20" t="n">
        <v>123159</v>
      </c>
      <c r="W102" s="20" t="n">
        <v>139050</v>
      </c>
      <c r="X102" s="20" t="n">
        <v>134159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18" t="inlineStr">
        <is>
          <t>기타수익</t>
        </is>
      </c>
      <c r="C104" s="20" t="n">
        <v>1788</v>
      </c>
      <c r="D104" s="20" t="n">
        <v>2524</v>
      </c>
      <c r="E104" s="20" t="n">
        <v>5751</v>
      </c>
      <c r="F104" s="20" t="n">
        <v>1248</v>
      </c>
      <c r="G104" s="20" t="n">
        <v>10438</v>
      </c>
      <c r="H104" s="20" t="n">
        <v>551</v>
      </c>
      <c r="I104" s="20" t="n">
        <v>1732</v>
      </c>
      <c r="J104" s="20" t="n">
        <v>3684</v>
      </c>
      <c r="K104" s="20" t="n">
        <v>277</v>
      </c>
      <c r="L104" s="20" t="n">
        <v>3491</v>
      </c>
      <c r="M104" s="20" t="n">
        <v>668</v>
      </c>
      <c r="N104" s="20" t="n">
        <v>451330</v>
      </c>
      <c r="U104" s="20" t="n">
        <v>1998</v>
      </c>
      <c r="V104" s="20" t="n">
        <v>1788</v>
      </c>
      <c r="W104" s="20" t="n">
        <v>10438</v>
      </c>
      <c r="X104" s="20" t="n">
        <v>277</v>
      </c>
    </row>
    <row r="105">
      <c r="A105" s="18" t="inlineStr">
        <is>
          <t>기타비용</t>
        </is>
      </c>
      <c r="C105" s="20" t="n">
        <v>9762</v>
      </c>
      <c r="D105" s="20" t="n">
        <v>2282</v>
      </c>
      <c r="E105" s="20" t="n">
        <v>5839</v>
      </c>
      <c r="F105" s="20" t="n">
        <v>2642</v>
      </c>
      <c r="G105" s="20" t="n">
        <v>8542</v>
      </c>
      <c r="H105" s="20" t="n">
        <v>16570</v>
      </c>
      <c r="I105" s="20" t="n">
        <v>14929</v>
      </c>
      <c r="J105" s="20" t="n">
        <v>-74</v>
      </c>
      <c r="K105" s="20" t="n">
        <v>6196</v>
      </c>
      <c r="L105" s="20" t="n">
        <v>4392</v>
      </c>
      <c r="M105" s="20" t="n">
        <v>3441</v>
      </c>
      <c r="N105" s="20" t="n">
        <v>2958</v>
      </c>
      <c r="U105" s="20" t="n">
        <v>7023</v>
      </c>
      <c r="V105" s="20" t="n">
        <v>9762</v>
      </c>
      <c r="W105" s="20" t="n">
        <v>8542</v>
      </c>
      <c r="X105" s="20" t="n">
        <v>6196</v>
      </c>
    </row>
    <row r="106">
      <c r="A106" s="18" t="inlineStr">
        <is>
          <t>영업이익</t>
        </is>
      </c>
      <c r="C106" s="20" t="n">
        <v>72364</v>
      </c>
      <c r="D106" s="20" t="n">
        <v>77836</v>
      </c>
      <c r="E106" s="20" t="n">
        <v>69672</v>
      </c>
      <c r="F106" s="20" t="n">
        <v>53383</v>
      </c>
      <c r="G106" s="20" t="n">
        <v>22086</v>
      </c>
      <c r="H106" s="20" t="n">
        <v>21525</v>
      </c>
      <c r="I106" s="20" t="n">
        <v>39776</v>
      </c>
      <c r="J106" s="20" t="n">
        <v>72620</v>
      </c>
      <c r="K106" s="20" t="n">
        <v>67245</v>
      </c>
      <c r="L106" s="20" t="n">
        <v>90564</v>
      </c>
      <c r="M106" s="20" t="n">
        <v>102116</v>
      </c>
      <c r="N106" s="20" t="n">
        <v>565311</v>
      </c>
      <c r="U106" s="20" t="n">
        <v>96215</v>
      </c>
      <c r="V106" s="20" t="n">
        <v>72364</v>
      </c>
      <c r="W106" s="20" t="n">
        <v>22086</v>
      </c>
      <c r="X106" s="20" t="n">
        <v>67245</v>
      </c>
    </row>
    <row r="107">
      <c r="A107" s="43" t="inlineStr">
        <is>
          <t>OPM</t>
        </is>
      </c>
      <c r="B107" s="3" t="inlineStr">
        <is>
          <t>영업이익 ÷ 매출</t>
        </is>
      </c>
      <c r="C107" s="15">
        <f>IF(OR(C106="",C96=""),"",IF(C96&lt;=0,"",IFERROR(C106/C96,"")))</f>
        <v/>
      </c>
      <c r="D107" s="15">
        <f>IF(OR(D106="",D96=""),"",IF(D96&lt;=0,"",IFERROR(D106/D96,"")))</f>
        <v/>
      </c>
      <c r="E107" s="15">
        <f>IF(OR(E106="",E96=""),"",IF(E96&lt;=0,"",IFERROR(E106/E96,"")))</f>
        <v/>
      </c>
      <c r="F107" s="15">
        <f>IF(OR(F106="",F96=""),"",IF(F96&lt;=0,"",IFERROR(F106/F96,"")))</f>
        <v/>
      </c>
      <c r="G107" s="15">
        <f>IF(OR(G106="",G96=""),"",IF(G96&lt;=0,"",IFERROR(G106/G96,"")))</f>
        <v/>
      </c>
      <c r="H107" s="15">
        <f>IF(OR(H106="",H96=""),"",IF(H96&lt;=0,"",IFERROR(H106/H96,"")))</f>
        <v/>
      </c>
      <c r="I107" s="15">
        <f>IF(OR(I106="",I96=""),"",IF(I96&lt;=0,"",IFERROR(I106/I96,"")))</f>
        <v/>
      </c>
      <c r="J107" s="15">
        <f>IF(OR(J106="",J96=""),"",IF(J96&lt;=0,"",IFERROR(J106/J96,"")))</f>
        <v/>
      </c>
      <c r="K107" s="15">
        <f>IF(OR(K106="",K96=""),"",IF(K96&lt;=0,"",IFERROR(K106/K96,"")))</f>
        <v/>
      </c>
      <c r="L107" s="15">
        <f>IF(OR(L106="",L96=""),"",IF(L96&lt;=0,"",IFERROR(L106/L96,"")))</f>
        <v/>
      </c>
      <c r="M107" s="15">
        <f>IF(OR(M106="",M96=""),"",IF(M96&lt;=0,"",IFERROR(M106/M96,"")))</f>
        <v/>
      </c>
      <c r="N107" s="15">
        <f>IF(OR(N106="",N96=""),"",IF(N96&lt;=0,"",IFERROR(N106/N96,"")))</f>
        <v/>
      </c>
      <c r="U107" s="15">
        <f>IF(OR(U106="",U96=""),"",IF(U96&lt;=0,"",IFERROR(U106/U96,"")))</f>
        <v/>
      </c>
      <c r="V107" s="15">
        <f>IF(OR(V106="",V96=""),"",IF(V96&lt;=0,"",IFERROR(V106/V96,"")))</f>
        <v/>
      </c>
      <c r="W107" s="15">
        <f>IF(OR(W106="",W96=""),"",IF(W96&lt;=0,"",IFERROR(W106/W96,"")))</f>
        <v/>
      </c>
      <c r="X107" s="15">
        <f>IF(OR(X106="",X96=""),"",IF(X96&lt;=0,"",IFERROR(X106/X96,"")))</f>
        <v/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IF(OR(G106="",C106=""),"",IF(C106&lt;=0,"",IFERROR(G106/C106-1,"")))</f>
        <v/>
      </c>
      <c r="H108" s="15">
        <f>IF(OR(H106="",D106=""),"",IF(D106&lt;=0,"",IFERROR(H106/D106-1,"")))</f>
        <v/>
      </c>
      <c r="I108" s="15">
        <f>IF(OR(I106="",E106=""),"",IF(E106&lt;=0,"",IFERROR(I106/E106-1,"")))</f>
        <v/>
      </c>
      <c r="J108" s="15">
        <f>IF(OR(J106="",F106=""),"",IF(F106&lt;=0,"",IFERROR(J106/F106-1,"")))</f>
        <v/>
      </c>
      <c r="K108" s="15">
        <f>IF(OR(K106="",G106=""),"",IF(G106&lt;=0,"",IFERROR(K106/G106-1,"")))</f>
        <v/>
      </c>
      <c r="L108" s="15">
        <f>IF(OR(L106="",H106=""),"",IF(H106&lt;=0,"",IFERROR(L106/H106-1,"")))</f>
        <v/>
      </c>
      <c r="M108" s="15">
        <f>IF(OR(M106="",I106=""),"",IF(I106&lt;=0,"",IFERROR(M106/I106-1,"")))</f>
        <v/>
      </c>
      <c r="N108" s="15">
        <f>IF(OR(N106="",J106=""),"",IF(J106&lt;=0,"",IFERROR(N106/J106-1,"")))</f>
        <v/>
      </c>
      <c r="U108" s="15">
        <f>IF(OR(U106="",T106=""),"",IF(T106&lt;=0,"",IFERROR(U106/T106-1,"")))</f>
        <v/>
      </c>
      <c r="V108" s="15">
        <f>IF(OR(V106="",U106=""),"",IF(U106&lt;=0,"",IFERROR(V106/U106-1,"")))</f>
        <v/>
      </c>
      <c r="W108" s="15">
        <f>IF(OR(W106="",V106=""),"",IF(V106&lt;=0,"",IFERROR(W106/V106-1,"")))</f>
        <v/>
      </c>
      <c r="X108" s="15">
        <f>IF(OR(X106="",W106=""),"",IF(W106&lt;=0,"",IFERROR(X106/W106-1,"")))</f>
        <v/>
      </c>
    </row>
    <row r="109">
      <c r="A109" s="18" t="inlineStr">
        <is>
          <t>금융수익</t>
        </is>
      </c>
      <c r="C109" s="20" t="n">
        <v>6470</v>
      </c>
      <c r="D109" s="20" t="n">
        <v>18050</v>
      </c>
      <c r="E109" s="20" t="n">
        <v>6953</v>
      </c>
      <c r="F109" s="20" t="n">
        <v>15423</v>
      </c>
      <c r="G109" s="20" t="n">
        <v>11674</v>
      </c>
      <c r="H109" s="20" t="n">
        <v>9879</v>
      </c>
      <c r="I109" s="20" t="n">
        <v>-3050</v>
      </c>
      <c r="J109" s="20" t="n">
        <v>4332</v>
      </c>
      <c r="K109" s="20" t="n">
        <v>3491</v>
      </c>
      <c r="L109" s="20" t="n">
        <v>5014</v>
      </c>
      <c r="M109" s="20" t="n">
        <v>68007</v>
      </c>
      <c r="N109" s="20" t="n">
        <v>-42399</v>
      </c>
      <c r="U109" s="20" t="n">
        <v>760</v>
      </c>
      <c r="V109" s="20" t="n">
        <v>6470</v>
      </c>
      <c r="W109" s="20" t="n">
        <v>11674</v>
      </c>
      <c r="X109" s="20" t="n">
        <v>3491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18" t="inlineStr">
        <is>
          <t>금융비용</t>
        </is>
      </c>
      <c r="C111" s="20" t="n">
        <v>166</v>
      </c>
      <c r="D111" s="20" t="n">
        <v>4134</v>
      </c>
      <c r="E111" s="20" t="n">
        <v>2392</v>
      </c>
      <c r="F111" s="20" t="n">
        <v>-16</v>
      </c>
      <c r="G111" s="20" t="n">
        <v>4462</v>
      </c>
      <c r="H111" s="20" t="n">
        <v>4557</v>
      </c>
      <c r="I111" s="20" t="n">
        <v>232623</v>
      </c>
      <c r="J111" s="20" t="n">
        <v>-43225</v>
      </c>
      <c r="K111" s="20" t="n">
        <v>51686</v>
      </c>
      <c r="L111" s="20" t="n">
        <v>10930</v>
      </c>
      <c r="M111" s="20" t="n">
        <v>-266</v>
      </c>
      <c r="N111" s="20" t="n">
        <v>7407</v>
      </c>
      <c r="U111" s="20" t="n">
        <v>-22209</v>
      </c>
      <c r="V111" s="20" t="n">
        <v>166</v>
      </c>
      <c r="W111" s="20" t="n">
        <v>4462</v>
      </c>
      <c r="X111" s="20" t="n">
        <v>51686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지분법손실</t>
        </is>
      </c>
      <c r="C113" s="20" t="n">
        <v>0</v>
      </c>
      <c r="D113" s="20" t="n">
        <v>0</v>
      </c>
      <c r="E113" s="20" t="n">
        <v>0</v>
      </c>
      <c r="F113" s="20" t="n">
        <v>-113</v>
      </c>
      <c r="G113" s="20" t="n">
        <v>-159</v>
      </c>
      <c r="H113" s="20" t="n">
        <v>-78</v>
      </c>
      <c r="I113" s="20" t="n">
        <v>-160</v>
      </c>
      <c r="J113" s="20" t="n">
        <v>-132</v>
      </c>
      <c r="K113" s="20" t="n">
        <v>-82</v>
      </c>
      <c r="L113" s="20" t="n">
        <v>-130</v>
      </c>
      <c r="M113" s="20" t="n">
        <v>-122</v>
      </c>
      <c r="N113" s="20" t="n">
        <v>-104</v>
      </c>
      <c r="V113" s="20" t="n">
        <v>0</v>
      </c>
      <c r="W113" s="20" t="n">
        <v>-159</v>
      </c>
      <c r="X113" s="20" t="n">
        <v>-82</v>
      </c>
    </row>
    <row r="114">
      <c r="A114" s="9" t="inlineStr">
        <is>
          <t>세전 분기 이익(손실)</t>
        </is>
      </c>
      <c r="C114" s="12" t="n">
        <v>78668</v>
      </c>
      <c r="D114" s="12" t="n">
        <v>91752</v>
      </c>
      <c r="E114" s="12" t="n">
        <v>74233</v>
      </c>
      <c r="F114" s="12" t="n">
        <v>68709</v>
      </c>
      <c r="G114" s="12" t="n">
        <v>29139</v>
      </c>
      <c r="H114" s="12" t="n">
        <v>26769</v>
      </c>
      <c r="I114" s="12" t="n">
        <v>-196057</v>
      </c>
      <c r="J114" s="12" t="n">
        <v>120045</v>
      </c>
      <c r="K114" s="12" t="n">
        <v>18968</v>
      </c>
      <c r="L114" s="12" t="n">
        <v>84518</v>
      </c>
      <c r="M114" s="12" t="n">
        <v>170267</v>
      </c>
      <c r="N114" s="12" t="n">
        <v>515401</v>
      </c>
      <c r="U114" s="12" t="n">
        <v>119184</v>
      </c>
      <c r="V114" s="12" t="n">
        <v>78668</v>
      </c>
      <c r="W114" s="12" t="n">
        <v>29139</v>
      </c>
      <c r="X114" s="12" t="n">
        <v>18968</v>
      </c>
    </row>
    <row r="115">
      <c r="A115" s="18" t="inlineStr">
        <is>
          <t>법인소득세 비용</t>
        </is>
      </c>
      <c r="C115" s="20" t="n">
        <v>12744</v>
      </c>
      <c r="D115" s="20" t="n">
        <v>11714</v>
      </c>
      <c r="E115" s="20" t="n">
        <v>14528</v>
      </c>
      <c r="F115" s="20" t="n">
        <v>11161</v>
      </c>
      <c r="G115" s="20" t="n">
        <v>7008</v>
      </c>
      <c r="H115" s="20" t="n">
        <v>707</v>
      </c>
      <c r="I115" s="20" t="n">
        <v>5326</v>
      </c>
      <c r="J115" s="20" t="n">
        <v>13718</v>
      </c>
      <c r="K115" s="20" t="n">
        <v>1632</v>
      </c>
      <c r="L115" s="20" t="n">
        <v>16271</v>
      </c>
      <c r="M115" s="20" t="n">
        <v>20885</v>
      </c>
      <c r="N115" s="20" t="n">
        <v>143025</v>
      </c>
      <c r="U115" s="20" t="n">
        <v>47847</v>
      </c>
      <c r="V115" s="20" t="n">
        <v>12744</v>
      </c>
      <c r="W115" s="20" t="n">
        <v>7008</v>
      </c>
      <c r="X115" s="20" t="n">
        <v>1632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IF(OR(G115="",C115=""),"",IF(G115*C115&lt;=0,"",IFERROR(G115/C115-1,"")))</f>
        <v/>
      </c>
      <c r="H116" s="15">
        <f>IF(OR(H115="",D115=""),"",IF(H115*D115&lt;=0,"",IFERROR(H115/D115-1,"")))</f>
        <v/>
      </c>
      <c r="I116" s="15">
        <f>IF(OR(I115="",E115=""),"",IF(I115*E115&lt;=0,"",IFERROR(I115/E115-1,"")))</f>
        <v/>
      </c>
      <c r="J116" s="15">
        <f>IF(OR(J115="",F115=""),"",IF(J115*F115&lt;=0,"",IFERROR(J115/F115-1,"")))</f>
        <v/>
      </c>
      <c r="K116" s="15">
        <f>IF(OR(K115="",G115=""),"",IF(K115*G115&lt;=0,"",IFERROR(K115/G115-1,"")))</f>
        <v/>
      </c>
      <c r="L116" s="15">
        <f>IF(OR(L115="",H115=""),"",IF(L115*H115&lt;=0,"",IFERROR(L115/H115-1,"")))</f>
        <v/>
      </c>
      <c r="M116" s="15">
        <f>IF(OR(M115="",I115=""),"",IF(M115*I115&lt;=0,"",IFERROR(M115/I115-1,"")))</f>
        <v/>
      </c>
      <c r="N116" s="15">
        <f>IF(OR(N115="",J115=""),"",IF(N115*J115&lt;=0,"",IFERROR(N115/J115-1,"")))</f>
        <v/>
      </c>
      <c r="U116" s="15">
        <f>IF(OR(U115="",T115=""),"",IF(U115*T115&lt;=0,"",IFERROR(U115/T115-1,"")))</f>
        <v/>
      </c>
      <c r="V116" s="15">
        <f>IF(OR(V115="",U115=""),"",IF(V115*U115&lt;=0,"",IFERROR(V115/U115-1,"")))</f>
        <v/>
      </c>
      <c r="W116" s="15">
        <f>IF(OR(W115="",V115=""),"",IF(W115*V115&lt;=0,"",IFERROR(W115/V115-1,"")))</f>
        <v/>
      </c>
      <c r="X116" s="15">
        <f>IF(OR(X115="",W115=""),"",IF(X115*W115&lt;=0,"",IFERROR(X115/W115-1,"")))</f>
        <v/>
      </c>
    </row>
    <row r="117">
      <c r="A117" s="9" t="inlineStr">
        <is>
          <t>분기 순이익(손실)</t>
        </is>
      </c>
      <c r="C117" s="12" t="n">
        <v>65924</v>
      </c>
      <c r="D117" s="12" t="n">
        <v>80038</v>
      </c>
      <c r="E117" s="12" t="n">
        <v>59705</v>
      </c>
      <c r="F117" s="12" t="n">
        <v>57548</v>
      </c>
      <c r="G117" s="12" t="n">
        <v>22131</v>
      </c>
      <c r="H117" s="12" t="n">
        <v>26062</v>
      </c>
      <c r="I117" s="12" t="n">
        <v>-201383</v>
      </c>
      <c r="J117" s="12" t="n">
        <v>106327</v>
      </c>
      <c r="K117" s="12" t="n">
        <v>17336</v>
      </c>
      <c r="L117" s="12" t="n">
        <v>68247</v>
      </c>
      <c r="M117" s="12" t="n">
        <v>149382</v>
      </c>
      <c r="N117" s="12" t="n">
        <v>372376</v>
      </c>
      <c r="U117" s="12" t="n">
        <v>71337</v>
      </c>
      <c r="V117" s="12" t="n">
        <v>65924</v>
      </c>
      <c r="W117" s="12" t="n">
        <v>22131</v>
      </c>
      <c r="X117" s="12" t="n">
        <v>17336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IF(OR(G117="",C117=""),"",IF(C117&lt;=0,"",IFERROR(G117/C117-1,"")))</f>
        <v/>
      </c>
      <c r="H118" s="15">
        <f>IF(OR(H117="",D117=""),"",IF(D117&lt;=0,"",IFERROR(H117/D117-1,"")))</f>
        <v/>
      </c>
      <c r="I118" s="15">
        <f>IF(OR(I117="",E117=""),"",IF(E117&lt;=0,"",IFERROR(I117/E117-1,"")))</f>
        <v/>
      </c>
      <c r="J118" s="15">
        <f>IF(OR(J117="",F117=""),"",IF(F117&lt;=0,"",IFERROR(J117/F117-1,"")))</f>
        <v/>
      </c>
      <c r="K118" s="15">
        <f>IF(OR(K117="",G117=""),"",IF(G117&lt;=0,"",IFERROR(K117/G117-1,"")))</f>
        <v/>
      </c>
      <c r="L118" s="15">
        <f>IF(OR(L117="",H117=""),"",IF(H117&lt;=0,"",IFERROR(L117/H117-1,"")))</f>
        <v/>
      </c>
      <c r="M118" s="15">
        <f>IF(OR(M117="",I117=""),"",IF(I117&lt;=0,"",IFERROR(M117/I117-1,"")))</f>
        <v/>
      </c>
      <c r="N118" s="15">
        <f>IF(OR(N117="",J117=""),"",IF(J117&lt;=0,"",IFERROR(N117/J117-1,"")))</f>
        <v/>
      </c>
      <c r="U118" s="15">
        <f>IF(OR(U117="",T117=""),"",IF(T117&lt;=0,"",IFERROR(U117/T117-1,"")))</f>
        <v/>
      </c>
      <c r="V118" s="15">
        <f>IF(OR(V117="",U117=""),"",IF(U117&lt;=0,"",IFERROR(V117/U117-1,"")))</f>
        <v/>
      </c>
      <c r="W118" s="15">
        <f>IF(OR(W117="",V117=""),"",IF(V117&lt;=0,"",IFERROR(W117/V117-1,"")))</f>
        <v/>
      </c>
      <c r="X118" s="15">
        <f>IF(OR(X117="",W117=""),"",IF(W117&lt;=0,"",IFERROR(X117/W117-1,"")))</f>
        <v/>
      </c>
    </row>
    <row r="119">
      <c r="A119" s="18" t="inlineStr">
        <is>
          <t>기본 주당 분기 순이익(손실)</t>
        </is>
      </c>
      <c r="C119" s="20" t="n">
        <v>3.725e-05</v>
      </c>
      <c r="D119" s="20" t="n">
        <v>4.49e-05</v>
      </c>
      <c r="E119" s="20" t="n">
        <v>3.335e-05</v>
      </c>
      <c r="F119" s="20" t="n">
        <v>3.219e-05</v>
      </c>
      <c r="G119" s="20" t="n">
        <v>1.207000000000001e-05</v>
      </c>
      <c r="H119" s="20" t="n">
        <v>1.448e-05</v>
      </c>
      <c r="I119" s="20" t="n">
        <v>-0.00011182</v>
      </c>
      <c r="J119" s="20" t="n">
        <v>5.906e-05</v>
      </c>
      <c r="K119" s="20" t="n">
        <v>9.630000000000003e-06</v>
      </c>
      <c r="L119" s="20" t="n">
        <v>3.757e-05</v>
      </c>
      <c r="M119" s="20" t="n">
        <v>8.193999999999999e-05</v>
      </c>
      <c r="N119" s="20" t="n">
        <v>0.00020402</v>
      </c>
      <c r="U119" s="20" t="n">
        <v>3.959000000000001e-05</v>
      </c>
      <c r="V119" s="20" t="n">
        <v>3.725e-05</v>
      </c>
      <c r="W119" s="20" t="n">
        <v>1.207000000000001e-05</v>
      </c>
      <c r="X119" s="20" t="n">
        <v>9.630000000000003e-06</v>
      </c>
    </row>
    <row r="120">
      <c r="A120" s="18" t="inlineStr">
        <is>
          <t>희석 주당 분기 순이익(손실)</t>
        </is>
      </c>
      <c r="C120" s="20" t="n">
        <v>3.647999999999999e-05</v>
      </c>
      <c r="D120" s="20" t="n">
        <v>4.428e-05</v>
      </c>
      <c r="E120" s="20" t="n">
        <v>3.292e-05</v>
      </c>
      <c r="F120" s="20" t="n">
        <v>3.191e-05</v>
      </c>
      <c r="G120" s="20" t="n">
        <v>1.173999999999999e-05</v>
      </c>
      <c r="H120" s="20" t="n">
        <v>1.43e-05</v>
      </c>
      <c r="I120" s="20" t="n">
        <v>-0.00011164</v>
      </c>
      <c r="J120" s="20" t="n">
        <v>5.906e-05</v>
      </c>
      <c r="K120" s="20" t="n">
        <v>9.630000000000003e-06</v>
      </c>
      <c r="L120" s="20" t="n">
        <v>3.696e-05</v>
      </c>
      <c r="M120" s="20" t="n">
        <v>8.050999999999999e-05</v>
      </c>
      <c r="N120" s="20" t="n">
        <v>0.00020071</v>
      </c>
      <c r="U120" s="20" t="n">
        <v>3.863000000000001e-05</v>
      </c>
      <c r="V120" s="20" t="n">
        <v>3.647999999999999e-05</v>
      </c>
      <c r="W120" s="20" t="n">
        <v>1.173999999999999e-05</v>
      </c>
      <c r="X120" s="20" t="n">
        <v>9.630000000000003e-06</v>
      </c>
    </row>
    <row r="121">
      <c r="A121" s="9" t="inlineStr">
        <is>
          <t>지배기업 소유주</t>
        </is>
      </c>
      <c r="C121" s="12" t="n">
        <v>66078</v>
      </c>
      <c r="D121" s="12" t="n">
        <v>79866</v>
      </c>
      <c r="E121" s="12" t="n">
        <v>59721</v>
      </c>
      <c r="F121" s="12" t="n">
        <v>57709</v>
      </c>
      <c r="G121" s="12" t="n">
        <v>21788</v>
      </c>
      <c r="H121" s="12" t="n">
        <v>26006</v>
      </c>
      <c r="I121" s="12" t="n">
        <v>-201348</v>
      </c>
      <c r="J121" s="12" t="n">
        <v>106256</v>
      </c>
      <c r="K121" s="12" t="n">
        <v>17323</v>
      </c>
      <c r="L121" s="12" t="n">
        <v>68149</v>
      </c>
      <c r="M121" s="12" t="n">
        <v>149184</v>
      </c>
      <c r="N121" s="12" t="n">
        <v>372193</v>
      </c>
      <c r="U121" s="12" t="n">
        <v>71467</v>
      </c>
      <c r="V121" s="12" t="n">
        <v>66078</v>
      </c>
      <c r="W121" s="12" t="n">
        <v>21788</v>
      </c>
      <c r="X121" s="12" t="n">
        <v>17323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9" t="inlineStr">
        <is>
          <t>비지배지분</t>
        </is>
      </c>
      <c r="C123" s="12" t="n">
        <v>-154</v>
      </c>
      <c r="D123" s="12" t="n">
        <v>172</v>
      </c>
      <c r="E123" s="12" t="n">
        <v>-16</v>
      </c>
      <c r="F123" s="12" t="n">
        <v>-161</v>
      </c>
      <c r="G123" s="12" t="n">
        <v>343</v>
      </c>
      <c r="H123" s="12" t="n">
        <v>56</v>
      </c>
      <c r="I123" s="12" t="n">
        <v>-35</v>
      </c>
      <c r="J123" s="12" t="n">
        <v>71</v>
      </c>
      <c r="K123" s="12" t="n">
        <v>13</v>
      </c>
      <c r="L123" s="12" t="n">
        <v>98</v>
      </c>
      <c r="M123" s="12" t="n">
        <v>198</v>
      </c>
      <c r="N123" s="12" t="n">
        <v>183</v>
      </c>
      <c r="U123" s="12" t="n">
        <v>-130</v>
      </c>
      <c r="V123" s="12" t="n">
        <v>-154</v>
      </c>
      <c r="W123" s="12" t="n">
        <v>343</v>
      </c>
      <c r="X123" s="12" t="n">
        <v>13</v>
      </c>
    </row>
    <row r="125">
      <c r="A125" s="16" t="inlineStr">
        <is>
          <t>포괄손익 · 전 항목</t>
        </is>
      </c>
      <c r="B125" s="42" t="inlineStr">
        <is>
          <t>분기 = 3개월 단독</t>
        </is>
      </c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2023.4Q</t>
        </is>
      </c>
      <c r="D126" s="5" t="inlineStr">
        <is>
          <t>2024.1Q</t>
        </is>
      </c>
      <c r="E126" s="5" t="inlineStr">
        <is>
          <t>2024.2Q</t>
        </is>
      </c>
      <c r="F126" s="5" t="inlineStr">
        <is>
          <t>2024.3Q</t>
        </is>
      </c>
      <c r="G126" s="5" t="inlineStr">
        <is>
          <t>2024.4Q</t>
        </is>
      </c>
      <c r="H126" s="5" t="inlineStr">
        <is>
          <t>2025.1Q</t>
        </is>
      </c>
      <c r="I126" s="5" t="inlineStr">
        <is>
          <t>2025.2Q</t>
        </is>
      </c>
      <c r="J126" s="5" t="inlineStr">
        <is>
          <t>2025.3Q</t>
        </is>
      </c>
      <c r="K126" s="5" t="inlineStr">
        <is>
          <t>2025.4Q</t>
        </is>
      </c>
      <c r="L126" s="5" t="inlineStr">
        <is>
          <t>2026.1Q</t>
        </is>
      </c>
      <c r="M126" s="5" t="inlineStr">
        <is>
          <t>2026.2Q</t>
        </is>
      </c>
      <c r="N126" s="5" t="inlineStr">
        <is>
          <t>2026.3Q</t>
        </is>
      </c>
      <c r="O126" s="5" t="inlineStr">
        <is>
          <t>2016</t>
        </is>
      </c>
      <c r="P126" s="5" t="inlineStr">
        <is>
          <t>2017</t>
        </is>
      </c>
      <c r="Q126" s="5" t="inlineStr">
        <is>
          <t>2018</t>
        </is>
      </c>
      <c r="R126" s="5" t="inlineStr">
        <is>
          <t>2019</t>
        </is>
      </c>
      <c r="S126" s="5" t="inlineStr">
        <is>
          <t>2020</t>
        </is>
      </c>
      <c r="T126" s="5" t="inlineStr">
        <is>
          <t>2021</t>
        </is>
      </c>
      <c r="U126" s="5" t="inlineStr">
        <is>
          <t>2022</t>
        </is>
      </c>
      <c r="V126" s="5" t="inlineStr">
        <is>
          <t>2023</t>
        </is>
      </c>
      <c r="W126" s="5" t="inlineStr">
        <is>
          <t>2024</t>
        </is>
      </c>
      <c r="X126" s="5" t="inlineStr">
        <is>
          <t>2025</t>
        </is>
      </c>
      <c r="Y126" s="5" t="inlineStr">
        <is>
          <t>2026(MW)</t>
        </is>
      </c>
      <c r="Z126" s="5" t="inlineStr">
        <is>
          <t>2027(MW)</t>
        </is>
      </c>
      <c r="AA126" s="5" t="inlineStr">
        <is>
          <t>2028(MW)</t>
        </is>
      </c>
      <c r="AB126" s="5" t="inlineStr">
        <is>
          <t>2029(MW)</t>
        </is>
      </c>
      <c r="AC126" s="5" t="inlineStr">
        <is>
          <t>2030(MW)</t>
        </is>
      </c>
    </row>
    <row r="127">
      <c r="A127" s="9" t="inlineStr">
        <is>
          <t>분기 순이익(손실)</t>
        </is>
      </c>
      <c r="C127" s="12" t="n">
        <v>65924</v>
      </c>
      <c r="D127" s="12" t="n">
        <v>80038</v>
      </c>
      <c r="E127" s="12" t="n">
        <v>59705</v>
      </c>
      <c r="F127" s="12" t="n">
        <v>57548</v>
      </c>
      <c r="G127" s="12" t="n">
        <v>22131</v>
      </c>
      <c r="H127" s="12" t="n">
        <v>26062</v>
      </c>
      <c r="I127" s="12" t="n">
        <v>-201383</v>
      </c>
      <c r="J127" s="12" t="n">
        <v>106327</v>
      </c>
      <c r="K127" s="12" t="n">
        <v>17336</v>
      </c>
      <c r="L127" s="12" t="n">
        <v>68247</v>
      </c>
      <c r="M127" s="12" t="n">
        <v>149382</v>
      </c>
      <c r="N127" s="12" t="n">
        <v>372376</v>
      </c>
      <c r="U127" s="12" t="n">
        <v>71337</v>
      </c>
      <c r="V127" s="12" t="n">
        <v>65924</v>
      </c>
      <c r="W127" s="12" t="n">
        <v>22131</v>
      </c>
      <c r="X127" s="12" t="n">
        <v>17336</v>
      </c>
    </row>
    <row r="128">
      <c r="A128" s="18" t="inlineStr">
        <is>
          <t>확정급여제도 재측정</t>
        </is>
      </c>
      <c r="C128" s="20" t="n">
        <v>-547</v>
      </c>
      <c r="D128" s="20" t="n">
        <v>-78</v>
      </c>
      <c r="E128" s="20" t="n">
        <v>-145</v>
      </c>
      <c r="F128" s="20" t="n">
        <v>-30</v>
      </c>
      <c r="G128" s="20" t="n">
        <v>172</v>
      </c>
      <c r="H128" s="20" t="n">
        <v>14</v>
      </c>
      <c r="I128" s="20" t="n">
        <v>-56</v>
      </c>
      <c r="J128" s="20" t="n">
        <v>22</v>
      </c>
      <c r="K128" s="20" t="n">
        <v>554</v>
      </c>
      <c r="L128" s="20" t="n">
        <v>-99</v>
      </c>
      <c r="M128" s="20" t="n">
        <v>-55</v>
      </c>
      <c r="N128" s="20" t="n">
        <v>-35</v>
      </c>
      <c r="U128" s="20" t="n">
        <v>2180</v>
      </c>
      <c r="V128" s="20" t="n">
        <v>-547</v>
      </c>
      <c r="W128" s="20" t="n">
        <v>172</v>
      </c>
      <c r="X128" s="20" t="n">
        <v>554</v>
      </c>
    </row>
    <row r="129">
      <c r="A129" s="18" t="inlineStr">
        <is>
          <t>기타포괄손익-공정가치 지분상품</t>
        </is>
      </c>
      <c r="C129" s="20" t="n">
        <v>-21</v>
      </c>
      <c r="D129" s="20" t="n">
        <v>-2114</v>
      </c>
      <c r="E129" s="20" t="n">
        <v>-1101</v>
      </c>
      <c r="F129" s="20" t="n">
        <v>652</v>
      </c>
      <c r="G129" s="20" t="n">
        <v>-409</v>
      </c>
      <c r="H129" s="20" t="n">
        <v>133</v>
      </c>
      <c r="I129" s="20" t="n">
        <v>281</v>
      </c>
      <c r="J129" s="20" t="n">
        <v>-143</v>
      </c>
      <c r="K129" s="20" t="n">
        <v>-166</v>
      </c>
      <c r="L129" s="20" t="n">
        <v>-2950</v>
      </c>
      <c r="M129" s="20" t="n">
        <v>87978</v>
      </c>
      <c r="N129" s="20" t="n">
        <v>-108198</v>
      </c>
      <c r="U129" s="20" t="n">
        <v>508</v>
      </c>
      <c r="V129" s="20" t="n">
        <v>-21</v>
      </c>
      <c r="W129" s="20" t="n">
        <v>-409</v>
      </c>
      <c r="X129" s="20" t="n">
        <v>-166</v>
      </c>
    </row>
    <row r="130">
      <c r="A130" s="18" t="inlineStr">
        <is>
          <t>항목 합계</t>
        </is>
      </c>
      <c r="C130" s="20" t="n">
        <v>-568</v>
      </c>
      <c r="D130" s="20" t="n">
        <v>-2192</v>
      </c>
      <c r="E130" s="20" t="n">
        <v>-1246</v>
      </c>
      <c r="F130" s="20" t="n">
        <v>622</v>
      </c>
      <c r="G130" s="20" t="n">
        <v>-237</v>
      </c>
      <c r="H130" s="20" t="n">
        <v>147</v>
      </c>
      <c r="I130" s="20" t="n">
        <v>225</v>
      </c>
      <c r="J130" s="20" t="n">
        <v>-121</v>
      </c>
      <c r="K130" s="20" t="n">
        <v>388</v>
      </c>
      <c r="L130" s="20" t="n">
        <v>-3049</v>
      </c>
      <c r="M130" s="20" t="n">
        <v>87923</v>
      </c>
      <c r="N130" s="20" t="n">
        <v>-108233</v>
      </c>
      <c r="U130" s="20" t="n">
        <v>2688</v>
      </c>
      <c r="V130" s="20" t="n">
        <v>-568</v>
      </c>
      <c r="W130" s="20" t="n">
        <v>-237</v>
      </c>
      <c r="X130" s="20" t="n">
        <v>388</v>
      </c>
    </row>
    <row r="131">
      <c r="A131" s="18" t="inlineStr">
        <is>
          <t>해외사업 환산차액</t>
        </is>
      </c>
      <c r="C131" s="20" t="n">
        <v>-137900</v>
      </c>
      <c r="D131" s="20" t="n">
        <v>172042</v>
      </c>
      <c r="E131" s="20" t="n">
        <v>178764</v>
      </c>
      <c r="F131" s="20" t="n">
        <v>-391645</v>
      </c>
      <c r="G131" s="20" t="n">
        <v>361180</v>
      </c>
      <c r="H131" s="20" t="n">
        <v>-207089</v>
      </c>
      <c r="I131" s="20" t="n">
        <v>-95161</v>
      </c>
      <c r="J131" s="20" t="n">
        <v>90191</v>
      </c>
      <c r="K131" s="20" t="n">
        <v>180710</v>
      </c>
      <c r="L131" s="20" t="n">
        <v>74097</v>
      </c>
      <c r="M131" s="20" t="n">
        <v>61192</v>
      </c>
      <c r="N131" s="20" t="n">
        <v>-224920</v>
      </c>
      <c r="U131" s="20" t="n">
        <v>-219062</v>
      </c>
      <c r="V131" s="20" t="n">
        <v>-137900</v>
      </c>
      <c r="W131" s="20" t="n">
        <v>361180</v>
      </c>
      <c r="X131" s="20" t="n">
        <v>180710</v>
      </c>
    </row>
    <row r="132">
      <c r="A132" s="18" t="inlineStr">
        <is>
          <t>현금흐름 위험회피</t>
        </is>
      </c>
      <c r="C132" s="20" t="n">
        <v>18308</v>
      </c>
      <c r="D132" s="20" t="n">
        <v>-8457</v>
      </c>
      <c r="E132" s="20" t="n">
        <v>23563</v>
      </c>
      <c r="F132" s="20" t="n">
        <v>-23028</v>
      </c>
      <c r="G132" s="20" t="n">
        <v>4174</v>
      </c>
      <c r="H132" s="20" t="n">
        <v>1335</v>
      </c>
      <c r="I132" s="20" t="n">
        <v>235</v>
      </c>
      <c r="J132" s="20" t="n">
        <v>889</v>
      </c>
      <c r="K132" s="20" t="n">
        <v>-75</v>
      </c>
      <c r="L132" s="20" t="n">
        <v>673</v>
      </c>
      <c r="M132" s="20" t="n">
        <v>-292</v>
      </c>
      <c r="N132" s="20" t="n">
        <v>862</v>
      </c>
      <c r="U132" s="20" t="n">
        <v>22072</v>
      </c>
      <c r="V132" s="20" t="n">
        <v>18308</v>
      </c>
      <c r="W132" s="20" t="n">
        <v>4174</v>
      </c>
      <c r="X132" s="20" t="n">
        <v>-75</v>
      </c>
    </row>
    <row r="133">
      <c r="A133" s="18" t="inlineStr">
        <is>
          <t>헤지 비용</t>
        </is>
      </c>
      <c r="C133" s="20" t="n">
        <v>-2406</v>
      </c>
      <c r="D133" s="20" t="n">
        <v>-502</v>
      </c>
      <c r="E133" s="20" t="n">
        <v>-4999</v>
      </c>
      <c r="F133" s="20" t="n">
        <v>2296</v>
      </c>
      <c r="G133" s="20" t="n">
        <v>-548</v>
      </c>
      <c r="H133" s="20" t="n">
        <v>210</v>
      </c>
      <c r="I133" s="20" t="n">
        <v>-258</v>
      </c>
      <c r="J133" s="20" t="n">
        <v>-352</v>
      </c>
      <c r="K133" s="20" t="n">
        <v>-214</v>
      </c>
      <c r="L133" s="20" t="n">
        <v>668</v>
      </c>
      <c r="M133" s="20" t="n">
        <v>69</v>
      </c>
      <c r="N133" s="20" t="n">
        <v>36</v>
      </c>
      <c r="U133" s="20" t="n">
        <v>1680</v>
      </c>
      <c r="V133" s="20" t="n">
        <v>-2406</v>
      </c>
      <c r="W133" s="20" t="n">
        <v>-548</v>
      </c>
      <c r="X133" s="20" t="n">
        <v>-214</v>
      </c>
    </row>
    <row r="134">
      <c r="A134" s="18" t="inlineStr">
        <is>
          <t>항목 합계</t>
        </is>
      </c>
      <c r="C134" s="20" t="n">
        <v>-121998</v>
      </c>
      <c r="D134" s="20" t="n">
        <v>163083</v>
      </c>
      <c r="E134" s="20" t="n">
        <v>197328</v>
      </c>
      <c r="F134" s="20" t="n">
        <v>-412377</v>
      </c>
      <c r="G134" s="20" t="n">
        <v>364806</v>
      </c>
      <c r="H134" s="20" t="n">
        <v>-205544</v>
      </c>
      <c r="I134" s="20" t="n">
        <v>-95184</v>
      </c>
      <c r="J134" s="20" t="n">
        <v>90728</v>
      </c>
      <c r="K134" s="20" t="n">
        <v>180421</v>
      </c>
      <c r="L134" s="20" t="n">
        <v>75438</v>
      </c>
      <c r="M134" s="20" t="n">
        <v>60969</v>
      </c>
      <c r="N134" s="20" t="n">
        <v>-224022</v>
      </c>
      <c r="U134" s="20" t="n">
        <v>-195310</v>
      </c>
      <c r="V134" s="20" t="n">
        <v>-121998</v>
      </c>
      <c r="W134" s="20" t="n">
        <v>364806</v>
      </c>
      <c r="X134" s="20" t="n">
        <v>180421</v>
      </c>
    </row>
    <row r="135">
      <c r="A135" s="18" t="inlineStr">
        <is>
          <t>기타포괄손익 합계</t>
        </is>
      </c>
      <c r="C135" s="20" t="n">
        <v>-122566</v>
      </c>
      <c r="D135" s="20" t="n">
        <v>160891</v>
      </c>
      <c r="E135" s="20" t="n">
        <v>196082</v>
      </c>
      <c r="F135" s="20" t="n">
        <v>-411755</v>
      </c>
      <c r="G135" s="20" t="n">
        <v>364569</v>
      </c>
      <c r="H135" s="20" t="n">
        <v>-205397</v>
      </c>
      <c r="I135" s="20" t="n">
        <v>-94959</v>
      </c>
      <c r="J135" s="20" t="n">
        <v>90607</v>
      </c>
      <c r="K135" s="20" t="n">
        <v>180809</v>
      </c>
      <c r="L135" s="20" t="n">
        <v>72389</v>
      </c>
      <c r="M135" s="20" t="n">
        <v>148892</v>
      </c>
      <c r="N135" s="20" t="n">
        <v>-332255</v>
      </c>
      <c r="U135" s="20" t="n">
        <v>-192622</v>
      </c>
      <c r="V135" s="20" t="n">
        <v>-122566</v>
      </c>
      <c r="W135" s="20" t="n">
        <v>364569</v>
      </c>
      <c r="X135" s="20" t="n">
        <v>180809</v>
      </c>
    </row>
    <row r="136">
      <c r="A136" s="9" t="inlineStr">
        <is>
          <t>포괄이익</t>
        </is>
      </c>
      <c r="C136" s="12" t="n">
        <v>-56642</v>
      </c>
      <c r="D136" s="12" t="n">
        <v>240929</v>
      </c>
      <c r="E136" s="12" t="n">
        <v>255787</v>
      </c>
      <c r="F136" s="12" t="n">
        <v>-354207</v>
      </c>
      <c r="G136" s="12" t="n">
        <v>386700</v>
      </c>
      <c r="H136" s="12" t="n">
        <v>-179335</v>
      </c>
      <c r="I136" s="12" t="n">
        <v>-296342</v>
      </c>
      <c r="J136" s="12" t="n">
        <v>196934</v>
      </c>
      <c r="K136" s="12" t="n">
        <v>198145</v>
      </c>
      <c r="L136" s="12" t="n">
        <v>140636</v>
      </c>
      <c r="M136" s="12" t="n">
        <v>298274</v>
      </c>
      <c r="N136" s="12" t="n">
        <v>40121</v>
      </c>
      <c r="U136" s="12" t="n">
        <v>-121285</v>
      </c>
      <c r="V136" s="12" t="n">
        <v>-56642</v>
      </c>
      <c r="W136" s="12" t="n">
        <v>386700</v>
      </c>
      <c r="X136" s="12" t="n">
        <v>198145</v>
      </c>
    </row>
    <row r="137">
      <c r="A137" s="9" t="inlineStr">
        <is>
          <t>지배기업 소유주</t>
        </is>
      </c>
      <c r="C137" s="12" t="n">
        <v>-56361</v>
      </c>
      <c r="D137" s="12" t="n">
        <v>240618</v>
      </c>
      <c r="E137" s="12" t="n">
        <v>255547</v>
      </c>
      <c r="F137" s="12" t="n">
        <v>-354090</v>
      </c>
      <c r="G137" s="12" t="n">
        <v>386245</v>
      </c>
      <c r="H137" s="12" t="n">
        <v>-179172</v>
      </c>
      <c r="I137" s="12" t="n">
        <v>-296375</v>
      </c>
      <c r="J137" s="12" t="n">
        <v>196727</v>
      </c>
      <c r="K137" s="12" t="n">
        <v>197712</v>
      </c>
      <c r="L137" s="12" t="n">
        <v>140406</v>
      </c>
      <c r="M137" s="12" t="n">
        <v>298007</v>
      </c>
      <c r="N137" s="12" t="n">
        <v>40145</v>
      </c>
      <c r="U137" s="12" t="n">
        <v>-121008</v>
      </c>
      <c r="V137" s="12" t="n">
        <v>-56361</v>
      </c>
      <c r="W137" s="12" t="n">
        <v>386245</v>
      </c>
      <c r="X137" s="12" t="n">
        <v>197712</v>
      </c>
    </row>
    <row r="138">
      <c r="A138" s="9" t="inlineStr">
        <is>
          <t>비지배지분</t>
        </is>
      </c>
      <c r="C138" s="12" t="n">
        <v>-281</v>
      </c>
      <c r="D138" s="12" t="n">
        <v>311</v>
      </c>
      <c r="E138" s="12" t="n">
        <v>240</v>
      </c>
      <c r="F138" s="12" t="n">
        <v>-117</v>
      </c>
      <c r="G138" s="12" t="n">
        <v>455</v>
      </c>
      <c r="H138" s="12" t="n">
        <v>-163</v>
      </c>
      <c r="I138" s="12" t="n">
        <v>33</v>
      </c>
      <c r="J138" s="12" t="n">
        <v>207</v>
      </c>
      <c r="K138" s="12" t="n">
        <v>433</v>
      </c>
      <c r="L138" s="12" t="n">
        <v>230</v>
      </c>
      <c r="M138" s="12" t="n">
        <v>267</v>
      </c>
      <c r="N138" s="12" t="n">
        <v>-24</v>
      </c>
      <c r="U138" s="12" t="n">
        <v>-277</v>
      </c>
      <c r="V138" s="12" t="n">
        <v>-281</v>
      </c>
      <c r="W138" s="12" t="n">
        <v>455</v>
      </c>
      <c r="X138" s="12" t="n">
        <v>433</v>
      </c>
    </row>
    <row r="140">
      <c r="A140" s="16" t="inlineStr">
        <is>
          <t>부문 · 전 항목</t>
        </is>
      </c>
      <c r="B140" s="42" t="inlineStr">
        <is>
          <t>부문 · 항목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2023.4Q</t>
        </is>
      </c>
      <c r="D141" s="5" t="inlineStr">
        <is>
          <t>2024.1Q</t>
        </is>
      </c>
      <c r="E141" s="5" t="inlineStr">
        <is>
          <t>2024.2Q</t>
        </is>
      </c>
      <c r="F141" s="5" t="inlineStr">
        <is>
          <t>2024.3Q</t>
        </is>
      </c>
      <c r="G141" s="5" t="inlineStr">
        <is>
          <t>2024.4Q</t>
        </is>
      </c>
      <c r="H141" s="5" t="inlineStr">
        <is>
          <t>2025.1Q</t>
        </is>
      </c>
      <c r="I141" s="5" t="inlineStr">
        <is>
          <t>2025.2Q</t>
        </is>
      </c>
      <c r="J141" s="5" t="inlineStr">
        <is>
          <t>2025.3Q</t>
        </is>
      </c>
      <c r="K141" s="5" t="inlineStr">
        <is>
          <t>2025.4Q</t>
        </is>
      </c>
      <c r="L141" s="5" t="inlineStr">
        <is>
          <t>2026.1Q</t>
        </is>
      </c>
      <c r="M141" s="5" t="inlineStr">
        <is>
          <t>2026.2Q</t>
        </is>
      </c>
      <c r="N141" s="5" t="inlineStr">
        <is>
          <t>2026.3Q</t>
        </is>
      </c>
      <c r="O141" s="5" t="inlineStr">
        <is>
          <t>2016</t>
        </is>
      </c>
      <c r="P141" s="5" t="inlineStr">
        <is>
          <t>2017</t>
        </is>
      </c>
      <c r="Q141" s="5" t="inlineStr">
        <is>
          <t>2018</t>
        </is>
      </c>
      <c r="R141" s="5" t="inlineStr">
        <is>
          <t>2019</t>
        </is>
      </c>
      <c r="S141" s="5" t="inlineStr">
        <is>
          <t>2020</t>
        </is>
      </c>
      <c r="T141" s="5" t="inlineStr">
        <is>
          <t>2021</t>
        </is>
      </c>
      <c r="U141" s="5" t="inlineStr">
        <is>
          <t>2022</t>
        </is>
      </c>
      <c r="V141" s="5" t="inlineStr">
        <is>
          <t>2023</t>
        </is>
      </c>
      <c r="W141" s="5" t="inlineStr">
        <is>
          <t>2024</t>
        </is>
      </c>
      <c r="X141" s="5" t="inlineStr">
        <is>
          <t>2025</t>
        </is>
      </c>
      <c r="Y141" s="5" t="inlineStr">
        <is>
          <t>2026(MW)</t>
        </is>
      </c>
      <c r="Z141" s="5" t="inlineStr">
        <is>
          <t>2027(MW)</t>
        </is>
      </c>
      <c r="AA141" s="5" t="inlineStr">
        <is>
          <t>2028(MW)</t>
        </is>
      </c>
      <c r="AB141" s="5" t="inlineStr">
        <is>
          <t>2029(MW)</t>
        </is>
      </c>
      <c r="AC141" s="5" t="inlineStr">
        <is>
          <t>2030(MW)</t>
        </is>
      </c>
    </row>
    <row r="142">
      <c r="A142" s="18" t="inlineStr">
        <is>
          <t>AutomotiveReportableSegmentMember · 외부 고객 매출</t>
        </is>
      </c>
      <c r="C142" s="20" t="n">
        <v>171962</v>
      </c>
      <c r="D142" s="20" t="n">
        <v>178154</v>
      </c>
      <c r="E142" s="20" t="n">
        <v>190404</v>
      </c>
      <c r="F142" s="20" t="n">
        <v>185464</v>
      </c>
      <c r="G142" s="20" t="n">
        <v>148790</v>
      </c>
      <c r="H142" s="20" t="n">
        <v>155297</v>
      </c>
      <c r="I142" s="20" t="n">
        <v>161009</v>
      </c>
      <c r="J142" s="20" t="n">
        <v>158791</v>
      </c>
      <c r="K142" s="20" t="n">
        <v>164593</v>
      </c>
      <c r="L142" s="20" t="n">
        <v>171749</v>
      </c>
      <c r="M142" s="20" t="n">
        <v>186930</v>
      </c>
      <c r="N142" s="20" t="n">
        <v>189474</v>
      </c>
      <c r="V142" s="20" t="n">
        <v>171962</v>
      </c>
      <c r="W142" s="20" t="n">
        <v>148790</v>
      </c>
      <c r="X142" s="20" t="n">
        <v>164593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IndustrialInfrastructureIoTReportableSegmentMember · 외부 고객 매출</t>
        </is>
      </c>
      <c r="C144" s="20" t="n">
        <v>187797</v>
      </c>
      <c r="D144" s="20" t="n">
        <v>171575</v>
      </c>
      <c r="E144" s="20" t="n">
        <v>166193</v>
      </c>
      <c r="F144" s="20" t="n">
        <v>158198</v>
      </c>
      <c r="G144" s="20" t="n">
        <v>140794</v>
      </c>
      <c r="H144" s="20" t="n">
        <v>150776</v>
      </c>
      <c r="I144" s="20" t="n">
        <v>147607</v>
      </c>
      <c r="J144" s="20" t="n">
        <v>166529</v>
      </c>
      <c r="K144" s="20" t="n">
        <v>206848</v>
      </c>
      <c r="L144" s="20" t="n">
        <v>198964</v>
      </c>
      <c r="M144" s="20" t="n">
        <v>213242</v>
      </c>
      <c r="N144" s="20" t="n">
        <v>243804</v>
      </c>
      <c r="V144" s="20" t="n">
        <v>187797</v>
      </c>
      <c r="W144" s="20" t="n">
        <v>140794</v>
      </c>
      <c r="X144" s="20" t="n">
        <v>206848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6">
      <c r="A146" s="18" t="inlineStr">
        <is>
          <t>기타 · 외부 고객 매출</t>
        </is>
      </c>
      <c r="C146" s="20" t="n">
        <v>2174</v>
      </c>
      <c r="D146" s="20" t="n">
        <v>2061</v>
      </c>
      <c r="E146" s="20" t="n">
        <v>2210</v>
      </c>
      <c r="F146" s="20" t="n">
        <v>1620</v>
      </c>
      <c r="G146" s="20" t="n">
        <v>3016</v>
      </c>
      <c r="H146" s="20" t="n">
        <v>2704</v>
      </c>
      <c r="I146" s="20" t="n">
        <v>16021</v>
      </c>
      <c r="J146" s="20" t="n">
        <v>8881</v>
      </c>
      <c r="K146" s="20" t="n">
        <v>-20574</v>
      </c>
      <c r="L146" s="20" t="n">
        <v>9181</v>
      </c>
      <c r="M146" s="20" t="n">
        <v>18277</v>
      </c>
      <c r="N146" s="20" t="n">
        <v>1890</v>
      </c>
      <c r="V146" s="20" t="n">
        <v>2174</v>
      </c>
      <c r="W146" s="20" t="n">
        <v>3016</v>
      </c>
      <c r="X146" s="20" t="n">
        <v>-20574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AdjustmentMember · 외부 고객 매출</t>
        </is>
      </c>
      <c r="C148" s="20" t="n">
        <v>0</v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0</v>
      </c>
      <c r="K148" s="20" t="n">
        <v>0</v>
      </c>
      <c r="L148" s="20" t="n">
        <v>-7552</v>
      </c>
      <c r="M148" s="20" t="n">
        <v>-13178</v>
      </c>
      <c r="N148" s="20" t="n">
        <v>0</v>
      </c>
      <c r="V148" s="20" t="n">
        <v>0</v>
      </c>
      <c r="W148" s="20" t="n">
        <v>0</v>
      </c>
      <c r="X148" s="20" t="n">
        <v>0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합계 · 외부 고객 매출</t>
        </is>
      </c>
      <c r="C150" s="20" t="n">
        <v>361933</v>
      </c>
      <c r="D150" s="20" t="n">
        <v>351790</v>
      </c>
      <c r="E150" s="20" t="n">
        <v>358807</v>
      </c>
      <c r="F150" s="20" t="n">
        <v>345282</v>
      </c>
      <c r="G150" s="20" t="n">
        <v>292600</v>
      </c>
      <c r="H150" s="20" t="n">
        <v>308777</v>
      </c>
      <c r="I150" s="20" t="n">
        <v>324637</v>
      </c>
      <c r="J150" s="20" t="n">
        <v>334201</v>
      </c>
      <c r="K150" s="20" t="n">
        <v>350867</v>
      </c>
      <c r="L150" s="20" t="n">
        <v>372342</v>
      </c>
      <c r="M150" s="20" t="n">
        <v>405271</v>
      </c>
      <c r="N150" s="20" t="n">
        <v>435168</v>
      </c>
      <c r="V150" s="20" t="n">
        <v>361933</v>
      </c>
      <c r="W150" s="20" t="n">
        <v>292600</v>
      </c>
      <c r="X150" s="20" t="n">
        <v>350867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조정액 · 외부 고객 매출</t>
        </is>
      </c>
      <c r="C152" s="20" t="n">
        <v>0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897</v>
      </c>
      <c r="J152" s="20" t="n">
        <v>1163</v>
      </c>
      <c r="K152" s="20" t="n">
        <v>670</v>
      </c>
      <c r="L152" s="20" t="n">
        <v>7951</v>
      </c>
      <c r="M152" s="20" t="n">
        <v>13178</v>
      </c>
      <c r="N152" s="20" t="n">
        <v>749</v>
      </c>
      <c r="V152" s="20" t="n">
        <v>0</v>
      </c>
      <c r="W152" s="20" t="n">
        <v>0</v>
      </c>
      <c r="X152" s="20" t="n">
        <v>670</v>
      </c>
    </row>
    <row r="153">
      <c r="A153" s="9" t="inlineStr">
        <is>
          <t>외부 고객 매출</t>
        </is>
      </c>
      <c r="C153" s="12" t="n">
        <v>361933</v>
      </c>
      <c r="D153" s="12" t="n">
        <v>351790</v>
      </c>
      <c r="E153" s="12" t="n">
        <v>358807</v>
      </c>
      <c r="F153" s="12" t="n">
        <v>345282</v>
      </c>
      <c r="G153" s="12" t="n">
        <v>292600</v>
      </c>
      <c r="H153" s="12" t="n">
        <v>308777</v>
      </c>
      <c r="I153" s="12" t="n">
        <v>325534</v>
      </c>
      <c r="J153" s="12" t="n">
        <v>335364</v>
      </c>
      <c r="K153" s="12" t="n">
        <v>351537</v>
      </c>
      <c r="V153" s="12" t="n">
        <v>361933</v>
      </c>
      <c r="W153" s="12" t="n">
        <v>292600</v>
      </c>
      <c r="X153" s="12" t="n">
        <v>351537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EntityTotalMember · 외부 고객 매출</t>
        </is>
      </c>
      <c r="H155" s="20" t="n">
        <v>308777</v>
      </c>
      <c r="L155" s="20" t="n">
        <v>380293</v>
      </c>
    </row>
    <row r="156">
      <c r="A156" s="18" t="inlineStr">
        <is>
          <t>AutomotiveReportableSegmentMember · 부문 매출총이익</t>
        </is>
      </c>
      <c r="C156" s="20" t="n">
        <v>90007</v>
      </c>
      <c r="D156" s="20" t="n">
        <v>93365</v>
      </c>
      <c r="E156" s="20" t="n">
        <v>102434</v>
      </c>
      <c r="F156" s="20" t="n">
        <v>96621</v>
      </c>
      <c r="G156" s="20" t="n">
        <v>75351</v>
      </c>
      <c r="H156" s="20" t="n">
        <v>81090</v>
      </c>
      <c r="I156" s="20" t="n">
        <v>84252</v>
      </c>
      <c r="J156" s="20" t="n">
        <v>87700</v>
      </c>
      <c r="K156" s="20" t="n">
        <v>93294</v>
      </c>
      <c r="L156" s="20" t="n">
        <v>96507</v>
      </c>
      <c r="M156" s="20" t="n">
        <v>103270</v>
      </c>
      <c r="N156" s="20" t="n">
        <v>104839</v>
      </c>
      <c r="V156" s="20" t="n">
        <v>90007</v>
      </c>
      <c r="W156" s="20" t="n">
        <v>75351</v>
      </c>
      <c r="X156" s="20" t="n">
        <v>93294</v>
      </c>
    </row>
    <row r="157">
      <c r="A157" s="18" t="inlineStr">
        <is>
          <t>IndustrialInfrastructureIoTReportableSegmentMember · 부문 매출총이익</t>
        </is>
      </c>
      <c r="C157" s="20" t="n">
        <v>113296</v>
      </c>
      <c r="D157" s="20" t="n">
        <v>105610</v>
      </c>
      <c r="E157" s="20" t="n">
        <v>100200</v>
      </c>
      <c r="F157" s="20" t="n">
        <v>95826</v>
      </c>
      <c r="G157" s="20" t="n">
        <v>84187</v>
      </c>
      <c r="H157" s="20" t="n">
        <v>93301</v>
      </c>
      <c r="I157" s="20" t="n">
        <v>88247</v>
      </c>
      <c r="J157" s="20" t="n">
        <v>98856</v>
      </c>
      <c r="K157" s="20" t="n">
        <v>130511</v>
      </c>
      <c r="L157" s="20" t="n">
        <v>123407</v>
      </c>
      <c r="M157" s="20" t="n">
        <v>129141</v>
      </c>
      <c r="N157" s="20" t="n">
        <v>153212</v>
      </c>
      <c r="V157" s="20" t="n">
        <v>113296</v>
      </c>
      <c r="W157" s="20" t="n">
        <v>84187</v>
      </c>
      <c r="X157" s="20" t="n">
        <v>130511</v>
      </c>
    </row>
    <row r="158">
      <c r="A158" s="18" t="inlineStr">
        <is>
          <t>기타 · 부문 매출총이익</t>
        </is>
      </c>
      <c r="C158" s="20" t="n">
        <v>640</v>
      </c>
      <c r="D158" s="20" t="n">
        <v>361</v>
      </c>
      <c r="E158" s="20" t="n">
        <v>925</v>
      </c>
      <c r="F158" s="20" t="n">
        <v>402</v>
      </c>
      <c r="G158" s="20" t="n">
        <v>987</v>
      </c>
      <c r="H158" s="20" t="n">
        <v>632</v>
      </c>
      <c r="I158" s="20" t="n">
        <v>11440</v>
      </c>
      <c r="J158" s="20" t="n">
        <v>5779</v>
      </c>
      <c r="K158" s="20" t="n">
        <v>-15945</v>
      </c>
      <c r="L158" s="20" t="n">
        <v>6433</v>
      </c>
      <c r="M158" s="20" t="n">
        <v>13220</v>
      </c>
      <c r="N158" s="20" t="n">
        <v>277</v>
      </c>
      <c r="V158" s="20" t="n">
        <v>640</v>
      </c>
      <c r="W158" s="20" t="n">
        <v>987</v>
      </c>
      <c r="X158" s="20" t="n">
        <v>-15945</v>
      </c>
    </row>
    <row r="159">
      <c r="A159" s="18" t="inlineStr">
        <is>
          <t>AdjustmentMember · 부문 매출총이익</t>
        </is>
      </c>
      <c r="C159" s="20" t="n">
        <v>177</v>
      </c>
      <c r="D159" s="20" t="n">
        <v>0</v>
      </c>
      <c r="E159" s="20" t="n">
        <v>0</v>
      </c>
      <c r="F159" s="20" t="n">
        <v>0</v>
      </c>
      <c r="G159" s="20" t="n">
        <v>0</v>
      </c>
      <c r="H159" s="20" t="n">
        <v>207</v>
      </c>
      <c r="I159" s="20" t="n">
        <v>411</v>
      </c>
      <c r="J159" s="20" t="n">
        <v>134</v>
      </c>
      <c r="K159" s="20" t="n">
        <v>33</v>
      </c>
      <c r="L159" s="20" t="n">
        <v>-6079</v>
      </c>
      <c r="M159" s="20" t="n">
        <v>-10336</v>
      </c>
      <c r="N159" s="20" t="n">
        <v>0</v>
      </c>
      <c r="V159" s="20" t="n">
        <v>177</v>
      </c>
      <c r="W159" s="20" t="n">
        <v>0</v>
      </c>
      <c r="X159" s="20" t="n">
        <v>33</v>
      </c>
    </row>
    <row r="160">
      <c r="A160" s="18" t="inlineStr">
        <is>
          <t>합계 · 부문 매출총이익</t>
        </is>
      </c>
      <c r="C160" s="20" t="n">
        <v>204120</v>
      </c>
      <c r="D160" s="20" t="n">
        <v>199336</v>
      </c>
      <c r="E160" s="20" t="n">
        <v>203559</v>
      </c>
      <c r="F160" s="20" t="n">
        <v>192849</v>
      </c>
      <c r="G160" s="20" t="n">
        <v>160525</v>
      </c>
      <c r="H160" s="20" t="n">
        <v>175230</v>
      </c>
      <c r="I160" s="20" t="n">
        <v>184350</v>
      </c>
      <c r="J160" s="20" t="n">
        <v>192469</v>
      </c>
      <c r="K160" s="20" t="n">
        <v>207893</v>
      </c>
      <c r="L160" s="20" t="n">
        <v>220268</v>
      </c>
      <c r="M160" s="20" t="n">
        <v>235295</v>
      </c>
      <c r="N160" s="20" t="n">
        <v>258328</v>
      </c>
      <c r="V160" s="20" t="n">
        <v>204120</v>
      </c>
      <c r="W160" s="20" t="n">
        <v>160525</v>
      </c>
      <c r="X160" s="20" t="n">
        <v>207893</v>
      </c>
    </row>
    <row r="161">
      <c r="A161" s="18" t="inlineStr">
        <is>
          <t>조정액 · 부문 매출총이익</t>
        </is>
      </c>
      <c r="C161" s="20" t="n">
        <v>-623</v>
      </c>
      <c r="D161" s="20" t="n">
        <v>-1873</v>
      </c>
      <c r="E161" s="20" t="n">
        <v>-2628</v>
      </c>
      <c r="F161" s="20" t="n">
        <v>-687</v>
      </c>
      <c r="G161" s="20" t="n">
        <v>-1285</v>
      </c>
      <c r="H161" s="20" t="n">
        <v>-2368</v>
      </c>
      <c r="I161" s="20" t="n">
        <v>-3008</v>
      </c>
      <c r="J161" s="20" t="n">
        <v>-204</v>
      </c>
      <c r="K161" s="20" t="n">
        <v>-570</v>
      </c>
      <c r="L161" s="20" t="n">
        <v>3031</v>
      </c>
      <c r="M161" s="20" t="n">
        <v>9817</v>
      </c>
      <c r="N161" s="20" t="n">
        <v>-1268</v>
      </c>
      <c r="V161" s="20" t="n">
        <v>-623</v>
      </c>
      <c r="W161" s="20" t="n">
        <v>-1285</v>
      </c>
      <c r="X161" s="20" t="n">
        <v>-570</v>
      </c>
    </row>
    <row r="162">
      <c r="A162" s="9" t="inlineStr">
        <is>
          <t>부문 매출총이익</t>
        </is>
      </c>
      <c r="C162" s="12" t="n">
        <v>203497</v>
      </c>
      <c r="D162" s="12" t="n">
        <v>197463</v>
      </c>
      <c r="E162" s="12" t="n">
        <v>200931</v>
      </c>
      <c r="F162" s="12" t="n">
        <v>192162</v>
      </c>
      <c r="G162" s="12" t="n">
        <v>159240</v>
      </c>
      <c r="H162" s="12" t="n">
        <v>172862</v>
      </c>
      <c r="I162" s="12" t="n">
        <v>181342</v>
      </c>
      <c r="J162" s="12" t="n">
        <v>192265</v>
      </c>
      <c r="K162" s="12" t="n">
        <v>207323</v>
      </c>
      <c r="V162" s="12" t="n">
        <v>203497</v>
      </c>
      <c r="W162" s="12" t="n">
        <v>159240</v>
      </c>
      <c r="X162" s="12" t="n">
        <v>207323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EntityTotalMember · 부문 매출총이익</t>
        </is>
      </c>
      <c r="H164" s="20" t="n">
        <v>172862</v>
      </c>
      <c r="L164" s="20" t="n">
        <v>223299</v>
      </c>
    </row>
    <row r="165">
      <c r="A165" s="18" t="inlineStr">
        <is>
          <t>AutomotiveReportableSegmentMember · 부문 영업이익</t>
        </is>
      </c>
      <c r="C165" s="20" t="n">
        <v>56899</v>
      </c>
      <c r="D165" s="20" t="n">
        <v>57352</v>
      </c>
      <c r="E165" s="20" t="n">
        <v>62666</v>
      </c>
      <c r="F165" s="20" t="n">
        <v>56722</v>
      </c>
      <c r="G165" s="20" t="n">
        <v>45746</v>
      </c>
      <c r="H165" s="20" t="n">
        <v>46155</v>
      </c>
      <c r="I165" s="20" t="n">
        <v>37443</v>
      </c>
      <c r="J165" s="20" t="n">
        <v>56070</v>
      </c>
      <c r="K165" s="20" t="n">
        <v>56908</v>
      </c>
      <c r="L165" s="20" t="n">
        <v>61754</v>
      </c>
      <c r="M165" s="20" t="n">
        <v>64307</v>
      </c>
      <c r="N165" s="20" t="n">
        <v>62273</v>
      </c>
      <c r="V165" s="20" t="n">
        <v>56899</v>
      </c>
      <c r="W165" s="20" t="n">
        <v>45746</v>
      </c>
      <c r="X165" s="20" t="n">
        <v>56908</v>
      </c>
    </row>
    <row r="166">
      <c r="A166" s="43" t="inlineStr">
        <is>
          <t>OPM</t>
        </is>
      </c>
      <c r="B166" s="3" t="inlineStr">
        <is>
          <t>영업이익 ÷ 매출</t>
        </is>
      </c>
      <c r="C166" s="15">
        <f>IF(OR(C165="",C142=""),"",IF(C142&lt;=0,"",IFERROR(C165/C142,"")))</f>
        <v/>
      </c>
      <c r="D166" s="15">
        <f>IF(OR(D165="",D142=""),"",IF(D142&lt;=0,"",IFERROR(D165/D142,"")))</f>
        <v/>
      </c>
      <c r="E166" s="15">
        <f>IF(OR(E165="",E142=""),"",IF(E142&lt;=0,"",IFERROR(E165/E142,"")))</f>
        <v/>
      </c>
      <c r="F166" s="15">
        <f>IF(OR(F165="",F142=""),"",IF(F142&lt;=0,"",IFERROR(F165/F142,"")))</f>
        <v/>
      </c>
      <c r="G166" s="15">
        <f>IF(OR(G165="",G142=""),"",IF(G142&lt;=0,"",IFERROR(G165/G142,"")))</f>
        <v/>
      </c>
      <c r="H166" s="15">
        <f>IF(OR(H165="",H142=""),"",IF(H142&lt;=0,"",IFERROR(H165/H142,"")))</f>
        <v/>
      </c>
      <c r="I166" s="15">
        <f>IF(OR(I165="",I142=""),"",IF(I142&lt;=0,"",IFERROR(I165/I142,"")))</f>
        <v/>
      </c>
      <c r="J166" s="15">
        <f>IF(OR(J165="",J142=""),"",IF(J142&lt;=0,"",IFERROR(J165/J142,"")))</f>
        <v/>
      </c>
      <c r="K166" s="15">
        <f>IF(OR(K165="",K142=""),"",IF(K142&lt;=0,"",IFERROR(K165/K142,"")))</f>
        <v/>
      </c>
      <c r="L166" s="15">
        <f>IF(OR(L165="",L142=""),"",IF(L142&lt;=0,"",IFERROR(L165/L142,"")))</f>
        <v/>
      </c>
      <c r="M166" s="15">
        <f>IF(OR(M165="",M142=""),"",IF(M142&lt;=0,"",IFERROR(M165/M142,"")))</f>
        <v/>
      </c>
      <c r="N166" s="15">
        <f>IF(OR(N165="",N142=""),"",IF(N142&lt;=0,"",IFERROR(N165/N142,"")))</f>
        <v/>
      </c>
      <c r="V166" s="15">
        <f>IF(OR(V165="",V142=""),"",IF(V142&lt;=0,"",IFERROR(V165/V142,"")))</f>
        <v/>
      </c>
      <c r="W166" s="15">
        <f>IF(OR(W165="",W142=""),"",IF(W142&lt;=0,"",IFERROR(W165/W142,"")))</f>
        <v/>
      </c>
      <c r="X166" s="15">
        <f>IF(OR(X165="",X142=""),"",IF(X142&lt;=0,"",IFERROR(X165/X142,"")))</f>
        <v/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IF(OR(G165="",C165=""),"",IF(C165&lt;=0,"",IFERROR(G165/C165-1,"")))</f>
        <v/>
      </c>
      <c r="H167" s="15">
        <f>IF(OR(H165="",D165=""),"",IF(D165&lt;=0,"",IFERROR(H165/D165-1,"")))</f>
        <v/>
      </c>
      <c r="I167" s="15">
        <f>IF(OR(I165="",E165=""),"",IF(E165&lt;=0,"",IFERROR(I165/E165-1,"")))</f>
        <v/>
      </c>
      <c r="J167" s="15">
        <f>IF(OR(J165="",F165=""),"",IF(F165&lt;=0,"",IFERROR(J165/F165-1,"")))</f>
        <v/>
      </c>
      <c r="K167" s="15">
        <f>IF(OR(K165="",G165=""),"",IF(G165&lt;=0,"",IFERROR(K165/G165-1,"")))</f>
        <v/>
      </c>
      <c r="L167" s="15">
        <f>IF(OR(L165="",H165=""),"",IF(H165&lt;=0,"",IFERROR(L165/H165-1,"")))</f>
        <v/>
      </c>
      <c r="M167" s="15">
        <f>IF(OR(M165="",I165=""),"",IF(I165&lt;=0,"",IFERROR(M165/I165-1,"")))</f>
        <v/>
      </c>
      <c r="N167" s="15">
        <f>IF(OR(N165="",J165=""),"",IF(J165&lt;=0,"",IFERROR(N165/J165-1,"")))</f>
        <v/>
      </c>
      <c r="V167" s="15">
        <f>IF(OR(V165="",U165=""),"",IF(U165&lt;=0,"",IFERROR(V165/U165-1,"")))</f>
        <v/>
      </c>
      <c r="W167" s="15">
        <f>IF(OR(W165="",V165=""),"",IF(V165&lt;=0,"",IFERROR(W165/V165-1,"")))</f>
        <v/>
      </c>
      <c r="X167" s="15">
        <f>IF(OR(X165="",W165=""),"",IF(W165&lt;=0,"",IFERROR(X165/W165-1,"")))</f>
        <v/>
      </c>
    </row>
    <row r="168">
      <c r="A168" s="18" t="inlineStr">
        <is>
          <t>IndustrialInfrastructureIoTReportableSegmentMember · 부문 영업이익</t>
        </is>
      </c>
      <c r="C168" s="20" t="n">
        <v>56529</v>
      </c>
      <c r="D168" s="20" t="n">
        <v>55803</v>
      </c>
      <c r="E168" s="20" t="n">
        <v>46963</v>
      </c>
      <c r="F168" s="20" t="n">
        <v>42037</v>
      </c>
      <c r="G168" s="20" t="n">
        <v>28576</v>
      </c>
      <c r="H168" s="20" t="n">
        <v>32210</v>
      </c>
      <c r="I168" s="20" t="n">
        <v>34920</v>
      </c>
      <c r="J168" s="20" t="n">
        <v>45664</v>
      </c>
      <c r="K168" s="20" t="n">
        <v>56610</v>
      </c>
      <c r="L168" s="20" t="n">
        <v>64221</v>
      </c>
      <c r="M168" s="20" t="n">
        <v>67606</v>
      </c>
      <c r="N168" s="20" t="n">
        <v>88270</v>
      </c>
      <c r="V168" s="20" t="n">
        <v>56529</v>
      </c>
      <c r="W168" s="20" t="n">
        <v>28576</v>
      </c>
      <c r="X168" s="20" t="n">
        <v>56610</v>
      </c>
    </row>
    <row r="169">
      <c r="A169" s="43" t="inlineStr">
        <is>
          <t>OPM</t>
        </is>
      </c>
      <c r="B169" s="3" t="inlineStr">
        <is>
          <t>영업이익 ÷ 매출</t>
        </is>
      </c>
      <c r="C169" s="15">
        <f>IF(OR(C168="",C144=""),"",IF(C144&lt;=0,"",IFERROR(C168/C144,"")))</f>
        <v/>
      </c>
      <c r="D169" s="15">
        <f>IF(OR(D168="",D144=""),"",IF(D144&lt;=0,"",IFERROR(D168/D144,"")))</f>
        <v/>
      </c>
      <c r="E169" s="15">
        <f>IF(OR(E168="",E144=""),"",IF(E144&lt;=0,"",IFERROR(E168/E144,"")))</f>
        <v/>
      </c>
      <c r="F169" s="15">
        <f>IF(OR(F168="",F144=""),"",IF(F144&lt;=0,"",IFERROR(F168/F144,"")))</f>
        <v/>
      </c>
      <c r="G169" s="15">
        <f>IF(OR(G168="",G144=""),"",IF(G144&lt;=0,"",IFERROR(G168/G144,"")))</f>
        <v/>
      </c>
      <c r="H169" s="15">
        <f>IF(OR(H168="",H144=""),"",IF(H144&lt;=0,"",IFERROR(H168/H144,"")))</f>
        <v/>
      </c>
      <c r="I169" s="15">
        <f>IF(OR(I168="",I144=""),"",IF(I144&lt;=0,"",IFERROR(I168/I144,"")))</f>
        <v/>
      </c>
      <c r="J169" s="15">
        <f>IF(OR(J168="",J144=""),"",IF(J144&lt;=0,"",IFERROR(J168/J144,"")))</f>
        <v/>
      </c>
      <c r="K169" s="15">
        <f>IF(OR(K168="",K144=""),"",IF(K144&lt;=0,"",IFERROR(K168/K144,"")))</f>
        <v/>
      </c>
      <c r="L169" s="15">
        <f>IF(OR(L168="",L144=""),"",IF(L144&lt;=0,"",IFERROR(L168/L144,"")))</f>
        <v/>
      </c>
      <c r="M169" s="15">
        <f>IF(OR(M168="",M144=""),"",IF(M144&lt;=0,"",IFERROR(M168/M144,"")))</f>
        <v/>
      </c>
      <c r="N169" s="15">
        <f>IF(OR(N168="",N144=""),"",IF(N144&lt;=0,"",IFERROR(N168/N144,"")))</f>
        <v/>
      </c>
      <c r="V169" s="15">
        <f>IF(OR(V168="",V144=""),"",IF(V144&lt;=0,"",IFERROR(V168/V144,"")))</f>
        <v/>
      </c>
      <c r="W169" s="15">
        <f>IF(OR(W168="",W144=""),"",IF(W144&lt;=0,"",IFERROR(W168/W144,"")))</f>
        <v/>
      </c>
      <c r="X169" s="15">
        <f>IF(OR(X168="",X144=""),"",IF(X144&lt;=0,"",IFERROR(X168/X144,"")))</f>
        <v/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IF(OR(G168="",C168=""),"",IF(C168&lt;=0,"",IFERROR(G168/C168-1,"")))</f>
        <v/>
      </c>
      <c r="H170" s="15">
        <f>IF(OR(H168="",D168=""),"",IF(D168&lt;=0,"",IFERROR(H168/D168-1,"")))</f>
        <v/>
      </c>
      <c r="I170" s="15">
        <f>IF(OR(I168="",E168=""),"",IF(E168&lt;=0,"",IFERROR(I168/E168-1,"")))</f>
        <v/>
      </c>
      <c r="J170" s="15">
        <f>IF(OR(J168="",F168=""),"",IF(F168&lt;=0,"",IFERROR(J168/F168-1,"")))</f>
        <v/>
      </c>
      <c r="K170" s="15">
        <f>IF(OR(K168="",G168=""),"",IF(G168&lt;=0,"",IFERROR(K168/G168-1,"")))</f>
        <v/>
      </c>
      <c r="L170" s="15">
        <f>IF(OR(L168="",H168=""),"",IF(H168&lt;=0,"",IFERROR(L168/H168-1,"")))</f>
        <v/>
      </c>
      <c r="M170" s="15">
        <f>IF(OR(M168="",I168=""),"",IF(I168&lt;=0,"",IFERROR(M168/I168-1,"")))</f>
        <v/>
      </c>
      <c r="N170" s="15">
        <f>IF(OR(N168="",J168=""),"",IF(J168&lt;=0,"",IFERROR(N168/J168-1,"")))</f>
        <v/>
      </c>
      <c r="V170" s="15">
        <f>IF(OR(V168="",U168=""),"",IF(U168&lt;=0,"",IFERROR(V168/U168-1,"")))</f>
        <v/>
      </c>
      <c r="W170" s="15">
        <f>IF(OR(W168="",V168=""),"",IF(V168&lt;=0,"",IFERROR(W168/V168-1,"")))</f>
        <v/>
      </c>
      <c r="X170" s="15">
        <f>IF(OR(X168="",W168=""),"",IF(W168&lt;=0,"",IFERROR(X168/W168-1,"")))</f>
        <v/>
      </c>
    </row>
    <row r="171">
      <c r="A171" s="18" t="inlineStr">
        <is>
          <t>기타 · 부문 영업이익</t>
        </is>
      </c>
      <c r="C171" s="20" t="n">
        <v>640</v>
      </c>
      <c r="D171" s="20" t="n">
        <v>361</v>
      </c>
      <c r="E171" s="20" t="n">
        <v>927</v>
      </c>
      <c r="F171" s="20" t="n">
        <v>402</v>
      </c>
      <c r="G171" s="20" t="n">
        <v>-273</v>
      </c>
      <c r="H171" s="20" t="n">
        <v>-480</v>
      </c>
      <c r="I171" s="20" t="n">
        <v>7617</v>
      </c>
      <c r="J171" s="20" t="n">
        <v>3971</v>
      </c>
      <c r="K171" s="20" t="n">
        <v>-10505</v>
      </c>
      <c r="L171" s="20" t="n">
        <v>4714</v>
      </c>
      <c r="M171" s="20" t="n">
        <v>9717</v>
      </c>
      <c r="N171" s="20" t="n">
        <v>-23</v>
      </c>
      <c r="V171" s="20" t="n">
        <v>640</v>
      </c>
      <c r="W171" s="20" t="n">
        <v>-273</v>
      </c>
      <c r="X171" s="20" t="n">
        <v>-10505</v>
      </c>
    </row>
    <row r="172">
      <c r="A172" s="43" t="inlineStr">
        <is>
          <t>OPM</t>
        </is>
      </c>
      <c r="B172" s="3" t="inlineStr">
        <is>
          <t>영업이익 ÷ 매출</t>
        </is>
      </c>
      <c r="C172" s="15">
        <f>IF(OR(C171="",C146=""),"",IF(C146&lt;=0,"",IFERROR(C171/C146,"")))</f>
        <v/>
      </c>
      <c r="D172" s="15">
        <f>IF(OR(D171="",D146=""),"",IF(D146&lt;=0,"",IFERROR(D171/D146,"")))</f>
        <v/>
      </c>
      <c r="E172" s="15">
        <f>IF(OR(E171="",E146=""),"",IF(E146&lt;=0,"",IFERROR(E171/E146,"")))</f>
        <v/>
      </c>
      <c r="F172" s="15">
        <f>IF(OR(F171="",F146=""),"",IF(F146&lt;=0,"",IFERROR(F171/F146,"")))</f>
        <v/>
      </c>
      <c r="G172" s="15">
        <f>IF(OR(G171="",G146=""),"",IF(G146&lt;=0,"",IFERROR(G171/G146,"")))</f>
        <v/>
      </c>
      <c r="H172" s="15">
        <f>IF(OR(H171="",H146=""),"",IF(H146&lt;=0,"",IFERROR(H171/H146,"")))</f>
        <v/>
      </c>
      <c r="I172" s="15">
        <f>IF(OR(I171="",I146=""),"",IF(I146&lt;=0,"",IFERROR(I171/I146,"")))</f>
        <v/>
      </c>
      <c r="J172" s="15">
        <f>IF(OR(J171="",J146=""),"",IF(J146&lt;=0,"",IFERROR(J171/J146,"")))</f>
        <v/>
      </c>
      <c r="K172" s="15">
        <f>IF(OR(K171="",K146=""),"",IF(K146&lt;=0,"",IFERROR(K171/K146,"")))</f>
        <v/>
      </c>
      <c r="L172" s="15">
        <f>IF(OR(L171="",L146=""),"",IF(L146&lt;=0,"",IFERROR(L171/L146,"")))</f>
        <v/>
      </c>
      <c r="M172" s="15">
        <f>IF(OR(M171="",M146=""),"",IF(M146&lt;=0,"",IFERROR(M171/M146,"")))</f>
        <v/>
      </c>
      <c r="N172" s="15">
        <f>IF(OR(N171="",N146=""),"",IF(N146&lt;=0,"",IFERROR(N171/N146,"")))</f>
        <v/>
      </c>
      <c r="V172" s="15">
        <f>IF(OR(V171="",V146=""),"",IF(V146&lt;=0,"",IFERROR(V171/V146,"")))</f>
        <v/>
      </c>
      <c r="W172" s="15">
        <f>IF(OR(W171="",W146=""),"",IF(W146&lt;=0,"",IFERROR(W171/W146,"")))</f>
        <v/>
      </c>
      <c r="X172" s="15">
        <f>IF(OR(X171="",X146=""),"",IF(X146&lt;=0,"",IFERROR(X171/X146,"")))</f>
        <v/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IF(OR(G171="",C171=""),"",IF(C171&lt;=0,"",IFERROR(G171/C171-1,"")))</f>
        <v/>
      </c>
      <c r="H173" s="15">
        <f>IF(OR(H171="",D171=""),"",IF(D171&lt;=0,"",IFERROR(H171/D171-1,"")))</f>
        <v/>
      </c>
      <c r="I173" s="15">
        <f>IF(OR(I171="",E171=""),"",IF(E171&lt;=0,"",IFERROR(I171/E171-1,"")))</f>
        <v/>
      </c>
      <c r="J173" s="15">
        <f>IF(OR(J171="",F171=""),"",IF(F171&lt;=0,"",IFERROR(J171/F171-1,"")))</f>
        <v/>
      </c>
      <c r="K173" s="15">
        <f>IF(OR(K171="",G171=""),"",IF(G171&lt;=0,"",IFERROR(K171/G171-1,"")))</f>
        <v/>
      </c>
      <c r="L173" s="15">
        <f>IF(OR(L171="",H171=""),"",IF(H171&lt;=0,"",IFERROR(L171/H171-1,"")))</f>
        <v/>
      </c>
      <c r="M173" s="15">
        <f>IF(OR(M171="",I171=""),"",IF(I171&lt;=0,"",IFERROR(M171/I171-1,"")))</f>
        <v/>
      </c>
      <c r="N173" s="15">
        <f>IF(OR(N171="",J171=""),"",IF(J171&lt;=0,"",IFERROR(N171/J171-1,"")))</f>
        <v/>
      </c>
      <c r="V173" s="15">
        <f>IF(OR(V171="",U171=""),"",IF(U171&lt;=0,"",IFERROR(V171/U171-1,"")))</f>
        <v/>
      </c>
      <c r="W173" s="15">
        <f>IF(OR(W171="",V171=""),"",IF(V171&lt;=0,"",IFERROR(W171/V171-1,"")))</f>
        <v/>
      </c>
      <c r="X173" s="15">
        <f>IF(OR(X171="",W171=""),"",IF(W171&lt;=0,"",IFERROR(X171/W171-1,"")))</f>
        <v/>
      </c>
    </row>
    <row r="174">
      <c r="A174" s="18" t="inlineStr">
        <is>
          <t>AdjustmentMember · 부문 영업이익</t>
        </is>
      </c>
      <c r="C174" s="20" t="n">
        <v>1448</v>
      </c>
      <c r="D174" s="20" t="n">
        <v>0</v>
      </c>
      <c r="E174" s="20" t="n">
        <v>0</v>
      </c>
      <c r="F174" s="20" t="n">
        <v>-770</v>
      </c>
      <c r="G174" s="20" t="n">
        <v>1400</v>
      </c>
      <c r="H174" s="20" t="n">
        <v>5940</v>
      </c>
      <c r="I174" s="20" t="n">
        <v>11884</v>
      </c>
      <c r="J174" s="20" t="n">
        <v>-2517</v>
      </c>
      <c r="K174" s="20" t="n">
        <v>4982</v>
      </c>
      <c r="L174" s="20" t="n">
        <v>-5248</v>
      </c>
      <c r="M174" s="20" t="n">
        <v>-8907</v>
      </c>
      <c r="N174" s="20" t="n">
        <v>0</v>
      </c>
      <c r="V174" s="20" t="n">
        <v>1448</v>
      </c>
      <c r="W174" s="20" t="n">
        <v>1400</v>
      </c>
      <c r="X174" s="20" t="n">
        <v>4982</v>
      </c>
    </row>
    <row r="175">
      <c r="A175" s="43" t="inlineStr">
        <is>
          <t>OPM</t>
        </is>
      </c>
      <c r="B175" s="3" t="inlineStr">
        <is>
          <t>영업이익 ÷ 매출</t>
        </is>
      </c>
      <c r="C175" s="15">
        <f>IF(OR(C174="",C148=""),"",IF(C148&lt;=0,"",IFERROR(C174/C148,"")))</f>
        <v/>
      </c>
      <c r="D175" s="15">
        <f>IF(OR(D174="",D148=""),"",IF(D148&lt;=0,"",IFERROR(D174/D148,"")))</f>
        <v/>
      </c>
      <c r="E175" s="15">
        <f>IF(OR(E174="",E148=""),"",IF(E148&lt;=0,"",IFERROR(E174/E148,"")))</f>
        <v/>
      </c>
      <c r="F175" s="15">
        <f>IF(OR(F174="",F148=""),"",IF(F148&lt;=0,"",IFERROR(F174/F148,"")))</f>
        <v/>
      </c>
      <c r="G175" s="15">
        <f>IF(OR(G174="",G148=""),"",IF(G148&lt;=0,"",IFERROR(G174/G148,"")))</f>
        <v/>
      </c>
      <c r="H175" s="15">
        <f>IF(OR(H174="",H148=""),"",IF(H148&lt;=0,"",IFERROR(H174/H148,"")))</f>
        <v/>
      </c>
      <c r="I175" s="15">
        <f>IF(OR(I174="",I148=""),"",IF(I148&lt;=0,"",IFERROR(I174/I148,"")))</f>
        <v/>
      </c>
      <c r="J175" s="15">
        <f>IF(OR(J174="",J148=""),"",IF(J148&lt;=0,"",IFERROR(J174/J148,"")))</f>
        <v/>
      </c>
      <c r="K175" s="15">
        <f>IF(OR(K174="",K148=""),"",IF(K148&lt;=0,"",IFERROR(K174/K148,"")))</f>
        <v/>
      </c>
      <c r="L175" s="15">
        <f>IF(OR(L174="",L148=""),"",IF(L148&lt;=0,"",IFERROR(L174/L148,"")))</f>
        <v/>
      </c>
      <c r="M175" s="15">
        <f>IF(OR(M174="",M148=""),"",IF(M148&lt;=0,"",IFERROR(M174/M148,"")))</f>
        <v/>
      </c>
      <c r="N175" s="15">
        <f>IF(OR(N174="",N148=""),"",IF(N148&lt;=0,"",IFERROR(N174/N148,"")))</f>
        <v/>
      </c>
      <c r="V175" s="15">
        <f>IF(OR(V174="",V148=""),"",IF(V148&lt;=0,"",IFERROR(V174/V148,"")))</f>
        <v/>
      </c>
      <c r="W175" s="15">
        <f>IF(OR(W174="",W148=""),"",IF(W148&lt;=0,"",IFERROR(W174/W148,"")))</f>
        <v/>
      </c>
      <c r="X175" s="15">
        <f>IF(OR(X174="",X148=""),"",IF(X148&lt;=0,"",IFERROR(X174/X148,"")))</f>
        <v/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IF(OR(G174="",C174=""),"",IF(C174&lt;=0,"",IFERROR(G174/C174-1,"")))</f>
        <v/>
      </c>
      <c r="H176" s="15">
        <f>IF(OR(H174="",D174=""),"",IF(D174&lt;=0,"",IFERROR(H174/D174-1,"")))</f>
        <v/>
      </c>
      <c r="I176" s="15">
        <f>IF(OR(I174="",E174=""),"",IF(E174&lt;=0,"",IFERROR(I174/E174-1,"")))</f>
        <v/>
      </c>
      <c r="J176" s="15">
        <f>IF(OR(J174="",F174=""),"",IF(F174&lt;=0,"",IFERROR(J174/F174-1,"")))</f>
        <v/>
      </c>
      <c r="K176" s="15">
        <f>IF(OR(K174="",G174=""),"",IF(G174&lt;=0,"",IFERROR(K174/G174-1,"")))</f>
        <v/>
      </c>
      <c r="L176" s="15">
        <f>IF(OR(L174="",H174=""),"",IF(H174&lt;=0,"",IFERROR(L174/H174-1,"")))</f>
        <v/>
      </c>
      <c r="M176" s="15">
        <f>IF(OR(M174="",I174=""),"",IF(I174&lt;=0,"",IFERROR(M174/I174-1,"")))</f>
        <v/>
      </c>
      <c r="N176" s="15">
        <f>IF(OR(N174="",J174=""),"",IF(J174&lt;=0,"",IFERROR(N174/J174-1,"")))</f>
        <v/>
      </c>
      <c r="V176" s="15">
        <f>IF(OR(V174="",U174=""),"",IF(U174&lt;=0,"",IFERROR(V174/U174-1,"")))</f>
        <v/>
      </c>
      <c r="W176" s="15">
        <f>IF(OR(W174="",V174=""),"",IF(V174&lt;=0,"",IFERROR(W174/V174-1,"")))</f>
        <v/>
      </c>
      <c r="X176" s="15">
        <f>IF(OR(X174="",W174=""),"",IF(W174&lt;=0,"",IFERROR(X174/W174-1,"")))</f>
        <v/>
      </c>
    </row>
    <row r="177">
      <c r="A177" s="18" t="inlineStr">
        <is>
          <t>합계 · 부문 영업이익</t>
        </is>
      </c>
      <c r="C177" s="20" t="n">
        <v>115516</v>
      </c>
      <c r="D177" s="20" t="n">
        <v>113516</v>
      </c>
      <c r="E177" s="20" t="n">
        <v>110556</v>
      </c>
      <c r="F177" s="20" t="n">
        <v>98391</v>
      </c>
      <c r="G177" s="20" t="n">
        <v>75449</v>
      </c>
      <c r="H177" s="20" t="n">
        <v>83825</v>
      </c>
      <c r="I177" s="20" t="n">
        <v>91864</v>
      </c>
      <c r="J177" s="20" t="n">
        <v>103188</v>
      </c>
      <c r="K177" s="20" t="n">
        <v>107995</v>
      </c>
      <c r="L177" s="20" t="n">
        <v>125441</v>
      </c>
      <c r="M177" s="20" t="n">
        <v>132723</v>
      </c>
      <c r="N177" s="20" t="n">
        <v>150520</v>
      </c>
      <c r="V177" s="20" t="n">
        <v>115516</v>
      </c>
      <c r="W177" s="20" t="n">
        <v>75449</v>
      </c>
      <c r="X177" s="20" t="n">
        <v>107995</v>
      </c>
    </row>
    <row r="178">
      <c r="A178" s="43" t="inlineStr">
        <is>
          <t>OPM</t>
        </is>
      </c>
      <c r="B178" s="3" t="inlineStr">
        <is>
          <t>영업이익 ÷ 매출</t>
        </is>
      </c>
      <c r="C178" s="15">
        <f>IF(OR(C177="",C150=""),"",IF(C150&lt;=0,"",IFERROR(C177/C150,"")))</f>
        <v/>
      </c>
      <c r="D178" s="15">
        <f>IF(OR(D177="",D150=""),"",IF(D150&lt;=0,"",IFERROR(D177/D150,"")))</f>
        <v/>
      </c>
      <c r="E178" s="15">
        <f>IF(OR(E177="",E150=""),"",IF(E150&lt;=0,"",IFERROR(E177/E150,"")))</f>
        <v/>
      </c>
      <c r="F178" s="15">
        <f>IF(OR(F177="",F150=""),"",IF(F150&lt;=0,"",IFERROR(F177/F150,"")))</f>
        <v/>
      </c>
      <c r="G178" s="15">
        <f>IF(OR(G177="",G150=""),"",IF(G150&lt;=0,"",IFERROR(G177/G150,"")))</f>
        <v/>
      </c>
      <c r="H178" s="15">
        <f>IF(OR(H177="",H150=""),"",IF(H150&lt;=0,"",IFERROR(H177/H150,"")))</f>
        <v/>
      </c>
      <c r="I178" s="15">
        <f>IF(OR(I177="",I150=""),"",IF(I150&lt;=0,"",IFERROR(I177/I150,"")))</f>
        <v/>
      </c>
      <c r="J178" s="15">
        <f>IF(OR(J177="",J150=""),"",IF(J150&lt;=0,"",IFERROR(J177/J150,"")))</f>
        <v/>
      </c>
      <c r="K178" s="15">
        <f>IF(OR(K177="",K150=""),"",IF(K150&lt;=0,"",IFERROR(K177/K150,"")))</f>
        <v/>
      </c>
      <c r="L178" s="15">
        <f>IF(OR(L177="",L150=""),"",IF(L150&lt;=0,"",IFERROR(L177/L150,"")))</f>
        <v/>
      </c>
      <c r="M178" s="15">
        <f>IF(OR(M177="",M150=""),"",IF(M150&lt;=0,"",IFERROR(M177/M150,"")))</f>
        <v/>
      </c>
      <c r="N178" s="15">
        <f>IF(OR(N177="",N150=""),"",IF(N150&lt;=0,"",IFERROR(N177/N150,"")))</f>
        <v/>
      </c>
      <c r="V178" s="15">
        <f>IF(OR(V177="",V150=""),"",IF(V150&lt;=0,"",IFERROR(V177/V150,"")))</f>
        <v/>
      </c>
      <c r="W178" s="15">
        <f>IF(OR(W177="",W150=""),"",IF(W150&lt;=0,"",IFERROR(W177/W150,"")))</f>
        <v/>
      </c>
      <c r="X178" s="15">
        <f>IF(OR(X177="",X150=""),"",IF(X150&lt;=0,"",IFERROR(X177/X150,"")))</f>
        <v/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IF(OR(G177="",C177=""),"",IF(C177&lt;=0,"",IFERROR(G177/C177-1,"")))</f>
        <v/>
      </c>
      <c r="H179" s="15">
        <f>IF(OR(H177="",D177=""),"",IF(D177&lt;=0,"",IFERROR(H177/D177-1,"")))</f>
        <v/>
      </c>
      <c r="I179" s="15">
        <f>IF(OR(I177="",E177=""),"",IF(E177&lt;=0,"",IFERROR(I177/E177-1,"")))</f>
        <v/>
      </c>
      <c r="J179" s="15">
        <f>IF(OR(J177="",F177=""),"",IF(F177&lt;=0,"",IFERROR(J177/F177-1,"")))</f>
        <v/>
      </c>
      <c r="K179" s="15">
        <f>IF(OR(K177="",G177=""),"",IF(G177&lt;=0,"",IFERROR(K177/G177-1,"")))</f>
        <v/>
      </c>
      <c r="L179" s="15">
        <f>IF(OR(L177="",H177=""),"",IF(H177&lt;=0,"",IFERROR(L177/H177-1,"")))</f>
        <v/>
      </c>
      <c r="M179" s="15">
        <f>IF(OR(M177="",I177=""),"",IF(I177&lt;=0,"",IFERROR(M177/I177-1,"")))</f>
        <v/>
      </c>
      <c r="N179" s="15">
        <f>IF(OR(N177="",J177=""),"",IF(J177&lt;=0,"",IFERROR(N177/J177-1,"")))</f>
        <v/>
      </c>
      <c r="V179" s="15">
        <f>IF(OR(V177="",U177=""),"",IF(U177&lt;=0,"",IFERROR(V177/U177-1,"")))</f>
        <v/>
      </c>
      <c r="W179" s="15">
        <f>IF(OR(W177="",V177=""),"",IF(V177&lt;=0,"",IFERROR(W177/V177-1,"")))</f>
        <v/>
      </c>
      <c r="X179" s="15">
        <f>IF(OR(X177="",W177=""),"",IF(W177&lt;=0,"",IFERROR(X177/W177-1,"")))</f>
        <v/>
      </c>
    </row>
    <row r="180">
      <c r="A180" s="18" t="inlineStr">
        <is>
          <t>조정액 · 부문 영업이익</t>
        </is>
      </c>
      <c r="C180" s="20" t="n">
        <v>-43152</v>
      </c>
      <c r="D180" s="20" t="n">
        <v>-35680</v>
      </c>
      <c r="E180" s="20" t="n">
        <v>-40884</v>
      </c>
      <c r="F180" s="20" t="n">
        <v>-45008</v>
      </c>
      <c r="G180" s="20" t="n">
        <v>-53363</v>
      </c>
      <c r="H180" s="20" t="n">
        <v>-62300</v>
      </c>
      <c r="I180" s="20" t="n">
        <v>-52088</v>
      </c>
      <c r="J180" s="20" t="n">
        <v>-30568</v>
      </c>
      <c r="K180" s="20" t="n">
        <v>-40750</v>
      </c>
      <c r="L180" s="20" t="n">
        <v>-34877</v>
      </c>
      <c r="M180" s="20" t="n">
        <v>-30607</v>
      </c>
      <c r="N180" s="20" t="n">
        <v>414791</v>
      </c>
      <c r="V180" s="20" t="n">
        <v>-43152</v>
      </c>
      <c r="W180" s="20" t="n">
        <v>-53363</v>
      </c>
      <c r="X180" s="20" t="n">
        <v>-40750</v>
      </c>
    </row>
    <row r="181">
      <c r="A181" s="18" t="inlineStr">
        <is>
          <t>부문 영업이익</t>
        </is>
      </c>
      <c r="C181" s="20" t="n">
        <v>72364</v>
      </c>
      <c r="D181" s="20" t="n">
        <v>77836</v>
      </c>
      <c r="E181" s="20" t="n">
        <v>69672</v>
      </c>
      <c r="F181" s="20" t="n">
        <v>53383</v>
      </c>
      <c r="G181" s="20" t="n">
        <v>22086</v>
      </c>
      <c r="H181" s="20" t="n">
        <v>21525</v>
      </c>
      <c r="I181" s="20" t="n">
        <v>39776</v>
      </c>
      <c r="J181" s="20" t="n">
        <v>72620</v>
      </c>
      <c r="K181" s="20" t="n">
        <v>67245</v>
      </c>
      <c r="V181" s="20" t="n">
        <v>72364</v>
      </c>
      <c r="W181" s="20" t="n">
        <v>22086</v>
      </c>
      <c r="X181" s="20" t="n">
        <v>67245</v>
      </c>
    </row>
    <row r="182">
      <c r="A182" s="43" t="inlineStr">
        <is>
          <t>OPM</t>
        </is>
      </c>
      <c r="B182" s="3" t="inlineStr">
        <is>
          <t>영업이익 ÷ 매출</t>
        </is>
      </c>
      <c r="C182" s="15">
        <f>IF(OR(C181="",C153=""),"",IF(C153&lt;=0,"",IFERROR(C181/C153,"")))</f>
        <v/>
      </c>
      <c r="D182" s="15">
        <f>IF(OR(D181="",D153=""),"",IF(D153&lt;=0,"",IFERROR(D181/D153,"")))</f>
        <v/>
      </c>
      <c r="E182" s="15">
        <f>IF(OR(E181="",E153=""),"",IF(E153&lt;=0,"",IFERROR(E181/E153,"")))</f>
        <v/>
      </c>
      <c r="F182" s="15">
        <f>IF(OR(F181="",F153=""),"",IF(F153&lt;=0,"",IFERROR(F181/F153,"")))</f>
        <v/>
      </c>
      <c r="G182" s="15">
        <f>IF(OR(G181="",G153=""),"",IF(G153&lt;=0,"",IFERROR(G181/G153,"")))</f>
        <v/>
      </c>
      <c r="H182" s="15">
        <f>IF(OR(H181="",H153=""),"",IF(H153&lt;=0,"",IFERROR(H181/H153,"")))</f>
        <v/>
      </c>
      <c r="I182" s="15">
        <f>IF(OR(I181="",I153=""),"",IF(I153&lt;=0,"",IFERROR(I181/I153,"")))</f>
        <v/>
      </c>
      <c r="J182" s="15">
        <f>IF(OR(J181="",J153=""),"",IF(J153&lt;=0,"",IFERROR(J181/J153,"")))</f>
        <v/>
      </c>
      <c r="K182" s="15">
        <f>IF(OR(K181="",K153=""),"",IF(K153&lt;=0,"",IFERROR(K181/K153,"")))</f>
        <v/>
      </c>
      <c r="V182" s="15">
        <f>IF(OR(V181="",V153=""),"",IF(V153&lt;=0,"",IFERROR(V181/V153,"")))</f>
        <v/>
      </c>
      <c r="W182" s="15">
        <f>IF(OR(W181="",W153=""),"",IF(W153&lt;=0,"",IFERROR(W181/W153,"")))</f>
        <v/>
      </c>
      <c r="X182" s="15">
        <f>IF(OR(X181="",X153=""),"",IF(X153&lt;=0,"",IFERROR(X181/X153,"")))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IF(OR(G181="",C181=""),"",IF(C181&lt;=0,"",IFERROR(G181/C181-1,"")))</f>
        <v/>
      </c>
      <c r="H183" s="15">
        <f>IF(OR(H181="",D181=""),"",IF(D181&lt;=0,"",IFERROR(H181/D181-1,"")))</f>
        <v/>
      </c>
      <c r="I183" s="15">
        <f>IF(OR(I181="",E181=""),"",IF(E181&lt;=0,"",IFERROR(I181/E181-1,"")))</f>
        <v/>
      </c>
      <c r="J183" s="15">
        <f>IF(OR(J181="",F181=""),"",IF(F181&lt;=0,"",IFERROR(J181/F181-1,"")))</f>
        <v/>
      </c>
      <c r="K183" s="15">
        <f>IF(OR(K181="",G181=""),"",IF(G181&lt;=0,"",IFERROR(K181/G181-1,"")))</f>
        <v/>
      </c>
      <c r="V183" s="15">
        <f>IF(OR(V181="",U181=""),"",IF(U181&lt;=0,"",IFERROR(V181/U181-1,"")))</f>
        <v/>
      </c>
      <c r="W183" s="15">
        <f>IF(OR(W181="",V181=""),"",IF(V181&lt;=0,"",IFERROR(W181/V181-1,"")))</f>
        <v/>
      </c>
      <c r="X183" s="15">
        <f>IF(OR(X181="",W181=""),"",IF(W181&lt;=0,"",IFERROR(X181/W181-1,"")))</f>
        <v/>
      </c>
    </row>
    <row r="184">
      <c r="A184" s="18" t="inlineStr">
        <is>
          <t>금융수익</t>
        </is>
      </c>
      <c r="C184" s="20" t="n">
        <v>6470</v>
      </c>
      <c r="D184" s="20" t="n">
        <v>18050</v>
      </c>
      <c r="E184" s="20" t="n">
        <v>6953</v>
      </c>
      <c r="F184" s="20" t="n">
        <v>15423</v>
      </c>
      <c r="G184" s="20" t="n">
        <v>11674</v>
      </c>
      <c r="H184" s="20" t="n">
        <v>9879</v>
      </c>
      <c r="I184" s="20" t="n">
        <v>-3050</v>
      </c>
      <c r="J184" s="20" t="n">
        <v>4332</v>
      </c>
      <c r="K184" s="20" t="n">
        <v>3491</v>
      </c>
      <c r="V184" s="20" t="n">
        <v>6470</v>
      </c>
      <c r="W184" s="20" t="n">
        <v>11674</v>
      </c>
      <c r="X184" s="20" t="n">
        <v>3491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IF(OR(G184="",C184=""),"",IF(G184*C184&lt;=0,"",IFERROR(G184/C184-1,"")))</f>
        <v/>
      </c>
      <c r="H185" s="15">
        <f>IF(OR(H184="",D184=""),"",IF(H184*D184&lt;=0,"",IFERROR(H184/D184-1,"")))</f>
        <v/>
      </c>
      <c r="I185" s="15">
        <f>IF(OR(I184="",E184=""),"",IF(I184*E184&lt;=0,"",IFERROR(I184/E184-1,"")))</f>
        <v/>
      </c>
      <c r="J185" s="15">
        <f>IF(OR(J184="",F184=""),"",IF(J184*F184&lt;=0,"",IFERROR(J184/F184-1,"")))</f>
        <v/>
      </c>
      <c r="K185" s="15">
        <f>IF(OR(K184="",G184=""),"",IF(K184*G184&lt;=0,"",IFERROR(K184/G184-1,"")))</f>
        <v/>
      </c>
      <c r="V185" s="15">
        <f>IF(OR(V184="",U184=""),"",IF(V184*U184&lt;=0,"",IFERROR(V184/U184-1,"")))</f>
        <v/>
      </c>
      <c r="W185" s="15">
        <f>IF(OR(W184="",V184=""),"",IF(W184*V184&lt;=0,"",IFERROR(W184/V184-1,"")))</f>
        <v/>
      </c>
      <c r="X185" s="15">
        <f>IF(OR(X184="",W184=""),"",IF(X184*W184&lt;=0,"",IFERROR(X184/W184-1,"")))</f>
        <v/>
      </c>
    </row>
    <row r="186">
      <c r="A186" s="18" t="inlineStr">
        <is>
          <t>금융비용</t>
        </is>
      </c>
      <c r="C186" s="20" t="n">
        <v>166</v>
      </c>
      <c r="D186" s="20" t="n">
        <v>4134</v>
      </c>
      <c r="E186" s="20" t="n">
        <v>2392</v>
      </c>
      <c r="F186" s="20" t="n">
        <v>-16</v>
      </c>
      <c r="G186" s="20" t="n">
        <v>4462</v>
      </c>
      <c r="H186" s="20" t="n">
        <v>4557</v>
      </c>
      <c r="I186" s="20" t="n">
        <v>232623</v>
      </c>
      <c r="J186" s="20" t="n">
        <v>-43225</v>
      </c>
      <c r="K186" s="20" t="n">
        <v>51686</v>
      </c>
      <c r="V186" s="20" t="n">
        <v>166</v>
      </c>
      <c r="W186" s="20" t="n">
        <v>4462</v>
      </c>
      <c r="X186" s="20" t="n">
        <v>51686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IF(OR(G186="",C186=""),"",IF(G186*C186&lt;=0,"",IFERROR(G186/C186-1,"")))</f>
        <v/>
      </c>
      <c r="H187" s="15">
        <f>IF(OR(H186="",D186=""),"",IF(H186*D186&lt;=0,"",IFERROR(H186/D186-1,"")))</f>
        <v/>
      </c>
      <c r="I187" s="15">
        <f>IF(OR(I186="",E186=""),"",IF(I186*E186&lt;=0,"",IFERROR(I186/E186-1,"")))</f>
        <v/>
      </c>
      <c r="J187" s="15">
        <f>IF(OR(J186="",F186=""),"",IF(J186*F186&lt;=0,"",IFERROR(J186/F186-1,"")))</f>
        <v/>
      </c>
      <c r="K187" s="15">
        <f>IF(OR(K186="",G186=""),"",IF(K186*G186&lt;=0,"",IFERROR(K186/G186-1,"")))</f>
        <v/>
      </c>
      <c r="V187" s="15">
        <f>IF(OR(V186="",U186=""),"",IF(V186*U186&lt;=0,"",IFERROR(V186/U186-1,"")))</f>
        <v/>
      </c>
      <c r="W187" s="15">
        <f>IF(OR(W186="",V186=""),"",IF(W186*V186&lt;=0,"",IFERROR(W186/V186-1,"")))</f>
        <v/>
      </c>
      <c r="X187" s="15">
        <f>IF(OR(X186="",W186=""),"",IF(X186*W186&lt;=0,"",IFERROR(X186/W186-1,"")))</f>
        <v/>
      </c>
    </row>
    <row r="188">
      <c r="A188" s="18" t="inlineStr">
        <is>
          <t>지분법손실</t>
        </is>
      </c>
      <c r="G188" s="20" t="n">
        <v>-159</v>
      </c>
      <c r="H188" s="20" t="n">
        <v>78</v>
      </c>
      <c r="I188" s="20" t="n">
        <v>-316</v>
      </c>
      <c r="J188" s="20" t="n">
        <v>-132</v>
      </c>
      <c r="K188" s="20" t="n">
        <v>-82</v>
      </c>
      <c r="W188" s="20" t="n">
        <v>-159</v>
      </c>
      <c r="X188" s="20" t="n">
        <v>-82</v>
      </c>
    </row>
    <row r="189">
      <c r="A189" s="9" t="inlineStr">
        <is>
          <t>세전 반기 손실</t>
        </is>
      </c>
      <c r="C189" s="12" t="n">
        <v>78668</v>
      </c>
      <c r="D189" s="12" t="n">
        <v>91752</v>
      </c>
      <c r="E189" s="12" t="n">
        <v>74233</v>
      </c>
      <c r="F189" s="12" t="n">
        <v>68709</v>
      </c>
      <c r="G189" s="12" t="n">
        <v>29139</v>
      </c>
      <c r="H189" s="12" t="n">
        <v>26769</v>
      </c>
      <c r="I189" s="12" t="n">
        <v>-196057</v>
      </c>
      <c r="J189" s="12" t="n">
        <v>120045</v>
      </c>
      <c r="K189" s="12" t="n">
        <v>18968</v>
      </c>
      <c r="V189" s="12" t="n">
        <v>78668</v>
      </c>
      <c r="W189" s="12" t="n">
        <v>29139</v>
      </c>
      <c r="X189" s="12" t="n">
        <v>18968</v>
      </c>
    </row>
    <row r="190">
      <c r="A190" s="18" t="inlineStr">
        <is>
          <t>EntityTotalMember · 부문 영업이익</t>
        </is>
      </c>
      <c r="H190" s="20" t="n">
        <v>21525</v>
      </c>
      <c r="L190" s="20" t="n">
        <v>90564</v>
      </c>
    </row>
    <row r="191">
      <c r="A191" s="18" t="inlineStr">
        <is>
          <t>EntityTotalMember · 금융수익</t>
        </is>
      </c>
      <c r="H191" s="20" t="n">
        <v>9879</v>
      </c>
      <c r="L191" s="20" t="n">
        <v>5014</v>
      </c>
    </row>
    <row r="192">
      <c r="A192" s="18" t="inlineStr">
        <is>
          <t>EntityTotalMember · 금융비용</t>
        </is>
      </c>
      <c r="H192" s="20" t="n">
        <v>4557</v>
      </c>
      <c r="L192" s="20" t="n">
        <v>10930</v>
      </c>
    </row>
    <row r="193">
      <c r="A193" s="18" t="inlineStr">
        <is>
          <t>EntityTotalMember · 지분법손실</t>
        </is>
      </c>
      <c r="H193" s="20" t="n">
        <v>-78</v>
      </c>
      <c r="L193" s="20" t="n">
        <v>-130</v>
      </c>
    </row>
    <row r="194">
      <c r="A194" s="18" t="inlineStr">
        <is>
          <t>EntityTotalMember · 세전 분기 손실</t>
        </is>
      </c>
      <c r="H194" s="20" t="n">
        <v>26769</v>
      </c>
      <c r="L194" s="20" t="n">
        <v>84518</v>
      </c>
    </row>
    <row r="195">
      <c r="A195" s="18" t="inlineStr">
        <is>
          <t>AutomotiveReportableSegmentMember · 감가상각비 및 상각비</t>
        </is>
      </c>
      <c r="C195" s="20" t="n">
        <v>10225</v>
      </c>
      <c r="D195" s="20" t="n">
        <v>11232</v>
      </c>
      <c r="E195" s="20" t="n">
        <v>12807</v>
      </c>
      <c r="F195" s="20" t="n">
        <v>13537</v>
      </c>
      <c r="G195" s="20" t="n">
        <v>13101</v>
      </c>
      <c r="H195" s="20" t="n">
        <v>11212</v>
      </c>
      <c r="I195" s="20" t="n">
        <v>10717</v>
      </c>
      <c r="J195" s="20" t="n">
        <v>10711</v>
      </c>
      <c r="K195" s="20" t="n">
        <v>10937</v>
      </c>
      <c r="L195" s="20" t="n">
        <v>11519</v>
      </c>
      <c r="M195" s="20" t="n">
        <v>11944</v>
      </c>
      <c r="N195" s="20" t="n">
        <v>12455</v>
      </c>
      <c r="V195" s="20" t="n">
        <v>10225</v>
      </c>
      <c r="W195" s="20" t="n">
        <v>13101</v>
      </c>
      <c r="X195" s="20" t="n">
        <v>10937</v>
      </c>
    </row>
    <row r="196">
      <c r="A196" s="18" t="inlineStr">
        <is>
          <t>IndustrialInfrastructureIoTReportableSegmentMember · 감가상각비 및 상각비</t>
        </is>
      </c>
      <c r="C196" s="20" t="n">
        <v>10307</v>
      </c>
      <c r="D196" s="20" t="n">
        <v>9049</v>
      </c>
      <c r="E196" s="20" t="n">
        <v>9391</v>
      </c>
      <c r="F196" s="20" t="n">
        <v>9505</v>
      </c>
      <c r="G196" s="20" t="n">
        <v>9580</v>
      </c>
      <c r="H196" s="20" t="n">
        <v>8414</v>
      </c>
      <c r="I196" s="20" t="n">
        <v>7253</v>
      </c>
      <c r="J196" s="20" t="n">
        <v>8480</v>
      </c>
      <c r="K196" s="20" t="n">
        <v>9375</v>
      </c>
      <c r="L196" s="20" t="n">
        <v>9091</v>
      </c>
      <c r="M196" s="20" t="n">
        <v>9320</v>
      </c>
      <c r="N196" s="20" t="n">
        <v>10389</v>
      </c>
      <c r="V196" s="20" t="n">
        <v>10307</v>
      </c>
      <c r="W196" s="20" t="n">
        <v>9580</v>
      </c>
      <c r="X196" s="20" t="n">
        <v>9375</v>
      </c>
    </row>
    <row r="197">
      <c r="A197" s="18" t="inlineStr">
        <is>
          <t>기타 · 감가상각비 및 상각비</t>
        </is>
      </c>
      <c r="C197" s="20" t="n">
        <v>0</v>
      </c>
      <c r="D197" s="20" t="n">
        <v>0</v>
      </c>
      <c r="E197" s="20" t="n">
        <v>0</v>
      </c>
      <c r="F197" s="20" t="n">
        <v>0</v>
      </c>
      <c r="G197" s="20" t="n">
        <v>109</v>
      </c>
      <c r="H197" s="20" t="n">
        <v>89</v>
      </c>
      <c r="I197" s="20" t="n">
        <v>355</v>
      </c>
      <c r="J197" s="20" t="n">
        <v>166</v>
      </c>
      <c r="K197" s="20" t="n">
        <v>-521</v>
      </c>
      <c r="L197" s="20" t="n">
        <v>152</v>
      </c>
      <c r="M197" s="20" t="n">
        <v>357</v>
      </c>
      <c r="N197" s="20" t="n">
        <v>1</v>
      </c>
      <c r="V197" s="20" t="n">
        <v>0</v>
      </c>
      <c r="W197" s="20" t="n">
        <v>109</v>
      </c>
      <c r="X197" s="20" t="n">
        <v>-521</v>
      </c>
    </row>
    <row r="198">
      <c r="A198" s="18" t="inlineStr">
        <is>
          <t>AdjustmentMember · 감가상각비 및 상각비</t>
        </is>
      </c>
      <c r="C198" s="20" t="n">
        <v>0</v>
      </c>
      <c r="D198" s="20" t="n">
        <v>0</v>
      </c>
      <c r="E198" s="20" t="n">
        <v>0</v>
      </c>
      <c r="F198" s="20" t="n">
        <v>0</v>
      </c>
      <c r="G198" s="20" t="n">
        <v>0</v>
      </c>
      <c r="H198" s="20" t="n">
        <v>0</v>
      </c>
      <c r="I198" s="20" t="n">
        <v>0</v>
      </c>
      <c r="J198" s="20" t="n">
        <v>0</v>
      </c>
      <c r="K198" s="20" t="n">
        <v>0</v>
      </c>
      <c r="L198" s="20" t="n">
        <v>0</v>
      </c>
      <c r="M198" s="20" t="n">
        <v>-54</v>
      </c>
      <c r="N198" s="20" t="n">
        <v>0</v>
      </c>
      <c r="V198" s="20" t="n">
        <v>0</v>
      </c>
      <c r="W198" s="20" t="n">
        <v>0</v>
      </c>
      <c r="X198" s="20" t="n">
        <v>0</v>
      </c>
    </row>
    <row r="199">
      <c r="A199" s="18" t="inlineStr">
        <is>
          <t>합계 · 감가상각비 및 상각비</t>
        </is>
      </c>
      <c r="C199" s="20" t="n">
        <v>20532</v>
      </c>
      <c r="D199" s="20" t="n">
        <v>20281</v>
      </c>
      <c r="E199" s="20" t="n">
        <v>22198</v>
      </c>
      <c r="F199" s="20" t="n">
        <v>23042</v>
      </c>
      <c r="G199" s="20" t="n">
        <v>22790</v>
      </c>
      <c r="H199" s="20" t="n">
        <v>19715</v>
      </c>
      <c r="I199" s="20" t="n">
        <v>18325</v>
      </c>
      <c r="J199" s="20" t="n">
        <v>19357</v>
      </c>
      <c r="K199" s="20" t="n">
        <v>19791</v>
      </c>
      <c r="L199" s="20" t="n">
        <v>20762</v>
      </c>
      <c r="M199" s="20" t="n">
        <v>21567</v>
      </c>
      <c r="N199" s="20" t="n">
        <v>22845</v>
      </c>
      <c r="V199" s="20" t="n">
        <v>20532</v>
      </c>
      <c r="W199" s="20" t="n">
        <v>22790</v>
      </c>
      <c r="X199" s="20" t="n">
        <v>19791</v>
      </c>
    </row>
    <row r="200">
      <c r="A200" s="18" t="inlineStr">
        <is>
          <t>조정액 · 감가상각비 및 상각비</t>
        </is>
      </c>
      <c r="C200" s="20" t="n">
        <v>28002</v>
      </c>
      <c r="D200" s="20" t="n">
        <v>27573</v>
      </c>
      <c r="E200" s="20" t="n">
        <v>28778</v>
      </c>
      <c r="F200" s="20" t="n">
        <v>32573</v>
      </c>
      <c r="G200" s="20" t="n">
        <v>33493</v>
      </c>
      <c r="H200" s="20" t="n">
        <v>34549</v>
      </c>
      <c r="I200" s="20" t="n">
        <v>25452</v>
      </c>
      <c r="J200" s="20" t="n">
        <v>25412</v>
      </c>
      <c r="K200" s="20" t="n">
        <v>25996</v>
      </c>
      <c r="L200" s="20" t="n">
        <v>26670</v>
      </c>
      <c r="M200" s="20" t="n">
        <v>25184</v>
      </c>
      <c r="N200" s="20" t="n">
        <v>22000</v>
      </c>
      <c r="V200" s="20" t="n">
        <v>28002</v>
      </c>
      <c r="W200" s="20" t="n">
        <v>33493</v>
      </c>
      <c r="X200" s="20" t="n">
        <v>25996</v>
      </c>
    </row>
    <row r="201">
      <c r="A201" s="18" t="inlineStr">
        <is>
          <t>감가상각비 및 상각비</t>
        </is>
      </c>
      <c r="C201" s="20" t="n">
        <v>48534</v>
      </c>
      <c r="D201" s="20" t="n">
        <v>47854</v>
      </c>
      <c r="E201" s="20" t="n">
        <v>50976</v>
      </c>
      <c r="F201" s="20" t="n">
        <v>55615</v>
      </c>
      <c r="G201" s="20" t="n">
        <v>56283</v>
      </c>
      <c r="H201" s="20" t="n">
        <v>54264</v>
      </c>
      <c r="I201" s="20" t="n">
        <v>43777</v>
      </c>
      <c r="J201" s="20" t="n">
        <v>44769</v>
      </c>
      <c r="K201" s="20" t="n">
        <v>45787</v>
      </c>
      <c r="V201" s="20" t="n">
        <v>48534</v>
      </c>
      <c r="W201" s="20" t="n">
        <v>56283</v>
      </c>
      <c r="X201" s="20" t="n">
        <v>45787</v>
      </c>
    </row>
    <row r="202">
      <c r="A202" s="18" t="inlineStr">
        <is>
          <t>EntityTotalMember · 감가상각비 및 상각비</t>
        </is>
      </c>
      <c r="H202" s="20" t="n">
        <v>54264</v>
      </c>
      <c r="L202" s="20" t="n">
        <v>47432</v>
      </c>
    </row>
    <row r="204">
      <c r="A204" s="16" t="inlineStr">
        <is>
          <t>현금흐름표 · 전 항목</t>
        </is>
      </c>
      <c r="B204" s="42" t="inlineStr">
        <is>
          <t>분기 = 결산기 첫날부터 누계(공시 그대로)</t>
        </is>
      </c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</row>
    <row r="205">
      <c r="A205" s="5" t="inlineStr">
        <is>
          <t>항목</t>
        </is>
      </c>
      <c r="B205" s="5" t="inlineStr">
        <is>
          <t>참고</t>
        </is>
      </c>
      <c r="C205" s="5" t="inlineStr">
        <is>
          <t>2023.4Q</t>
        </is>
      </c>
      <c r="D205" s="5" t="inlineStr">
        <is>
          <t>2024.1Q</t>
        </is>
      </c>
      <c r="E205" s="5" t="inlineStr">
        <is>
          <t>2024.2Q</t>
        </is>
      </c>
      <c r="F205" s="5" t="inlineStr">
        <is>
          <t>2024.3Q</t>
        </is>
      </c>
      <c r="G205" s="5" t="inlineStr">
        <is>
          <t>2024.4Q</t>
        </is>
      </c>
      <c r="H205" s="5" t="inlineStr">
        <is>
          <t>2025.1Q</t>
        </is>
      </c>
      <c r="I205" s="5" t="inlineStr">
        <is>
          <t>2025.2Q</t>
        </is>
      </c>
      <c r="J205" s="5" t="inlineStr">
        <is>
          <t>2025.3Q</t>
        </is>
      </c>
      <c r="K205" s="5" t="inlineStr">
        <is>
          <t>2025.4Q</t>
        </is>
      </c>
      <c r="L205" s="5" t="inlineStr">
        <is>
          <t>2026.1Q</t>
        </is>
      </c>
      <c r="M205" s="5" t="inlineStr">
        <is>
          <t>2026.2Q</t>
        </is>
      </c>
      <c r="N205" s="5" t="inlineStr">
        <is>
          <t>2026.3Q</t>
        </is>
      </c>
      <c r="O205" s="5" t="inlineStr">
        <is>
          <t>2016</t>
        </is>
      </c>
      <c r="P205" s="5" t="inlineStr">
        <is>
          <t>2017</t>
        </is>
      </c>
      <c r="Q205" s="5" t="inlineStr">
        <is>
          <t>2018</t>
        </is>
      </c>
      <c r="R205" s="5" t="inlineStr">
        <is>
          <t>2019</t>
        </is>
      </c>
      <c r="S205" s="5" t="inlineStr">
        <is>
          <t>2020</t>
        </is>
      </c>
      <c r="T205" s="5" t="inlineStr">
        <is>
          <t>2021</t>
        </is>
      </c>
      <c r="U205" s="5" t="inlineStr">
        <is>
          <t>2022</t>
        </is>
      </c>
      <c r="V205" s="5" t="inlineStr">
        <is>
          <t>2023</t>
        </is>
      </c>
      <c r="W205" s="5" t="inlineStr">
        <is>
          <t>2024</t>
        </is>
      </c>
      <c r="X205" s="5" t="inlineStr">
        <is>
          <t>2025</t>
        </is>
      </c>
      <c r="Y205" s="5" t="inlineStr">
        <is>
          <t>2026(MW)</t>
        </is>
      </c>
      <c r="Z205" s="5" t="inlineStr">
        <is>
          <t>2027(MW)</t>
        </is>
      </c>
      <c r="AA205" s="5" t="inlineStr">
        <is>
          <t>2028(MW)</t>
        </is>
      </c>
      <c r="AB205" s="5" t="inlineStr">
        <is>
          <t>2029(MW)</t>
        </is>
      </c>
      <c r="AC205" s="5" t="inlineStr">
        <is>
          <t>2030(MW)</t>
        </is>
      </c>
    </row>
    <row r="206">
      <c r="A206" s="9" t="inlineStr">
        <is>
          <t>세전 분기 이익(손실)</t>
        </is>
      </c>
      <c r="C206" s="12" t="n">
        <v>422173</v>
      </c>
      <c r="D206" s="12" t="n">
        <v>91752</v>
      </c>
      <c r="E206" s="12" t="n">
        <v>165985</v>
      </c>
      <c r="F206" s="12" t="n">
        <v>234694</v>
      </c>
      <c r="G206" s="12" t="n">
        <v>263833</v>
      </c>
      <c r="H206" s="12" t="n">
        <v>26769</v>
      </c>
      <c r="I206" s="12" t="n">
        <v>-169288</v>
      </c>
      <c r="J206" s="12" t="n">
        <v>-49243</v>
      </c>
      <c r="K206" s="12" t="n">
        <v>-30275</v>
      </c>
      <c r="L206" s="12" t="n">
        <v>84518</v>
      </c>
      <c r="M206" s="12" t="n">
        <v>254785</v>
      </c>
      <c r="N206" s="12" t="n">
        <v>770186</v>
      </c>
      <c r="Q206" s="12" t="n">
        <v>67723</v>
      </c>
      <c r="R206" s="12" t="n">
        <v>-325</v>
      </c>
      <c r="S206" s="12" t="n">
        <v>65216</v>
      </c>
      <c r="T206" s="12" t="n">
        <v>142718</v>
      </c>
      <c r="U206" s="12" t="n">
        <v>362282</v>
      </c>
      <c r="V206" s="12" t="n">
        <v>422173</v>
      </c>
      <c r="W206" s="12" t="n">
        <v>263833</v>
      </c>
      <c r="X206" s="12" t="n">
        <v>-30275</v>
      </c>
    </row>
    <row r="207">
      <c r="A207" s="18" t="inlineStr">
        <is>
          <t>감가상각비 및 상각비</t>
        </is>
      </c>
      <c r="C207" s="20" t="n">
        <v>186009</v>
      </c>
      <c r="D207" s="20" t="n">
        <v>47854</v>
      </c>
      <c r="E207" s="20" t="n">
        <v>98830</v>
      </c>
      <c r="F207" s="20" t="n">
        <v>154445</v>
      </c>
      <c r="G207" s="20" t="n">
        <v>210728</v>
      </c>
      <c r="H207" s="20" t="n">
        <v>54264</v>
      </c>
      <c r="I207" s="20" t="n">
        <v>98041</v>
      </c>
      <c r="J207" s="20" t="n">
        <v>142810</v>
      </c>
      <c r="K207" s="20" t="n">
        <v>188597</v>
      </c>
      <c r="L207" s="20" t="n">
        <v>47432</v>
      </c>
      <c r="M207" s="20" t="n">
        <v>94183</v>
      </c>
      <c r="N207" s="20" t="n">
        <v>139028</v>
      </c>
      <c r="Q207" s="20" t="n">
        <v>112743</v>
      </c>
      <c r="R207" s="20" t="n">
        <v>148026</v>
      </c>
      <c r="S207" s="20" t="n">
        <v>141527</v>
      </c>
      <c r="T207" s="20" t="n">
        <v>146047</v>
      </c>
      <c r="U207" s="20" t="n">
        <v>186049</v>
      </c>
      <c r="V207" s="20" t="n">
        <v>186009</v>
      </c>
      <c r="W207" s="20" t="n">
        <v>210728</v>
      </c>
      <c r="X207" s="20" t="n">
        <v>188597</v>
      </c>
    </row>
    <row r="208">
      <c r="A208" s="18" t="inlineStr">
        <is>
          <t>손상차손</t>
        </is>
      </c>
      <c r="C208" s="20" t="n">
        <v>4872</v>
      </c>
      <c r="D208" s="20" t="n">
        <v>949</v>
      </c>
      <c r="E208" s="20" t="n">
        <v>965</v>
      </c>
      <c r="F208" s="20" t="n">
        <v>1290</v>
      </c>
      <c r="G208" s="20" t="n">
        <v>3015</v>
      </c>
      <c r="H208" s="20" t="n">
        <v>7213</v>
      </c>
      <c r="I208" s="20" t="n">
        <v>13741</v>
      </c>
      <c r="J208" s="20" t="n">
        <v>14278</v>
      </c>
      <c r="K208" s="20" t="n">
        <v>18430</v>
      </c>
      <c r="L208" s="20" t="n">
        <v>2371</v>
      </c>
      <c r="M208" s="20" t="n">
        <v>2420</v>
      </c>
      <c r="N208" s="20" t="n">
        <v>2561</v>
      </c>
      <c r="Q208" s="20" t="n">
        <v>1526</v>
      </c>
      <c r="R208" s="20" t="n">
        <v>2256</v>
      </c>
      <c r="S208" s="20" t="n">
        <v>2070</v>
      </c>
      <c r="T208" s="20" t="n">
        <v>135</v>
      </c>
      <c r="U208" s="20" t="n">
        <v>7719</v>
      </c>
      <c r="V208" s="20" t="n">
        <v>4872</v>
      </c>
      <c r="W208" s="20" t="n">
        <v>3015</v>
      </c>
      <c r="X208" s="20" t="n">
        <v>18430</v>
      </c>
    </row>
    <row r="209">
      <c r="A209" s="18" t="inlineStr">
        <is>
          <t>사업 양도 이익</t>
        </is>
      </c>
      <c r="J209" s="20" t="n">
        <v>0</v>
      </c>
      <c r="N209" s="20" t="n">
        <v>-450265</v>
      </c>
    </row>
    <row r="210">
      <c r="A210" s="18" t="inlineStr">
        <is>
          <t>금융수익·금융비용</t>
        </is>
      </c>
      <c r="C210" s="20" t="n">
        <v>-22847</v>
      </c>
      <c r="D210" s="20" t="n">
        <v>-3732</v>
      </c>
      <c r="E210" s="20" t="n">
        <v>-8487</v>
      </c>
      <c r="F210" s="20" t="n">
        <v>-26952</v>
      </c>
      <c r="G210" s="20" t="n">
        <v>-26053</v>
      </c>
      <c r="H210" s="20" t="n">
        <v>-4046</v>
      </c>
      <c r="I210" s="20" t="n">
        <v>227697</v>
      </c>
      <c r="J210" s="20" t="n">
        <v>181747</v>
      </c>
      <c r="K210" s="20" t="n">
        <v>230979</v>
      </c>
      <c r="L210" s="20" t="n">
        <v>7147</v>
      </c>
      <c r="M210" s="20" t="n">
        <v>-60574</v>
      </c>
      <c r="N210" s="20" t="n">
        <v>-13976</v>
      </c>
      <c r="Q210" s="20" t="n">
        <v>649</v>
      </c>
      <c r="R210" s="20" t="n">
        <v>5927</v>
      </c>
      <c r="S210" s="20" t="n">
        <v>5221</v>
      </c>
      <c r="T210" s="20" t="n">
        <v>6944</v>
      </c>
      <c r="U210" s="20" t="n">
        <v>9959</v>
      </c>
      <c r="V210" s="20" t="n">
        <v>-22847</v>
      </c>
      <c r="W210" s="20" t="n">
        <v>-26053</v>
      </c>
      <c r="X210" s="20" t="n">
        <v>230979</v>
      </c>
    </row>
    <row r="211">
      <c r="A211" s="18" t="inlineStr">
        <is>
          <t>지분법 손익</t>
        </is>
      </c>
      <c r="Q211" s="20" t="n">
        <v>-49</v>
      </c>
      <c r="R211" s="20" t="n">
        <v>0</v>
      </c>
    </row>
    <row r="212">
      <c r="A212" s="18" t="inlineStr">
        <is>
          <t>주식보상비용</t>
        </is>
      </c>
      <c r="C212" s="20" t="n">
        <v>23283</v>
      </c>
      <c r="D212" s="20" t="n">
        <v>5633</v>
      </c>
      <c r="E212" s="20" t="n">
        <v>14818</v>
      </c>
      <c r="F212" s="20" t="n">
        <v>24863</v>
      </c>
      <c r="G212" s="20" t="n">
        <v>36299</v>
      </c>
      <c r="H212" s="20" t="n">
        <v>9671</v>
      </c>
      <c r="I212" s="20" t="n">
        <v>20015</v>
      </c>
      <c r="J212" s="20" t="n">
        <v>29083</v>
      </c>
      <c r="K212" s="20" t="n">
        <v>37085</v>
      </c>
      <c r="L212" s="20" t="n">
        <v>8144</v>
      </c>
      <c r="M212" s="20" t="n">
        <v>19019</v>
      </c>
      <c r="N212" s="20" t="n">
        <v>28345</v>
      </c>
      <c r="Q212" s="20" t="n">
        <v>4208</v>
      </c>
      <c r="R212" s="20" t="n">
        <v>11896</v>
      </c>
      <c r="S212" s="20" t="n">
        <v>14564</v>
      </c>
      <c r="T212" s="20" t="n">
        <v>14899</v>
      </c>
      <c r="U212" s="20" t="n">
        <v>18144</v>
      </c>
      <c r="V212" s="20" t="n">
        <v>23283</v>
      </c>
      <c r="W212" s="20" t="n">
        <v>36299</v>
      </c>
      <c r="X212" s="20" t="n">
        <v>37085</v>
      </c>
    </row>
    <row r="213">
      <c r="A213" s="18" t="inlineStr">
        <is>
          <t>고정자산 매각손익</t>
        </is>
      </c>
      <c r="Q213" s="20" t="n">
        <v>-1025</v>
      </c>
      <c r="R213" s="20" t="n">
        <v>-515</v>
      </c>
      <c r="S213" s="20" t="n">
        <v>-717</v>
      </c>
    </row>
    <row r="214">
      <c r="A214" s="18" t="inlineStr">
        <is>
          <t>보험금 수익</t>
        </is>
      </c>
      <c r="C214" s="20" t="n">
        <v>-30665</v>
      </c>
      <c r="D214" s="20" t="n">
        <v>0</v>
      </c>
      <c r="E214" s="20" t="n">
        <v>-1</v>
      </c>
      <c r="F214" s="20" t="n">
        <v>-503</v>
      </c>
      <c r="G214" s="20" t="n">
        <v>-587</v>
      </c>
      <c r="I214" s="20" t="n">
        <v>-150</v>
      </c>
      <c r="J214" s="20" t="n">
        <v>-152</v>
      </c>
      <c r="K214" s="20" t="n">
        <v>-169</v>
      </c>
      <c r="M214" s="20" t="n">
        <v>-69</v>
      </c>
      <c r="N214" s="20" t="n">
        <v>-70</v>
      </c>
      <c r="U214" s="20" t="n">
        <v>-1467</v>
      </c>
      <c r="V214" s="20" t="n">
        <v>-30665</v>
      </c>
      <c r="W214" s="20" t="n">
        <v>-587</v>
      </c>
      <c r="X214" s="20" t="n">
        <v>-169</v>
      </c>
    </row>
    <row r="215">
      <c r="A215" s="18" t="inlineStr">
        <is>
          <t>고정자산 압축손실</t>
        </is>
      </c>
      <c r="C215" s="20" t="n">
        <v>1068</v>
      </c>
      <c r="G215" s="20" t="n">
        <v>4879</v>
      </c>
      <c r="V215" s="20" t="n">
        <v>1068</v>
      </c>
      <c r="W215" s="20" t="n">
        <v>4879</v>
      </c>
    </row>
    <row r="216">
      <c r="A216" s="18" t="inlineStr">
        <is>
          <t>보조금 수입</t>
        </is>
      </c>
      <c r="C216" s="20" t="n">
        <v>-1088</v>
      </c>
      <c r="G216" s="20" t="n">
        <v>-5124</v>
      </c>
      <c r="V216" s="20" t="n">
        <v>-1088</v>
      </c>
      <c r="W216" s="20" t="n">
        <v>-5124</v>
      </c>
    </row>
    <row r="217">
      <c r="A217" s="18" t="inlineStr">
        <is>
          <t>외환차손익</t>
        </is>
      </c>
      <c r="C217" s="20" t="n">
        <v>-7589</v>
      </c>
      <c r="D217" s="20" t="n">
        <v>-9001</v>
      </c>
      <c r="E217" s="20" t="n">
        <v>-3763</v>
      </c>
      <c r="F217" s="20" t="n">
        <v>-4736</v>
      </c>
      <c r="G217" s="20" t="n">
        <v>-292</v>
      </c>
      <c r="H217" s="20" t="n">
        <v>-5745</v>
      </c>
      <c r="I217" s="20" t="n">
        <v>-5715</v>
      </c>
      <c r="J217" s="20" t="n">
        <v>-3953</v>
      </c>
      <c r="K217" s="20" t="n">
        <v>2927</v>
      </c>
      <c r="L217" s="20" t="n">
        <v>3512</v>
      </c>
      <c r="M217" s="20" t="n">
        <v>4519</v>
      </c>
      <c r="N217" s="20" t="n">
        <v>11648</v>
      </c>
      <c r="S217" s="20" t="n">
        <v>-3780</v>
      </c>
      <c r="T217" s="20" t="n">
        <v>23761</v>
      </c>
      <c r="U217" s="20" t="n">
        <v>42997</v>
      </c>
      <c r="V217" s="20" t="n">
        <v>-7589</v>
      </c>
      <c r="W217" s="20" t="n">
        <v>-292</v>
      </c>
      <c r="X217" s="20" t="n">
        <v>2927</v>
      </c>
    </row>
    <row r="218">
      <c r="A218" s="18" t="inlineStr">
        <is>
          <t>유형·무형자산 매각손익</t>
        </is>
      </c>
      <c r="C218" s="20" t="n">
        <v>-1337</v>
      </c>
      <c r="D218" s="20" t="n">
        <v>-70</v>
      </c>
      <c r="E218" s="20" t="n">
        <v>-120</v>
      </c>
      <c r="F218" s="20" t="n">
        <v>-187</v>
      </c>
      <c r="G218" s="20" t="n">
        <v>-293</v>
      </c>
      <c r="H218" s="20" t="n">
        <v>43</v>
      </c>
      <c r="I218" s="20" t="n">
        <v>179</v>
      </c>
      <c r="J218" s="20" t="n">
        <v>-1636</v>
      </c>
      <c r="K218" s="20" t="n">
        <v>-1625</v>
      </c>
      <c r="L218" s="20" t="n">
        <v>-232</v>
      </c>
      <c r="M218" s="20" t="n">
        <v>-293</v>
      </c>
      <c r="N218" s="20" t="n">
        <v>-605</v>
      </c>
      <c r="S218" s="20" t="n">
        <v>-717</v>
      </c>
      <c r="T218" s="20" t="n">
        <v>-5557</v>
      </c>
      <c r="U218" s="20" t="n">
        <v>-9583</v>
      </c>
      <c r="V218" s="20" t="n">
        <v>-1337</v>
      </c>
      <c r="W218" s="20" t="n">
        <v>-293</v>
      </c>
      <c r="X218" s="20" t="n">
        <v>-1625</v>
      </c>
    </row>
    <row r="219">
      <c r="A219" s="18" t="inlineStr">
        <is>
          <t>고정자산 폐기손실</t>
        </is>
      </c>
      <c r="E219" s="20" t="n">
        <v>498</v>
      </c>
      <c r="F219" s="20" t="n">
        <v>717</v>
      </c>
      <c r="G219" s="20" t="n">
        <v>1665</v>
      </c>
      <c r="H219" s="20" t="n">
        <v>2477</v>
      </c>
      <c r="I219" s="20" t="n">
        <v>3442</v>
      </c>
      <c r="J219" s="20" t="n">
        <v>3549</v>
      </c>
      <c r="K219" s="20" t="n">
        <v>4127</v>
      </c>
      <c r="L219" s="20" t="n">
        <v>253</v>
      </c>
      <c r="M219" s="20" t="n">
        <v>514</v>
      </c>
      <c r="N219" s="20" t="n">
        <v>806</v>
      </c>
      <c r="W219" s="20" t="n">
        <v>1665</v>
      </c>
      <c r="X219" s="20" t="n">
        <v>4127</v>
      </c>
    </row>
    <row r="220">
      <c r="A220" s="18" t="inlineStr">
        <is>
          <t>재고자산 증감</t>
        </is>
      </c>
      <c r="C220" s="20" t="n">
        <v>30070</v>
      </c>
      <c r="D220" s="20" t="n">
        <v>-4489</v>
      </c>
      <c r="E220" s="20" t="n">
        <v>-5639</v>
      </c>
      <c r="F220" s="20" t="n">
        <v>-7739</v>
      </c>
      <c r="G220" s="20" t="n">
        <v>-5070</v>
      </c>
      <c r="H220" s="20" t="n">
        <v>-2897</v>
      </c>
      <c r="I220" s="20" t="n">
        <v>5445</v>
      </c>
      <c r="J220" s="20" t="n">
        <v>-1315</v>
      </c>
      <c r="K220" s="20" t="n">
        <v>-8605</v>
      </c>
      <c r="L220" s="20" t="n">
        <v>-12157</v>
      </c>
      <c r="M220" s="20" t="n">
        <v>-22836</v>
      </c>
      <c r="N220" s="20" t="n">
        <v>-45892</v>
      </c>
      <c r="Q220" s="20" t="n">
        <v>6956</v>
      </c>
      <c r="R220" s="20" t="n">
        <v>44549</v>
      </c>
      <c r="S220" s="20" t="n">
        <v>79</v>
      </c>
      <c r="T220" s="20" t="n">
        <v>-6253</v>
      </c>
      <c r="U220" s="20" t="n">
        <v>-41546</v>
      </c>
      <c r="V220" s="20" t="n">
        <v>30070</v>
      </c>
      <c r="W220" s="20" t="n">
        <v>-5070</v>
      </c>
      <c r="X220" s="20" t="n">
        <v>-8605</v>
      </c>
    </row>
    <row r="221">
      <c r="A221" s="18" t="inlineStr">
        <is>
          <t>매출채권 및 기타채권 증감액</t>
        </is>
      </c>
      <c r="C221" s="20" t="n">
        <v>5126</v>
      </c>
      <c r="D221" s="20" t="n">
        <v>-7912</v>
      </c>
      <c r="E221" s="20" t="n">
        <v>-16650</v>
      </c>
      <c r="F221" s="20" t="n">
        <v>-3886</v>
      </c>
      <c r="G221" s="20" t="n">
        <v>25918</v>
      </c>
      <c r="H221" s="20" t="n">
        <v>9563</v>
      </c>
      <c r="I221" s="20" t="n">
        <v>-14869</v>
      </c>
      <c r="J221" s="20" t="n">
        <v>-4327</v>
      </c>
      <c r="K221" s="20" t="n">
        <v>887</v>
      </c>
      <c r="L221" s="20" t="n">
        <v>-26750</v>
      </c>
      <c r="M221" s="20" t="n">
        <v>-33860</v>
      </c>
      <c r="N221" s="20" t="n">
        <v>-33621</v>
      </c>
      <c r="Q221" s="20" t="n">
        <v>22336</v>
      </c>
      <c r="R221" s="20" t="n">
        <v>9882</v>
      </c>
      <c r="S221" s="20" t="n">
        <v>1228</v>
      </c>
      <c r="T221" s="20" t="n">
        <v>-9512</v>
      </c>
      <c r="U221" s="20" t="n">
        <v>-7886</v>
      </c>
      <c r="V221" s="20" t="n">
        <v>5126</v>
      </c>
      <c r="W221" s="20" t="n">
        <v>25918</v>
      </c>
      <c r="X221" s="20" t="n">
        <v>887</v>
      </c>
    </row>
    <row r="222">
      <c r="A222" s="18" t="inlineStr">
        <is>
          <t>기타 유동자산 증감</t>
        </is>
      </c>
      <c r="I222" s="20" t="n">
        <v>1108</v>
      </c>
      <c r="J222" s="20" t="n">
        <v>-2391</v>
      </c>
      <c r="M222" s="20" t="n">
        <v>-9413</v>
      </c>
      <c r="N222" s="20" t="n">
        <v>-12017</v>
      </c>
    </row>
    <row r="223">
      <c r="A223" s="18" t="inlineStr">
        <is>
          <t>기타 금융자산 증감</t>
        </is>
      </c>
      <c r="C223" s="20" t="n">
        <v>-6786</v>
      </c>
      <c r="D223" s="20" t="n">
        <v>-4114</v>
      </c>
      <c r="E223" s="20" t="n">
        <v>-3006</v>
      </c>
      <c r="F223" s="20" t="n">
        <v>2534</v>
      </c>
      <c r="G223" s="20" t="n">
        <v>1166</v>
      </c>
      <c r="H223" s="20" t="n">
        <v>13333</v>
      </c>
      <c r="I223" s="20" t="n">
        <v>18393</v>
      </c>
      <c r="J223" s="20" t="n">
        <v>20529</v>
      </c>
      <c r="K223" s="20" t="n">
        <v>19885</v>
      </c>
      <c r="L223" s="20" t="n">
        <v>44</v>
      </c>
      <c r="M223" s="20" t="n">
        <v>1845</v>
      </c>
      <c r="N223" s="20" t="n">
        <v>2423</v>
      </c>
      <c r="S223" s="20" t="n">
        <v>-7413</v>
      </c>
      <c r="T223" s="20" t="n">
        <v>-9699</v>
      </c>
      <c r="U223" s="20" t="n">
        <v>-29303</v>
      </c>
      <c r="V223" s="20" t="n">
        <v>-6786</v>
      </c>
      <c r="W223" s="20" t="n">
        <v>1166</v>
      </c>
      <c r="X223" s="20" t="n">
        <v>19885</v>
      </c>
    </row>
    <row r="224">
      <c r="A224" s="18" t="inlineStr">
        <is>
          <t>장기선급비용 증감</t>
        </is>
      </c>
      <c r="C224" s="20" t="n">
        <v>0</v>
      </c>
      <c r="F224" s="20" t="n">
        <v>-28154</v>
      </c>
      <c r="G224" s="20" t="n">
        <v>-28154</v>
      </c>
      <c r="J224" s="20" t="n">
        <v>0</v>
      </c>
      <c r="K224" s="20" t="n">
        <v>0</v>
      </c>
      <c r="N224" s="20" t="n">
        <v>-13022</v>
      </c>
      <c r="V224" s="20" t="n">
        <v>0</v>
      </c>
      <c r="W224" s="20" t="n">
        <v>-28154</v>
      </c>
      <c r="X224" s="20" t="n">
        <v>0</v>
      </c>
    </row>
    <row r="225">
      <c r="A225" s="18" t="inlineStr">
        <is>
          <t>매입채무 및 기타채무 증감액</t>
        </is>
      </c>
      <c r="C225" s="20" t="n">
        <v>2438</v>
      </c>
      <c r="D225" s="20" t="n">
        <v>1164</v>
      </c>
      <c r="E225" s="20" t="n">
        <v>-6280</v>
      </c>
      <c r="F225" s="20" t="n">
        <v>-20443</v>
      </c>
      <c r="G225" s="20" t="n">
        <v>-35562</v>
      </c>
      <c r="H225" s="20" t="n">
        <v>-13850</v>
      </c>
      <c r="I225" s="20" t="n">
        <v>-5330</v>
      </c>
      <c r="J225" s="20" t="n">
        <v>-12952</v>
      </c>
      <c r="K225" s="20" t="n">
        <v>-208</v>
      </c>
      <c r="L225" s="20" t="n">
        <v>2278</v>
      </c>
      <c r="M225" s="20" t="n">
        <v>25535</v>
      </c>
      <c r="N225" s="20" t="n">
        <v>32859</v>
      </c>
      <c r="Q225" s="20" t="n">
        <v>-27999</v>
      </c>
      <c r="R225" s="20" t="n">
        <v>-36</v>
      </c>
      <c r="S225" s="20" t="n">
        <v>10192</v>
      </c>
      <c r="T225" s="20" t="n">
        <v>50413</v>
      </c>
      <c r="U225" s="20" t="n">
        <v>13882</v>
      </c>
      <c r="V225" s="20" t="n">
        <v>2438</v>
      </c>
      <c r="W225" s="20" t="n">
        <v>-35562</v>
      </c>
      <c r="X225" s="20" t="n">
        <v>-208</v>
      </c>
    </row>
    <row r="226">
      <c r="A226" s="18" t="inlineStr">
        <is>
          <t>퇴직급여부채 증감</t>
        </is>
      </c>
      <c r="C226" s="20" t="n">
        <v>-303</v>
      </c>
      <c r="D226" s="20" t="n">
        <v>-405</v>
      </c>
      <c r="E226" s="20" t="n">
        <v>-832</v>
      </c>
      <c r="F226" s="20" t="n">
        <v>-1218</v>
      </c>
      <c r="G226" s="20" t="n">
        <v>-1821</v>
      </c>
      <c r="H226" s="20" t="n">
        <v>-228</v>
      </c>
      <c r="I226" s="20" t="n">
        <v>-806</v>
      </c>
      <c r="J226" s="20" t="n">
        <v>-986</v>
      </c>
      <c r="K226" s="20" t="n">
        <v>-2100</v>
      </c>
      <c r="L226" s="20" t="n">
        <v>-265</v>
      </c>
      <c r="M226" s="20" t="n">
        <v>-606</v>
      </c>
      <c r="N226" s="20" t="n">
        <v>-1519</v>
      </c>
      <c r="Q226" s="20" t="n">
        <v>-1265</v>
      </c>
      <c r="R226" s="20" t="n">
        <v>-3044</v>
      </c>
      <c r="S226" s="20" t="n">
        <v>194</v>
      </c>
      <c r="T226" s="20" t="n">
        <v>-2560</v>
      </c>
      <c r="U226" s="20" t="n">
        <v>-4600</v>
      </c>
      <c r="V226" s="20" t="n">
        <v>-303</v>
      </c>
      <c r="W226" s="20" t="n">
        <v>-1821</v>
      </c>
      <c r="X226" s="20" t="n">
        <v>-2100</v>
      </c>
    </row>
    <row r="227">
      <c r="A227" s="18" t="inlineStr">
        <is>
          <t>충당금 증감</t>
        </is>
      </c>
      <c r="C227" s="20" t="n">
        <v>2112</v>
      </c>
      <c r="D227" s="20" t="n">
        <v>-1448</v>
      </c>
      <c r="E227" s="20" t="n">
        <v>-3016</v>
      </c>
      <c r="F227" s="20" t="n">
        <v>-4777</v>
      </c>
      <c r="G227" s="20" t="n">
        <v>-749</v>
      </c>
      <c r="H227" s="20" t="n">
        <v>3626</v>
      </c>
      <c r="I227" s="20" t="n">
        <v>-3379</v>
      </c>
      <c r="J227" s="20" t="n">
        <v>-7936</v>
      </c>
      <c r="K227" s="20" t="n">
        <v>-6747</v>
      </c>
      <c r="L227" s="20" t="n">
        <v>-477</v>
      </c>
      <c r="M227" s="20" t="n">
        <v>241</v>
      </c>
      <c r="N227" s="20" t="n">
        <v>-1257</v>
      </c>
      <c r="Q227" s="20" t="n">
        <v>-2055</v>
      </c>
      <c r="R227" s="20" t="n">
        <v>411</v>
      </c>
      <c r="S227" s="20" t="n">
        <v>-1713</v>
      </c>
      <c r="T227" s="20" t="n">
        <v>3845</v>
      </c>
      <c r="U227" s="20" t="n">
        <v>-4414</v>
      </c>
      <c r="V227" s="20" t="n">
        <v>2112</v>
      </c>
      <c r="W227" s="20" t="n">
        <v>-749</v>
      </c>
      <c r="X227" s="20" t="n">
        <v>-6747</v>
      </c>
    </row>
    <row r="228">
      <c r="A228" s="18" t="inlineStr">
        <is>
          <t>기타 유동부채 증감</t>
        </is>
      </c>
      <c r="R228" s="20" t="n">
        <v>-11609</v>
      </c>
      <c r="S228" s="20" t="n">
        <v>3675</v>
      </c>
    </row>
    <row r="229">
      <c r="A229" s="18" t="inlineStr">
        <is>
          <t>기타 유동부채 증감</t>
        </is>
      </c>
      <c r="C229" s="20" t="n">
        <v>-6972</v>
      </c>
      <c r="D229" s="20" t="n">
        <v>-14979</v>
      </c>
      <c r="E229" s="20" t="n">
        <v>-11376</v>
      </c>
      <c r="F229" s="20" t="n">
        <v>-21405</v>
      </c>
      <c r="G229" s="20" t="n">
        <v>-23898</v>
      </c>
      <c r="H229" s="20" t="n">
        <v>-5032</v>
      </c>
      <c r="I229" s="20" t="n">
        <v>11356</v>
      </c>
      <c r="J229" s="20" t="n">
        <v>10662</v>
      </c>
      <c r="K229" s="20" t="n">
        <v>21947</v>
      </c>
      <c r="L229" s="20" t="n">
        <v>-8693</v>
      </c>
      <c r="M229" s="20" t="n">
        <v>2536</v>
      </c>
      <c r="N229" s="20" t="n">
        <v>14008</v>
      </c>
      <c r="S229" s="20" t="n">
        <v>3675</v>
      </c>
      <c r="T229" s="20" t="n">
        <v>-20225</v>
      </c>
      <c r="U229" s="20" t="n">
        <v>-286</v>
      </c>
      <c r="V229" s="20" t="n">
        <v>-6972</v>
      </c>
      <c r="W229" s="20" t="n">
        <v>-23898</v>
      </c>
      <c r="X229" s="20" t="n">
        <v>21947</v>
      </c>
    </row>
    <row r="230">
      <c r="A230" s="18" t="inlineStr">
        <is>
          <t>기타</t>
        </is>
      </c>
      <c r="Q230" s="20" t="n">
        <v>5433</v>
      </c>
      <c r="R230" s="20" t="n">
        <v>42</v>
      </c>
      <c r="S230" s="20" t="n">
        <v>2931</v>
      </c>
      <c r="T230" s="20" t="n">
        <v>-4466</v>
      </c>
    </row>
    <row r="231">
      <c r="A231" s="18" t="inlineStr">
        <is>
          <t>기타 금융부채 증감(△는 감소)</t>
        </is>
      </c>
      <c r="C231" s="20" t="n">
        <v>-3987</v>
      </c>
      <c r="D231" s="20" t="n">
        <v>-358</v>
      </c>
      <c r="E231" s="20" t="n">
        <v>-1126</v>
      </c>
      <c r="F231" s="20" t="n">
        <v>1650</v>
      </c>
      <c r="G231" s="20" t="n">
        <v>-2405</v>
      </c>
      <c r="H231" s="20" t="n">
        <v>4913</v>
      </c>
      <c r="I231" s="20" t="n">
        <v>477</v>
      </c>
      <c r="J231" s="20" t="n">
        <v>397</v>
      </c>
      <c r="K231" s="20" t="n">
        <v>501</v>
      </c>
      <c r="L231" s="20" t="n">
        <v>175</v>
      </c>
      <c r="M231" s="20" t="n">
        <v>251</v>
      </c>
      <c r="N231" s="20" t="n">
        <v>33</v>
      </c>
      <c r="T231" s="20" t="n">
        <v>4681</v>
      </c>
      <c r="U231" s="20" t="n">
        <v>-1454</v>
      </c>
      <c r="V231" s="20" t="n">
        <v>-3987</v>
      </c>
      <c r="W231" s="20" t="n">
        <v>-2405</v>
      </c>
      <c r="X231" s="20" t="n">
        <v>501</v>
      </c>
    </row>
    <row r="232">
      <c r="A232" s="18" t="inlineStr">
        <is>
          <t>기타</t>
        </is>
      </c>
      <c r="C232" s="20" t="n">
        <v>-5753</v>
      </c>
      <c r="D232" s="20" t="n">
        <v>-2058</v>
      </c>
      <c r="E232" s="20" t="n">
        <v>2990</v>
      </c>
      <c r="F232" s="20" t="n">
        <v>-4319</v>
      </c>
      <c r="G232" s="20" t="n">
        <v>-5852</v>
      </c>
      <c r="H232" s="20" t="n">
        <v>1198</v>
      </c>
      <c r="I232" s="20" t="n">
        <v>1605</v>
      </c>
      <c r="J232" s="20" t="n">
        <v>2359</v>
      </c>
      <c r="K232" s="20" t="n">
        <v>669</v>
      </c>
      <c r="L232" s="20" t="n">
        <v>4434</v>
      </c>
      <c r="M232" s="20" t="n">
        <v>3732</v>
      </c>
      <c r="N232" s="20" t="n">
        <v>2402</v>
      </c>
      <c r="Q232" s="20" t="n">
        <v>-3403</v>
      </c>
      <c r="R232" s="20" t="n">
        <v>-962</v>
      </c>
      <c r="S232" s="20" t="n">
        <v>-10035</v>
      </c>
      <c r="T232" s="20" t="n">
        <v>-9327</v>
      </c>
      <c r="U232" s="20" t="n">
        <v>-7826</v>
      </c>
      <c r="V232" s="20" t="n">
        <v>-5753</v>
      </c>
      <c r="W232" s="20" t="n">
        <v>-5852</v>
      </c>
      <c r="X232" s="20" t="n">
        <v>669</v>
      </c>
    </row>
    <row r="233">
      <c r="A233" s="18" t="inlineStr">
        <is>
          <t>소계</t>
        </is>
      </c>
      <c r="C233" s="20" t="n">
        <v>589824</v>
      </c>
      <c r="D233" s="20" t="n">
        <v>98786</v>
      </c>
      <c r="E233" s="20" t="n">
        <v>223790</v>
      </c>
      <c r="F233" s="20" t="n">
        <v>295874</v>
      </c>
      <c r="G233" s="20" t="n">
        <v>411888</v>
      </c>
      <c r="H233" s="20" t="n">
        <v>101272</v>
      </c>
      <c r="I233" s="20" t="n">
        <v>201962</v>
      </c>
      <c r="J233" s="20" t="n">
        <v>320523</v>
      </c>
      <c r="K233" s="20" t="n">
        <v>476305</v>
      </c>
      <c r="L233" s="20" t="n">
        <v>111734</v>
      </c>
      <c r="M233" s="20" t="n">
        <v>281929</v>
      </c>
      <c r="N233" s="20" t="n">
        <v>432055</v>
      </c>
      <c r="Q233" s="20" t="n">
        <v>185778</v>
      </c>
      <c r="R233" s="20" t="n">
        <v>206456</v>
      </c>
      <c r="S233" s="20" t="n">
        <v>233274</v>
      </c>
      <c r="T233" s="20" t="n">
        <v>330310</v>
      </c>
      <c r="U233" s="20" t="n">
        <v>532667</v>
      </c>
      <c r="V233" s="20" t="n">
        <v>589824</v>
      </c>
      <c r="W233" s="20" t="n">
        <v>411888</v>
      </c>
      <c r="X233" s="20" t="n">
        <v>476305</v>
      </c>
    </row>
    <row r="234">
      <c r="A234" s="18" t="inlineStr">
        <is>
          <t>이자 수취</t>
        </is>
      </c>
      <c r="C234" s="20" t="n">
        <v>25286</v>
      </c>
      <c r="D234" s="20" t="n">
        <v>6361</v>
      </c>
      <c r="E234" s="20" t="n">
        <v>18199</v>
      </c>
      <c r="F234" s="20" t="n">
        <v>23517</v>
      </c>
      <c r="G234" s="20" t="n">
        <v>27752</v>
      </c>
      <c r="H234" s="20" t="n">
        <v>2502</v>
      </c>
      <c r="I234" s="20" t="n">
        <v>5081</v>
      </c>
      <c r="J234" s="20" t="n">
        <v>7780</v>
      </c>
      <c r="K234" s="20" t="n">
        <v>10449</v>
      </c>
      <c r="L234" s="20" t="n">
        <v>2523</v>
      </c>
      <c r="M234" s="20" t="n">
        <v>5201</v>
      </c>
      <c r="N234" s="20" t="n">
        <v>10596</v>
      </c>
      <c r="Q234" s="20" t="n">
        <v>1485</v>
      </c>
      <c r="R234" s="20" t="n">
        <v>1326</v>
      </c>
      <c r="S234" s="20" t="n">
        <v>307</v>
      </c>
      <c r="T234" s="20" t="n">
        <v>242</v>
      </c>
      <c r="U234" s="20" t="n">
        <v>491</v>
      </c>
      <c r="V234" s="20" t="n">
        <v>25286</v>
      </c>
      <c r="W234" s="20" t="n">
        <v>27752</v>
      </c>
      <c r="X234" s="20" t="n">
        <v>10449</v>
      </c>
    </row>
    <row r="235">
      <c r="A235" s="18" t="inlineStr">
        <is>
          <t>배당금 수취액</t>
        </is>
      </c>
      <c r="C235" s="20" t="n">
        <v>388</v>
      </c>
      <c r="D235" s="20" t="n">
        <v>270</v>
      </c>
      <c r="E235" s="20" t="n">
        <v>294</v>
      </c>
      <c r="F235" s="20" t="n">
        <v>327</v>
      </c>
      <c r="G235" s="20" t="n">
        <v>866</v>
      </c>
      <c r="H235" s="20" t="n">
        <v>13</v>
      </c>
      <c r="I235" s="20" t="n">
        <v>33</v>
      </c>
      <c r="J235" s="20" t="n">
        <v>63</v>
      </c>
      <c r="K235" s="20" t="n">
        <v>1544</v>
      </c>
      <c r="L235" s="20" t="n">
        <v>458</v>
      </c>
      <c r="M235" s="20" t="n">
        <v>562</v>
      </c>
      <c r="N235" s="20" t="n">
        <v>602</v>
      </c>
      <c r="Q235" s="20" t="n">
        <v>48</v>
      </c>
      <c r="R235" s="20" t="n">
        <v>238</v>
      </c>
      <c r="S235" s="20" t="n">
        <v>240</v>
      </c>
      <c r="T235" s="20" t="n">
        <v>300</v>
      </c>
      <c r="U235" s="20" t="n">
        <v>219</v>
      </c>
      <c r="V235" s="20" t="n">
        <v>388</v>
      </c>
      <c r="W235" s="20" t="n">
        <v>866</v>
      </c>
      <c r="X235" s="20" t="n">
        <v>1544</v>
      </c>
    </row>
    <row r="236">
      <c r="A236" s="18" t="inlineStr">
        <is>
          <t>보험금 수취</t>
        </is>
      </c>
      <c r="C236" s="20" t="n">
        <v>17332</v>
      </c>
      <c r="D236" s="20" t="n">
        <v>0</v>
      </c>
      <c r="E236" s="20" t="n">
        <v>1</v>
      </c>
      <c r="F236" s="20" t="n">
        <v>503</v>
      </c>
      <c r="G236" s="20" t="n">
        <v>587</v>
      </c>
      <c r="I236" s="20" t="n">
        <v>150</v>
      </c>
      <c r="J236" s="20" t="n">
        <v>152</v>
      </c>
      <c r="K236" s="20" t="n">
        <v>169</v>
      </c>
      <c r="M236" s="20" t="n">
        <v>69</v>
      </c>
      <c r="N236" s="20" t="n">
        <v>70</v>
      </c>
      <c r="U236" s="20" t="n">
        <v>1467</v>
      </c>
      <c r="V236" s="20" t="n">
        <v>17332</v>
      </c>
      <c r="W236" s="20" t="n">
        <v>587</v>
      </c>
      <c r="X236" s="20" t="n">
        <v>169</v>
      </c>
    </row>
    <row r="237">
      <c r="A237" s="18" t="inlineStr">
        <is>
          <t>법인소득세 지급액</t>
        </is>
      </c>
      <c r="C237" s="20" t="n">
        <v>-136203</v>
      </c>
      <c r="D237" s="20" t="n">
        <v>-43013</v>
      </c>
      <c r="E237" s="20" t="n">
        <v>-40386</v>
      </c>
      <c r="F237" s="20" t="n">
        <v>-89144</v>
      </c>
      <c r="G237" s="20" t="n">
        <v>-108506</v>
      </c>
      <c r="H237" s="20" t="n">
        <v>-8065</v>
      </c>
      <c r="I237" s="20" t="n">
        <v>-9106</v>
      </c>
      <c r="J237" s="20" t="n">
        <v>-31805</v>
      </c>
      <c r="K237" s="20" t="n">
        <v>-35610</v>
      </c>
      <c r="L237" s="20" t="n">
        <v>-29951</v>
      </c>
      <c r="M237" s="20" t="n">
        <v>-30813</v>
      </c>
      <c r="N237" s="20" t="n">
        <v>-59365</v>
      </c>
      <c r="Q237" s="20" t="n">
        <v>-15003</v>
      </c>
      <c r="R237" s="20" t="n">
        <v>-6060</v>
      </c>
      <c r="S237" s="20" t="n">
        <v>-9932</v>
      </c>
      <c r="T237" s="20" t="n">
        <v>-23468</v>
      </c>
      <c r="U237" s="20" t="n">
        <v>-55519</v>
      </c>
      <c r="V237" s="20" t="n">
        <v>-136203</v>
      </c>
      <c r="W237" s="20" t="n">
        <v>-108506</v>
      </c>
      <c r="X237" s="20" t="n">
        <v>-35610</v>
      </c>
    </row>
    <row r="238">
      <c r="A238" s="18" t="inlineStr">
        <is>
          <t>법인세 환급</t>
        </is>
      </c>
      <c r="C238" s="20" t="n">
        <v>0</v>
      </c>
      <c r="F238" s="20" t="n">
        <v>6260</v>
      </c>
      <c r="G238" s="20" t="n">
        <v>7897</v>
      </c>
      <c r="J238" s="20" t="n">
        <v>0</v>
      </c>
      <c r="K238" s="20" t="n">
        <v>0</v>
      </c>
      <c r="V238" s="20" t="n">
        <v>0</v>
      </c>
      <c r="W238" s="20" t="n">
        <v>7897</v>
      </c>
      <c r="X238" s="20" t="n">
        <v>0</v>
      </c>
    </row>
    <row r="239">
      <c r="A239" s="9" t="inlineStr">
        <is>
          <t>영업활동 현금흐름</t>
        </is>
      </c>
      <c r="C239" s="12" t="n">
        <v>496627</v>
      </c>
      <c r="D239" s="12" t="n">
        <v>62404</v>
      </c>
      <c r="E239" s="12" t="n">
        <v>201898</v>
      </c>
      <c r="F239" s="12" t="n">
        <v>237337</v>
      </c>
      <c r="G239" s="12" t="n">
        <v>340484</v>
      </c>
      <c r="H239" s="12" t="n">
        <v>95722</v>
      </c>
      <c r="I239" s="12" t="n">
        <v>198120</v>
      </c>
      <c r="J239" s="12" t="n">
        <v>296713</v>
      </c>
      <c r="K239" s="12" t="n">
        <v>452857</v>
      </c>
      <c r="L239" s="12" t="n">
        <v>84764</v>
      </c>
      <c r="M239" s="12" t="n">
        <v>256948</v>
      </c>
      <c r="N239" s="12" t="n">
        <v>383958</v>
      </c>
      <c r="Q239" s="12" t="n">
        <v>172308</v>
      </c>
      <c r="R239" s="12" t="n">
        <v>201960</v>
      </c>
      <c r="S239" s="12" t="n">
        <v>223889</v>
      </c>
      <c r="T239" s="12" t="n">
        <v>307384</v>
      </c>
      <c r="U239" s="12" t="n">
        <v>479325</v>
      </c>
      <c r="V239" s="12" t="n">
        <v>496627</v>
      </c>
      <c r="W239" s="12" t="n">
        <v>340484</v>
      </c>
      <c r="X239" s="12" t="n">
        <v>452857</v>
      </c>
    </row>
    <row r="240">
      <c r="A240" s="18" t="inlineStr">
        <is>
          <t>유형자산 취득(설비투자)</t>
        </is>
      </c>
      <c r="C240" s="20" t="n">
        <v>-88223</v>
      </c>
      <c r="D240" s="20" t="n">
        <v>-25244</v>
      </c>
      <c r="E240" s="20" t="n">
        <v>-68839</v>
      </c>
      <c r="F240" s="20" t="n">
        <v>-105714</v>
      </c>
      <c r="G240" s="20" t="n">
        <v>-129889</v>
      </c>
      <c r="H240" s="20" t="n">
        <v>-26635</v>
      </c>
      <c r="I240" s="20" t="n">
        <v>-47822</v>
      </c>
      <c r="J240" s="20" t="n">
        <v>-70651</v>
      </c>
      <c r="K240" s="20" t="n">
        <v>-89151</v>
      </c>
      <c r="L240" s="20" t="n">
        <v>-22759</v>
      </c>
      <c r="M240" s="20" t="n">
        <v>-42815</v>
      </c>
      <c r="N240" s="20" t="n">
        <v>-63048</v>
      </c>
      <c r="Q240" s="20" t="n">
        <v>-64513</v>
      </c>
      <c r="R240" s="20" t="n">
        <v>-38284</v>
      </c>
      <c r="S240" s="20" t="n">
        <v>-22261</v>
      </c>
      <c r="T240" s="20" t="n">
        <v>-36938</v>
      </c>
      <c r="U240" s="20" t="n">
        <v>-66135</v>
      </c>
      <c r="V240" s="20" t="n">
        <v>-88223</v>
      </c>
      <c r="W240" s="20" t="n">
        <v>-129889</v>
      </c>
      <c r="X240" s="20" t="n">
        <v>-89151</v>
      </c>
    </row>
    <row r="241">
      <c r="A241" s="18" t="inlineStr">
        <is>
          <t>유형자산 매각</t>
        </is>
      </c>
      <c r="C241" s="20" t="n">
        <v>1783</v>
      </c>
      <c r="D241" s="20" t="n">
        <v>262</v>
      </c>
      <c r="E241" s="20" t="n">
        <v>702</v>
      </c>
      <c r="F241" s="20" t="n">
        <v>784</v>
      </c>
      <c r="G241" s="20" t="n">
        <v>878</v>
      </c>
      <c r="H241" s="20" t="n">
        <v>20</v>
      </c>
      <c r="I241" s="20" t="n">
        <v>1830</v>
      </c>
      <c r="J241" s="20" t="n">
        <v>5113</v>
      </c>
      <c r="K241" s="20" t="n">
        <v>5238</v>
      </c>
      <c r="L241" s="20" t="n">
        <v>227</v>
      </c>
      <c r="M241" s="20" t="n">
        <v>434</v>
      </c>
      <c r="N241" s="20" t="n">
        <v>782</v>
      </c>
      <c r="Q241" s="20" t="n">
        <v>2248</v>
      </c>
      <c r="R241" s="20" t="n">
        <v>755</v>
      </c>
      <c r="S241" s="20" t="n">
        <v>960</v>
      </c>
      <c r="T241" s="20" t="n">
        <v>8408</v>
      </c>
      <c r="U241" s="20" t="n">
        <v>10627</v>
      </c>
      <c r="V241" s="20" t="n">
        <v>1783</v>
      </c>
      <c r="W241" s="20" t="n">
        <v>878</v>
      </c>
      <c r="X241" s="20" t="n">
        <v>5238</v>
      </c>
    </row>
    <row r="242">
      <c r="A242" s="18" t="inlineStr">
        <is>
          <t>무형자산 취득 지출</t>
        </is>
      </c>
      <c r="C242" s="20" t="n">
        <v>-40904</v>
      </c>
      <c r="D242" s="20" t="n">
        <v>-7648</v>
      </c>
      <c r="E242" s="20" t="n">
        <v>-18650</v>
      </c>
      <c r="F242" s="20" t="n">
        <v>-24598</v>
      </c>
      <c r="G242" s="20" t="n">
        <v>-39946</v>
      </c>
      <c r="H242" s="20" t="n">
        <v>-9172</v>
      </c>
      <c r="I242" s="20" t="n">
        <v>-25426</v>
      </c>
      <c r="J242" s="20" t="n">
        <v>-35133</v>
      </c>
      <c r="K242" s="20" t="n">
        <v>-44619</v>
      </c>
      <c r="L242" s="20" t="n">
        <v>-10207</v>
      </c>
      <c r="M242" s="20" t="n">
        <v>-26382</v>
      </c>
      <c r="N242" s="20" t="n">
        <v>-36488</v>
      </c>
      <c r="Q242" s="20" t="n">
        <v>-22361</v>
      </c>
      <c r="R242" s="20" t="n">
        <v>-18084</v>
      </c>
      <c r="S242" s="20" t="n">
        <v>-15925</v>
      </c>
      <c r="T242" s="20" t="n">
        <v>-15408</v>
      </c>
      <c r="U242" s="20" t="n">
        <v>-22064</v>
      </c>
      <c r="V242" s="20" t="n">
        <v>-40904</v>
      </c>
      <c r="W242" s="20" t="n">
        <v>-39946</v>
      </c>
      <c r="X242" s="20" t="n">
        <v>-44619</v>
      </c>
    </row>
    <row r="243">
      <c r="A243" s="18" t="inlineStr">
        <is>
          <t>기타 금융자산 취득</t>
        </is>
      </c>
      <c r="C243" s="20" t="n">
        <v>-5548</v>
      </c>
      <c r="D243" s="20" t="n">
        <v>-688</v>
      </c>
      <c r="E243" s="20" t="n">
        <v>-1433</v>
      </c>
      <c r="F243" s="20" t="n">
        <v>-3290</v>
      </c>
      <c r="G243" s="20" t="n">
        <v>-3964</v>
      </c>
      <c r="H243" s="20" t="n">
        <v>-1225</v>
      </c>
      <c r="I243" s="20" t="n">
        <v>-2482</v>
      </c>
      <c r="J243" s="20" t="n">
        <v>-4007</v>
      </c>
      <c r="K243" s="20" t="n">
        <v>-5219</v>
      </c>
      <c r="L243" s="20" t="n">
        <v>-1100</v>
      </c>
      <c r="M243" s="20" t="n">
        <v>-1680</v>
      </c>
      <c r="N243" s="20" t="n">
        <v>-12173</v>
      </c>
      <c r="Q243" s="20" t="n">
        <v>-766</v>
      </c>
      <c r="R243" s="20" t="n">
        <v>-545</v>
      </c>
      <c r="S243" s="20" t="n">
        <v>-568</v>
      </c>
      <c r="T243" s="20" t="n">
        <v>-1416</v>
      </c>
      <c r="U243" s="20" t="n">
        <v>-5602</v>
      </c>
      <c r="V243" s="20" t="n">
        <v>-5548</v>
      </c>
      <c r="W243" s="20" t="n">
        <v>-3964</v>
      </c>
      <c r="X243" s="20" t="n">
        <v>-5219</v>
      </c>
    </row>
    <row r="244">
      <c r="A244" s="18" t="inlineStr">
        <is>
          <t>기타 금융자산 매각</t>
        </is>
      </c>
      <c r="C244" s="20" t="n">
        <v>676</v>
      </c>
      <c r="D244" s="20" t="n">
        <v>461</v>
      </c>
      <c r="E244" s="20" t="n">
        <v>907</v>
      </c>
      <c r="F244" s="20" t="n">
        <v>2008</v>
      </c>
      <c r="G244" s="20" t="n">
        <v>2422</v>
      </c>
      <c r="H244" s="20" t="n">
        <v>632</v>
      </c>
      <c r="I244" s="20" t="n">
        <v>1460</v>
      </c>
      <c r="J244" s="20" t="n">
        <v>2410</v>
      </c>
      <c r="K244" s="20" t="n">
        <v>4449</v>
      </c>
      <c r="L244" s="20" t="n">
        <v>903</v>
      </c>
      <c r="M244" s="20" t="n">
        <v>1451</v>
      </c>
      <c r="N244" s="20" t="n">
        <v>1723</v>
      </c>
      <c r="Q244" s="20" t="n">
        <v>3175</v>
      </c>
      <c r="R244" s="20" t="n">
        <v>1431</v>
      </c>
      <c r="S244" s="20" t="n">
        <v>430</v>
      </c>
      <c r="T244" s="20" t="n">
        <v>579</v>
      </c>
      <c r="U244" s="20" t="n">
        <v>1268</v>
      </c>
      <c r="V244" s="20" t="n">
        <v>676</v>
      </c>
      <c r="W244" s="20" t="n">
        <v>2422</v>
      </c>
      <c r="X244" s="20" t="n">
        <v>4449</v>
      </c>
    </row>
    <row r="245">
      <c r="A245" s="18" t="inlineStr">
        <is>
          <t>자회사 주식 취득</t>
        </is>
      </c>
      <c r="R245" s="20" t="n">
        <v>-685831</v>
      </c>
      <c r="S245" s="20" t="n">
        <v>0</v>
      </c>
    </row>
    <row r="246">
      <c r="A246" s="18" t="inlineStr">
        <is>
          <t>자회사 취득 지출</t>
        </is>
      </c>
      <c r="C246" s="20" t="n">
        <v>-9738</v>
      </c>
      <c r="D246" s="20" t="n">
        <v>0</v>
      </c>
      <c r="E246" s="20" t="n">
        <v>-52697</v>
      </c>
      <c r="F246" s="20" t="n">
        <v>-962825</v>
      </c>
      <c r="G246" s="20" t="n">
        <v>-962825</v>
      </c>
      <c r="H246" s="20" t="n">
        <v>-2781</v>
      </c>
      <c r="I246" s="20" t="n">
        <v>-2823</v>
      </c>
      <c r="J246" s="20" t="n">
        <v>-2823</v>
      </c>
      <c r="K246" s="20" t="n">
        <v>-6663</v>
      </c>
      <c r="L246" s="20" t="n">
        <v>0</v>
      </c>
      <c r="M246" s="20" t="n">
        <v>-3651</v>
      </c>
      <c r="N246" s="20" t="n">
        <v>-3544</v>
      </c>
      <c r="Q246" s="20" t="n">
        <v>0</v>
      </c>
      <c r="R246" s="20" t="n">
        <v>-685831</v>
      </c>
      <c r="S246" s="20" t="n">
        <v>0</v>
      </c>
      <c r="T246" s="20" t="n">
        <v>-614816</v>
      </c>
      <c r="U246" s="20" t="n">
        <v>-6748</v>
      </c>
      <c r="V246" s="20" t="n">
        <v>-9738</v>
      </c>
      <c r="W246" s="20" t="n">
        <v>-962825</v>
      </c>
      <c r="X246" s="20" t="n">
        <v>-6663</v>
      </c>
    </row>
    <row r="247">
      <c r="A247" s="18" t="inlineStr">
        <is>
          <t>지분법 투자 매각</t>
        </is>
      </c>
      <c r="Q247" s="20" t="n">
        <v>1378</v>
      </c>
      <c r="R247" s="20" t="n">
        <v>0</v>
      </c>
    </row>
    <row r="248">
      <c r="A248" s="18" t="inlineStr">
        <is>
          <t>자회사 주식 조건부 대가 지급</t>
        </is>
      </c>
      <c r="C248" s="20" t="n">
        <v>-210</v>
      </c>
      <c r="F248" s="20" t="n">
        <v>0</v>
      </c>
      <c r="G248" s="20" t="n">
        <v>0</v>
      </c>
      <c r="H248" s="20" t="n">
        <v>0</v>
      </c>
      <c r="I248" s="20" t="n">
        <v>0</v>
      </c>
      <c r="J248" s="20" t="n">
        <v>0</v>
      </c>
      <c r="L248" s="20" t="n">
        <v>-1328</v>
      </c>
      <c r="M248" s="20" t="n">
        <v>-1328</v>
      </c>
      <c r="N248" s="20" t="n">
        <v>-1328</v>
      </c>
      <c r="T248" s="20" t="n">
        <v>0</v>
      </c>
      <c r="U248" s="20" t="n">
        <v>-2103</v>
      </c>
      <c r="V248" s="20" t="n">
        <v>-210</v>
      </c>
      <c r="W248" s="20" t="n">
        <v>0</v>
      </c>
    </row>
    <row r="249">
      <c r="A249" s="18" t="inlineStr">
        <is>
          <t>관계회사 주식 취득</t>
        </is>
      </c>
      <c r="C249" s="20" t="n">
        <v>0</v>
      </c>
      <c r="E249" s="20" t="n">
        <v>0</v>
      </c>
      <c r="F249" s="20" t="n">
        <v>-338</v>
      </c>
      <c r="G249" s="20" t="n">
        <v>-284</v>
      </c>
      <c r="H249" s="20" t="n">
        <v>0</v>
      </c>
      <c r="I249" s="20" t="n">
        <v>-352</v>
      </c>
      <c r="J249" s="20" t="n">
        <v>-698</v>
      </c>
      <c r="K249" s="20" t="n">
        <v>-975</v>
      </c>
      <c r="L249" s="20" t="n">
        <v>-301</v>
      </c>
      <c r="M249" s="20" t="n">
        <v>-445</v>
      </c>
      <c r="N249" s="20" t="n">
        <v>-982</v>
      </c>
      <c r="V249" s="20" t="n">
        <v>0</v>
      </c>
      <c r="W249" s="20" t="n">
        <v>-284</v>
      </c>
      <c r="X249" s="20" t="n">
        <v>-975</v>
      </c>
    </row>
    <row r="250">
      <c r="A250" s="18" t="inlineStr">
        <is>
          <t>보험금 수취</t>
        </is>
      </c>
      <c r="C250" s="20" t="n">
        <v>13333</v>
      </c>
      <c r="D250" s="20" t="n">
        <v>0</v>
      </c>
      <c r="E250" s="20" t="n">
        <v>0</v>
      </c>
      <c r="F250" s="20" t="n">
        <v>0</v>
      </c>
      <c r="G250" s="20" t="n">
        <v>0</v>
      </c>
      <c r="U250" s="20" t="n">
        <v>0</v>
      </c>
      <c r="V250" s="20" t="n">
        <v>13333</v>
      </c>
      <c r="W250" s="20" t="n">
        <v>0</v>
      </c>
    </row>
    <row r="251">
      <c r="A251" s="18" t="inlineStr">
        <is>
          <t>보조금 수입</t>
        </is>
      </c>
      <c r="C251" s="20" t="n">
        <v>5493</v>
      </c>
      <c r="D251" s="20" t="n">
        <v>844</v>
      </c>
      <c r="E251" s="20" t="n">
        <v>4298</v>
      </c>
      <c r="F251" s="20" t="n">
        <v>9743</v>
      </c>
      <c r="U251" s="20" t="n">
        <v>0</v>
      </c>
      <c r="V251" s="20" t="n">
        <v>5493</v>
      </c>
    </row>
    <row r="252">
      <c r="A252" s="18" t="inlineStr">
        <is>
          <t>보조금 수취</t>
        </is>
      </c>
      <c r="C252" s="20" t="n">
        <v>5493</v>
      </c>
      <c r="D252" s="20" t="n">
        <v>844</v>
      </c>
      <c r="E252" s="20" t="n">
        <v>4298</v>
      </c>
      <c r="F252" s="20" t="n">
        <v>9743</v>
      </c>
      <c r="G252" s="20" t="n">
        <v>9791</v>
      </c>
      <c r="H252" s="20" t="n">
        <v>1134</v>
      </c>
      <c r="I252" s="20" t="n">
        <v>3110</v>
      </c>
      <c r="J252" s="20" t="n">
        <v>4143</v>
      </c>
      <c r="K252" s="20" t="n">
        <v>4143</v>
      </c>
      <c r="L252" s="20" t="n">
        <v>15</v>
      </c>
      <c r="M252" s="20" t="n">
        <v>577</v>
      </c>
      <c r="N252" s="20" t="n">
        <v>577</v>
      </c>
      <c r="V252" s="20" t="n">
        <v>5493</v>
      </c>
      <c r="W252" s="20" t="n">
        <v>9791</v>
      </c>
      <c r="X252" s="20" t="n">
        <v>4143</v>
      </c>
    </row>
    <row r="253">
      <c r="A253" s="18" t="inlineStr">
        <is>
          <t>장기대여</t>
        </is>
      </c>
      <c r="C253" s="20" t="n">
        <v>-144150</v>
      </c>
      <c r="D253" s="20" t="n">
        <v>-75330</v>
      </c>
      <c r="E253" s="20" t="n">
        <v>-155220</v>
      </c>
      <c r="F253" s="20" t="n">
        <v>-155220</v>
      </c>
      <c r="G253" s="20" t="n">
        <v>-155220</v>
      </c>
      <c r="H253" s="20" t="n">
        <v>0</v>
      </c>
      <c r="I253" s="20" t="n">
        <v>0</v>
      </c>
      <c r="J253" s="20" t="n">
        <v>0</v>
      </c>
      <c r="K253" s="20" t="n">
        <v>0</v>
      </c>
      <c r="U253" s="20" t="n">
        <v>0</v>
      </c>
      <c r="V253" s="20" t="n">
        <v>-144150</v>
      </c>
      <c r="W253" s="20" t="n">
        <v>-155220</v>
      </c>
      <c r="X253" s="20" t="n">
        <v>0</v>
      </c>
    </row>
    <row r="254">
      <c r="A254" s="18" t="inlineStr">
        <is>
          <t>사업양도 수입</t>
        </is>
      </c>
      <c r="E254" s="20" t="n">
        <v>0</v>
      </c>
      <c r="F254" s="20" t="n">
        <v>0</v>
      </c>
      <c r="G254" s="20" t="n">
        <v>0</v>
      </c>
      <c r="I254" s="20" t="n">
        <v>4728</v>
      </c>
      <c r="J254" s="20" t="n">
        <v>4728</v>
      </c>
      <c r="K254" s="20" t="n">
        <v>4728</v>
      </c>
      <c r="M254" s="20" t="n">
        <v>0</v>
      </c>
      <c r="N254" s="20" t="n">
        <v>234568</v>
      </c>
      <c r="W254" s="20" t="n">
        <v>0</v>
      </c>
      <c r="X254" s="20" t="n">
        <v>4728</v>
      </c>
    </row>
    <row r="255">
      <c r="A255" s="18" t="inlineStr">
        <is>
          <t>기타</t>
        </is>
      </c>
      <c r="C255" s="20" t="n">
        <v>-4</v>
      </c>
      <c r="D255" s="20" t="n">
        <v>-2873</v>
      </c>
      <c r="E255" s="20" t="n">
        <v>3871</v>
      </c>
      <c r="F255" s="20" t="n">
        <v>-4007</v>
      </c>
      <c r="G255" s="20" t="n">
        <v>-5068</v>
      </c>
      <c r="H255" s="20" t="n">
        <v>-837</v>
      </c>
      <c r="I255" s="20" t="n">
        <v>3914</v>
      </c>
      <c r="J255" s="20" t="n">
        <v>2404</v>
      </c>
      <c r="K255" s="20" t="n">
        <v>3383</v>
      </c>
      <c r="L255" s="20" t="n">
        <v>-3224</v>
      </c>
      <c r="M255" s="20" t="n">
        <v>-1841</v>
      </c>
      <c r="N255" s="20" t="n">
        <v>-3525</v>
      </c>
      <c r="Q255" s="20" t="n">
        <v>-33</v>
      </c>
      <c r="R255" s="20" t="n">
        <v>-1604</v>
      </c>
      <c r="S255" s="20" t="n">
        <v>-2799</v>
      </c>
      <c r="T255" s="20" t="n">
        <v>-3535</v>
      </c>
      <c r="U255" s="20" t="n">
        <v>-6766</v>
      </c>
      <c r="V255" s="20" t="n">
        <v>-4</v>
      </c>
      <c r="W255" s="20" t="n">
        <v>-5068</v>
      </c>
      <c r="X255" s="20" t="n">
        <v>3383</v>
      </c>
    </row>
    <row r="256">
      <c r="A256" s="9" t="inlineStr">
        <is>
          <t>투자활동 현금흐름</t>
        </is>
      </c>
      <c r="C256" s="12" t="n">
        <v>-267492</v>
      </c>
      <c r="D256" s="12" t="n">
        <v>-110216</v>
      </c>
      <c r="E256" s="12" t="n">
        <v>-287061</v>
      </c>
      <c r="F256" s="12" t="n">
        <v>-1243457</v>
      </c>
      <c r="G256" s="12" t="n">
        <v>-1284105</v>
      </c>
      <c r="H256" s="12" t="n">
        <v>-38864</v>
      </c>
      <c r="I256" s="12" t="n">
        <v>-63863</v>
      </c>
      <c r="J256" s="12" t="n">
        <v>-94514</v>
      </c>
      <c r="K256" s="12" t="n">
        <v>-124686</v>
      </c>
      <c r="L256" s="12" t="n">
        <v>-37774</v>
      </c>
      <c r="M256" s="12" t="n">
        <v>-75680</v>
      </c>
      <c r="N256" s="12" t="n">
        <v>116562</v>
      </c>
      <c r="Q256" s="12" t="n">
        <v>-80872</v>
      </c>
      <c r="R256" s="12" t="n">
        <v>-742162</v>
      </c>
      <c r="S256" s="12" t="n">
        <v>-40163</v>
      </c>
      <c r="T256" s="12" t="n">
        <v>-663126</v>
      </c>
      <c r="U256" s="12" t="n">
        <v>-97523</v>
      </c>
      <c r="V256" s="12" t="n">
        <v>-267492</v>
      </c>
      <c r="W256" s="12" t="n">
        <v>-1284105</v>
      </c>
      <c r="X256" s="12" t="n">
        <v>-124686</v>
      </c>
    </row>
    <row r="257">
      <c r="A257" s="18" t="inlineStr">
        <is>
          <t>단기차입금 순증감액</t>
        </is>
      </c>
      <c r="Q257" s="20" t="n">
        <v>10000</v>
      </c>
      <c r="R257" s="20" t="n">
        <v>-45000</v>
      </c>
      <c r="S257" s="20" t="n">
        <v>0</v>
      </c>
    </row>
    <row r="258">
      <c r="A258" s="18" t="inlineStr">
        <is>
          <t>단기차입</t>
        </is>
      </c>
      <c r="C258" s="20" t="n">
        <v>0</v>
      </c>
      <c r="D258" s="20" t="n">
        <v>30000</v>
      </c>
      <c r="E258" s="20" t="n">
        <v>30000</v>
      </c>
      <c r="F258" s="20" t="n">
        <v>180000</v>
      </c>
      <c r="G258" s="20" t="n">
        <v>180000</v>
      </c>
      <c r="H258" s="20" t="n">
        <v>0</v>
      </c>
      <c r="I258" s="20" t="n">
        <v>38000</v>
      </c>
      <c r="J258" s="20" t="n">
        <v>38000</v>
      </c>
      <c r="K258" s="20" t="n">
        <v>38000</v>
      </c>
      <c r="M258" s="20" t="n">
        <v>0</v>
      </c>
      <c r="N258" s="20" t="n">
        <v>0</v>
      </c>
      <c r="S258" s="20" t="n">
        <v>0</v>
      </c>
      <c r="T258" s="20" t="n">
        <v>270000</v>
      </c>
      <c r="U258" s="20" t="n">
        <v>50000</v>
      </c>
      <c r="V258" s="20" t="n">
        <v>0</v>
      </c>
      <c r="W258" s="20" t="n">
        <v>180000</v>
      </c>
      <c r="X258" s="20" t="n">
        <v>38000</v>
      </c>
    </row>
    <row r="259">
      <c r="A259" s="18" t="inlineStr">
        <is>
          <t>단기차입금 상환</t>
        </is>
      </c>
      <c r="C259" s="20" t="n">
        <v>0</v>
      </c>
      <c r="E259" s="20" t="n">
        <v>-30000</v>
      </c>
      <c r="F259" s="20" t="n">
        <v>-180000</v>
      </c>
      <c r="G259" s="20" t="n">
        <v>-180316</v>
      </c>
      <c r="I259" s="20" t="n">
        <v>-28000</v>
      </c>
      <c r="J259" s="20" t="n">
        <v>-38000</v>
      </c>
      <c r="K259" s="20" t="n">
        <v>-38000</v>
      </c>
      <c r="M259" s="20" t="n">
        <v>0</v>
      </c>
      <c r="N259" s="20" t="n">
        <v>0</v>
      </c>
      <c r="S259" s="20" t="n">
        <v>0</v>
      </c>
      <c r="T259" s="20" t="n">
        <v>-270000</v>
      </c>
      <c r="U259" s="20" t="n">
        <v>-51180</v>
      </c>
      <c r="V259" s="20" t="n">
        <v>0</v>
      </c>
      <c r="W259" s="20" t="n">
        <v>-180316</v>
      </c>
      <c r="X259" s="20" t="n">
        <v>-38000</v>
      </c>
    </row>
    <row r="260">
      <c r="A260" s="18" t="inlineStr">
        <is>
          <t>장기차입</t>
        </is>
      </c>
      <c r="C260" s="20" t="n">
        <v>0</v>
      </c>
      <c r="E260" s="20" t="n">
        <v>250000</v>
      </c>
      <c r="F260" s="20" t="n">
        <v>1187000</v>
      </c>
      <c r="G260" s="20" t="n">
        <v>1187000</v>
      </c>
      <c r="I260" s="20" t="n">
        <v>0</v>
      </c>
      <c r="J260" s="20" t="n">
        <v>0</v>
      </c>
      <c r="K260" s="20" t="n">
        <v>0</v>
      </c>
      <c r="Q260" s="20" t="n">
        <v>0</v>
      </c>
      <c r="R260" s="20" t="n">
        <v>847000</v>
      </c>
      <c r="S260" s="20" t="n">
        <v>0</v>
      </c>
      <c r="T260" s="20" t="n">
        <v>240000</v>
      </c>
      <c r="U260" s="20" t="n">
        <v>47096</v>
      </c>
      <c r="V260" s="20" t="n">
        <v>0</v>
      </c>
      <c r="W260" s="20" t="n">
        <v>1187000</v>
      </c>
      <c r="X260" s="20" t="n">
        <v>0</v>
      </c>
    </row>
    <row r="261">
      <c r="A261" s="18" t="inlineStr">
        <is>
          <t>장기차입금 상환</t>
        </is>
      </c>
      <c r="C261" s="20" t="n">
        <v>-120015</v>
      </c>
      <c r="D261" s="20" t="n">
        <v>-182009</v>
      </c>
      <c r="E261" s="20" t="n">
        <v>-329584</v>
      </c>
      <c r="F261" s="20" t="n">
        <v>-341844</v>
      </c>
      <c r="G261" s="20" t="n">
        <v>-377529</v>
      </c>
      <c r="H261" s="20" t="n">
        <v>-35685</v>
      </c>
      <c r="I261" s="20" t="n">
        <v>-71370</v>
      </c>
      <c r="J261" s="20" t="n">
        <v>-107054</v>
      </c>
      <c r="K261" s="20" t="n">
        <v>-192738</v>
      </c>
      <c r="L261" s="20" t="n">
        <v>-27049</v>
      </c>
      <c r="M261" s="20" t="n">
        <v>-54099</v>
      </c>
      <c r="N261" s="20" t="n">
        <v>-81148</v>
      </c>
      <c r="Q261" s="20" t="n">
        <v>-46529</v>
      </c>
      <c r="R261" s="20" t="n">
        <v>-217645</v>
      </c>
      <c r="S261" s="20" t="n">
        <v>-93295</v>
      </c>
      <c r="T261" s="20" t="n">
        <v>-262777</v>
      </c>
      <c r="U261" s="20" t="n">
        <v>-128767</v>
      </c>
      <c r="V261" s="20" t="n">
        <v>-120015</v>
      </c>
      <c r="W261" s="20" t="n">
        <v>-377529</v>
      </c>
      <c r="X261" s="20" t="n">
        <v>-192738</v>
      </c>
    </row>
    <row r="262">
      <c r="A262" s="18" t="inlineStr">
        <is>
          <t>사채 발행</t>
        </is>
      </c>
      <c r="S262" s="20" t="n">
        <v>0</v>
      </c>
      <c r="T262" s="20" t="n">
        <v>154359</v>
      </c>
      <c r="U262" s="20" t="n">
        <v>0</v>
      </c>
    </row>
    <row r="263">
      <c r="A263" s="18" t="inlineStr">
        <is>
          <t>주식 발행</t>
        </is>
      </c>
      <c r="S263" s="20" t="n">
        <v>0</v>
      </c>
      <c r="T263" s="20" t="n">
        <v>223799</v>
      </c>
      <c r="U263" s="20" t="n">
        <v>0</v>
      </c>
    </row>
    <row r="264">
      <c r="A264" s="18" t="inlineStr">
        <is>
          <t>주식 발행비 지급</t>
        </is>
      </c>
      <c r="S264" s="20" t="n">
        <v>0</v>
      </c>
      <c r="T264" s="20" t="n">
        <v>-1179</v>
      </c>
      <c r="U264" s="20" t="n">
        <v>0</v>
      </c>
    </row>
    <row r="265">
      <c r="A265" s="18" t="inlineStr">
        <is>
          <t>사채 상환</t>
        </is>
      </c>
      <c r="C265" s="20" t="n">
        <v>0</v>
      </c>
      <c r="G265" s="20" t="n">
        <v>-57170</v>
      </c>
      <c r="K265" s="20" t="n">
        <v>0</v>
      </c>
      <c r="V265" s="20" t="n">
        <v>0</v>
      </c>
      <c r="W265" s="20" t="n">
        <v>-57170</v>
      </c>
      <c r="X265" s="20" t="n">
        <v>0</v>
      </c>
    </row>
    <row r="266">
      <c r="A266" s="18" t="inlineStr">
        <is>
          <t>자기주식 취득</t>
        </is>
      </c>
      <c r="C266" s="20" t="n">
        <v>-50000</v>
      </c>
      <c r="E266" s="20" t="n">
        <v>0</v>
      </c>
      <c r="F266" s="20" t="n">
        <v>0</v>
      </c>
      <c r="G266" s="20" t="n">
        <v>0</v>
      </c>
      <c r="T266" s="20" t="n">
        <v>0</v>
      </c>
      <c r="U266" s="20" t="n">
        <v>-200000</v>
      </c>
      <c r="V266" s="20" t="n">
        <v>-50000</v>
      </c>
      <c r="W266" s="20" t="n">
        <v>0</v>
      </c>
    </row>
    <row r="267">
      <c r="A267" s="18" t="inlineStr">
        <is>
          <t>배당금 지급</t>
        </is>
      </c>
      <c r="C267" s="20" t="n">
        <v>0</v>
      </c>
      <c r="D267" s="20" t="n">
        <v>-47207</v>
      </c>
      <c r="E267" s="20" t="n">
        <v>-49702</v>
      </c>
      <c r="F267" s="20" t="n">
        <v>-49702</v>
      </c>
      <c r="G267" s="20" t="n">
        <v>-49702</v>
      </c>
      <c r="H267" s="20" t="n">
        <v>-48850</v>
      </c>
      <c r="I267" s="20" t="n">
        <v>-50300</v>
      </c>
      <c r="J267" s="20" t="n">
        <v>-50307</v>
      </c>
      <c r="K267" s="20" t="n">
        <v>-50311</v>
      </c>
      <c r="L267" s="20" t="n">
        <v>-50584</v>
      </c>
      <c r="M267" s="20" t="n">
        <v>-50802</v>
      </c>
      <c r="N267" s="20" t="n">
        <v>-50805</v>
      </c>
      <c r="V267" s="20" t="n">
        <v>0</v>
      </c>
      <c r="W267" s="20" t="n">
        <v>-49702</v>
      </c>
      <c r="X267" s="20" t="n">
        <v>-50311</v>
      </c>
    </row>
    <row r="268">
      <c r="A268" s="18" t="inlineStr">
        <is>
          <t>리스부채 상환 지출</t>
        </is>
      </c>
      <c r="C268" s="20" t="n">
        <v>-5796</v>
      </c>
      <c r="D268" s="20" t="n">
        <v>-665</v>
      </c>
      <c r="E268" s="20" t="n">
        <v>-2977</v>
      </c>
      <c r="F268" s="20" t="n">
        <v>-3952</v>
      </c>
      <c r="G268" s="20" t="n">
        <v>-9931</v>
      </c>
      <c r="H268" s="20" t="n">
        <v>-2483</v>
      </c>
      <c r="I268" s="20" t="n">
        <v>-4966</v>
      </c>
      <c r="J268" s="20" t="n">
        <v>-7448</v>
      </c>
      <c r="K268" s="20" t="n">
        <v>-10784</v>
      </c>
      <c r="L268" s="20" t="n">
        <v>-2696</v>
      </c>
      <c r="M268" s="20" t="n">
        <v>-5392</v>
      </c>
      <c r="N268" s="20" t="n">
        <v>-8088</v>
      </c>
      <c r="Q268" s="20" t="n">
        <v>-916</v>
      </c>
      <c r="R268" s="20" t="n">
        <v>-5726</v>
      </c>
      <c r="S268" s="20" t="n">
        <v>-4840</v>
      </c>
      <c r="T268" s="20" t="n">
        <v>-4571</v>
      </c>
      <c r="U268" s="20" t="n">
        <v>-5901</v>
      </c>
      <c r="V268" s="20" t="n">
        <v>-5796</v>
      </c>
      <c r="W268" s="20" t="n">
        <v>-9931</v>
      </c>
      <c r="X268" s="20" t="n">
        <v>-10784</v>
      </c>
    </row>
    <row r="269">
      <c r="A269" s="18" t="inlineStr">
        <is>
          <t>이자 지급</t>
        </is>
      </c>
      <c r="C269" s="20" t="n">
        <v>-5424</v>
      </c>
      <c r="D269" s="20" t="n">
        <v>-323</v>
      </c>
      <c r="E269" s="20" t="n">
        <v>-3959</v>
      </c>
      <c r="F269" s="20" t="n">
        <v>-10883</v>
      </c>
      <c r="G269" s="20" t="n">
        <v>-15001</v>
      </c>
      <c r="H269" s="20" t="n">
        <v>-3269</v>
      </c>
      <c r="I269" s="20" t="n">
        <v>-7900</v>
      </c>
      <c r="J269" s="20" t="n">
        <v>-11859</v>
      </c>
      <c r="K269" s="20" t="n">
        <v>-15834</v>
      </c>
      <c r="L269" s="20" t="n">
        <v>-4436</v>
      </c>
      <c r="M269" s="20" t="n">
        <v>-9228</v>
      </c>
      <c r="N269" s="20" t="n">
        <v>-14527</v>
      </c>
      <c r="Q269" s="20" t="n">
        <v>-1806</v>
      </c>
      <c r="R269" s="20" t="n">
        <v>-12796</v>
      </c>
      <c r="S269" s="20" t="n">
        <v>-6264</v>
      </c>
      <c r="T269" s="20" t="n">
        <v>-8682</v>
      </c>
      <c r="U269" s="20" t="n">
        <v>-5947</v>
      </c>
      <c r="V269" s="20" t="n">
        <v>-5424</v>
      </c>
      <c r="W269" s="20" t="n">
        <v>-15001</v>
      </c>
      <c r="X269" s="20" t="n">
        <v>-15834</v>
      </c>
    </row>
    <row r="270">
      <c r="A270" s="18" t="inlineStr">
        <is>
          <t>사채 매입 소각</t>
        </is>
      </c>
      <c r="Q270" s="20" t="n">
        <v>0</v>
      </c>
      <c r="R270" s="20" t="n">
        <v>-65409</v>
      </c>
    </row>
    <row r="271">
      <c r="A271" s="18" t="inlineStr">
        <is>
          <t>사채 매입 소각</t>
        </is>
      </c>
      <c r="R271" s="20" t="n">
        <v>-65409</v>
      </c>
      <c r="S271" s="20" t="n">
        <v>0</v>
      </c>
    </row>
    <row r="272">
      <c r="A272" s="18" t="inlineStr">
        <is>
          <t>기타</t>
        </is>
      </c>
      <c r="C272" s="20" t="n">
        <v>-12</v>
      </c>
      <c r="E272" s="20" t="n">
        <v>-3</v>
      </c>
      <c r="F272" s="20" t="n">
        <v>-4</v>
      </c>
      <c r="G272" s="20" t="n">
        <v>-6</v>
      </c>
      <c r="H272" s="20" t="n">
        <v>0</v>
      </c>
      <c r="I272" s="20" t="n">
        <v>-4</v>
      </c>
      <c r="J272" s="20" t="n">
        <v>-4</v>
      </c>
      <c r="K272" s="20" t="n">
        <v>-6</v>
      </c>
      <c r="L272" s="20" t="n">
        <v>-1</v>
      </c>
      <c r="M272" s="20" t="n">
        <v>-3</v>
      </c>
      <c r="N272" s="20" t="n">
        <v>-6</v>
      </c>
      <c r="Q272" s="20" t="n">
        <v>0</v>
      </c>
      <c r="R272" s="20" t="n">
        <v>42</v>
      </c>
      <c r="S272" s="20" t="n">
        <v>-71</v>
      </c>
      <c r="T272" s="20" t="n">
        <v>-34</v>
      </c>
      <c r="U272" s="20" t="n">
        <v>-71</v>
      </c>
      <c r="V272" s="20" t="n">
        <v>-12</v>
      </c>
      <c r="W272" s="20" t="n">
        <v>-6</v>
      </c>
      <c r="X272" s="20" t="n">
        <v>-6</v>
      </c>
    </row>
    <row r="273">
      <c r="A273" s="9" t="inlineStr">
        <is>
          <t>재무활동 현금흐름</t>
        </is>
      </c>
      <c r="C273" s="12" t="n">
        <v>-181247</v>
      </c>
      <c r="D273" s="12" t="n">
        <v>-200204</v>
      </c>
      <c r="E273" s="12" t="n">
        <v>-136225</v>
      </c>
      <c r="F273" s="12" t="n">
        <v>780615</v>
      </c>
      <c r="G273" s="12" t="n">
        <v>677345</v>
      </c>
      <c r="H273" s="12" t="n">
        <v>-90287</v>
      </c>
      <c r="I273" s="12" t="n">
        <v>-124540</v>
      </c>
      <c r="J273" s="12" t="n">
        <v>-176672</v>
      </c>
      <c r="K273" s="12" t="n">
        <v>-269673</v>
      </c>
      <c r="L273" s="12" t="n">
        <v>-84766</v>
      </c>
      <c r="M273" s="12" t="n">
        <v>-119524</v>
      </c>
      <c r="N273" s="12" t="n">
        <v>-154574</v>
      </c>
      <c r="Q273" s="12" t="n">
        <v>-39251</v>
      </c>
      <c r="R273" s="12" t="n">
        <v>500466</v>
      </c>
      <c r="S273" s="12" t="n">
        <v>-104470</v>
      </c>
      <c r="T273" s="12" t="n">
        <v>340915</v>
      </c>
      <c r="U273" s="12" t="n">
        <v>-294770</v>
      </c>
      <c r="V273" s="12" t="n">
        <v>-181247</v>
      </c>
      <c r="W273" s="12" t="n">
        <v>677345</v>
      </c>
      <c r="X273" s="12" t="n">
        <v>-269673</v>
      </c>
    </row>
    <row r="274">
      <c r="A274" s="18" t="inlineStr">
        <is>
          <t>현금성자산 환산차이</t>
        </is>
      </c>
      <c r="C274" s="20" t="n">
        <v>50725</v>
      </c>
      <c r="D274" s="20" t="n">
        <v>45175</v>
      </c>
      <c r="E274" s="20" t="n">
        <v>75065</v>
      </c>
      <c r="F274" s="20" t="n">
        <v>29954</v>
      </c>
      <c r="G274" s="20" t="n">
        <v>60844</v>
      </c>
      <c r="H274" s="20" t="n">
        <v>-18219</v>
      </c>
      <c r="I274" s="20" t="n">
        <v>-27855</v>
      </c>
      <c r="J274" s="20" t="n">
        <v>-16340</v>
      </c>
      <c r="K274" s="20" t="n">
        <v>8150</v>
      </c>
      <c r="L274" s="20" t="n">
        <v>9508</v>
      </c>
      <c r="M274" s="20" t="n">
        <v>18376</v>
      </c>
      <c r="N274" s="20" t="n">
        <v>-4661</v>
      </c>
      <c r="Q274" s="20" t="n">
        <v>-2910</v>
      </c>
      <c r="R274" s="20" t="n">
        <v>-2616</v>
      </c>
      <c r="S274" s="20" t="n">
        <v>-5938</v>
      </c>
      <c r="T274" s="20" t="n">
        <v>16965</v>
      </c>
      <c r="U274" s="20" t="n">
        <v>27112</v>
      </c>
      <c r="V274" s="20" t="n">
        <v>50725</v>
      </c>
      <c r="W274" s="20" t="n">
        <v>60844</v>
      </c>
      <c r="X274" s="20" t="n">
        <v>8150</v>
      </c>
    </row>
    <row r="275">
      <c r="A275" s="18" t="inlineStr">
        <is>
          <t>현금성자산 증감</t>
        </is>
      </c>
      <c r="C275" s="20" t="n">
        <v>98613</v>
      </c>
      <c r="D275" s="20" t="n">
        <v>-202841</v>
      </c>
      <c r="E275" s="20" t="n">
        <v>-146323</v>
      </c>
      <c r="F275" s="20" t="n">
        <v>-195551</v>
      </c>
      <c r="G275" s="20" t="n">
        <v>-205432</v>
      </c>
      <c r="H275" s="20" t="n">
        <v>-51648</v>
      </c>
      <c r="I275" s="20" t="n">
        <v>-18138</v>
      </c>
      <c r="J275" s="20" t="n">
        <v>9187</v>
      </c>
      <c r="K275" s="20" t="n">
        <v>66648</v>
      </c>
      <c r="L275" s="20" t="n">
        <v>-28268</v>
      </c>
      <c r="M275" s="20" t="n">
        <v>80120</v>
      </c>
      <c r="N275" s="20" t="n">
        <v>341285</v>
      </c>
      <c r="Q275" s="20" t="n">
        <v>49275</v>
      </c>
      <c r="R275" s="20" t="n">
        <v>-42352</v>
      </c>
      <c r="S275" s="20" t="n">
        <v>73318</v>
      </c>
      <c r="T275" s="20" t="n">
        <v>2138</v>
      </c>
      <c r="U275" s="20" t="n">
        <v>114144</v>
      </c>
      <c r="V275" s="20" t="n">
        <v>98613</v>
      </c>
      <c r="W275" s="20" t="n">
        <v>-205432</v>
      </c>
      <c r="X275" s="20" t="n">
        <v>66648</v>
      </c>
    </row>
    <row r="276">
      <c r="A276" s="9" t="inlineStr">
        <is>
          <t>법인세차감전 순이익</t>
        </is>
      </c>
      <c r="P276" s="12" t="n">
        <v>84792</v>
      </c>
      <c r="Q276" s="12" t="n">
        <v>55646</v>
      </c>
    </row>
    <row r="277">
      <c r="A277" s="18" t="inlineStr">
        <is>
          <t>감가상각비</t>
        </is>
      </c>
      <c r="P277" s="20" t="n">
        <v>76495</v>
      </c>
      <c r="Q277" s="20" t="n">
        <v>90853</v>
      </c>
    </row>
    <row r="278">
      <c r="A278" s="18" t="inlineStr">
        <is>
          <t>장기선급비용 상각액</t>
        </is>
      </c>
      <c r="P278" s="20" t="n">
        <v>14807</v>
      </c>
      <c r="Q278" s="20" t="n">
        <v>16230</v>
      </c>
    </row>
    <row r="279">
      <c r="A279" s="18" t="inlineStr">
        <is>
          <t>손상차손</t>
        </is>
      </c>
      <c r="P279" s="20" t="n">
        <v>1218</v>
      </c>
      <c r="Q279" s="20" t="n">
        <v>1526</v>
      </c>
    </row>
    <row r="280">
      <c r="A280" s="18" t="inlineStr">
        <is>
          <t>영업권 상각</t>
        </is>
      </c>
      <c r="P280" s="20" t="n">
        <v>17445</v>
      </c>
      <c r="Q280" s="20" t="n">
        <v>20679</v>
      </c>
    </row>
    <row r="281">
      <c r="A281" s="18" t="inlineStr">
        <is>
          <t>퇴직급여부채 증감</t>
        </is>
      </c>
      <c r="P281" s="20" t="n">
        <v>-8442</v>
      </c>
      <c r="Q281" s="20" t="n">
        <v>-10394</v>
      </c>
    </row>
    <row r="282">
      <c r="A282" s="18" t="inlineStr">
        <is>
          <t>사업구조개선 충당금 증감액</t>
        </is>
      </c>
      <c r="P282" s="20" t="n">
        <v>559</v>
      </c>
      <c r="Q282" s="20" t="n">
        <v>-1018</v>
      </c>
    </row>
    <row r="283">
      <c r="A283" s="18" t="inlineStr">
        <is>
          <t>우발손실충당금 증감</t>
        </is>
      </c>
      <c r="P283" s="20" t="n">
        <v>49</v>
      </c>
      <c r="Q283" s="20" t="n">
        <v>-3022</v>
      </c>
    </row>
    <row r="284">
      <c r="A284" s="18" t="inlineStr">
        <is>
          <t>이자·배당금 수익</t>
        </is>
      </c>
      <c r="P284" s="20" t="n">
        <v>-624</v>
      </c>
      <c r="Q284" s="20" t="n">
        <v>-1482</v>
      </c>
    </row>
    <row r="285">
      <c r="A285" s="18" t="inlineStr">
        <is>
          <t>보험금 수익</t>
        </is>
      </c>
      <c r="P285" s="20" t="n">
        <v>-10528</v>
      </c>
      <c r="Q285" s="20" t="n">
        <v>-449</v>
      </c>
    </row>
    <row r="286">
      <c r="A286" s="18" t="inlineStr">
        <is>
          <t>이자비용</t>
        </is>
      </c>
      <c r="P286" s="20" t="n">
        <v>1981</v>
      </c>
      <c r="Q286" s="20" t="n">
        <v>1782</v>
      </c>
    </row>
    <row r="287">
      <c r="A287" s="18" t="inlineStr">
        <is>
          <t>지분법손익</t>
        </is>
      </c>
      <c r="P287" s="20" t="n">
        <v>-114</v>
      </c>
      <c r="Q287" s="20" t="n">
        <v>-37</v>
      </c>
    </row>
    <row r="288">
      <c r="A288" s="18" t="inlineStr">
        <is>
          <t>고정자산 매각손익</t>
        </is>
      </c>
      <c r="P288" s="20" t="n">
        <v>-485</v>
      </c>
      <c r="Q288" s="20" t="n">
        <v>-1025</v>
      </c>
    </row>
    <row r="289">
      <c r="A289" s="18" t="inlineStr">
        <is>
          <t>사업구조개선비용</t>
        </is>
      </c>
      <c r="P289" s="20" t="n">
        <v>1769</v>
      </c>
      <c r="Q289" s="20" t="n">
        <v>2366</v>
      </c>
    </row>
    <row r="290">
      <c r="A290" s="18" t="inlineStr">
        <is>
          <t>사업양도 손익</t>
        </is>
      </c>
      <c r="P290" s="20" t="n">
        <v>-3847</v>
      </c>
      <c r="Q290" s="20" t="n">
        <v>0</v>
      </c>
    </row>
    <row r="291">
      <c r="A291" s="18" t="inlineStr">
        <is>
          <t>보상비 지급</t>
        </is>
      </c>
      <c r="P291" s="20" t="n">
        <v>0</v>
      </c>
      <c r="Q291" s="20" t="n">
        <v>7652</v>
      </c>
    </row>
    <row r="292">
      <c r="A292" s="18" t="inlineStr">
        <is>
          <t>매출채권 증감</t>
        </is>
      </c>
      <c r="P292" s="20" t="n">
        <v>-9839</v>
      </c>
      <c r="Q292" s="20" t="n">
        <v>20317</v>
      </c>
    </row>
    <row r="293">
      <c r="A293" s="18" t="inlineStr">
        <is>
          <t>재고자산 증감</t>
        </is>
      </c>
      <c r="P293" s="20" t="n">
        <v>-10528</v>
      </c>
      <c r="Q293" s="20" t="n">
        <v>7238</v>
      </c>
    </row>
    <row r="294">
      <c r="A294" s="18" t="inlineStr">
        <is>
          <t>미수금 증감</t>
        </is>
      </c>
      <c r="P294" s="20" t="n">
        <v>-750</v>
      </c>
      <c r="Q294" s="20" t="n">
        <v>6220</v>
      </c>
    </row>
    <row r="295">
      <c r="A295" s="18" t="inlineStr">
        <is>
          <t>매입채무 증감</t>
        </is>
      </c>
      <c r="P295" s="20" t="n">
        <v>8903</v>
      </c>
      <c r="Q295" s="20" t="n">
        <v>-25236</v>
      </c>
    </row>
    <row r="296">
      <c r="A296" s="18" t="inlineStr">
        <is>
          <t>미지급금·미지급비용 증감</t>
        </is>
      </c>
      <c r="P296" s="20" t="n">
        <v>-10745</v>
      </c>
      <c r="Q296" s="20" t="n">
        <v>-1223</v>
      </c>
    </row>
    <row r="297">
      <c r="A297" s="18" t="inlineStr">
        <is>
          <t>기타 유동부채 증감</t>
        </is>
      </c>
      <c r="P297" s="20" t="n">
        <v>3270</v>
      </c>
      <c r="Q297" s="20" t="n">
        <v>-6134</v>
      </c>
    </row>
    <row r="298">
      <c r="A298" s="18" t="inlineStr">
        <is>
          <t>기타</t>
        </is>
      </c>
      <c r="P298" s="20" t="n">
        <v>4405</v>
      </c>
      <c r="Q298" s="20" t="n">
        <v>5963</v>
      </c>
    </row>
    <row r="299">
      <c r="A299" s="18" t="inlineStr">
        <is>
          <t>소계</t>
        </is>
      </c>
      <c r="P299" s="20" t="n">
        <v>159791</v>
      </c>
      <c r="Q299" s="20" t="n">
        <v>186452</v>
      </c>
    </row>
    <row r="300">
      <c r="A300" s="18" t="inlineStr">
        <is>
          <t>이자·배당금 수취</t>
        </is>
      </c>
      <c r="P300" s="20" t="n">
        <v>676</v>
      </c>
      <c r="Q300" s="20" t="n">
        <v>1533</v>
      </c>
    </row>
    <row r="301">
      <c r="A301" s="18" t="inlineStr">
        <is>
          <t>보험금 수취</t>
        </is>
      </c>
      <c r="P301" s="20" t="n">
        <v>11528</v>
      </c>
      <c r="Q301" s="20" t="n">
        <v>449</v>
      </c>
    </row>
    <row r="302">
      <c r="A302" s="18" t="inlineStr">
        <is>
          <t>이자 지급</t>
        </is>
      </c>
      <c r="P302" s="20" t="n">
        <v>-1919</v>
      </c>
      <c r="Q302" s="20" t="n">
        <v>-1775</v>
      </c>
    </row>
    <row r="303">
      <c r="A303" s="18" t="inlineStr">
        <is>
          <t>법인세 납부·환급</t>
        </is>
      </c>
      <c r="P303" s="20" t="n">
        <v>-3532</v>
      </c>
      <c r="Q303" s="20" t="n">
        <v>-15118</v>
      </c>
    </row>
    <row r="304">
      <c r="A304" s="18" t="inlineStr">
        <is>
          <t>보상비 지급</t>
        </is>
      </c>
      <c r="P304" s="20" t="n">
        <v>0</v>
      </c>
      <c r="Q304" s="20" t="n">
        <v>-7198</v>
      </c>
    </row>
    <row r="305">
      <c r="A305" s="18" t="inlineStr">
        <is>
          <t>재해손실 지급</t>
        </is>
      </c>
      <c r="P305" s="20" t="n">
        <v>-2322</v>
      </c>
      <c r="Q305" s="20" t="n">
        <v>-186</v>
      </c>
    </row>
    <row r="306">
      <c r="A306" s="9" t="inlineStr">
        <is>
          <t>영업활동 현금흐름</t>
        </is>
      </c>
      <c r="P306" s="12" t="n">
        <v>164222</v>
      </c>
      <c r="Q306" s="12" t="n">
        <v>164157</v>
      </c>
    </row>
    <row r="307">
      <c r="A307" s="18" t="inlineStr">
        <is>
          <t>유형자산 취득(설비투자)</t>
        </is>
      </c>
      <c r="P307" s="20" t="n">
        <v>-114747</v>
      </c>
      <c r="Q307" s="20" t="n">
        <v>-60281</v>
      </c>
    </row>
    <row r="308">
      <c r="A308" s="18" t="inlineStr">
        <is>
          <t>유형자산 매각</t>
        </is>
      </c>
      <c r="P308" s="20" t="n">
        <v>953</v>
      </c>
      <c r="Q308" s="20" t="n">
        <v>2248</v>
      </c>
    </row>
    <row r="309">
      <c r="A309" s="18" t="inlineStr">
        <is>
          <t>무형자산 취득</t>
        </is>
      </c>
      <c r="P309" s="20" t="n">
        <v>-8890</v>
      </c>
      <c r="Q309" s="20" t="n">
        <v>-5080</v>
      </c>
    </row>
    <row r="310">
      <c r="A310" s="18" t="inlineStr">
        <is>
          <t>장기선급비용 지출</t>
        </is>
      </c>
      <c r="P310" s="20" t="n">
        <v>-4543</v>
      </c>
      <c r="Q310" s="20" t="n">
        <v>-2196</v>
      </c>
    </row>
    <row r="311">
      <c r="A311" s="18" t="inlineStr">
        <is>
          <t>투자유가증권 취득</t>
        </is>
      </c>
      <c r="P311" s="20" t="n">
        <v>-276</v>
      </c>
      <c r="Q311" s="20" t="n">
        <v>-766</v>
      </c>
    </row>
    <row r="312">
      <c r="A312" s="18" t="inlineStr">
        <is>
          <t>투자유가증권 매각</t>
        </is>
      </c>
      <c r="P312" s="20" t="n">
        <v>971</v>
      </c>
      <c r="Q312" s="20" t="n">
        <v>3175</v>
      </c>
    </row>
    <row r="313">
      <c r="A313" s="18" t="inlineStr">
        <is>
          <t>연결범위 변경 자회사 주식 취득</t>
        </is>
      </c>
      <c r="P313" s="20" t="n">
        <v>-311428</v>
      </c>
      <c r="Q313" s="20" t="n">
        <v>0</v>
      </c>
    </row>
    <row r="314">
      <c r="A314" s="18" t="inlineStr">
        <is>
          <t>관계회사 주식 매각</t>
        </is>
      </c>
      <c r="P314" s="20" t="n">
        <v>0</v>
      </c>
      <c r="Q314" s="20" t="n">
        <v>1378</v>
      </c>
    </row>
    <row r="315">
      <c r="A315" s="18" t="inlineStr">
        <is>
          <t>사업양도 수입</t>
        </is>
      </c>
      <c r="P315" s="20" t="n">
        <v>4940</v>
      </c>
      <c r="Q315" s="20" t="n">
        <v>0</v>
      </c>
    </row>
    <row r="316">
      <c r="A316" s="18" t="inlineStr">
        <is>
          <t>기타</t>
        </is>
      </c>
      <c r="P316" s="20" t="n">
        <v>385</v>
      </c>
      <c r="Q316" s="20" t="n">
        <v>183</v>
      </c>
    </row>
    <row r="317">
      <c r="A317" s="9" t="inlineStr">
        <is>
          <t>투자활동 현금흐름</t>
        </is>
      </c>
      <c r="P317" s="12" t="n">
        <v>-432635</v>
      </c>
      <c r="Q317" s="12" t="n">
        <v>-61339</v>
      </c>
    </row>
    <row r="318">
      <c r="A318" s="18" t="inlineStr">
        <is>
          <t>단기차입금 순증감</t>
        </is>
      </c>
      <c r="P318" s="20" t="n">
        <v>35000</v>
      </c>
      <c r="Q318" s="20" t="n">
        <v>10000</v>
      </c>
    </row>
    <row r="319">
      <c r="A319" s="18" t="inlineStr">
        <is>
          <t>장기차입</t>
        </is>
      </c>
      <c r="P319" s="20" t="n">
        <v>50000</v>
      </c>
      <c r="Q319" s="20" t="n">
        <v>0</v>
      </c>
    </row>
    <row r="320">
      <c r="A320" s="18" t="inlineStr">
        <is>
          <t>장기차입금 상환</t>
        </is>
      </c>
      <c r="P320" s="20" t="n">
        <v>-8297</v>
      </c>
      <c r="Q320" s="20" t="n">
        <v>-46529</v>
      </c>
    </row>
    <row r="321">
      <c r="A321" s="18" t="inlineStr">
        <is>
          <t>금융리스부채 상환</t>
        </is>
      </c>
      <c r="P321" s="20" t="n">
        <v>-356</v>
      </c>
      <c r="Q321" s="20" t="n">
        <v>-108</v>
      </c>
    </row>
    <row r="322">
      <c r="A322" s="18" t="inlineStr">
        <is>
          <t>할부채무 상환 지출</t>
        </is>
      </c>
      <c r="P322" s="20" t="n">
        <v>-13104</v>
      </c>
      <c r="Q322" s="20" t="n">
        <v>-13996</v>
      </c>
    </row>
    <row r="323">
      <c r="A323" s="9" t="inlineStr">
        <is>
          <t>재무활동 현금흐름</t>
        </is>
      </c>
      <c r="P323" s="12" t="n">
        <v>63243</v>
      </c>
      <c r="Q323" s="12" t="n">
        <v>-50633</v>
      </c>
    </row>
    <row r="324">
      <c r="A324" s="18" t="inlineStr">
        <is>
          <t>현금성자산 환산차이</t>
        </is>
      </c>
      <c r="P324" s="20" t="n">
        <v>-9572</v>
      </c>
      <c r="Q324" s="20" t="n">
        <v>-2910</v>
      </c>
    </row>
    <row r="325">
      <c r="A325" s="18" t="inlineStr">
        <is>
          <t>현금성자산 증감</t>
        </is>
      </c>
      <c r="P325" s="20" t="n">
        <v>-214742</v>
      </c>
      <c r="Q325" s="20" t="n">
        <v>49275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르네사스일렉트로닉스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740702</v>
      </c>
      <c r="D5" s="12" t="n">
        <v>723559</v>
      </c>
      <c r="E5" s="12" t="n">
        <v>723559</v>
      </c>
      <c r="F5" s="12" t="n"/>
      <c r="G5" s="12" t="n">
        <v>1162954</v>
      </c>
      <c r="H5" s="11" t="n">
        <v>517645</v>
      </c>
      <c r="I5" s="12" t="n">
        <v>715119</v>
      </c>
      <c r="J5" s="12" t="n">
        <v>800673</v>
      </c>
      <c r="K5" s="12" t="n">
        <v>617326</v>
      </c>
      <c r="L5" s="12" t="n">
        <v>723559</v>
      </c>
    </row>
    <row r="6">
      <c r="A6" s="18" t="inlineStr">
        <is>
          <t>현금및현금성자산</t>
        </is>
      </c>
      <c r="B6" s="10" t="n"/>
      <c r="C6" s="19" t="n">
        <v>267629</v>
      </c>
      <c r="D6" s="20" t="n">
        <v>295897</v>
      </c>
      <c r="E6" s="20" t="n">
        <v>295897</v>
      </c>
      <c r="F6" s="20" t="n"/>
      <c r="G6" s="20" t="n">
        <v>637182</v>
      </c>
      <c r="H6" s="19" t="n">
        <v>221924</v>
      </c>
      <c r="I6" s="20" t="n">
        <v>336068</v>
      </c>
      <c r="J6" s="20" t="n">
        <v>434681</v>
      </c>
      <c r="K6" s="20" t="n">
        <v>229249</v>
      </c>
      <c r="L6" s="20" t="n">
        <v>295897</v>
      </c>
    </row>
    <row r="7">
      <c r="A7" s="18" t="inlineStr">
        <is>
          <t>단기금융상품</t>
        </is>
      </c>
      <c r="B7" s="10" t="n"/>
      <c r="C7" s="19" t="n">
        <v>40278</v>
      </c>
      <c r="D7" s="20" t="n">
        <v>38601</v>
      </c>
      <c r="E7" s="20" t="n">
        <v>38601</v>
      </c>
      <c r="F7" s="20" t="n"/>
      <c r="G7" s="20" t="n">
        <v>38201</v>
      </c>
      <c r="H7" s="19" t="n">
        <v>737</v>
      </c>
      <c r="I7" s="20" t="n">
        <v>6688</v>
      </c>
      <c r="J7" s="20" t="n">
        <v>4660</v>
      </c>
      <c r="K7" s="20" t="n">
        <v>9236</v>
      </c>
      <c r="L7" s="20" t="n">
        <v>38601</v>
      </c>
    </row>
    <row r="8">
      <c r="A8" s="18" t="inlineStr">
        <is>
          <t>매출채권</t>
        </is>
      </c>
      <c r="B8" s="10" t="n"/>
      <c r="C8" s="19" t="n">
        <v>198052</v>
      </c>
      <c r="D8" s="20" t="n">
        <v>169124</v>
      </c>
      <c r="E8" s="20" t="n">
        <v>169124</v>
      </c>
      <c r="F8" s="20" t="n"/>
      <c r="G8" s="20" t="n">
        <v>203060</v>
      </c>
      <c r="H8" s="19" t="n">
        <v>140478</v>
      </c>
      <c r="I8" s="20" t="n">
        <v>162623</v>
      </c>
      <c r="J8" s="20" t="n">
        <v>168991</v>
      </c>
      <c r="K8" s="20" t="n">
        <v>167113</v>
      </c>
      <c r="L8" s="20" t="n">
        <v>169124</v>
      </c>
    </row>
    <row r="9">
      <c r="A9" s="18" t="inlineStr">
        <is>
          <t>재고자산</t>
        </is>
      </c>
      <c r="B9" s="10" t="n"/>
      <c r="C9" s="19" t="n">
        <v>199988</v>
      </c>
      <c r="D9" s="20" t="n">
        <v>185903</v>
      </c>
      <c r="E9" s="20" t="n">
        <v>185903</v>
      </c>
      <c r="F9" s="20" t="n"/>
      <c r="G9" s="20" t="n">
        <v>231888</v>
      </c>
      <c r="H9" s="19" t="n">
        <v>137759</v>
      </c>
      <c r="I9" s="20" t="n">
        <v>187958</v>
      </c>
      <c r="J9" s="20" t="n">
        <v>163054</v>
      </c>
      <c r="K9" s="20" t="n">
        <v>176544</v>
      </c>
      <c r="L9" s="20" t="n">
        <v>185903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3486657</v>
      </c>
      <c r="D11" s="12" t="n">
        <v>3453604</v>
      </c>
      <c r="E11" s="12" t="n">
        <v>3453604</v>
      </c>
      <c r="F11" s="12" t="n"/>
      <c r="G11" s="12" t="n">
        <v>3539383</v>
      </c>
      <c r="H11" s="11" t="n">
        <v>1908656</v>
      </c>
      <c r="I11" s="12" t="n">
        <v>2097372</v>
      </c>
      <c r="J11" s="12" t="n">
        <v>2366330</v>
      </c>
      <c r="K11" s="12" t="n">
        <v>3873110</v>
      </c>
      <c r="L11" s="12" t="n">
        <v>3453604</v>
      </c>
    </row>
    <row r="12">
      <c r="A12" s="18" t="inlineStr">
        <is>
          <t>유형자산</t>
        </is>
      </c>
      <c r="B12" s="10" t="n"/>
      <c r="C12" s="19" t="n">
        <v>361512</v>
      </c>
      <c r="D12" s="20" t="n">
        <v>355835</v>
      </c>
      <c r="E12" s="20" t="n">
        <v>355835</v>
      </c>
      <c r="F12" s="20" t="n"/>
      <c r="G12" s="20" t="n">
        <v>372526</v>
      </c>
      <c r="H12" s="19" t="n">
        <v>198165</v>
      </c>
      <c r="I12" s="20" t="n">
        <v>208042</v>
      </c>
      <c r="J12" s="20" t="n">
        <v>266139</v>
      </c>
      <c r="K12" s="20" t="n">
        <v>341447</v>
      </c>
      <c r="L12" s="20" t="n">
        <v>355835</v>
      </c>
    </row>
    <row r="13">
      <c r="A13" s="18" t="inlineStr">
        <is>
          <t>무형자산</t>
        </is>
      </c>
      <c r="B13" s="10" t="n"/>
      <c r="C13" s="19" t="n">
        <v>573169</v>
      </c>
      <c r="D13" s="20" t="n">
        <v>593324</v>
      </c>
      <c r="E13" s="20" t="n">
        <v>593324</v>
      </c>
      <c r="F13" s="20" t="n"/>
      <c r="G13" s="20" t="n">
        <v>509994</v>
      </c>
      <c r="H13" s="19" t="n">
        <v>534778</v>
      </c>
      <c r="I13" s="20" t="n">
        <v>488839</v>
      </c>
      <c r="J13" s="20" t="n">
        <v>421847</v>
      </c>
      <c r="K13" s="20" t="n">
        <v>724768</v>
      </c>
      <c r="L13" s="20" t="n">
        <v>593324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4227359</v>
      </c>
      <c r="D16" s="12" t="n">
        <v>4177163</v>
      </c>
      <c r="E16" s="12" t="n">
        <v>4177163</v>
      </c>
      <c r="F16" s="12" t="n"/>
      <c r="G16" s="12" t="n">
        <v>4702337</v>
      </c>
      <c r="H16" s="11" t="n">
        <v>2426301</v>
      </c>
      <c r="I16" s="12" t="n">
        <v>2812491</v>
      </c>
      <c r="J16" s="12" t="n">
        <v>3167003</v>
      </c>
      <c r="K16" s="12" t="n">
        <v>4490436</v>
      </c>
      <c r="L16" s="12" t="n">
        <v>4177163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601648</v>
      </c>
      <c r="D18" s="12" t="n">
        <v>616380</v>
      </c>
      <c r="E18" s="12" t="n">
        <v>616380</v>
      </c>
      <c r="F18" s="12" t="n"/>
      <c r="G18" s="12" t="n">
        <v>779511</v>
      </c>
      <c r="H18" s="11" t="n">
        <v>445888</v>
      </c>
      <c r="I18" s="12" t="n">
        <v>525473</v>
      </c>
      <c r="J18" s="12" t="n">
        <v>828725</v>
      </c>
      <c r="K18" s="12" t="n">
        <v>491438</v>
      </c>
      <c r="L18" s="12" t="n">
        <v>616380</v>
      </c>
    </row>
    <row r="19">
      <c r="A19" s="18" t="inlineStr">
        <is>
          <t>매입채무</t>
        </is>
      </c>
      <c r="B19" s="10" t="n"/>
      <c r="C19" s="19" t="n">
        <v>217193</v>
      </c>
      <c r="D19" s="20" t="n">
        <v>219167</v>
      </c>
      <c r="E19" s="20" t="n">
        <v>219167</v>
      </c>
      <c r="F19" s="20" t="n"/>
      <c r="G19" s="20" t="n">
        <v>235033</v>
      </c>
      <c r="H19" s="19" t="n">
        <v>204330</v>
      </c>
      <c r="I19" s="20" t="n">
        <v>222941</v>
      </c>
      <c r="J19" s="20" t="n">
        <v>243192</v>
      </c>
      <c r="K19" s="20" t="n">
        <v>231029</v>
      </c>
      <c r="L19" s="20" t="n">
        <v>219167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120001</v>
      </c>
      <c r="I21" s="20" t="n">
        <v>120001</v>
      </c>
      <c r="J21" s="20" t="n">
        <v>354104</v>
      </c>
      <c r="K21" s="20" t="n">
        <v>142739</v>
      </c>
      <c r="L21" s="20" t="n">
        <v>108198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1079297</v>
      </c>
      <c r="D23" s="12" t="n">
        <v>1112332</v>
      </c>
      <c r="E23" s="12" t="n">
        <v>1112332</v>
      </c>
      <c r="F23" s="12" t="n"/>
      <c r="G23" s="12" t="n">
        <v>1017833</v>
      </c>
      <c r="H23" s="11" t="n">
        <v>827015</v>
      </c>
      <c r="I23" s="12" t="n">
        <v>749555</v>
      </c>
      <c r="J23" s="12" t="n">
        <v>332690</v>
      </c>
      <c r="K23" s="12" t="n">
        <v>1456700</v>
      </c>
      <c r="L23" s="12" t="n">
        <v>1112332</v>
      </c>
    </row>
    <row r="24">
      <c r="A24" s="18" t="inlineStr">
        <is>
          <t>장기차입금</t>
        </is>
      </c>
      <c r="B24" s="10" t="n"/>
      <c r="C24" s="19" t="n">
        <v>937128</v>
      </c>
      <c r="D24" s="20" t="n">
        <v>964089</v>
      </c>
      <c r="E24" s="20" t="n">
        <v>964089</v>
      </c>
      <c r="F24" s="20" t="n"/>
      <c r="G24" s="20" t="n">
        <v>875321</v>
      </c>
      <c r="H24" s="19" t="n">
        <v>541041</v>
      </c>
      <c r="I24" s="20" t="n">
        <v>536387</v>
      </c>
      <c r="J24" s="20" t="n">
        <v>187568</v>
      </c>
      <c r="K24" s="20" t="n">
        <v>1122281</v>
      </c>
      <c r="L24" s="20" t="n">
        <v>964089</v>
      </c>
    </row>
    <row r="25">
      <c r="A25" s="18" t="inlineStr">
        <is>
          <t>사채</t>
        </is>
      </c>
      <c r="B25" s="10" t="n"/>
      <c r="C25" s="19" t="n">
        <v>1141267</v>
      </c>
      <c r="D25" s="20" t="n"/>
      <c r="E25" s="20" t="n"/>
      <c r="F25" s="20" t="n"/>
      <c r="G25" s="20" t="n"/>
      <c r="H25" s="19" t="n">
        <v>692983</v>
      </c>
      <c r="I25" s="20" t="n">
        <v>635738</v>
      </c>
      <c r="J25" s="20" t="n">
        <v>225636</v>
      </c>
      <c r="K25" s="20" t="n">
        <v>1256535</v>
      </c>
      <c r="L25" s="20" t="n">
        <v>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1680945</v>
      </c>
      <c r="D27" s="12" t="n">
        <v>1728712</v>
      </c>
      <c r="E27" s="12" t="n">
        <v>1728712</v>
      </c>
      <c r="F27" s="12" t="n"/>
      <c r="G27" s="12" t="n">
        <v>1797344</v>
      </c>
      <c r="H27" s="11" t="n">
        <v>1272903</v>
      </c>
      <c r="I27" s="12" t="n">
        <v>1275028</v>
      </c>
      <c r="J27" s="12" t="n">
        <v>1161415</v>
      </c>
      <c r="K27" s="12" t="n">
        <v>1948138</v>
      </c>
      <c r="L27" s="12" t="n">
        <v>1728712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2540767</v>
      </c>
      <c r="D31" s="12" t="n">
        <v>2443034</v>
      </c>
      <c r="E31" s="12" t="n">
        <v>2443034</v>
      </c>
      <c r="F31" s="12" t="n"/>
      <c r="G31" s="12" t="n">
        <v>2899113</v>
      </c>
      <c r="H31" s="11" t="n">
        <v>1150081</v>
      </c>
      <c r="I31" s="12" t="n">
        <v>1533735</v>
      </c>
      <c r="J31" s="12" t="n">
        <v>2001553</v>
      </c>
      <c r="K31" s="12" t="n">
        <v>2537382</v>
      </c>
      <c r="L31" s="12" t="n">
        <v>2443034</v>
      </c>
    </row>
    <row r="32">
      <c r="A32" s="18" t="inlineStr">
        <is>
          <t>자본금</t>
        </is>
      </c>
      <c r="B32" s="10" t="n"/>
      <c r="C32" s="19" t="n">
        <v>153209</v>
      </c>
      <c r="D32" s="20" t="n">
        <v>153209</v>
      </c>
      <c r="E32" s="20" t="n">
        <v>153209</v>
      </c>
      <c r="F32" s="20" t="n"/>
      <c r="G32" s="20" t="n">
        <v>153209</v>
      </c>
      <c r="H32" s="19" t="n">
        <v>147133</v>
      </c>
      <c r="I32" s="20" t="n">
        <v>153209</v>
      </c>
      <c r="J32" s="20" t="n">
        <v>153209</v>
      </c>
      <c r="K32" s="20" t="n">
        <v>153209</v>
      </c>
      <c r="L32" s="20" t="n">
        <v>153209</v>
      </c>
    </row>
    <row r="33">
      <c r="A33" s="18" t="inlineStr">
        <is>
          <t>이익잉여금</t>
        </is>
      </c>
      <c r="B33" s="10" t="n"/>
      <c r="C33" s="19" t="n">
        <v>1230529</v>
      </c>
      <c r="D33" s="20" t="n">
        <v>1213791</v>
      </c>
      <c r="E33" s="20" t="n">
        <v>1213791</v>
      </c>
      <c r="F33" s="20" t="n"/>
      <c r="G33" s="20" t="n">
        <v>1736943</v>
      </c>
      <c r="H33" s="19" t="n">
        <v>570292</v>
      </c>
      <c r="I33" s="20" t="n">
        <v>828582</v>
      </c>
      <c r="J33" s="20" t="n">
        <v>1157236</v>
      </c>
      <c r="K33" s="20" t="n">
        <v>1308948</v>
      </c>
      <c r="L33" s="20" t="n">
        <v>1213791</v>
      </c>
    </row>
    <row r="34">
      <c r="A34" s="18" t="inlineStr">
        <is>
          <t>비지배지분</t>
        </is>
      </c>
      <c r="B34" s="10" t="n"/>
      <c r="C34" s="19" t="n">
        <v>5647</v>
      </c>
      <c r="D34" s="20" t="n">
        <v>5417</v>
      </c>
      <c r="E34" s="20" t="n">
        <v>5417</v>
      </c>
      <c r="F34" s="20" t="n"/>
      <c r="G34" s="20" t="n">
        <v>5880</v>
      </c>
      <c r="H34" s="19" t="n">
        <v>3317</v>
      </c>
      <c r="I34" s="20" t="n">
        <v>3728</v>
      </c>
      <c r="J34" s="20" t="n">
        <v>4035</v>
      </c>
      <c r="K34" s="20" t="n">
        <v>4916</v>
      </c>
      <c r="L34" s="20" t="n">
        <v>5417</v>
      </c>
    </row>
    <row r="35">
      <c r="A35" s="9" t="inlineStr">
        <is>
          <t>자본총계</t>
        </is>
      </c>
      <c r="B35" s="10" t="n"/>
      <c r="C35" s="11" t="n">
        <v>2546414</v>
      </c>
      <c r="D35" s="12" t="n">
        <v>2448451</v>
      </c>
      <c r="E35" s="12" t="n">
        <v>2448451</v>
      </c>
      <c r="F35" s="12" t="n"/>
      <c r="G35" s="12" t="n">
        <v>2904993</v>
      </c>
      <c r="H35" s="11" t="n">
        <v>1153398</v>
      </c>
      <c r="I35" s="12" t="n">
        <v>1537463</v>
      </c>
      <c r="J35" s="12" t="n">
        <v>2005588</v>
      </c>
      <c r="K35" s="12" t="n">
        <v>2542298</v>
      </c>
      <c r="L35" s="12" t="n">
        <v>2448451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441899</v>
      </c>
      <c r="D37" s="12" t="n">
        <v>511685</v>
      </c>
      <c r="E37" s="12" t="n">
        <v>540102</v>
      </c>
      <c r="F37" s="12" t="n"/>
      <c r="G37" s="12" t="n"/>
      <c r="H37" s="11" t="n">
        <v>307384</v>
      </c>
      <c r="I37" s="12" t="n">
        <v>479325</v>
      </c>
      <c r="J37" s="12" t="n">
        <v>496627</v>
      </c>
      <c r="K37" s="12" t="n">
        <v>340484</v>
      </c>
      <c r="L37" s="12" t="n">
        <v>452857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130929</v>
      </c>
      <c r="D38" s="20" t="n">
        <v>129719</v>
      </c>
      <c r="E38" s="20" t="n">
        <v>127522</v>
      </c>
      <c r="F38" s="20" t="n"/>
      <c r="G38" s="20" t="n"/>
      <c r="H38" s="19" t="n">
        <v>52346</v>
      </c>
      <c r="I38" s="20" t="n">
        <v>88199</v>
      </c>
      <c r="J38" s="20" t="n">
        <v>129127</v>
      </c>
      <c r="K38" s="20" t="n">
        <v>169835</v>
      </c>
      <c r="L38" s="20" t="n">
        <v>133770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52045</v>
      </c>
      <c r="D40" s="20" t="n">
        <v>50813</v>
      </c>
      <c r="E40" s="20" t="n">
        <v>50809</v>
      </c>
      <c r="F40" s="20" t="n"/>
      <c r="G40" s="20" t="n"/>
      <c r="H40" s="19" t="n"/>
      <c r="I40" s="20" t="n"/>
      <c r="J40" s="20" t="n">
        <v>0</v>
      </c>
      <c r="K40" s="20" t="n">
        <v>49702</v>
      </c>
      <c r="L40" s="20" t="n">
        <v>50311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IFERROR((IF(COUNT('연간'!I31:L31)&lt;4,"",SUM('연간'!I31:L31)))/(IF(COUNT('연간'!I53:L53)&lt;4,"",SUM('연간'!I53:L53))),"")</f>
        <v/>
      </c>
      <c r="D48" s="31">
        <f>IFERROR((IF(COUNT('연간'!J31:M31)&lt;4,"",SUM('연간'!J31:M31)))/(IF(COUNT('연간'!J53:M53)&lt;4,"",SUM('연간'!J53:M53))),"")</f>
        <v/>
      </c>
      <c r="E48" s="31">
        <f>IFERROR((IF(COUNT('연간'!K31:N31)&lt;4,"",SUM('연간'!K31:N31)))/(IF(COUNT('연간'!K53:N53)&lt;4,"",SUM('연간'!K53:N53))),"")</f>
        <v/>
      </c>
      <c r="F48" s="31" t="n"/>
      <c r="G48" s="31" t="n"/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IFERROR(IF((IF(COUNT('연간'!I61:L61)&lt;4,"",SUM('연간'!I61:L61)))&lt;=0,"적자",C28/(IF(COUNT('연간'!I61:L61)&lt;4,"",SUM('연간'!I61:L61)))),"")</f>
        <v/>
      </c>
      <c r="D49" s="47">
        <f>IFERROR(IF((IF(COUNT('연간'!J61:M61)&lt;4,"",SUM('연간'!J61:M61)))&lt;=0,"적자",D28/(IF(COUNT('연간'!J61:M61)&lt;4,"",SUM('연간'!J61:M61)))),"")</f>
        <v/>
      </c>
      <c r="E49" s="47">
        <f>IFERROR(IF((IF(COUNT('연간'!K61:N61)&lt;4,"",SUM('연간'!K61:N61)))&lt;=0,"적자",E28/(IF(COUNT('연간'!K61:N61)&lt;4,"",SUM('연간'!K61:N61)))),"")</f>
        <v/>
      </c>
      <c r="F49" s="47" t="n"/>
      <c r="G49" s="47" t="n"/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IFERROR((IF(COUNT('연간'!I61:L61)&lt;4,"",SUM('연간'!I61:L61)))/C31,"")</f>
        <v/>
      </c>
      <c r="D51" s="36">
        <f>IFERROR((IF(COUNT('연간'!J61:M61)&lt;4,"",SUM('연간'!J61:M61)))/D31,"")</f>
        <v/>
      </c>
      <c r="E51" s="36">
        <f>IFERROR((IF(COUNT('연간'!K61:N61)&lt;4,"",SUM('연간'!K61:N61)))/E31,"")</f>
        <v/>
      </c>
      <c r="F51" s="36" t="n"/>
      <c r="G51" s="36" t="n"/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IFERROR((IF(COUNT('연간'!I59:L59)&lt;4,"",SUM('연간'!I59:L59)))/C16,"")</f>
        <v/>
      </c>
      <c r="D52" s="36">
        <f>IFERROR((IF(COUNT('연간'!J59:M59)&lt;4,"",SUM('연간'!J59:M59)))/D16,"")</f>
        <v/>
      </c>
      <c r="E52" s="36">
        <f>IFERROR((IF(COUNT('연간'!K59:N59)&lt;4,"",SUM('연간'!K59:N59)))/E16,"")</f>
        <v/>
      </c>
      <c r="F52" s="36" t="n"/>
      <c r="G52" s="36" t="n"/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IFERROR((IF(COUNT('연간'!I31:L31)&lt;4,"",SUM('연간'!I31:L31)))*(1-0.3)/(C35+C29),"")</f>
        <v/>
      </c>
      <c r="D53" s="36">
        <f>IFERROR((IF(COUNT('연간'!J31:M31)&lt;4,"",SUM('연간'!J31:M31)))*(1-0.3)/(D35+D29),"")</f>
        <v/>
      </c>
      <c r="E53" s="36">
        <f>IFERROR((IF(COUNT('연간'!K31:N31)&lt;4,"",SUM('연간'!K31:N31)))*(1-0.3)/(E35+E29),"")</f>
        <v/>
      </c>
      <c r="F53" s="36" t="n"/>
      <c r="G53" s="36" t="n"/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IFERROR((IF(COUNT('연간'!I25:L25)&lt;4,"",SUM('연간'!I25:L25)))/(IF(COUNT('연간'!I4:L4)&lt;4,"",SUM('연간'!I4:L4))),"")</f>
        <v/>
      </c>
      <c r="D54" s="36">
        <f>IFERROR((IF(COUNT('연간'!J25:M25)&lt;4,"",SUM('연간'!J25:M25)))/(IF(COUNT('연간'!J4:M4)&lt;4,"",SUM('연간'!J4:M4))),"")</f>
        <v/>
      </c>
      <c r="E54" s="36">
        <f>IFERROR((IF(COUNT('연간'!K25:N25)&lt;4,"",SUM('연간'!K25:N25)))/(IF(COUNT('연간'!K4:N4)&lt;4,"",SUM('연간'!K4:N4))),"")</f>
        <v/>
      </c>
      <c r="F54" s="36" t="n"/>
      <c r="G54" s="36" t="n"/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IFERROR((IF(COUNT('연간'!I31:L31)&lt;4,"",SUM('연간'!I31:L31)))/(IF(COUNT('연간'!I4:L4)&lt;4,"",SUM('연간'!I4:L4))),"")</f>
        <v/>
      </c>
      <c r="D55" s="36">
        <f>IFERROR((IF(COUNT('연간'!J31:M31)&lt;4,"",SUM('연간'!J31:M31)))/(IF(COUNT('연간'!J4:M4)&lt;4,"",SUM('연간'!J4:M4))),"")</f>
        <v/>
      </c>
      <c r="E55" s="36">
        <f>IFERROR((IF(COUNT('연간'!K31:N31)&lt;4,"",SUM('연간'!K31:N31)))/(IF(COUNT('연간'!K4:N4)&lt;4,"",SUM('연간'!K4:N4))),"")</f>
        <v/>
      </c>
      <c r="F55" s="36" t="n"/>
      <c r="G55" s="36" t="n"/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IFERROR((IF(COUNT('연간'!I59:L59)&lt;4,"",SUM('연간'!I59:L59)))/(IF(COUNT('연간'!I4:L4)&lt;4,"",SUM('연간'!I4:L4))),"")</f>
        <v/>
      </c>
      <c r="D56" s="36">
        <f>IFERROR((IF(COUNT('연간'!J59:M59)&lt;4,"",SUM('연간'!J59:M59)))/(IF(COUNT('연간'!J4:M4)&lt;4,"",SUM('연간'!J4:M4))),"")</f>
        <v/>
      </c>
      <c r="E56" s="36">
        <f>IFERROR((IF(COUNT('연간'!K59:N59)&lt;4,"",SUM('연간'!K59:N59)))/(IF(COUNT('연간'!K4:N4)&lt;4,"",SUM('연간'!K4:N4))),"")</f>
        <v/>
      </c>
      <c r="F56" s="36" t="n"/>
      <c r="G56" s="36" t="n"/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IFERROR((IF(COUNT('연간'!I4:L4)&lt;4,"",SUM('연간'!I4:L4)))/C16,"")</f>
        <v/>
      </c>
      <c r="D58" s="31">
        <f>IFERROR((IF(COUNT('연간'!J4:M4)&lt;4,"",SUM('연간'!J4:M4)))/D16,"")</f>
        <v/>
      </c>
      <c r="E58" s="31">
        <f>IFERROR((IF(COUNT('연간'!K4:N4)&lt;4,"",SUM('연간'!K4:N4)))/E16,"")</f>
        <v/>
      </c>
      <c r="F58" s="31" t="n"/>
      <c r="G58" s="31" t="n"/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IFERROR(C8/(IF(COUNT('연간'!I4:L4)&lt;4,"",SUM('연간'!I4:L4)))*365,"")</f>
        <v/>
      </c>
      <c r="D59" s="49">
        <f>IFERROR(D8/(IF(COUNT('연간'!J4:M4)&lt;4,"",SUM('연간'!J4:M4)))*365,"")</f>
        <v/>
      </c>
      <c r="E59" s="49">
        <f>IFERROR(E8/(IF(COUNT('연간'!K4:N4)&lt;4,"",SUM('연간'!K4:N4)))*365,"")</f>
        <v/>
      </c>
      <c r="F59" s="49" t="n"/>
      <c r="G59" s="49" t="n"/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IFERROR(C9/(IF(COUNT('연간'!I23:L23)&lt;4,"",SUM('연간'!I23:L23)))*365,"")</f>
        <v/>
      </c>
      <c r="D60" s="49">
        <f>IFERROR(D9/(IF(COUNT('연간'!J23:M23)&lt;4,"",SUM('연간'!J23:M23)))*365,"")</f>
        <v/>
      </c>
      <c r="E60" s="49">
        <f>IFERROR(E9/(IF(COUNT('연간'!K23:N23)&lt;4,"",SUM('연간'!K23:N23)))*365,"")</f>
        <v/>
      </c>
      <c r="F60" s="49" t="n"/>
      <c r="G60" s="49" t="n"/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IFERROR(C19/(IF(COUNT('연간'!I23:L23)&lt;4,"",SUM('연간'!I23:L23)))*365,"")</f>
        <v/>
      </c>
      <c r="D61" s="49">
        <f>IFERROR(D19/(IF(COUNT('연간'!J23:M23)&lt;4,"",SUM('연간'!J23:M23)))*365,"")</f>
        <v/>
      </c>
      <c r="E61" s="49">
        <f>IFERROR(E19/(IF(COUNT('연간'!K23:N23)&lt;4,"",SUM('연간'!K23:N23)))*365,"")</f>
        <v/>
      </c>
      <c r="F61" s="49" t="n"/>
      <c r="G61" s="49" t="n"/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IF(C37="","",IFERROR(C37/(IF(COUNT('연간'!I59:L59)&lt;4,"",SUM('연간'!I59:L59))),""))</f>
        <v/>
      </c>
      <c r="D64" s="31">
        <f>IF(D37="","",IFERROR(D37/(IF(COUNT('연간'!J59:M59)&lt;4,"",SUM('연간'!J59:M59))),""))</f>
        <v/>
      </c>
      <c r="E64" s="31">
        <f>IF(E37="","",IFERROR(E37/(IF(COUNT('연간'!K59:N59)&lt;4,"",SUM('연간'!K59:N59))),""))</f>
        <v/>
      </c>
      <c r="F64" s="31" t="n"/>
      <c r="G64" s="31" t="n"/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IF(C39="","",IFERROR(C39/(IF(COUNT('연간'!I4:L4)&lt;4,"",SUM('연간'!I4:L4))),""))</f>
        <v/>
      </c>
      <c r="D65" s="36">
        <f>IF(D39="","",IFERROR(D39/(IF(COUNT('연간'!J4:M4)&lt;4,"",SUM('연간'!J4:M4))),""))</f>
        <v/>
      </c>
      <c r="E65" s="36">
        <f>IF(E39="","",IFERROR(E39/(IF(COUNT('연간'!K4:N4)&lt;4,"",SUM('연간'!K4:N4))),""))</f>
        <v/>
      </c>
      <c r="F65" s="36" t="n"/>
      <c r="G65" s="36" t="n"/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IF(C38="","",IFERROR(C38/(IF(COUNT('연간'!I4:L4)&lt;4,"",SUM('연간'!I4:L4))),""))</f>
        <v/>
      </c>
      <c r="D66" s="36">
        <f>IF(D38="","",IFERROR(D38/(IF(COUNT('연간'!J4:M4)&lt;4,"",SUM('연간'!J4:M4))),""))</f>
        <v/>
      </c>
      <c r="E66" s="36">
        <f>IF(E38="","",IFERROR(E38/(IF(COUNT('연간'!K4:N4)&lt;4,"",SUM('연간'!K4:N4))),""))</f>
        <v/>
      </c>
      <c r="F66" s="36" t="n"/>
      <c r="G66" s="36" t="n"/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IF(C40="","",IFERROR(C40/(IF(COUNT('연간'!I61:L61)&lt;4,"",SUM('연간'!I61:L61))),""))</f>
        <v/>
      </c>
      <c r="D67" s="36">
        <f>IF(D40="","",IFERROR(D40/(IF(COUNT('연간'!J61:M61)&lt;4,"",SUM('연간'!J61:M61))),""))</f>
        <v/>
      </c>
      <c r="E67" s="36">
        <f>IF(E40="","",IFERROR(E40/(IF(COUNT('연간'!K61:N61)&lt;4,"",SUM('연간'!K61:N61))),""))</f>
        <v/>
      </c>
      <c r="F67" s="36" t="n"/>
      <c r="G67" s="36" t="n"/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현금및현금성자산</t>
        </is>
      </c>
      <c r="C71" s="20" t="n">
        <v>267629</v>
      </c>
      <c r="D71" s="20" t="n">
        <v>295897</v>
      </c>
      <c r="E71" s="20" t="n">
        <v>295897</v>
      </c>
      <c r="G71" s="20" t="n">
        <v>637182</v>
      </c>
      <c r="H71" s="20" t="n">
        <v>221924</v>
      </c>
      <c r="I71" s="20" t="n">
        <v>336068</v>
      </c>
      <c r="J71" s="20" t="n">
        <v>434681</v>
      </c>
      <c r="K71" s="20" t="n">
        <v>229249</v>
      </c>
      <c r="L71" s="20" t="n">
        <v>295897</v>
      </c>
    </row>
    <row r="72">
      <c r="A72" s="18" t="inlineStr">
        <is>
          <t>영업채권 및 기타채권</t>
        </is>
      </c>
      <c r="C72" s="20" t="n">
        <v>198052</v>
      </c>
      <c r="D72" s="20" t="n">
        <v>169124</v>
      </c>
      <c r="E72" s="20" t="n">
        <v>169124</v>
      </c>
      <c r="G72" s="20" t="n">
        <v>203060</v>
      </c>
      <c r="H72" s="20" t="n">
        <v>140478</v>
      </c>
      <c r="I72" s="20" t="n">
        <v>162623</v>
      </c>
      <c r="J72" s="20" t="n">
        <v>168991</v>
      </c>
      <c r="K72" s="20" t="n">
        <v>167113</v>
      </c>
      <c r="L72" s="20" t="n">
        <v>169124</v>
      </c>
    </row>
    <row r="73">
      <c r="A73" s="18" t="inlineStr">
        <is>
          <t>재고자산</t>
        </is>
      </c>
      <c r="C73" s="20" t="n">
        <v>199988</v>
      </c>
      <c r="D73" s="20" t="n">
        <v>185903</v>
      </c>
      <c r="E73" s="20" t="n">
        <v>185903</v>
      </c>
      <c r="G73" s="20" t="n">
        <v>231888</v>
      </c>
      <c r="H73" s="20" t="n">
        <v>137759</v>
      </c>
      <c r="I73" s="20" t="n">
        <v>187958</v>
      </c>
      <c r="J73" s="20" t="n">
        <v>163054</v>
      </c>
      <c r="K73" s="20" t="n">
        <v>176544</v>
      </c>
      <c r="L73" s="20" t="n">
        <v>185903</v>
      </c>
    </row>
    <row r="74">
      <c r="A74" s="18" t="inlineStr">
        <is>
          <t>기타금융자산</t>
        </is>
      </c>
      <c r="C74" s="20" t="n">
        <v>40278</v>
      </c>
      <c r="D74" s="20" t="n">
        <v>38601</v>
      </c>
      <c r="E74" s="20" t="n">
        <v>38601</v>
      </c>
      <c r="G74" s="20" t="n">
        <v>38201</v>
      </c>
      <c r="H74" s="20" t="n">
        <v>737</v>
      </c>
      <c r="I74" s="20" t="n">
        <v>6688</v>
      </c>
      <c r="J74" s="20" t="n">
        <v>4660</v>
      </c>
      <c r="K74" s="20" t="n">
        <v>9236</v>
      </c>
      <c r="L74" s="20" t="n">
        <v>38601</v>
      </c>
    </row>
    <row r="75">
      <c r="A75" s="18" t="inlineStr">
        <is>
          <t>미수법인세</t>
        </is>
      </c>
      <c r="C75" s="20" t="n">
        <v>14600</v>
      </c>
      <c r="D75" s="20" t="n">
        <v>10757</v>
      </c>
      <c r="E75" s="20" t="n">
        <v>10757</v>
      </c>
      <c r="G75" s="20" t="n">
        <v>17277</v>
      </c>
      <c r="H75" s="20" t="n">
        <v>4395</v>
      </c>
      <c r="I75" s="20" t="n">
        <v>4462</v>
      </c>
      <c r="J75" s="20" t="n">
        <v>7495</v>
      </c>
      <c r="K75" s="20" t="n">
        <v>12454</v>
      </c>
      <c r="L75" s="20" t="n">
        <v>10757</v>
      </c>
    </row>
    <row r="76">
      <c r="A76" s="18" t="inlineStr">
        <is>
          <t>기타유동자산</t>
        </is>
      </c>
      <c r="C76" s="20" t="n">
        <v>20155</v>
      </c>
      <c r="D76" s="20" t="n">
        <v>23277</v>
      </c>
      <c r="E76" s="20" t="n">
        <v>23277</v>
      </c>
      <c r="G76" s="20" t="n">
        <v>35346</v>
      </c>
      <c r="H76" s="20" t="n">
        <v>12352</v>
      </c>
      <c r="I76" s="20" t="n">
        <v>17320</v>
      </c>
      <c r="J76" s="20" t="n">
        <v>21792</v>
      </c>
      <c r="K76" s="20" t="n">
        <v>22730</v>
      </c>
      <c r="L76" s="20" t="n">
        <v>23277</v>
      </c>
    </row>
    <row r="77">
      <c r="A77" s="9" t="inlineStr">
        <is>
          <t>소계</t>
        </is>
      </c>
      <c r="E77" s="12" t="n">
        <v>723559</v>
      </c>
      <c r="G77" s="12" t="n">
        <v>890657</v>
      </c>
    </row>
    <row r="78">
      <c r="A78" s="18" t="inlineStr">
        <is>
          <t>매각예정 자산</t>
        </is>
      </c>
      <c r="E78" s="20" t="n">
        <v>0</v>
      </c>
      <c r="G78" s="20" t="n">
        <v>315803</v>
      </c>
    </row>
    <row r="79">
      <c r="A79" s="9" t="inlineStr">
        <is>
          <t>유동자산 합계</t>
        </is>
      </c>
      <c r="C79" s="12" t="n">
        <v>740702</v>
      </c>
      <c r="D79" s="12" t="n">
        <v>723559</v>
      </c>
      <c r="E79" s="12" t="n">
        <v>723559</v>
      </c>
      <c r="G79" s="12" t="n">
        <v>1162954</v>
      </c>
      <c r="H79" s="12" t="n">
        <v>517645</v>
      </c>
      <c r="I79" s="12" t="n">
        <v>715119</v>
      </c>
      <c r="J79" s="12" t="n">
        <v>800673</v>
      </c>
      <c r="K79" s="12" t="n">
        <v>617326</v>
      </c>
      <c r="L79" s="12" t="n">
        <v>723559</v>
      </c>
    </row>
    <row r="80">
      <c r="A80" s="18" t="inlineStr">
        <is>
          <t>유형자산</t>
        </is>
      </c>
      <c r="C80" s="20" t="n">
        <v>361512</v>
      </c>
      <c r="D80" s="20" t="n">
        <v>355835</v>
      </c>
      <c r="E80" s="20" t="n">
        <v>355835</v>
      </c>
      <c r="G80" s="20" t="n">
        <v>372526</v>
      </c>
      <c r="H80" s="20" t="n">
        <v>198165</v>
      </c>
      <c r="I80" s="20" t="n">
        <v>208042</v>
      </c>
      <c r="J80" s="20" t="n">
        <v>266139</v>
      </c>
      <c r="K80" s="20" t="n">
        <v>341447</v>
      </c>
      <c r="L80" s="20" t="n">
        <v>355835</v>
      </c>
    </row>
    <row r="81">
      <c r="A81" s="18" t="inlineStr">
        <is>
          <t>영업권</t>
        </is>
      </c>
      <c r="C81" s="20" t="n">
        <v>2286199</v>
      </c>
      <c r="D81" s="20" t="n">
        <v>2239337</v>
      </c>
      <c r="E81" s="20" t="n">
        <v>2239337</v>
      </c>
      <c r="G81" s="20" t="n">
        <v>1953475</v>
      </c>
      <c r="H81" s="20" t="n">
        <v>1089452</v>
      </c>
      <c r="I81" s="20" t="n">
        <v>1264275</v>
      </c>
      <c r="J81" s="20" t="n">
        <v>1362131</v>
      </c>
      <c r="K81" s="20" t="n">
        <v>2256169</v>
      </c>
      <c r="L81" s="20" t="n">
        <v>2239337</v>
      </c>
    </row>
    <row r="82">
      <c r="A82" s="18" t="inlineStr">
        <is>
          <t>무형자산</t>
        </is>
      </c>
      <c r="C82" s="20" t="n">
        <v>573169</v>
      </c>
      <c r="D82" s="20" t="n">
        <v>593324</v>
      </c>
      <c r="E82" s="20" t="n">
        <v>593324</v>
      </c>
      <c r="G82" s="20" t="n">
        <v>509994</v>
      </c>
      <c r="H82" s="20" t="n">
        <v>534778</v>
      </c>
      <c r="I82" s="20" t="n">
        <v>488839</v>
      </c>
      <c r="J82" s="20" t="n">
        <v>421847</v>
      </c>
      <c r="K82" s="20" t="n">
        <v>724768</v>
      </c>
      <c r="L82" s="20" t="n">
        <v>593324</v>
      </c>
    </row>
    <row r="83">
      <c r="A83" s="18" t="inlineStr">
        <is>
          <t>지분법 투자</t>
        </is>
      </c>
      <c r="C83" s="20" t="n">
        <v>996</v>
      </c>
      <c r="D83" s="20" t="n">
        <v>825</v>
      </c>
      <c r="E83" s="20" t="n">
        <v>825</v>
      </c>
      <c r="G83" s="20" t="n">
        <v>1451</v>
      </c>
      <c r="J83" s="20" t="n">
        <v>0</v>
      </c>
      <c r="K83" s="20" t="n">
        <v>328</v>
      </c>
      <c r="L83" s="20" t="n">
        <v>825</v>
      </c>
    </row>
    <row r="84">
      <c r="A84" s="18" t="inlineStr">
        <is>
          <t>기타금융자산</t>
        </is>
      </c>
      <c r="C84" s="20" t="n">
        <v>163512</v>
      </c>
      <c r="D84" s="20" t="n">
        <v>168363</v>
      </c>
      <c r="E84" s="20" t="n">
        <v>168363</v>
      </c>
      <c r="G84" s="20" t="n">
        <v>587741</v>
      </c>
      <c r="H84" s="20" t="n">
        <v>34633</v>
      </c>
      <c r="I84" s="20" t="n">
        <v>84149</v>
      </c>
      <c r="J84" s="20" t="n">
        <v>255230</v>
      </c>
      <c r="K84" s="20" t="n">
        <v>450702</v>
      </c>
      <c r="L84" s="20" t="n">
        <v>168363</v>
      </c>
    </row>
    <row r="85">
      <c r="A85" s="18" t="inlineStr">
        <is>
          <t>이연법인세자산</t>
        </is>
      </c>
      <c r="C85" s="20" t="n">
        <v>53300</v>
      </c>
      <c r="D85" s="20" t="n">
        <v>51414</v>
      </c>
      <c r="E85" s="20" t="n">
        <v>51414</v>
      </c>
      <c r="G85" s="20" t="n">
        <v>54047</v>
      </c>
      <c r="H85" s="20" t="n">
        <v>42537</v>
      </c>
      <c r="I85" s="20" t="n">
        <v>37876</v>
      </c>
      <c r="J85" s="20" t="n">
        <v>43385</v>
      </c>
      <c r="K85" s="20" t="n">
        <v>47107</v>
      </c>
      <c r="L85" s="20" t="n">
        <v>51414</v>
      </c>
    </row>
    <row r="86">
      <c r="A86" s="18" t="inlineStr">
        <is>
          <t>기타비유동자산</t>
        </is>
      </c>
      <c r="C86" s="20" t="n">
        <v>47969</v>
      </c>
      <c r="D86" s="20" t="n">
        <v>44506</v>
      </c>
      <c r="E86" s="20" t="n">
        <v>44506</v>
      </c>
      <c r="G86" s="20" t="n">
        <v>60149</v>
      </c>
      <c r="H86" s="20" t="n">
        <v>9091</v>
      </c>
      <c r="I86" s="20" t="n">
        <v>14191</v>
      </c>
      <c r="J86" s="20" t="n">
        <v>17598</v>
      </c>
      <c r="K86" s="20" t="n">
        <v>52589</v>
      </c>
      <c r="L86" s="20" t="n">
        <v>44506</v>
      </c>
    </row>
    <row r="87">
      <c r="A87" s="18" t="inlineStr">
        <is>
          <t>비유동자산 합계</t>
        </is>
      </c>
      <c r="C87" s="20" t="n">
        <v>3486657</v>
      </c>
      <c r="D87" s="20" t="n">
        <v>3453604</v>
      </c>
      <c r="E87" s="20" t="n">
        <v>3453604</v>
      </c>
      <c r="G87" s="20" t="n">
        <v>3539383</v>
      </c>
      <c r="H87" s="20" t="n">
        <v>1908656</v>
      </c>
      <c r="I87" s="20" t="n">
        <v>2097372</v>
      </c>
      <c r="J87" s="20" t="n">
        <v>2366330</v>
      </c>
      <c r="K87" s="20" t="n">
        <v>3873110</v>
      </c>
      <c r="L87" s="20" t="n">
        <v>3453604</v>
      </c>
    </row>
    <row r="88">
      <c r="A88" s="18" t="inlineStr">
        <is>
          <t>자산 합계</t>
        </is>
      </c>
      <c r="C88" s="20" t="n">
        <v>4227359</v>
      </c>
      <c r="D88" s="20" t="n">
        <v>4177163</v>
      </c>
      <c r="E88" s="20" t="n">
        <v>4177163</v>
      </c>
      <c r="G88" s="20" t="n">
        <v>4702337</v>
      </c>
      <c r="H88" s="20" t="n">
        <v>2426301</v>
      </c>
      <c r="I88" s="20" t="n">
        <v>2812491</v>
      </c>
      <c r="J88" s="20" t="n">
        <v>3167003</v>
      </c>
      <c r="K88" s="20" t="n">
        <v>4490436</v>
      </c>
      <c r="L88" s="20" t="n">
        <v>4177163</v>
      </c>
    </row>
    <row r="89">
      <c r="A89" s="18" t="inlineStr">
        <is>
          <t>영업채무 및 기타채무</t>
        </is>
      </c>
      <c r="C89" s="20" t="n">
        <v>217193</v>
      </c>
      <c r="D89" s="20" t="n">
        <v>219167</v>
      </c>
      <c r="E89" s="20" t="n">
        <v>219167</v>
      </c>
      <c r="G89" s="20" t="n">
        <v>235033</v>
      </c>
      <c r="H89" s="20" t="n">
        <v>204330</v>
      </c>
      <c r="I89" s="20" t="n">
        <v>222941</v>
      </c>
      <c r="J89" s="20" t="n">
        <v>243192</v>
      </c>
      <c r="K89" s="20" t="n">
        <v>231029</v>
      </c>
      <c r="L89" s="20" t="n">
        <v>219167</v>
      </c>
    </row>
    <row r="90">
      <c r="A90" s="18" t="inlineStr">
        <is>
          <t>사채 및 차입금</t>
        </is>
      </c>
      <c r="C90" s="20" t="n">
        <v>245531</v>
      </c>
      <c r="D90" s="20" t="n">
        <v>242478</v>
      </c>
      <c r="E90" s="20" t="n">
        <v>242478</v>
      </c>
      <c r="G90" s="20" t="n">
        <v>251002</v>
      </c>
      <c r="H90" s="20" t="n">
        <v>121105</v>
      </c>
      <c r="I90" s="20" t="n">
        <v>120005</v>
      </c>
      <c r="J90" s="20" t="n">
        <v>425312</v>
      </c>
      <c r="K90" s="20" t="n">
        <v>144137</v>
      </c>
      <c r="L90" s="20" t="n">
        <v>242478</v>
      </c>
    </row>
    <row r="91">
      <c r="A91" s="18" t="inlineStr">
        <is>
          <t>기타금융부채</t>
        </is>
      </c>
      <c r="C91" s="20" t="n">
        <v>7394</v>
      </c>
      <c r="D91" s="20" t="n">
        <v>9477</v>
      </c>
      <c r="E91" s="20" t="n">
        <v>9477</v>
      </c>
      <c r="G91" s="20" t="n">
        <v>11079</v>
      </c>
      <c r="H91" s="20" t="n">
        <v>11595</v>
      </c>
      <c r="I91" s="20" t="n">
        <v>13838</v>
      </c>
      <c r="J91" s="20" t="n">
        <v>24311</v>
      </c>
      <c r="K91" s="20" t="n">
        <v>8071</v>
      </c>
      <c r="L91" s="20" t="n">
        <v>9477</v>
      </c>
    </row>
    <row r="92">
      <c r="A92" s="18" t="inlineStr">
        <is>
          <t>미지급법인세</t>
        </is>
      </c>
      <c r="C92" s="20" t="n">
        <v>19297</v>
      </c>
      <c r="D92" s="20" t="n">
        <v>24377</v>
      </c>
      <c r="E92" s="20" t="n">
        <v>24377</v>
      </c>
      <c r="G92" s="20" t="n">
        <v>151030</v>
      </c>
      <c r="H92" s="20" t="n">
        <v>22050</v>
      </c>
      <c r="I92" s="20" t="n">
        <v>79025</v>
      </c>
      <c r="J92" s="20" t="n">
        <v>41414</v>
      </c>
      <c r="K92" s="20" t="n">
        <v>5930</v>
      </c>
      <c r="L92" s="20" t="n">
        <v>24377</v>
      </c>
    </row>
    <row r="93">
      <c r="A93" s="18" t="inlineStr">
        <is>
          <t>충당금</t>
        </is>
      </c>
      <c r="C93" s="20" t="n">
        <v>3707</v>
      </c>
      <c r="D93" s="20" t="n">
        <v>4099</v>
      </c>
      <c r="E93" s="20" t="n">
        <v>4099</v>
      </c>
      <c r="G93" s="20" t="n">
        <v>2796</v>
      </c>
      <c r="H93" s="20" t="n">
        <v>11185</v>
      </c>
      <c r="I93" s="20" t="n">
        <v>8099</v>
      </c>
      <c r="J93" s="20" t="n">
        <v>11215</v>
      </c>
      <c r="K93" s="20" t="n">
        <v>11273</v>
      </c>
      <c r="L93" s="20" t="n">
        <v>4099</v>
      </c>
    </row>
    <row r="94">
      <c r="A94" s="18" t="inlineStr">
        <is>
          <t>기타유동부채</t>
        </is>
      </c>
      <c r="C94" s="20" t="n">
        <v>108526</v>
      </c>
      <c r="D94" s="20" t="n">
        <v>116782</v>
      </c>
      <c r="E94" s="20" t="n">
        <v>116782</v>
      </c>
      <c r="G94" s="20" t="n">
        <v>128571</v>
      </c>
      <c r="H94" s="20" t="n">
        <v>75623</v>
      </c>
      <c r="I94" s="20" t="n">
        <v>81565</v>
      </c>
      <c r="J94" s="20" t="n">
        <v>83281</v>
      </c>
      <c r="K94" s="20" t="n">
        <v>90998</v>
      </c>
      <c r="L94" s="20" t="n">
        <v>116782</v>
      </c>
    </row>
    <row r="95">
      <c r="A95" s="18" t="inlineStr">
        <is>
          <t>소계</t>
        </is>
      </c>
      <c r="E95" s="20" t="n">
        <v>616380</v>
      </c>
      <c r="G95" s="20" t="n">
        <v>653184</v>
      </c>
    </row>
    <row r="96">
      <c r="A96" s="18" t="inlineStr">
        <is>
          <t>매각예정 자산 직접 관련 부채</t>
        </is>
      </c>
      <c r="E96" s="20" t="n">
        <v>0</v>
      </c>
      <c r="G96" s="20" t="n">
        <v>226</v>
      </c>
    </row>
    <row r="97">
      <c r="A97" s="18" t="inlineStr">
        <is>
          <t>유동부채 합계</t>
        </is>
      </c>
      <c r="C97" s="20" t="n">
        <v>601648</v>
      </c>
      <c r="D97" s="20" t="n">
        <v>616380</v>
      </c>
      <c r="E97" s="20" t="n">
        <v>616380</v>
      </c>
      <c r="G97" s="20" t="n">
        <v>779511</v>
      </c>
      <c r="H97" s="20" t="n">
        <v>445888</v>
      </c>
      <c r="I97" s="20" t="n">
        <v>525473</v>
      </c>
      <c r="J97" s="20" t="n">
        <v>828725</v>
      </c>
      <c r="K97" s="20" t="n">
        <v>491438</v>
      </c>
      <c r="L97" s="20" t="n">
        <v>616380</v>
      </c>
    </row>
    <row r="98">
      <c r="A98" s="18" t="inlineStr">
        <is>
          <t>영업채무 및 기타채무</t>
        </is>
      </c>
      <c r="C98" s="20" t="n">
        <v>1736</v>
      </c>
      <c r="D98" s="20" t="n">
        <v>7070</v>
      </c>
      <c r="E98" s="20" t="n">
        <v>7070</v>
      </c>
      <c r="G98" s="20" t="n">
        <v>376</v>
      </c>
      <c r="H98" s="20" t="n">
        <v>15100</v>
      </c>
      <c r="I98" s="20" t="n">
        <v>3382</v>
      </c>
      <c r="J98" s="20" t="n">
        <v>4140</v>
      </c>
      <c r="K98" s="20" t="n">
        <v>22938</v>
      </c>
      <c r="L98" s="20" t="n">
        <v>7070</v>
      </c>
    </row>
    <row r="99">
      <c r="A99" s="18" t="inlineStr">
        <is>
          <t>사채 및 차입금</t>
        </is>
      </c>
      <c r="C99" s="20" t="n">
        <v>1141267</v>
      </c>
      <c r="H99" s="20" t="n">
        <v>692983</v>
      </c>
      <c r="I99" s="20" t="n">
        <v>635738</v>
      </c>
      <c r="J99" s="20" t="n">
        <v>225636</v>
      </c>
      <c r="K99" s="20" t="n">
        <v>1256535</v>
      </c>
    </row>
    <row r="100">
      <c r="A100" s="18" t="inlineStr">
        <is>
          <t>차입금</t>
        </is>
      </c>
      <c r="C100" s="20" t="n">
        <v>937128</v>
      </c>
      <c r="D100" s="20" t="n">
        <v>964089</v>
      </c>
      <c r="E100" s="20" t="n">
        <v>964089</v>
      </c>
      <c r="G100" s="20" t="n">
        <v>875321</v>
      </c>
      <c r="K100" s="20" t="n">
        <v>1122281</v>
      </c>
      <c r="L100" s="20" t="n">
        <v>964089</v>
      </c>
    </row>
    <row r="101">
      <c r="A101" s="18" t="inlineStr">
        <is>
          <t>기타금융부채</t>
        </is>
      </c>
      <c r="C101" s="20" t="n">
        <v>14996</v>
      </c>
      <c r="D101" s="20" t="n">
        <v>14598</v>
      </c>
      <c r="E101" s="20" t="n">
        <v>14598</v>
      </c>
      <c r="G101" s="20" t="n">
        <v>15417</v>
      </c>
      <c r="H101" s="20" t="n">
        <v>11868</v>
      </c>
      <c r="I101" s="20" t="n">
        <v>11301</v>
      </c>
      <c r="J101" s="20" t="n">
        <v>11371</v>
      </c>
      <c r="K101" s="20" t="n">
        <v>15616</v>
      </c>
      <c r="L101" s="20" t="n">
        <v>14598</v>
      </c>
    </row>
    <row r="102">
      <c r="A102" s="18" t="inlineStr">
        <is>
          <t>미지급법인세</t>
        </is>
      </c>
      <c r="C102" s="20" t="n">
        <v>4505</v>
      </c>
      <c r="D102" s="20" t="n">
        <v>4393</v>
      </c>
      <c r="E102" s="20" t="n">
        <v>4393</v>
      </c>
      <c r="G102" s="20" t="n">
        <v>8225</v>
      </c>
      <c r="H102" s="20" t="n">
        <v>3792</v>
      </c>
      <c r="I102" s="20" t="n">
        <v>2551</v>
      </c>
      <c r="J102" s="20" t="n">
        <v>2757</v>
      </c>
      <c r="K102" s="20" t="n">
        <v>6537</v>
      </c>
      <c r="L102" s="20" t="n">
        <v>4393</v>
      </c>
    </row>
    <row r="103">
      <c r="A103" s="18" t="inlineStr">
        <is>
          <t>퇴직급여부채</t>
        </is>
      </c>
      <c r="C103" s="20" t="n">
        <v>22265</v>
      </c>
      <c r="D103" s="20" t="n">
        <v>22516</v>
      </c>
      <c r="E103" s="20" t="n">
        <v>22516</v>
      </c>
      <c r="G103" s="20" t="n">
        <v>21349</v>
      </c>
      <c r="H103" s="20" t="n">
        <v>27926</v>
      </c>
      <c r="I103" s="20" t="n">
        <v>24102</v>
      </c>
      <c r="J103" s="20" t="n">
        <v>24598</v>
      </c>
      <c r="K103" s="20" t="n">
        <v>23564</v>
      </c>
      <c r="L103" s="20" t="n">
        <v>22516</v>
      </c>
    </row>
    <row r="104">
      <c r="A104" s="18" t="inlineStr">
        <is>
          <t>충당금</t>
        </is>
      </c>
      <c r="C104" s="20" t="n">
        <v>3552</v>
      </c>
      <c r="D104" s="20" t="n">
        <v>3551</v>
      </c>
      <c r="E104" s="20" t="n">
        <v>3551</v>
      </c>
      <c r="G104" s="20" t="n">
        <v>3705</v>
      </c>
      <c r="H104" s="20" t="n">
        <v>3795</v>
      </c>
      <c r="I104" s="20" t="n">
        <v>3289</v>
      </c>
      <c r="J104" s="20" t="n">
        <v>3265</v>
      </c>
      <c r="K104" s="20" t="n">
        <v>3066</v>
      </c>
      <c r="L104" s="20" t="n">
        <v>3551</v>
      </c>
    </row>
    <row r="105">
      <c r="A105" s="18" t="inlineStr">
        <is>
          <t>이연법인세부채</t>
        </is>
      </c>
      <c r="C105" s="20" t="n">
        <v>81814</v>
      </c>
      <c r="D105" s="20" t="n">
        <v>83479</v>
      </c>
      <c r="E105" s="20" t="n">
        <v>83479</v>
      </c>
      <c r="G105" s="20" t="n">
        <v>78981</v>
      </c>
      <c r="H105" s="20" t="n">
        <v>65788</v>
      </c>
      <c r="I105" s="20" t="n">
        <v>63757</v>
      </c>
      <c r="J105" s="20" t="n">
        <v>53528</v>
      </c>
      <c r="K105" s="20" t="n">
        <v>117151</v>
      </c>
      <c r="L105" s="20" t="n">
        <v>83479</v>
      </c>
    </row>
    <row r="106">
      <c r="A106" s="18" t="inlineStr">
        <is>
          <t>기타비유동부채</t>
        </is>
      </c>
      <c r="C106" s="20" t="n">
        <v>13301</v>
      </c>
      <c r="D106" s="20" t="n">
        <v>12636</v>
      </c>
      <c r="E106" s="20" t="n">
        <v>12636</v>
      </c>
      <c r="G106" s="20" t="n">
        <v>14459</v>
      </c>
      <c r="H106" s="20" t="n">
        <v>5763</v>
      </c>
      <c r="I106" s="20" t="n">
        <v>5435</v>
      </c>
      <c r="J106" s="20" t="n">
        <v>7395</v>
      </c>
      <c r="K106" s="20" t="n">
        <v>145547</v>
      </c>
      <c r="L106" s="20" t="n">
        <v>12636</v>
      </c>
    </row>
    <row r="107">
      <c r="A107" s="18" t="inlineStr">
        <is>
          <t>비유동부채 합계</t>
        </is>
      </c>
      <c r="C107" s="20" t="n">
        <v>1079297</v>
      </c>
      <c r="D107" s="20" t="n">
        <v>1112332</v>
      </c>
      <c r="E107" s="20" t="n">
        <v>1112332</v>
      </c>
      <c r="G107" s="20" t="n">
        <v>1017833</v>
      </c>
      <c r="H107" s="20" t="n">
        <v>827015</v>
      </c>
      <c r="I107" s="20" t="n">
        <v>749555</v>
      </c>
      <c r="J107" s="20" t="n">
        <v>332690</v>
      </c>
      <c r="K107" s="20" t="n">
        <v>1456700</v>
      </c>
      <c r="L107" s="20" t="n">
        <v>1112332</v>
      </c>
    </row>
    <row r="108">
      <c r="A108" s="18" t="inlineStr">
        <is>
          <t>부채 합계</t>
        </is>
      </c>
      <c r="C108" s="20" t="n">
        <v>1680945</v>
      </c>
      <c r="D108" s="20" t="n">
        <v>1728712</v>
      </c>
      <c r="E108" s="20" t="n">
        <v>1728712</v>
      </c>
      <c r="G108" s="20" t="n">
        <v>1797344</v>
      </c>
      <c r="H108" s="20" t="n">
        <v>1272903</v>
      </c>
      <c r="I108" s="20" t="n">
        <v>1275028</v>
      </c>
      <c r="J108" s="20" t="n">
        <v>1161415</v>
      </c>
      <c r="K108" s="20" t="n">
        <v>1948138</v>
      </c>
      <c r="L108" s="20" t="n">
        <v>1728712</v>
      </c>
    </row>
    <row r="109">
      <c r="A109" s="18" t="inlineStr">
        <is>
          <t>자본금</t>
        </is>
      </c>
      <c r="C109" s="20" t="n">
        <v>153209</v>
      </c>
      <c r="D109" s="20" t="n">
        <v>153209</v>
      </c>
      <c r="E109" s="20" t="n">
        <v>153209</v>
      </c>
      <c r="G109" s="20" t="n">
        <v>153209</v>
      </c>
      <c r="H109" s="20" t="n">
        <v>147133</v>
      </c>
      <c r="I109" s="20" t="n">
        <v>153209</v>
      </c>
      <c r="J109" s="20" t="n">
        <v>153209</v>
      </c>
      <c r="K109" s="20" t="n">
        <v>153209</v>
      </c>
      <c r="L109" s="20" t="n">
        <v>153209</v>
      </c>
    </row>
    <row r="110">
      <c r="A110" s="18" t="inlineStr">
        <is>
          <t>자본잉여금</t>
        </is>
      </c>
      <c r="C110" s="20" t="n">
        <v>306787</v>
      </c>
      <c r="D110" s="20" t="n">
        <v>299286</v>
      </c>
      <c r="E110" s="20" t="n">
        <v>299286</v>
      </c>
      <c r="G110" s="20" t="n">
        <v>322929</v>
      </c>
      <c r="H110" s="20" t="n">
        <v>337989</v>
      </c>
      <c r="I110" s="20" t="n">
        <v>348446</v>
      </c>
      <c r="J110" s="20" t="n">
        <v>359398</v>
      </c>
      <c r="K110" s="20" t="n">
        <v>289377</v>
      </c>
      <c r="L110" s="20" t="n">
        <v>299286</v>
      </c>
    </row>
    <row r="111">
      <c r="A111" s="18" t="inlineStr">
        <is>
          <t>이익잉여금</t>
        </is>
      </c>
      <c r="C111" s="20" t="n">
        <v>1230529</v>
      </c>
      <c r="D111" s="20" t="n">
        <v>1213791</v>
      </c>
      <c r="E111" s="20" t="n">
        <v>1213791</v>
      </c>
      <c r="G111" s="20" t="n">
        <v>1736943</v>
      </c>
      <c r="H111" s="20" t="n">
        <v>570292</v>
      </c>
      <c r="I111" s="20" t="n">
        <v>828582</v>
      </c>
      <c r="J111" s="20" t="n">
        <v>1157236</v>
      </c>
      <c r="K111" s="20" t="n">
        <v>1308948</v>
      </c>
      <c r="L111" s="20" t="n">
        <v>1213791</v>
      </c>
    </row>
    <row r="112">
      <c r="A112" s="18" t="inlineStr">
        <is>
          <t>자기주식</t>
        </is>
      </c>
      <c r="C112" s="20" t="n">
        <v>-68870</v>
      </c>
      <c r="D112" s="20" t="n">
        <v>-70012</v>
      </c>
      <c r="E112" s="20" t="n">
        <v>-70012</v>
      </c>
      <c r="G112" s="20" t="n">
        <v>-49935</v>
      </c>
      <c r="H112" s="20" t="n">
        <v>-11</v>
      </c>
      <c r="I112" s="20" t="n">
        <v>-192171</v>
      </c>
      <c r="J112" s="20" t="n">
        <v>-217691</v>
      </c>
      <c r="K112" s="20" t="n">
        <v>-92120</v>
      </c>
      <c r="L112" s="20" t="n">
        <v>-70012</v>
      </c>
    </row>
    <row r="113">
      <c r="A113" s="18" t="inlineStr">
        <is>
          <t>기타자본구성요소</t>
        </is>
      </c>
      <c r="C113" s="20" t="n">
        <v>919112</v>
      </c>
      <c r="D113" s="20" t="n">
        <v>846760</v>
      </c>
      <c r="E113" s="20" t="n">
        <v>846760</v>
      </c>
      <c r="G113" s="20" t="n">
        <v>735967</v>
      </c>
      <c r="H113" s="20" t="n">
        <v>94678</v>
      </c>
      <c r="I113" s="20" t="n">
        <v>395669</v>
      </c>
      <c r="J113" s="20" t="n">
        <v>549401</v>
      </c>
      <c r="K113" s="20" t="n">
        <v>877968</v>
      </c>
      <c r="L113" s="20" t="n">
        <v>846760</v>
      </c>
    </row>
    <row r="114">
      <c r="A114" s="18" t="inlineStr">
        <is>
          <t>지배기업 소유주 귀속 지분 합계</t>
        </is>
      </c>
      <c r="C114" s="20" t="n">
        <v>2540767</v>
      </c>
      <c r="D114" s="20" t="n">
        <v>2443034</v>
      </c>
      <c r="E114" s="20" t="n">
        <v>2443034</v>
      </c>
      <c r="G114" s="20" t="n">
        <v>2899113</v>
      </c>
      <c r="H114" s="20" t="n">
        <v>1150081</v>
      </c>
      <c r="I114" s="20" t="n">
        <v>1533735</v>
      </c>
      <c r="J114" s="20" t="n">
        <v>2001553</v>
      </c>
      <c r="K114" s="20" t="n">
        <v>2537382</v>
      </c>
      <c r="L114" s="20" t="n">
        <v>2443034</v>
      </c>
    </row>
    <row r="115">
      <c r="A115" s="18" t="inlineStr">
        <is>
          <t>비지배지분</t>
        </is>
      </c>
      <c r="C115" s="20" t="n">
        <v>5647</v>
      </c>
      <c r="D115" s="20" t="n">
        <v>5417</v>
      </c>
      <c r="E115" s="20" t="n">
        <v>5417</v>
      </c>
      <c r="G115" s="20" t="n">
        <v>5880</v>
      </c>
      <c r="H115" s="20" t="n">
        <v>3317</v>
      </c>
      <c r="I115" s="20" t="n">
        <v>3728</v>
      </c>
      <c r="J115" s="20" t="n">
        <v>4035</v>
      </c>
      <c r="K115" s="20" t="n">
        <v>4916</v>
      </c>
      <c r="L115" s="20" t="n">
        <v>5417</v>
      </c>
    </row>
    <row r="116">
      <c r="A116" s="18" t="inlineStr">
        <is>
          <t>자본 합계</t>
        </is>
      </c>
      <c r="C116" s="20" t="n">
        <v>2546414</v>
      </c>
      <c r="D116" s="20" t="n">
        <v>2448451</v>
      </c>
      <c r="E116" s="20" t="n">
        <v>2448451</v>
      </c>
      <c r="G116" s="20" t="n">
        <v>2904993</v>
      </c>
      <c r="H116" s="20" t="n">
        <v>1153398</v>
      </c>
      <c r="I116" s="20" t="n">
        <v>1537463</v>
      </c>
      <c r="J116" s="20" t="n">
        <v>2005588</v>
      </c>
      <c r="K116" s="20" t="n">
        <v>2542298</v>
      </c>
      <c r="L116" s="20" t="n">
        <v>2448451</v>
      </c>
    </row>
    <row r="117">
      <c r="A117" s="18" t="inlineStr">
        <is>
          <t>부채및자본 합계</t>
        </is>
      </c>
      <c r="C117" s="20" t="n">
        <v>4227359</v>
      </c>
      <c r="D117" s="20" t="n">
        <v>4177163</v>
      </c>
      <c r="E117" s="20" t="n">
        <v>4177163</v>
      </c>
      <c r="G117" s="20" t="n">
        <v>4702337</v>
      </c>
      <c r="H117" s="20" t="n">
        <v>2426301</v>
      </c>
      <c r="I117" s="20" t="n">
        <v>2812491</v>
      </c>
      <c r="J117" s="20" t="n">
        <v>3167003</v>
      </c>
      <c r="K117" s="20" t="n">
        <v>4490436</v>
      </c>
      <c r="L117" s="20" t="n">
        <v>4177163</v>
      </c>
    </row>
    <row r="118">
      <c r="A118" s="18" t="inlineStr">
        <is>
          <t>현금 및 예금</t>
        </is>
      </c>
      <c r="H118" s="20" t="n">
        <v>98783</v>
      </c>
      <c r="I118" s="20" t="n">
        <v>167686</v>
      </c>
      <c r="J118" s="20" t="n">
        <v>167847</v>
      </c>
      <c r="K118" s="20" t="n">
        <v>69509</v>
      </c>
      <c r="L118" s="20" t="n">
        <v>157597</v>
      </c>
    </row>
    <row r="119">
      <c r="A119" s="18" t="inlineStr">
        <is>
          <t>전자기록채권</t>
        </is>
      </c>
      <c r="H119" s="20" t="n">
        <v>2259</v>
      </c>
      <c r="I119" s="20" t="n">
        <v>2200</v>
      </c>
      <c r="J119" s="20" t="n">
        <v>2111</v>
      </c>
      <c r="K119" s="20" t="n">
        <v>1805</v>
      </c>
      <c r="L119" s="20" t="n">
        <v>1829</v>
      </c>
    </row>
    <row r="120">
      <c r="A120" s="18" t="inlineStr">
        <is>
          <t>매출채권</t>
        </is>
      </c>
      <c r="H120" s="20" t="n">
        <v>104597</v>
      </c>
      <c r="I120" s="20" t="n">
        <v>117520</v>
      </c>
      <c r="J120" s="20" t="n">
        <v>118933</v>
      </c>
      <c r="K120" s="20" t="n">
        <v>107187</v>
      </c>
      <c r="L120" s="20" t="n">
        <v>112824</v>
      </c>
    </row>
    <row r="121">
      <c r="A121" s="18" t="inlineStr">
        <is>
          <t>제품</t>
        </is>
      </c>
      <c r="H121" s="20" t="n">
        <v>20009</v>
      </c>
      <c r="I121" s="20" t="n">
        <v>27573</v>
      </c>
      <c r="J121" s="20" t="n">
        <v>21304</v>
      </c>
      <c r="K121" s="20" t="n">
        <v>27442</v>
      </c>
      <c r="L121" s="20" t="n">
        <v>25367</v>
      </c>
    </row>
    <row r="122">
      <c r="A122" s="18" t="inlineStr">
        <is>
          <t>재공품</t>
        </is>
      </c>
      <c r="H122" s="20" t="n">
        <v>35398</v>
      </c>
      <c r="I122" s="20" t="n">
        <v>49854</v>
      </c>
      <c r="J122" s="20" t="n">
        <v>52990</v>
      </c>
      <c r="K122" s="20" t="n">
        <v>46152</v>
      </c>
      <c r="L122" s="20" t="n">
        <v>53385</v>
      </c>
    </row>
    <row r="123">
      <c r="A123" s="18" t="inlineStr">
        <is>
          <t>원재료·저장품</t>
        </is>
      </c>
      <c r="H123" s="20" t="n">
        <v>1936</v>
      </c>
      <c r="I123" s="20" t="n">
        <v>3776</v>
      </c>
      <c r="J123" s="20" t="n">
        <v>4587</v>
      </c>
      <c r="K123" s="20" t="n">
        <v>4334</v>
      </c>
      <c r="L123" s="20" t="n">
        <v>3815</v>
      </c>
    </row>
    <row r="124">
      <c r="A124" s="18" t="inlineStr">
        <is>
          <t>선급비용</t>
        </is>
      </c>
      <c r="H124" s="20" t="n">
        <v>2455</v>
      </c>
      <c r="I124" s="20" t="n">
        <v>2997</v>
      </c>
      <c r="J124" s="20" t="n">
        <v>3693</v>
      </c>
      <c r="K124" s="20" t="n">
        <v>25999</v>
      </c>
      <c r="L124" s="20" t="n">
        <v>30079</v>
      </c>
    </row>
    <row r="125">
      <c r="A125" s="18" t="inlineStr">
        <is>
          <t>미수금</t>
        </is>
      </c>
      <c r="H125" s="20" t="n">
        <v>20912</v>
      </c>
      <c r="I125" s="20" t="n">
        <v>33260</v>
      </c>
      <c r="J125" s="20" t="n">
        <v>32165</v>
      </c>
      <c r="K125" s="20" t="n">
        <v>30718</v>
      </c>
      <c r="L125" s="20" t="n">
        <v>28628</v>
      </c>
    </row>
    <row r="126">
      <c r="A126" s="18" t="inlineStr">
        <is>
          <t>기타</t>
        </is>
      </c>
      <c r="H126" s="20" t="n">
        <v>5570</v>
      </c>
      <c r="I126" s="20" t="n">
        <v>23935</v>
      </c>
      <c r="J126" s="20" t="n">
        <v>25830</v>
      </c>
      <c r="K126" s="20" t="n">
        <v>79889</v>
      </c>
      <c r="L126" s="20" t="n">
        <v>69854</v>
      </c>
    </row>
    <row r="127">
      <c r="A127" s="9" t="inlineStr">
        <is>
          <t>유동자산 합계</t>
        </is>
      </c>
      <c r="H127" s="12" t="n">
        <v>291920</v>
      </c>
      <c r="I127" s="12" t="n">
        <v>428801</v>
      </c>
      <c r="J127" s="12" t="n">
        <v>429460</v>
      </c>
      <c r="K127" s="12" t="n">
        <v>393035</v>
      </c>
      <c r="L127" s="12" t="n">
        <v>483377</v>
      </c>
    </row>
    <row r="128">
      <c r="A128" s="18" t="inlineStr">
        <is>
          <t>건물</t>
        </is>
      </c>
      <c r="H128" s="20" t="n">
        <v>31936</v>
      </c>
      <c r="I128" s="20" t="n">
        <v>31430</v>
      </c>
      <c r="J128" s="20" t="n">
        <v>35857</v>
      </c>
      <c r="K128" s="20" t="n">
        <v>33486</v>
      </c>
      <c r="L128" s="20" t="n">
        <v>30214</v>
      </c>
    </row>
    <row r="129">
      <c r="A129" s="18" t="inlineStr">
        <is>
          <t>구축물</t>
        </is>
      </c>
      <c r="H129" s="20" t="n">
        <v>3897</v>
      </c>
      <c r="I129" s="20" t="n">
        <v>3777</v>
      </c>
      <c r="J129" s="20" t="n">
        <v>3560</v>
      </c>
      <c r="K129" s="20" t="n">
        <v>3825</v>
      </c>
      <c r="L129" s="20" t="n">
        <v>5015</v>
      </c>
    </row>
    <row r="130">
      <c r="A130" s="18" t="inlineStr">
        <is>
          <t>기계장치</t>
        </is>
      </c>
      <c r="H130" s="20" t="n">
        <v>39825</v>
      </c>
      <c r="I130" s="20" t="n">
        <v>43224</v>
      </c>
      <c r="J130" s="20" t="n">
        <v>44301</v>
      </c>
      <c r="K130" s="20" t="n">
        <v>56826</v>
      </c>
      <c r="L130" s="20" t="n">
        <v>51945</v>
      </c>
    </row>
    <row r="131">
      <c r="A131" s="18" t="inlineStr">
        <is>
          <t>차량운반구</t>
        </is>
      </c>
      <c r="H131" s="20" t="n">
        <v>322</v>
      </c>
      <c r="I131" s="20" t="n">
        <v>219</v>
      </c>
      <c r="J131" s="20" t="n">
        <v>313</v>
      </c>
      <c r="K131" s="20" t="n">
        <v>409</v>
      </c>
      <c r="L131" s="20" t="n">
        <v>1081</v>
      </c>
    </row>
    <row r="132">
      <c r="A132" s="18" t="inlineStr">
        <is>
          <t>공구·기구·비품</t>
        </is>
      </c>
      <c r="H132" s="20" t="n">
        <v>12999</v>
      </c>
      <c r="I132" s="20" t="n">
        <v>15990</v>
      </c>
      <c r="J132" s="20" t="n">
        <v>17638</v>
      </c>
      <c r="K132" s="20" t="n">
        <v>16068</v>
      </c>
      <c r="L132" s="20" t="n">
        <v>17003</v>
      </c>
    </row>
    <row r="133">
      <c r="A133" s="18" t="inlineStr">
        <is>
          <t>토지</t>
        </is>
      </c>
      <c r="H133" s="20" t="n">
        <v>19340</v>
      </c>
      <c r="I133" s="20" t="n">
        <v>18966</v>
      </c>
      <c r="J133" s="20" t="n">
        <v>18945</v>
      </c>
      <c r="K133" s="20" t="n">
        <v>18763</v>
      </c>
      <c r="L133" s="20" t="n">
        <v>17856</v>
      </c>
    </row>
    <row r="134">
      <c r="A134" s="18" t="inlineStr">
        <is>
          <t>건설중인자산</t>
        </is>
      </c>
      <c r="H134" s="20" t="n">
        <v>7538</v>
      </c>
      <c r="I134" s="20" t="n">
        <v>5153</v>
      </c>
      <c r="J134" s="20" t="n">
        <v>44130</v>
      </c>
      <c r="K134" s="20" t="n">
        <v>105114</v>
      </c>
      <c r="L134" s="20" t="n">
        <v>117028</v>
      </c>
    </row>
    <row r="135">
      <c r="A135" s="18" t="inlineStr">
        <is>
          <t>유형자산 합계</t>
        </is>
      </c>
      <c r="H135" s="20" t="n">
        <v>115857</v>
      </c>
      <c r="I135" s="20" t="n">
        <v>118758</v>
      </c>
      <c r="J135" s="20" t="n">
        <v>164744</v>
      </c>
      <c r="K135" s="20" t="n">
        <v>234491</v>
      </c>
      <c r="L135" s="20" t="n">
        <v>240142</v>
      </c>
    </row>
    <row r="136">
      <c r="A136" s="18" t="inlineStr">
        <is>
          <t>소프트웨어</t>
        </is>
      </c>
      <c r="H136" s="20" t="n">
        <v>8365</v>
      </c>
      <c r="I136" s="20" t="n">
        <v>6943</v>
      </c>
      <c r="J136" s="20" t="n">
        <v>7913</v>
      </c>
      <c r="K136" s="20" t="n">
        <v>27028</v>
      </c>
      <c r="L136" s="20" t="n">
        <v>34192</v>
      </c>
    </row>
    <row r="137">
      <c r="A137" s="18" t="inlineStr">
        <is>
          <t>기타</t>
        </is>
      </c>
      <c r="H137" s="20" t="n">
        <v>1234</v>
      </c>
      <c r="I137" s="20" t="n">
        <v>866</v>
      </c>
      <c r="J137" s="20" t="n">
        <v>1376</v>
      </c>
      <c r="K137" s="20" t="n">
        <v>852</v>
      </c>
      <c r="L137" s="20" t="n">
        <v>484</v>
      </c>
    </row>
    <row r="138">
      <c r="A138" s="18" t="inlineStr">
        <is>
          <t>무형자산 합계</t>
        </is>
      </c>
      <c r="H138" s="20" t="n">
        <v>9599</v>
      </c>
      <c r="I138" s="20" t="n">
        <v>7809</v>
      </c>
      <c r="J138" s="20" t="n">
        <v>9289</v>
      </c>
      <c r="K138" s="20" t="n">
        <v>27880</v>
      </c>
      <c r="L138" s="20" t="n">
        <v>34676</v>
      </c>
    </row>
    <row r="139">
      <c r="A139" s="18" t="inlineStr">
        <is>
          <t>투자유가증권</t>
        </is>
      </c>
      <c r="H139" s="20" t="n">
        <v>15</v>
      </c>
      <c r="I139" s="20" t="n">
        <v>2807</v>
      </c>
      <c r="J139" s="20" t="n">
        <v>3631</v>
      </c>
      <c r="K139" s="20" t="n">
        <v>3507</v>
      </c>
      <c r="L139" s="20" t="n">
        <v>1791</v>
      </c>
    </row>
    <row r="140">
      <c r="A140" s="18" t="inlineStr">
        <is>
          <t>관계회사 주식</t>
        </is>
      </c>
      <c r="H140" s="20" t="n">
        <v>1894855</v>
      </c>
      <c r="I140" s="20" t="n">
        <v>1902877</v>
      </c>
      <c r="J140" s="20" t="n">
        <v>1858674</v>
      </c>
      <c r="K140" s="20" t="n">
        <v>2735984</v>
      </c>
      <c r="L140" s="20" t="n">
        <v>2684001</v>
      </c>
    </row>
    <row r="141">
      <c r="A141" s="18" t="inlineStr">
        <is>
          <t>장기선급비용</t>
        </is>
      </c>
      <c r="H141" s="20" t="n">
        <v>33868</v>
      </c>
      <c r="I141" s="20" t="n">
        <v>24939</v>
      </c>
      <c r="J141" s="20" t="n">
        <v>28701</v>
      </c>
      <c r="K141" s="20" t="n">
        <v>39876</v>
      </c>
      <c r="L141" s="20" t="n">
        <v>19825</v>
      </c>
    </row>
    <row r="142">
      <c r="A142" s="18" t="inlineStr">
        <is>
          <t>선급연금비용</t>
        </is>
      </c>
      <c r="H142" s="20" t="n">
        <v>10527</v>
      </c>
      <c r="I142" s="20" t="n">
        <v>13536</v>
      </c>
      <c r="J142" s="20" t="n">
        <v>16021</v>
      </c>
      <c r="K142" s="20" t="n">
        <v>20505</v>
      </c>
      <c r="L142" s="20" t="n">
        <v>24185</v>
      </c>
    </row>
    <row r="143">
      <c r="A143" s="18" t="inlineStr">
        <is>
          <t>이연법인세자산</t>
        </is>
      </c>
      <c r="H143" s="20" t="n">
        <v>17321</v>
      </c>
      <c r="I143" s="20" t="n">
        <v>20155</v>
      </c>
      <c r="J143" s="20" t="n">
        <v>27452</v>
      </c>
      <c r="K143" s="20" t="n">
        <v>18130</v>
      </c>
      <c r="L143" s="20" t="n">
        <v>19920</v>
      </c>
    </row>
    <row r="144">
      <c r="A144" s="18" t="inlineStr">
        <is>
          <t>기타</t>
        </is>
      </c>
      <c r="H144" s="20" t="n">
        <v>11238</v>
      </c>
      <c r="I144" s="20" t="n">
        <v>33057</v>
      </c>
      <c r="J144" s="20" t="n">
        <v>36810</v>
      </c>
      <c r="K144" s="20" t="n">
        <v>27358</v>
      </c>
      <c r="L144" s="20" t="n">
        <v>28127</v>
      </c>
    </row>
    <row r="145">
      <c r="A145" s="18" t="inlineStr">
        <is>
          <t>대손충당금</t>
        </is>
      </c>
      <c r="H145" s="20" t="n">
        <v>-0</v>
      </c>
      <c r="I145" s="20" t="n">
        <v>-0</v>
      </c>
      <c r="J145" s="20" t="n">
        <v>-0</v>
      </c>
      <c r="K145" s="20" t="n">
        <v>-0</v>
      </c>
      <c r="L145" s="20" t="n">
        <v>-0</v>
      </c>
    </row>
    <row r="146">
      <c r="A146" s="18" t="inlineStr">
        <is>
          <t>투자 및 기타자산 합계</t>
        </is>
      </c>
      <c r="H146" s="20" t="n">
        <v>1967825</v>
      </c>
      <c r="I146" s="20" t="n">
        <v>1997371</v>
      </c>
      <c r="J146" s="20" t="n">
        <v>1971290</v>
      </c>
      <c r="K146" s="20" t="n">
        <v>2845360</v>
      </c>
      <c r="L146" s="20" t="n">
        <v>2777850</v>
      </c>
    </row>
    <row r="147">
      <c r="A147" s="9" t="inlineStr">
        <is>
          <t>비유동자산 합계</t>
        </is>
      </c>
      <c r="H147" s="12" t="n">
        <v>2093281</v>
      </c>
      <c r="I147" s="12" t="n">
        <v>2123938</v>
      </c>
      <c r="J147" s="12" t="n">
        <v>2145323</v>
      </c>
      <c r="K147" s="12" t="n">
        <v>3107731</v>
      </c>
      <c r="L147" s="12" t="n">
        <v>3052668</v>
      </c>
    </row>
    <row r="148">
      <c r="A148" s="18" t="inlineStr">
        <is>
          <t>사채발행비</t>
        </is>
      </c>
      <c r="H148" s="20" t="n">
        <v>739</v>
      </c>
      <c r="I148" s="20" t="n">
        <v>556</v>
      </c>
      <c r="J148" s="20" t="n">
        <v>373</v>
      </c>
      <c r="K148" s="20" t="n">
        <v>198</v>
      </c>
      <c r="L148" s="20" t="n">
        <v>94</v>
      </c>
    </row>
    <row r="149">
      <c r="A149" s="18" t="inlineStr">
        <is>
          <t>이연자산 합계</t>
        </is>
      </c>
      <c r="H149" s="20" t="n">
        <v>739</v>
      </c>
      <c r="I149" s="20" t="n">
        <v>556</v>
      </c>
      <c r="J149" s="20" t="n">
        <v>373</v>
      </c>
      <c r="K149" s="20" t="n">
        <v>198</v>
      </c>
      <c r="L149" s="20" t="n">
        <v>94</v>
      </c>
    </row>
    <row r="150">
      <c r="A150" s="9" t="inlineStr">
        <is>
          <t>자산 합계</t>
        </is>
      </c>
      <c r="H150" s="12" t="n">
        <v>2385940</v>
      </c>
      <c r="I150" s="12" t="n">
        <v>2553295</v>
      </c>
      <c r="J150" s="12" t="n">
        <v>2575156</v>
      </c>
      <c r="K150" s="12" t="n">
        <v>3500965</v>
      </c>
      <c r="L150" s="12" t="n">
        <v>3536139</v>
      </c>
    </row>
    <row r="151">
      <c r="A151" s="18" t="inlineStr">
        <is>
          <t>전자기록채무</t>
        </is>
      </c>
      <c r="H151" s="20" t="n">
        <v>5271</v>
      </c>
      <c r="I151" s="20" t="n">
        <v>5164</v>
      </c>
      <c r="J151" s="20" t="n">
        <v>5361</v>
      </c>
      <c r="K151" s="20" t="n">
        <v>3846</v>
      </c>
      <c r="L151" s="20" t="n">
        <v>2776</v>
      </c>
    </row>
    <row r="152">
      <c r="A152" s="18" t="inlineStr">
        <is>
          <t>매입채무</t>
        </is>
      </c>
      <c r="H152" s="20" t="n">
        <v>110796</v>
      </c>
      <c r="I152" s="20" t="n">
        <v>111972</v>
      </c>
      <c r="J152" s="20" t="n">
        <v>105844</v>
      </c>
      <c r="K152" s="20" t="n">
        <v>105613</v>
      </c>
      <c r="L152" s="20" t="n">
        <v>121923</v>
      </c>
    </row>
    <row r="153">
      <c r="A153" s="18" t="inlineStr">
        <is>
          <t>1년 내 상환 장기차입금</t>
        </is>
      </c>
      <c r="H153" s="20" t="n">
        <v>120001</v>
      </c>
      <c r="I153" s="20" t="n">
        <v>120001</v>
      </c>
      <c r="J153" s="20" t="n">
        <v>354104</v>
      </c>
      <c r="K153" s="20" t="n">
        <v>142739</v>
      </c>
      <c r="L153" s="20" t="n">
        <v>108198</v>
      </c>
    </row>
    <row r="154">
      <c r="A154" s="18" t="inlineStr">
        <is>
          <t>리스부채</t>
        </is>
      </c>
      <c r="H154" s="20" t="n">
        <v>27</v>
      </c>
      <c r="I154" s="20" t="n">
        <v>27</v>
      </c>
      <c r="J154" s="20" t="n">
        <v>27</v>
      </c>
      <c r="K154" s="20" t="n">
        <v>19</v>
      </c>
      <c r="L154" s="20" t="n">
        <v>0</v>
      </c>
    </row>
    <row r="155">
      <c r="A155" s="18" t="inlineStr">
        <is>
          <t>미지급금</t>
        </is>
      </c>
      <c r="H155" s="20" t="n">
        <v>42180</v>
      </c>
      <c r="I155" s="20" t="n">
        <v>41184</v>
      </c>
      <c r="J155" s="20" t="n">
        <v>47327</v>
      </c>
      <c r="K155" s="20" t="n">
        <v>82542</v>
      </c>
      <c r="L155" s="20" t="n">
        <v>58430</v>
      </c>
    </row>
    <row r="156">
      <c r="A156" s="18" t="inlineStr">
        <is>
          <t>미지급비용</t>
        </is>
      </c>
      <c r="H156" s="20" t="n">
        <v>22979</v>
      </c>
      <c r="I156" s="20" t="n">
        <v>26529</v>
      </c>
      <c r="J156" s="20" t="n">
        <v>21816</v>
      </c>
      <c r="K156" s="20" t="n">
        <v>15140</v>
      </c>
      <c r="L156" s="20" t="n">
        <v>18450</v>
      </c>
    </row>
    <row r="157">
      <c r="A157" s="18" t="inlineStr">
        <is>
          <t>미지급법인세</t>
        </is>
      </c>
      <c r="H157" s="20" t="n">
        <v>15356</v>
      </c>
      <c r="I157" s="20" t="n">
        <v>65865</v>
      </c>
      <c r="J157" s="20" t="n">
        <v>32645</v>
      </c>
      <c r="K157" s="20" t="n">
        <v>2384</v>
      </c>
      <c r="L157" s="20" t="n">
        <v>26126</v>
      </c>
    </row>
    <row r="158">
      <c r="A158" s="18" t="inlineStr">
        <is>
          <t>계약부채</t>
        </is>
      </c>
      <c r="H158" s="20" t="n">
        <v>0</v>
      </c>
      <c r="I158" s="20" t="n">
        <v>177</v>
      </c>
      <c r="J158" s="20" t="n">
        <v>0</v>
      </c>
      <c r="K158" s="20" t="n">
        <v>372</v>
      </c>
      <c r="L158" s="20" t="n">
        <v>4036</v>
      </c>
    </row>
    <row r="159">
      <c r="A159" s="18" t="inlineStr">
        <is>
          <t>선수금</t>
        </is>
      </c>
      <c r="H159" s="20" t="n">
        <v>902</v>
      </c>
      <c r="I159" s="20" t="n">
        <v>623</v>
      </c>
      <c r="J159" s="20" t="n">
        <v>784</v>
      </c>
      <c r="K159" s="20" t="n">
        <v>2101</v>
      </c>
      <c r="L159" s="20" t="n">
        <v>2005</v>
      </c>
    </row>
    <row r="160">
      <c r="A160" s="18" t="inlineStr">
        <is>
          <t>예수금</t>
        </is>
      </c>
      <c r="H160" s="20" t="n">
        <v>384304</v>
      </c>
      <c r="I160" s="20" t="n">
        <v>478939</v>
      </c>
      <c r="J160" s="20" t="n">
        <v>393390</v>
      </c>
      <c r="K160" s="20" t="n">
        <v>367148</v>
      </c>
      <c r="L160" s="20" t="n">
        <v>423653</v>
      </c>
    </row>
    <row r="161">
      <c r="A161" s="18" t="inlineStr">
        <is>
          <t>선수수익</t>
        </is>
      </c>
      <c r="H161" s="20" t="n">
        <v>2</v>
      </c>
      <c r="I161" s="20" t="n">
        <v>0</v>
      </c>
    </row>
    <row r="162">
      <c r="A162" s="18" t="inlineStr">
        <is>
          <t>제품보증 충당금</t>
        </is>
      </c>
      <c r="H162" s="20" t="n">
        <v>64</v>
      </c>
      <c r="I162" s="20" t="n">
        <v>86</v>
      </c>
      <c r="J162" s="20" t="n">
        <v>154</v>
      </c>
      <c r="K162" s="20" t="n">
        <v>212</v>
      </c>
      <c r="L162" s="20" t="n">
        <v>371</v>
      </c>
    </row>
    <row r="163">
      <c r="A163" s="18" t="inlineStr">
        <is>
          <t>매출리베이트 충당금</t>
        </is>
      </c>
      <c r="H163" s="20" t="n">
        <v>21453</v>
      </c>
      <c r="I163" s="20" t="n">
        <v>0</v>
      </c>
    </row>
    <row r="164">
      <c r="A164" s="18" t="inlineStr">
        <is>
          <t>사업구조개선 충당금</t>
        </is>
      </c>
      <c r="H164" s="20" t="n">
        <v>20</v>
      </c>
      <c r="I164" s="20" t="n">
        <v>2</v>
      </c>
      <c r="J164" s="20" t="n">
        <v>1</v>
      </c>
      <c r="K164" s="20" t="n">
        <v>1</v>
      </c>
      <c r="L164" s="20" t="n">
        <v>1</v>
      </c>
    </row>
    <row r="165">
      <c r="A165" s="18" t="inlineStr">
        <is>
          <t>우발손실충당금</t>
        </is>
      </c>
      <c r="H165" s="20" t="n">
        <v>2932</v>
      </c>
      <c r="I165" s="20" t="n">
        <v>1098</v>
      </c>
      <c r="J165" s="20" t="n">
        <v>1090</v>
      </c>
      <c r="K165" s="20" t="n">
        <v>0</v>
      </c>
      <c r="L165" s="20" t="n">
        <v>119</v>
      </c>
    </row>
    <row r="166">
      <c r="A166" s="18" t="inlineStr">
        <is>
          <t>주식보상 충당금</t>
        </is>
      </c>
      <c r="H166" s="20" t="n">
        <v>8946</v>
      </c>
      <c r="I166" s="20" t="n">
        <v>8643</v>
      </c>
    </row>
    <row r="167">
      <c r="A167" s="18" t="inlineStr">
        <is>
          <t>주식보상 충당금</t>
        </is>
      </c>
      <c r="I167" s="20" t="n">
        <v>8643</v>
      </c>
      <c r="J167" s="20" t="n">
        <v>27472</v>
      </c>
      <c r="K167" s="20" t="n">
        <v>24232</v>
      </c>
      <c r="L167" s="20" t="n">
        <v>28369</v>
      </c>
    </row>
    <row r="168">
      <c r="A168" s="18" t="inlineStr">
        <is>
          <t>자산복구부채</t>
        </is>
      </c>
      <c r="H168" s="20" t="n">
        <v>25</v>
      </c>
      <c r="I168" s="20" t="n">
        <v>0</v>
      </c>
      <c r="J168" s="20" t="n">
        <v>345</v>
      </c>
      <c r="K168" s="20" t="n">
        <v>22</v>
      </c>
      <c r="L168" s="20" t="n">
        <v>22</v>
      </c>
    </row>
    <row r="169">
      <c r="A169" s="18" t="inlineStr">
        <is>
          <t>기타</t>
        </is>
      </c>
      <c r="H169" s="20" t="n">
        <v>6440</v>
      </c>
      <c r="I169" s="20" t="n">
        <v>36489</v>
      </c>
      <c r="J169" s="20" t="n">
        <v>111293</v>
      </c>
      <c r="K169" s="20" t="n">
        <v>40071</v>
      </c>
      <c r="L169" s="20" t="n">
        <v>135342</v>
      </c>
    </row>
    <row r="170">
      <c r="A170" s="9" t="inlineStr">
        <is>
          <t>유동부채 합계</t>
        </is>
      </c>
      <c r="H170" s="12" t="n">
        <v>741698</v>
      </c>
      <c r="I170" s="12" t="n">
        <v>896798</v>
      </c>
      <c r="J170" s="12" t="n">
        <v>1101654</v>
      </c>
      <c r="K170" s="12" t="n">
        <v>786440</v>
      </c>
      <c r="L170" s="12" t="n">
        <v>929819</v>
      </c>
    </row>
    <row r="171">
      <c r="A171" s="18" t="inlineStr">
        <is>
          <t>사채</t>
        </is>
      </c>
      <c r="H171" s="20" t="n">
        <v>154359</v>
      </c>
      <c r="I171" s="20" t="n">
        <v>154359</v>
      </c>
      <c r="J171" s="20" t="n">
        <v>97189</v>
      </c>
      <c r="K171" s="20" t="n">
        <v>97189</v>
      </c>
      <c r="L171" s="20" t="n">
        <v>0</v>
      </c>
    </row>
    <row r="172">
      <c r="A172" s="18" t="inlineStr">
        <is>
          <t>장기차입금</t>
        </is>
      </c>
      <c r="H172" s="20" t="n">
        <v>541041</v>
      </c>
      <c r="I172" s="20" t="n">
        <v>536387</v>
      </c>
      <c r="J172" s="20" t="n">
        <v>187568</v>
      </c>
      <c r="K172" s="20" t="n">
        <v>1217887</v>
      </c>
      <c r="L172" s="20" t="n">
        <v>1089442</v>
      </c>
    </row>
    <row r="173">
      <c r="A173" s="18" t="inlineStr">
        <is>
          <t>리스부채</t>
        </is>
      </c>
      <c r="H173" s="20" t="n">
        <v>81</v>
      </c>
      <c r="I173" s="20" t="n">
        <v>51</v>
      </c>
      <c r="J173" s="20" t="n">
        <v>21</v>
      </c>
      <c r="K173" s="20" t="n">
        <v>0</v>
      </c>
    </row>
    <row r="174">
      <c r="A174" s="18" t="inlineStr">
        <is>
          <t>퇴직급여충당금</t>
        </is>
      </c>
      <c r="H174" s="20" t="n">
        <v>13032</v>
      </c>
      <c r="I174" s="20" t="n">
        <v>11945</v>
      </c>
      <c r="J174" s="20" t="n">
        <v>10910</v>
      </c>
      <c r="K174" s="20" t="n">
        <v>9852</v>
      </c>
      <c r="L174" s="20" t="n">
        <v>8272</v>
      </c>
    </row>
    <row r="175">
      <c r="A175" s="18" t="inlineStr">
        <is>
          <t>주식보상 충당금</t>
        </is>
      </c>
      <c r="H175" s="20" t="n">
        <v>5513</v>
      </c>
      <c r="I175" s="20" t="n">
        <v>6852</v>
      </c>
    </row>
    <row r="176">
      <c r="A176" s="18" t="inlineStr">
        <is>
          <t>주식보상 충당금</t>
        </is>
      </c>
      <c r="I176" s="20" t="n">
        <v>6852</v>
      </c>
      <c r="J176" s="20" t="n">
        <v>16058</v>
      </c>
      <c r="K176" s="20" t="n">
        <v>14174</v>
      </c>
      <c r="L176" s="20" t="n">
        <v>16234</v>
      </c>
    </row>
    <row r="177">
      <c r="A177" s="18" t="inlineStr">
        <is>
          <t>자산복구부채</t>
        </is>
      </c>
      <c r="H177" s="20" t="n">
        <v>1816</v>
      </c>
      <c r="I177" s="20" t="n">
        <v>1801</v>
      </c>
      <c r="J177" s="20" t="n">
        <v>1748</v>
      </c>
      <c r="K177" s="20" t="n">
        <v>1625</v>
      </c>
      <c r="L177" s="20" t="n">
        <v>1813</v>
      </c>
    </row>
    <row r="178">
      <c r="A178" s="18" t="inlineStr">
        <is>
          <t>기타</t>
        </is>
      </c>
      <c r="H178" s="20" t="n">
        <v>15100</v>
      </c>
      <c r="I178" s="20" t="n">
        <v>4666</v>
      </c>
      <c r="J178" s="20" t="n">
        <v>4140</v>
      </c>
      <c r="K178" s="20" t="n">
        <v>25975</v>
      </c>
      <c r="L178" s="20" t="n">
        <v>7611</v>
      </c>
    </row>
    <row r="179">
      <c r="A179" s="9" t="inlineStr">
        <is>
          <t>비유동부채 합계</t>
        </is>
      </c>
      <c r="H179" s="12" t="n">
        <v>730941</v>
      </c>
      <c r="I179" s="12" t="n">
        <v>716060</v>
      </c>
      <c r="J179" s="12" t="n">
        <v>317635</v>
      </c>
      <c r="K179" s="12" t="n">
        <v>1366703</v>
      </c>
      <c r="L179" s="12" t="n">
        <v>1123372</v>
      </c>
    </row>
    <row r="180">
      <c r="A180" s="9" t="inlineStr">
        <is>
          <t>부채 합계</t>
        </is>
      </c>
      <c r="H180" s="12" t="n">
        <v>1472639</v>
      </c>
      <c r="I180" s="12" t="n">
        <v>1612858</v>
      </c>
      <c r="J180" s="12" t="n">
        <v>1419288</v>
      </c>
      <c r="K180" s="12" t="n">
        <v>2153143</v>
      </c>
      <c r="L180" s="12" t="n">
        <v>2053191</v>
      </c>
    </row>
    <row r="181">
      <c r="A181" s="18" t="inlineStr">
        <is>
          <t>자본금</t>
        </is>
      </c>
      <c r="H181" s="20" t="n">
        <v>147133</v>
      </c>
      <c r="I181" s="20" t="n">
        <v>153209</v>
      </c>
      <c r="J181" s="20" t="n">
        <v>153209</v>
      </c>
      <c r="K181" s="20" t="n">
        <v>153209</v>
      </c>
      <c r="L181" s="20" t="n">
        <v>153209</v>
      </c>
    </row>
    <row r="182">
      <c r="A182" s="18" t="inlineStr">
        <is>
          <t>자본준비금</t>
        </is>
      </c>
      <c r="H182" s="20" t="n">
        <v>137133</v>
      </c>
      <c r="I182" s="20" t="n">
        <v>143209</v>
      </c>
      <c r="J182" s="20" t="n">
        <v>143209</v>
      </c>
      <c r="K182" s="20" t="n">
        <v>143209</v>
      </c>
      <c r="L182" s="20" t="n">
        <v>143209</v>
      </c>
    </row>
    <row r="183">
      <c r="A183" s="18" t="inlineStr">
        <is>
          <t>기타자본잉여금</t>
        </is>
      </c>
      <c r="H183" s="20" t="n">
        <v>207061</v>
      </c>
      <c r="I183" s="20" t="n">
        <v>206642</v>
      </c>
      <c r="J183" s="20" t="n">
        <v>208969</v>
      </c>
      <c r="K183" s="20" t="n">
        <v>125190</v>
      </c>
      <c r="L183" s="20" t="n">
        <v>133246</v>
      </c>
    </row>
    <row r="184">
      <c r="A184" s="18" t="inlineStr">
        <is>
          <t>자본잉여금 합계</t>
        </is>
      </c>
      <c r="H184" s="20" t="n">
        <v>344194</v>
      </c>
      <c r="I184" s="20" t="n">
        <v>349851</v>
      </c>
      <c r="J184" s="20" t="n">
        <v>352177</v>
      </c>
      <c r="K184" s="20" t="n">
        <v>268399</v>
      </c>
      <c r="L184" s="20" t="n">
        <v>276455</v>
      </c>
    </row>
    <row r="185">
      <c r="A185" s="18" t="inlineStr">
        <is>
          <t>이월이익잉여금</t>
        </is>
      </c>
      <c r="H185" s="20" t="n">
        <v>409076</v>
      </c>
      <c r="I185" s="20" t="n">
        <v>621723</v>
      </c>
      <c r="J185" s="20" t="n">
        <v>873594</v>
      </c>
      <c r="K185" s="20" t="n">
        <v>1013808</v>
      </c>
      <c r="L185" s="20" t="n">
        <v>1122143</v>
      </c>
    </row>
    <row r="186">
      <c r="A186" s="18" t="inlineStr">
        <is>
          <t>이익잉여금 합계</t>
        </is>
      </c>
      <c r="H186" s="20" t="n">
        <v>409076</v>
      </c>
      <c r="I186" s="20" t="n">
        <v>621723</v>
      </c>
      <c r="J186" s="20" t="n">
        <v>873594</v>
      </c>
      <c r="K186" s="20" t="n">
        <v>1013808</v>
      </c>
      <c r="L186" s="20" t="n">
        <v>1122143</v>
      </c>
    </row>
    <row r="187">
      <c r="A187" s="18" t="inlineStr">
        <is>
          <t>자기주식</t>
        </is>
      </c>
      <c r="H187" s="20" t="n">
        <v>-11</v>
      </c>
      <c r="I187" s="20" t="n">
        <v>-192171</v>
      </c>
      <c r="J187" s="20" t="n">
        <v>-217691</v>
      </c>
      <c r="K187" s="20" t="n">
        <v>-89310</v>
      </c>
      <c r="L187" s="20" t="n">
        <v>-68295</v>
      </c>
    </row>
    <row r="188">
      <c r="A188" s="9" t="inlineStr">
        <is>
          <t>주주자본 합계</t>
        </is>
      </c>
      <c r="H188" s="12" t="n">
        <v>900391</v>
      </c>
      <c r="I188" s="12" t="n">
        <v>932612</v>
      </c>
      <c r="J188" s="12" t="n">
        <v>1161289</v>
      </c>
      <c r="K188" s="12" t="n">
        <v>1346106</v>
      </c>
      <c r="L188" s="12" t="n">
        <v>1483512</v>
      </c>
    </row>
    <row r="189">
      <c r="A189" s="18" t="inlineStr">
        <is>
          <t>기타유가증권 평가차액</t>
        </is>
      </c>
      <c r="H189" s="20" t="n">
        <v>0</v>
      </c>
      <c r="I189" s="20" t="n">
        <v>-1</v>
      </c>
      <c r="J189" s="20" t="n">
        <v>62</v>
      </c>
      <c r="K189" s="20" t="n">
        <v>629</v>
      </c>
      <c r="L189" s="20" t="n">
        <v>278</v>
      </c>
    </row>
    <row r="190">
      <c r="A190" s="18" t="inlineStr">
        <is>
          <t>이연헤지손익</t>
        </is>
      </c>
      <c r="H190" s="20" t="n">
        <v>-360</v>
      </c>
      <c r="I190" s="20" t="n">
        <v>224</v>
      </c>
      <c r="J190" s="20" t="n">
        <v>-8589</v>
      </c>
      <c r="K190" s="20" t="n">
        <v>0</v>
      </c>
      <c r="L190" s="20" t="n">
        <v>-857</v>
      </c>
    </row>
    <row r="191">
      <c r="A191" s="18" t="inlineStr">
        <is>
          <t>평가·환산차액 합계</t>
        </is>
      </c>
      <c r="H191" s="20" t="n">
        <v>-360</v>
      </c>
      <c r="I191" s="20" t="n">
        <v>223</v>
      </c>
      <c r="J191" s="20" t="n">
        <v>-8527</v>
      </c>
      <c r="K191" s="20" t="n">
        <v>629</v>
      </c>
      <c r="L191" s="20" t="n">
        <v>-579</v>
      </c>
    </row>
    <row r="192">
      <c r="A192" s="18" t="inlineStr">
        <is>
          <t>신주예약권</t>
        </is>
      </c>
      <c r="H192" s="20" t="n">
        <v>13270</v>
      </c>
      <c r="I192" s="20" t="n">
        <v>7602</v>
      </c>
      <c r="J192" s="20" t="n">
        <v>3106</v>
      </c>
      <c r="K192" s="20" t="n">
        <v>1087</v>
      </c>
      <c r="L192" s="20" t="n">
        <v>16</v>
      </c>
    </row>
    <row r="193">
      <c r="A193" s="9" t="inlineStr">
        <is>
          <t>순자산 합계</t>
        </is>
      </c>
      <c r="H193" s="12" t="n">
        <v>913301</v>
      </c>
      <c r="I193" s="12" t="n">
        <v>940437</v>
      </c>
      <c r="J193" s="12" t="n">
        <v>1155868</v>
      </c>
      <c r="K193" s="12" t="n">
        <v>1347822</v>
      </c>
      <c r="L193" s="12" t="n">
        <v>1482949</v>
      </c>
    </row>
    <row r="194">
      <c r="A194" s="9" t="inlineStr">
        <is>
          <t>부채·순자산 합계</t>
        </is>
      </c>
      <c r="H194" s="12" t="n">
        <v>2385940</v>
      </c>
      <c r="I194" s="12" t="n">
        <v>2553295</v>
      </c>
      <c r="J194" s="12" t="n">
        <v>2575156</v>
      </c>
      <c r="K194" s="12" t="n">
        <v>3500965</v>
      </c>
      <c r="L194" s="12" t="n">
        <v>3536139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4" customWidth="1" min="8" max="8"/>
  </cols>
  <sheetData>
    <row r="1">
      <c r="A1" s="50" t="inlineStr">
        <is>
          <t>르네사스일렉트로닉스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G3</t>
        </is>
      </c>
      <c r="B4" s="52" t="n"/>
      <c r="C4" s="52" t="n"/>
      <c r="D4" s="52" t="n"/>
      <c r="E4" s="52" t="n"/>
      <c r="F4" s="52" t="n"/>
      <c r="G4" s="52" t="n"/>
      <c r="H4" s="52" t="n"/>
    </row>
    <row r="5">
      <c r="A5" s="53" t="inlineStr">
        <is>
          <t>항목</t>
        </is>
      </c>
      <c r="B5" s="53" t="inlineStr">
        <is>
          <t>값</t>
        </is>
      </c>
      <c r="H5" s="53" t="inlineStr">
        <is>
          <t>출처</t>
        </is>
      </c>
    </row>
    <row r="6">
      <c r="A6" s="54" t="inlineStr">
        <is>
          <t>매출</t>
        </is>
      </c>
      <c r="B6" s="55" t="n">
        <v>4300</v>
      </c>
      <c r="H6" s="56" t="inlineStr">
        <is>
          <t>2단계 보고서 자료(회사 설명회 자료·공시)</t>
        </is>
      </c>
    </row>
    <row r="7">
      <c r="A7" s="54" t="inlineStr">
        <is>
          <t>매출총이익률</t>
        </is>
      </c>
      <c r="B7" s="57" t="n">
        <v>57.5</v>
      </c>
    </row>
    <row r="8">
      <c r="A8" s="54" t="inlineStr">
        <is>
          <t>영업이익률</t>
        </is>
      </c>
      <c r="B8" s="57" t="n">
        <v>32.5</v>
      </c>
    </row>
    <row r="9">
      <c r="A9" s="54" t="inlineStr">
        <is>
          <t>gp</t>
        </is>
      </c>
      <c r="B9" s="57" t="n">
        <v>2472.5</v>
      </c>
    </row>
    <row r="10">
      <c r="A10" s="54" t="inlineStr">
        <is>
          <t>영업이익</t>
        </is>
      </c>
      <c r="B10" s="57" t="n">
        <v>1397.5</v>
      </c>
    </row>
    <row r="11">
      <c r="A11" s="54" t="inlineStr">
        <is>
          <t>순이익</t>
        </is>
      </c>
      <c r="B11" s="57" t="n">
        <v>1193.2</v>
      </c>
    </row>
    <row r="13">
      <c r="A13" s="52" t="inlineStr">
        <is>
          <t>CONS3</t>
        </is>
      </c>
      <c r="B13" s="52" t="n"/>
      <c r="C13" s="52" t="n"/>
      <c r="D13" s="52" t="n"/>
      <c r="E13" s="52" t="n"/>
      <c r="F13" s="52" t="n"/>
      <c r="G13" s="52" t="n"/>
      <c r="H13" s="52" t="n"/>
    </row>
    <row r="14">
      <c r="A14" s="53" t="inlineStr">
        <is>
          <t>항목</t>
        </is>
      </c>
      <c r="B14" s="53" t="inlineStr">
        <is>
          <t>값</t>
        </is>
      </c>
      <c r="H14" s="53" t="inlineStr">
        <is>
          <t>출처</t>
        </is>
      </c>
    </row>
    <row r="15">
      <c r="A15" s="54" t="inlineStr">
        <is>
          <t>매출</t>
        </is>
      </c>
      <c r="B15" s="57" t="n">
        <v>4354.8</v>
      </c>
      <c r="H15" s="56" t="inlineStr">
        <is>
          <t>2단계 보고서 자료(회사 설명회 자료·공시)</t>
        </is>
      </c>
    </row>
    <row r="16">
      <c r="A16" s="54" t="inlineStr">
        <is>
          <t>EPS</t>
        </is>
      </c>
      <c r="B16" s="57" t="n">
        <v>68.23999999999999</v>
      </c>
    </row>
    <row r="17">
      <c r="A17" s="54" t="inlineStr">
        <is>
          <t>순이익</t>
        </is>
      </c>
      <c r="B17" s="57" t="n">
        <v>1247.1</v>
      </c>
    </row>
    <row r="19">
      <c r="A19" s="52" t="inlineStr">
        <is>
          <t>CONS FY</t>
        </is>
      </c>
      <c r="B19" s="52" t="n"/>
      <c r="C19" s="52" t="n"/>
      <c r="D19" s="52" t="n"/>
      <c r="E19" s="52" t="n"/>
      <c r="F19" s="52" t="n"/>
      <c r="G19" s="52" t="n"/>
      <c r="H19" s="52" t="n"/>
    </row>
    <row r="20">
      <c r="A20" s="53" t="inlineStr">
        <is>
          <t>항목</t>
        </is>
      </c>
      <c r="B20" s="53" t="inlineStr">
        <is>
          <t>값</t>
        </is>
      </c>
      <c r="H20" s="53" t="inlineStr">
        <is>
          <t>출처</t>
        </is>
      </c>
    </row>
    <row r="21">
      <c r="A21" s="54" t="inlineStr">
        <is>
          <t>매출</t>
        </is>
      </c>
      <c r="B21" s="57" t="n">
        <v>16627.4</v>
      </c>
      <c r="H21" s="56" t="inlineStr">
        <is>
          <t>2단계 보고서 자료(회사 설명회 자료·공시)</t>
        </is>
      </c>
    </row>
    <row r="22">
      <c r="A22" s="54" t="inlineStr">
        <is>
          <t>EPS</t>
        </is>
      </c>
      <c r="B22" s="57" t="n">
        <v>240.92</v>
      </c>
    </row>
    <row r="23">
      <c r="A23" s="54" t="inlineStr">
        <is>
          <t>애널리스트 수</t>
        </is>
      </c>
      <c r="B23" s="55" t="n">
        <v>6</v>
      </c>
    </row>
    <row r="24">
      <c r="A24" s="54" t="inlineStr">
        <is>
          <t>매출 애널리스트 수</t>
        </is>
      </c>
      <c r="B24" s="55" t="n">
        <v>11</v>
      </c>
    </row>
    <row r="25">
      <c r="A25" s="54" t="inlineStr">
        <is>
          <t>eps27</t>
        </is>
      </c>
      <c r="B25" s="57" t="n">
        <v>274.5</v>
      </c>
    </row>
    <row r="26">
      <c r="A26" s="54" t="inlineStr">
        <is>
          <t>tp</t>
        </is>
      </c>
      <c r="B26" s="57" t="n">
        <v>5134.6</v>
      </c>
    </row>
    <row r="27">
      <c r="A27" s="54" t="inlineStr">
        <is>
          <t>tp med</t>
        </is>
      </c>
      <c r="B27" s="55" t="n">
        <v>5500</v>
      </c>
    </row>
    <row r="28">
      <c r="A28" s="54" t="inlineStr">
        <is>
          <t>tp 애널리스트 수</t>
        </is>
      </c>
      <c r="B28" s="55" t="n">
        <v>13</v>
      </c>
    </row>
    <row r="30">
      <c r="A30" s="52" t="inlineStr">
        <is>
          <t>E3</t>
        </is>
      </c>
      <c r="B30" s="52" t="n"/>
      <c r="C30" s="52" t="n"/>
      <c r="D30" s="52" t="n"/>
      <c r="E30" s="52" t="n"/>
      <c r="F30" s="52" t="n"/>
      <c r="G30" s="52" t="n"/>
      <c r="H30" s="52" t="n"/>
    </row>
    <row r="31">
      <c r="A31" s="53" t="inlineStr">
        <is>
          <t>항목</t>
        </is>
      </c>
      <c r="B31" s="53" t="inlineStr">
        <is>
          <t>값</t>
        </is>
      </c>
      <c r="H31" s="53" t="inlineStr">
        <is>
          <t>출처</t>
        </is>
      </c>
    </row>
    <row r="32">
      <c r="A32" s="54" t="inlineStr">
        <is>
          <t>매출</t>
        </is>
      </c>
      <c r="B32" s="55" t="n">
        <v>4414</v>
      </c>
      <c r="H32" s="56" t="inlineStr">
        <is>
          <t>2단계 보고서 자료(회사 설명회 자료·공시)</t>
        </is>
      </c>
    </row>
    <row r="33">
      <c r="A33" s="54" t="inlineStr">
        <is>
          <t>영업이익률</t>
        </is>
      </c>
      <c r="B33" s="57" t="n">
        <v>34</v>
      </c>
    </row>
    <row r="34">
      <c r="A34" s="54" t="inlineStr">
        <is>
          <t>영업이익</t>
        </is>
      </c>
      <c r="B34" s="55" t="n">
        <v>1501</v>
      </c>
    </row>
    <row r="35">
      <c r="A35" s="54" t="inlineStr">
        <is>
          <t>순이익</t>
        </is>
      </c>
      <c r="B35" s="55" t="n">
        <v>1282</v>
      </c>
    </row>
    <row r="36">
      <c r="A36" s="54" t="inlineStr">
        <is>
          <t>EPS</t>
        </is>
      </c>
      <c r="B36" s="57" t="n">
        <v>70.2</v>
      </c>
    </row>
    <row r="37">
      <c r="A37" s="54" t="inlineStr">
        <is>
          <t>g4</t>
        </is>
      </c>
      <c r="B37" s="55" t="n">
        <v>4400</v>
      </c>
    </row>
    <row r="39">
      <c r="A39" s="52" t="inlineStr">
        <is>
          <t>A3</t>
        </is>
      </c>
      <c r="B39" s="52" t="n"/>
      <c r="C39" s="52" t="n"/>
      <c r="D39" s="52" t="n"/>
      <c r="E39" s="52" t="n"/>
      <c r="F39" s="52" t="n"/>
      <c r="G39" s="52" t="n"/>
      <c r="H39" s="52" t="n"/>
    </row>
    <row r="40">
      <c r="A40" s="53" t="inlineStr">
        <is>
          <t>항목</t>
        </is>
      </c>
      <c r="B40" s="53" t="inlineStr">
        <is>
          <t>값</t>
        </is>
      </c>
      <c r="H40" s="53" t="inlineStr">
        <is>
          <t>출처</t>
        </is>
      </c>
    </row>
    <row r="41">
      <c r="A41" s="54" t="inlineStr">
        <is>
          <t>매출</t>
        </is>
      </c>
      <c r="B41" s="55" t="n">
        <v>4352</v>
      </c>
      <c r="H41" s="56" t="inlineStr">
        <is>
          <t>2단계 보고서 자료(회사 설명회 자료·공시)</t>
        </is>
      </c>
    </row>
    <row r="42">
      <c r="A42" s="54" t="inlineStr">
        <is>
          <t>gp</t>
        </is>
      </c>
      <c r="B42" s="55" t="n">
        <v>2583</v>
      </c>
    </row>
    <row r="43">
      <c r="A43" s="54" t="inlineStr">
        <is>
          <t>영업이익</t>
        </is>
      </c>
      <c r="B43" s="55" t="n">
        <v>1505</v>
      </c>
    </row>
    <row r="44">
      <c r="A44" s="54" t="inlineStr">
        <is>
          <t>순이익</t>
        </is>
      </c>
      <c r="B44" s="55" t="n">
        <v>1250</v>
      </c>
    </row>
    <row r="45">
      <c r="A45" s="54" t="inlineStr">
        <is>
          <t>매출총이익률</t>
        </is>
      </c>
      <c r="B45" s="57" t="n">
        <v>59.4</v>
      </c>
    </row>
    <row r="46">
      <c r="A46" s="54" t="inlineStr">
        <is>
          <t>영업이익률</t>
        </is>
      </c>
      <c r="B46" s="57" t="n">
        <v>34.6</v>
      </c>
    </row>
    <row r="47">
      <c r="A47" s="54" t="inlineStr">
        <is>
          <t>ebitda</t>
        </is>
      </c>
      <c r="B47" s="55" t="n">
        <v>1734</v>
      </c>
    </row>
    <row r="48">
      <c r="A48" s="54" t="inlineStr">
        <is>
          <t>달러</t>
        </is>
      </c>
      <c r="B48" s="55" t="n">
        <v>161</v>
      </c>
    </row>
    <row r="50">
      <c r="A50" s="52" t="inlineStr">
        <is>
          <t>G4</t>
        </is>
      </c>
      <c r="B50" s="52" t="n"/>
      <c r="C50" s="52" t="n"/>
      <c r="D50" s="52" t="n"/>
      <c r="E50" s="52" t="n"/>
      <c r="F50" s="52" t="n"/>
      <c r="G50" s="52" t="n"/>
      <c r="H50" s="52" t="n"/>
    </row>
    <row r="51">
      <c r="A51" s="53" t="inlineStr">
        <is>
          <t>항목</t>
        </is>
      </c>
      <c r="B51" s="53" t="inlineStr">
        <is>
          <t>값</t>
        </is>
      </c>
      <c r="H51" s="53" t="inlineStr">
        <is>
          <t>출처</t>
        </is>
      </c>
    </row>
    <row r="52">
      <c r="A52" s="54" t="inlineStr">
        <is>
          <t>매출</t>
        </is>
      </c>
      <c r="B52" s="55" t="n">
        <v>4540</v>
      </c>
      <c r="H52" s="56" t="inlineStr">
        <is>
          <t>2단계 보고서 자료(회사 설명회 자료·공시)</t>
        </is>
      </c>
    </row>
    <row r="53">
      <c r="A53" s="54" t="inlineStr">
        <is>
          <t>매출총이익률</t>
        </is>
      </c>
      <c r="B53" s="57" t="n">
        <v>58</v>
      </c>
    </row>
    <row r="54">
      <c r="A54" s="54" t="inlineStr">
        <is>
          <t>영업이익률</t>
        </is>
      </c>
      <c r="B54" s="57" t="n">
        <v>32</v>
      </c>
    </row>
    <row r="55">
      <c r="A55" s="54" t="inlineStr">
        <is>
          <t>gp</t>
        </is>
      </c>
      <c r="B55" s="57" t="n">
        <v>2633.2</v>
      </c>
    </row>
    <row r="56">
      <c r="A56" s="54" t="inlineStr">
        <is>
          <t>영업이익</t>
        </is>
      </c>
      <c r="B56" s="57" t="n">
        <v>1452.8</v>
      </c>
    </row>
    <row r="57">
      <c r="A57" s="54" t="inlineStr">
        <is>
          <t>순이익</t>
        </is>
      </c>
      <c r="B57" s="57" t="n">
        <v>1206.6</v>
      </c>
    </row>
    <row r="59">
      <c r="A59" s="52" t="inlineStr">
        <is>
          <t>GFY</t>
        </is>
      </c>
      <c r="B59" s="52" t="n"/>
      <c r="C59" s="52" t="n"/>
      <c r="D59" s="52" t="n"/>
      <c r="E59" s="52" t="n"/>
      <c r="F59" s="52" t="n"/>
      <c r="G59" s="52" t="n"/>
      <c r="H59" s="52" t="n"/>
    </row>
    <row r="60">
      <c r="A60" s="53" t="inlineStr">
        <is>
          <t>항목</t>
        </is>
      </c>
      <c r="B60" s="53" t="inlineStr">
        <is>
          <t>값</t>
        </is>
      </c>
      <c r="H60" s="53" t="inlineStr">
        <is>
          <t>출처</t>
        </is>
      </c>
    </row>
    <row r="61">
      <c r="A61" s="54" t="inlineStr">
        <is>
          <t>매출</t>
        </is>
      </c>
      <c r="B61" s="55" t="n">
        <v>16668</v>
      </c>
      <c r="H61" s="56" t="inlineStr">
        <is>
          <t>2단계 보고서 자료(회사 설명회 자료·공시)</t>
        </is>
      </c>
    </row>
    <row r="62">
      <c r="A62" s="54" t="inlineStr">
        <is>
          <t>매출총이익률</t>
        </is>
      </c>
      <c r="B62" s="57" t="n">
        <v>58.6</v>
      </c>
    </row>
    <row r="63">
      <c r="A63" s="54" t="inlineStr">
        <is>
          <t>영업이익률</t>
        </is>
      </c>
      <c r="B63" s="57" t="n">
        <v>33.2</v>
      </c>
    </row>
    <row r="64">
      <c r="A64" s="54" t="inlineStr">
        <is>
          <t>gp</t>
        </is>
      </c>
      <c r="B64" s="55" t="n">
        <v>9767</v>
      </c>
    </row>
    <row r="65">
      <c r="A65" s="54" t="inlineStr">
        <is>
          <t>영업이익</t>
        </is>
      </c>
      <c r="B65" s="55" t="n">
        <v>5534</v>
      </c>
    </row>
    <row r="66">
      <c r="A66" s="54" t="inlineStr">
        <is>
          <t>순이익</t>
        </is>
      </c>
      <c r="B66" s="55" t="n">
        <v>4619</v>
      </c>
    </row>
    <row r="67">
      <c r="A67" s="54" t="inlineStr">
        <is>
          <t>EPS</t>
        </is>
      </c>
      <c r="B67" s="57" t="n">
        <v>253.1</v>
      </c>
    </row>
    <row r="69">
      <c r="A69" s="52" t="inlineStr">
        <is>
          <t>NM9</t>
        </is>
      </c>
      <c r="B69" s="52" t="n"/>
      <c r="C69" s="52" t="n"/>
      <c r="D69" s="52" t="n"/>
      <c r="E69" s="52" t="n"/>
      <c r="F69" s="52" t="n"/>
      <c r="G69" s="52" t="n"/>
      <c r="H69" s="52" t="n"/>
    </row>
    <row r="70">
      <c r="A70" s="53" t="inlineStr">
        <is>
          <t>항목</t>
        </is>
      </c>
      <c r="B70" s="53" t="inlineStr">
        <is>
          <t>값</t>
        </is>
      </c>
      <c r="H70" s="53" t="inlineStr">
        <is>
          <t>출처</t>
        </is>
      </c>
    </row>
    <row r="71">
      <c r="A71" s="54" t="inlineStr">
        <is>
          <t>매출</t>
        </is>
      </c>
      <c r="B71" s="55" t="n">
        <v>12128</v>
      </c>
      <c r="H71" s="56" t="inlineStr">
        <is>
          <t>2단계 보고서 자료(회사 설명회 자료·공시)</t>
        </is>
      </c>
    </row>
    <row r="72">
      <c r="A72" s="54" t="inlineStr">
        <is>
          <t>gp</t>
        </is>
      </c>
      <c r="B72" s="55" t="n">
        <v>7139</v>
      </c>
    </row>
    <row r="73">
      <c r="A73" s="54" t="inlineStr">
        <is>
          <t>영업이익</t>
        </is>
      </c>
      <c r="B73" s="55" t="n">
        <v>4087</v>
      </c>
    </row>
    <row r="74">
      <c r="A74" s="54" t="inlineStr">
        <is>
          <t>순이익</t>
        </is>
      </c>
      <c r="B74" s="55" t="n">
        <v>3412</v>
      </c>
    </row>
    <row r="76">
      <c r="A76" s="52" t="inlineStr">
        <is>
          <t>TI</t>
        </is>
      </c>
      <c r="B76" s="52" t="n"/>
      <c r="C76" s="52" t="n"/>
      <c r="D76" s="52" t="n"/>
      <c r="E76" s="52" t="n"/>
      <c r="F76" s="52" t="n"/>
      <c r="G76" s="52" t="n"/>
      <c r="H76" s="52" t="n"/>
    </row>
    <row r="77">
      <c r="A77" s="53" t="inlineStr">
        <is>
          <t>항목</t>
        </is>
      </c>
      <c r="B77" s="53" t="inlineStr">
        <is>
          <t>값</t>
        </is>
      </c>
      <c r="H77" s="53" t="inlineStr">
        <is>
          <t>출처</t>
        </is>
      </c>
    </row>
    <row r="78">
      <c r="A78" s="54" t="inlineStr">
        <is>
          <t>2022-Q2</t>
        </is>
      </c>
      <c r="B78" s="55" t="n">
        <v>5212</v>
      </c>
      <c r="H78" s="56" t="inlineStr">
        <is>
          <t>2단계 보고서 자료(회사 설명회 자료·공시)</t>
        </is>
      </c>
    </row>
    <row r="79">
      <c r="A79" s="54" t="inlineStr">
        <is>
          <t>2022-Q3</t>
        </is>
      </c>
      <c r="B79" s="55" t="n">
        <v>5241</v>
      </c>
    </row>
    <row r="80">
      <c r="A80" s="54" t="inlineStr">
        <is>
          <t>2022-Q4</t>
        </is>
      </c>
      <c r="B80" s="55" t="n">
        <v>4670</v>
      </c>
    </row>
    <row r="81">
      <c r="A81" s="54" t="inlineStr">
        <is>
          <t>2023-Q1</t>
        </is>
      </c>
      <c r="B81" s="55" t="n">
        <v>4379</v>
      </c>
    </row>
    <row r="82">
      <c r="A82" s="54" t="inlineStr">
        <is>
          <t>2023-Q2</t>
        </is>
      </c>
      <c r="B82" s="55" t="n">
        <v>4531</v>
      </c>
    </row>
    <row r="83">
      <c r="A83" s="54" t="inlineStr">
        <is>
          <t>2023-Q3</t>
        </is>
      </c>
      <c r="B83" s="55" t="n">
        <v>4532</v>
      </c>
    </row>
    <row r="84">
      <c r="A84" s="54" t="inlineStr">
        <is>
          <t>2023-Q4</t>
        </is>
      </c>
      <c r="B84" s="55" t="n">
        <v>4077</v>
      </c>
    </row>
    <row r="85">
      <c r="A85" s="54" t="inlineStr">
        <is>
          <t>2024-Q1</t>
        </is>
      </c>
      <c r="B85" s="55" t="n">
        <v>3661</v>
      </c>
    </row>
    <row r="86">
      <c r="A86" s="54" t="inlineStr">
        <is>
          <t>2024-Q2</t>
        </is>
      </c>
      <c r="B86" s="55" t="n">
        <v>3822</v>
      </c>
    </row>
    <row r="87">
      <c r="A87" s="54" t="inlineStr">
        <is>
          <t>2024-Q3</t>
        </is>
      </c>
      <c r="B87" s="55" t="n">
        <v>4151</v>
      </c>
    </row>
    <row r="88">
      <c r="A88" s="54" t="inlineStr">
        <is>
          <t>2024-Q4</t>
        </is>
      </c>
      <c r="B88" s="55" t="n">
        <v>4007</v>
      </c>
    </row>
    <row r="89">
      <c r="A89" s="54" t="inlineStr">
        <is>
          <t>2025-Q1</t>
        </is>
      </c>
      <c r="B89" s="55" t="n">
        <v>4069</v>
      </c>
    </row>
    <row r="90">
      <c r="A90" s="54" t="inlineStr">
        <is>
          <t>2025-Q2</t>
        </is>
      </c>
      <c r="B90" s="55" t="n">
        <v>4448</v>
      </c>
    </row>
    <row r="91">
      <c r="A91" s="54" t="inlineStr">
        <is>
          <t>2025-Q3</t>
        </is>
      </c>
      <c r="B91" s="55" t="n">
        <v>4742</v>
      </c>
    </row>
    <row r="92">
      <c r="A92" s="54" t="inlineStr">
        <is>
          <t>2025-Q4</t>
        </is>
      </c>
      <c r="B92" s="55" t="n">
        <v>4423</v>
      </c>
    </row>
    <row r="93">
      <c r="A93" s="54" t="inlineStr">
        <is>
          <t>2026-Q1</t>
        </is>
      </c>
      <c r="B93" s="55" t="n">
        <v>4825</v>
      </c>
    </row>
    <row r="94">
      <c r="A94" s="54" t="inlineStr">
        <is>
          <t>2026-Q2</t>
        </is>
      </c>
      <c r="B94" s="55" t="n">
        <v>5463</v>
      </c>
    </row>
    <row r="95">
      <c r="A95" s="54" t="inlineStr">
        <is>
          <t>2026-Q3</t>
        </is>
      </c>
      <c r="B95" s="55" t="n">
        <v>6055</v>
      </c>
    </row>
    <row r="97">
      <c r="A97" s="52" t="inlineStr">
        <is>
          <t>beat</t>
        </is>
      </c>
      <c r="B97" s="52" t="n"/>
      <c r="C97" s="52" t="n"/>
      <c r="D97" s="52" t="n"/>
      <c r="E97" s="52" t="n"/>
      <c r="F97" s="52" t="n"/>
      <c r="G97" s="52" t="n"/>
      <c r="H97" s="52" t="n"/>
    </row>
    <row r="98">
      <c r="A98" s="53" t="inlineStr">
        <is>
          <t>항목</t>
        </is>
      </c>
      <c r="B98" s="53" t="inlineStr">
        <is>
          <t>g 매출</t>
        </is>
      </c>
      <c r="C98" s="53" t="inlineStr">
        <is>
          <t>a 매출</t>
        </is>
      </c>
      <c r="D98" s="53" t="inlineStr">
        <is>
          <t>매출 b</t>
        </is>
      </c>
      <c r="E98" s="53" t="inlineStr">
        <is>
          <t>g 영업이익</t>
        </is>
      </c>
      <c r="F98" s="53" t="inlineStr">
        <is>
          <t>a 영업이익</t>
        </is>
      </c>
      <c r="G98" s="53" t="inlineStr">
        <is>
          <t>영업이익률 b</t>
        </is>
      </c>
      <c r="H98" s="53" t="inlineStr">
        <is>
          <t>출처</t>
        </is>
      </c>
    </row>
    <row r="99">
      <c r="A99" s="54" t="inlineStr">
        <is>
          <t>2023-Q1</t>
        </is>
      </c>
      <c r="B99" s="55" t="n">
        <v>3550</v>
      </c>
      <c r="C99" s="55" t="n">
        <v>3597</v>
      </c>
      <c r="D99" s="57" t="n">
        <v>1.3</v>
      </c>
      <c r="E99" s="55" t="n">
        <v>1154</v>
      </c>
      <c r="F99" s="55" t="n">
        <v>1248</v>
      </c>
      <c r="G99" s="57" t="n">
        <v>2.2</v>
      </c>
      <c r="H99" s="56" t="inlineStr">
        <is>
          <t>2단계 보고서 자료(회사 설명회 자료·공시)</t>
        </is>
      </c>
    </row>
    <row r="100">
      <c r="A100" s="54" t="inlineStr">
        <is>
          <t>2023-Q2</t>
        </is>
      </c>
      <c r="B100" s="55" t="n">
        <v>3600</v>
      </c>
      <c r="C100" s="55" t="n">
        <v>3687</v>
      </c>
      <c r="D100" s="57" t="n">
        <v>2.4</v>
      </c>
      <c r="E100" s="55" t="n">
        <v>1152</v>
      </c>
      <c r="F100" s="55" t="n">
        <v>1291</v>
      </c>
      <c r="G100" s="57" t="n">
        <v>3</v>
      </c>
    </row>
    <row r="101">
      <c r="A101" s="54" t="inlineStr">
        <is>
          <t>2023-Q3</t>
        </is>
      </c>
      <c r="B101" s="55" t="n">
        <v>3700</v>
      </c>
      <c r="C101" s="55" t="n">
        <v>3794</v>
      </c>
      <c r="D101" s="57" t="n">
        <v>2.5</v>
      </c>
      <c r="E101" s="55" t="n">
        <v>1202</v>
      </c>
      <c r="F101" s="55" t="n">
        <v>1323</v>
      </c>
      <c r="G101" s="57" t="n">
        <v>2.4</v>
      </c>
    </row>
    <row r="102">
      <c r="A102" s="54" t="inlineStr">
        <is>
          <t>2023-Q4</t>
        </is>
      </c>
      <c r="B102" s="55" t="n">
        <v>3580</v>
      </c>
      <c r="C102" s="55" t="n">
        <v>3619</v>
      </c>
      <c r="D102" s="57" t="n">
        <v>1.1</v>
      </c>
      <c r="E102" s="55" t="n">
        <v>1092</v>
      </c>
      <c r="F102" s="55" t="n">
        <v>1155</v>
      </c>
      <c r="G102" s="57" t="n">
        <v>1.4</v>
      </c>
    </row>
    <row r="103">
      <c r="A103" s="54" t="inlineStr">
        <is>
          <t>2024-Q1</t>
        </is>
      </c>
      <c r="B103" s="55" t="n">
        <v>3450</v>
      </c>
      <c r="C103" s="55" t="n">
        <v>3518</v>
      </c>
      <c r="D103" s="57" t="n">
        <v>2</v>
      </c>
      <c r="E103" s="55" t="n">
        <v>1035</v>
      </c>
      <c r="F103" s="55" t="n">
        <v>1135</v>
      </c>
      <c r="G103" s="57" t="n">
        <v>2.3</v>
      </c>
    </row>
    <row r="104">
      <c r="A104" s="54" t="inlineStr">
        <is>
          <t>2024-Q2</t>
        </is>
      </c>
      <c r="B104" s="55" t="n">
        <v>3550</v>
      </c>
      <c r="C104" s="55" t="n">
        <v>3588</v>
      </c>
      <c r="D104" s="57" t="n">
        <v>1.1</v>
      </c>
      <c r="E104" s="55" t="n">
        <v>1083</v>
      </c>
      <c r="F104" s="55" t="n">
        <v>1106</v>
      </c>
      <c r="G104" s="57" t="n">
        <v>0.3</v>
      </c>
    </row>
    <row r="105">
      <c r="A105" s="54" t="inlineStr">
        <is>
          <t>2024-Q3</t>
        </is>
      </c>
      <c r="B105" s="55" t="n">
        <v>3480</v>
      </c>
      <c r="C105" s="55" t="n">
        <v>3453</v>
      </c>
      <c r="D105" s="57" t="n">
        <v>-0.8</v>
      </c>
      <c r="E105" s="55" t="n">
        <v>957</v>
      </c>
      <c r="F105" s="55" t="n">
        <v>984</v>
      </c>
      <c r="G105" s="57" t="n">
        <v>1</v>
      </c>
    </row>
    <row r="106">
      <c r="A106" s="54" t="inlineStr">
        <is>
          <t>2024-Q4</t>
        </is>
      </c>
      <c r="B106" s="55" t="n">
        <v>2785</v>
      </c>
      <c r="C106" s="55" t="n">
        <v>2926</v>
      </c>
      <c r="D106" s="57" t="n">
        <v>5.1</v>
      </c>
      <c r="E106" s="55" t="n">
        <v>627</v>
      </c>
      <c r="F106" s="55" t="n">
        <v>754</v>
      </c>
      <c r="G106" s="57" t="n">
        <v>3.3</v>
      </c>
    </row>
    <row r="107">
      <c r="A107" s="54" t="inlineStr">
        <is>
          <t>2025-Q1</t>
        </is>
      </c>
      <c r="B107" s="55" t="n">
        <v>3090</v>
      </c>
      <c r="C107" s="55" t="n">
        <v>3088</v>
      </c>
      <c r="D107" s="57" t="n">
        <v>-0.1</v>
      </c>
      <c r="E107" s="55" t="n">
        <v>742</v>
      </c>
      <c r="F107" s="55" t="n">
        <v>838</v>
      </c>
      <c r="G107" s="57" t="n">
        <v>3.1</v>
      </c>
    </row>
    <row r="108">
      <c r="A108" s="54" t="inlineStr">
        <is>
          <t>2025-Q2</t>
        </is>
      </c>
      <c r="B108" s="55" t="n">
        <v>3020</v>
      </c>
      <c r="C108" s="55" t="n">
        <v>3246</v>
      </c>
      <c r="D108" s="57" t="n">
        <v>7.5</v>
      </c>
      <c r="E108" s="55" t="n">
        <v>755</v>
      </c>
      <c r="F108" s="55" t="n">
        <v>919</v>
      </c>
      <c r="G108" s="57" t="n">
        <v>3.3</v>
      </c>
    </row>
    <row r="109">
      <c r="A109" s="54" t="inlineStr">
        <is>
          <t>2025-Q3</t>
        </is>
      </c>
      <c r="B109" s="55" t="n">
        <v>3300</v>
      </c>
      <c r="C109" s="55" t="n">
        <v>3342</v>
      </c>
      <c r="D109" s="57" t="n">
        <v>1.3</v>
      </c>
      <c r="E109" s="55" t="n">
        <v>891</v>
      </c>
      <c r="F109" s="55" t="n">
        <v>1032</v>
      </c>
      <c r="G109" s="57" t="n">
        <v>3.9</v>
      </c>
    </row>
    <row r="110">
      <c r="A110" s="54" t="inlineStr">
        <is>
          <t>2025-Q4</t>
        </is>
      </c>
      <c r="B110" s="55" t="n">
        <v>3400</v>
      </c>
      <c r="C110" s="55" t="n">
        <v>3509</v>
      </c>
      <c r="D110" s="57" t="n">
        <v>3.2</v>
      </c>
      <c r="E110" s="55" t="n">
        <v>935</v>
      </c>
      <c r="F110" s="55" t="n">
        <v>1080</v>
      </c>
      <c r="G110" s="57" t="n">
        <v>3.3</v>
      </c>
    </row>
    <row r="111">
      <c r="A111" s="54" t="inlineStr">
        <is>
          <t>2026-Q1</t>
        </is>
      </c>
      <c r="B111" s="55" t="n">
        <v>3750</v>
      </c>
      <c r="C111" s="55" t="n">
        <v>3723</v>
      </c>
      <c r="D111" s="57" t="n">
        <v>-0.7</v>
      </c>
      <c r="E111" s="55" t="n">
        <v>1200</v>
      </c>
      <c r="F111" s="55" t="n">
        <v>1254</v>
      </c>
      <c r="G111" s="57" t="n">
        <v>1.7</v>
      </c>
    </row>
    <row r="112">
      <c r="A112" s="54" t="inlineStr">
        <is>
          <t>2026-Q2</t>
        </is>
      </c>
      <c r="B112" s="55" t="n">
        <v>3880</v>
      </c>
      <c r="C112" s="55" t="n">
        <v>4053</v>
      </c>
      <c r="D112" s="57" t="n">
        <v>4.5</v>
      </c>
      <c r="E112" s="55" t="n">
        <v>1125</v>
      </c>
      <c r="F112" s="55" t="n">
        <v>1327</v>
      </c>
      <c r="G112" s="57" t="n">
        <v>3.7</v>
      </c>
    </row>
    <row r="113">
      <c r="A113" s="54" t="inlineStr">
        <is>
          <t>2026-Q3</t>
        </is>
      </c>
      <c r="B113" s="55" t="n">
        <v>4300</v>
      </c>
      <c r="C113" s="55" t="n">
        <v>4352</v>
      </c>
      <c r="D113" s="57" t="n">
        <v>1.2</v>
      </c>
      <c r="E113" s="55" t="n">
        <v>1398</v>
      </c>
      <c r="F113" s="55" t="n">
        <v>1505</v>
      </c>
      <c r="G113" s="57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2026-10-29</t>
        </is>
      </c>
      <c r="B4" t="inlineStr">
        <is>
          <t>2026년 12월 결산기 ３분기 결산단신</t>
        </is>
      </c>
      <c r="C4" t="inlineStr">
        <is>
          <t>https://www2.jpx.co.jp/disc/67230/140120261028557610.pdf</t>
        </is>
      </c>
    </row>
    <row r="5">
      <c r="A5" t="inlineStr">
        <is>
          <t>2026-07-31</t>
        </is>
      </c>
      <c r="B5" t="inlineStr">
        <is>
          <t>2026년 12월 결산기 ２분기 결산단신</t>
        </is>
      </c>
      <c r="C5" t="inlineStr">
        <is>
          <t>https://www2.jpx.co.jp/disc/67230/140120260730503658.pdf</t>
        </is>
      </c>
    </row>
    <row r="6">
      <c r="A6" t="inlineStr">
        <is>
          <t>2026-04-24</t>
        </is>
      </c>
      <c r="B6" t="inlineStr">
        <is>
          <t>2026년 12월 결산기 １분기 결산단신</t>
        </is>
      </c>
      <c r="C6" t="inlineStr">
        <is>
          <t>https://www2.jpx.co.jp/disc/67230/140120260423508891.pdf</t>
        </is>
      </c>
    </row>
    <row r="7">
      <c r="A7" t="inlineStr">
        <is>
          <t>2026-02-05</t>
        </is>
      </c>
      <c r="B7" t="inlineStr">
        <is>
          <t>2025년 12월 결산기 연간 결산단신</t>
        </is>
      </c>
      <c r="C7" t="inlineStr">
        <is>
          <t>https://www2.jpx.co.jp/disc/67230/140120260204546960.pdf</t>
        </is>
      </c>
    </row>
    <row r="8">
      <c r="A8" t="inlineStr">
        <is>
          <t>2025-10-30</t>
        </is>
      </c>
      <c r="B8" t="inlineStr">
        <is>
          <t>2025년 12월 결산기 ３분기 결산단신</t>
        </is>
      </c>
      <c r="C8" t="inlineStr">
        <is>
          <t>https://www2.jpx.co.jp/disc/67230/140120251029581425.pdf</t>
        </is>
      </c>
    </row>
    <row r="9">
      <c r="A9" t="inlineStr">
        <is>
          <t>2025-07-25</t>
        </is>
      </c>
      <c r="B9" t="inlineStr">
        <is>
          <t>2025년 12월 결산기 ２분기 결산단신</t>
        </is>
      </c>
      <c r="C9" t="inlineStr">
        <is>
          <t>https://www2.jpx.co.jp/disc/67230/140120250724519666.pdf</t>
        </is>
      </c>
    </row>
    <row r="10">
      <c r="A10" t="inlineStr">
        <is>
          <t>2025-04-24</t>
        </is>
      </c>
      <c r="B10" t="inlineStr">
        <is>
          <t>2025년 12월 결산기 １분기 결산단신</t>
        </is>
      </c>
      <c r="C10" t="inlineStr">
        <is>
          <t>https://www2.jpx.co.jp/disc/67230/140120250423521276.pdf</t>
        </is>
      </c>
    </row>
    <row r="11">
      <c r="A11" t="inlineStr">
        <is>
          <t>2025-02-06</t>
        </is>
      </c>
      <c r="B11" t="inlineStr">
        <is>
          <t>2024년 12월 결산기 연간 결산단신</t>
        </is>
      </c>
      <c r="C11" t="inlineStr">
        <is>
          <t>https://www2.jpx.co.jp/disc/67230/140120250205564373.pdf</t>
        </is>
      </c>
    </row>
    <row r="12">
      <c r="A12" t="inlineStr">
        <is>
          <t>2024-10-31</t>
        </is>
      </c>
      <c r="B12" t="inlineStr">
        <is>
          <t>2024년 12월 결산기 ３분기 결산단신</t>
        </is>
      </c>
      <c r="C12" t="inlineStr">
        <is>
          <t>https://www2.jpx.co.jp/disc/67230/140120241030506365.pdf</t>
        </is>
      </c>
    </row>
    <row r="13">
      <c r="A13" t="inlineStr">
        <is>
          <t>2024-07-25</t>
        </is>
      </c>
      <c r="B13" t="inlineStr">
        <is>
          <t>2024년 12월 결산기 ２분기 결산단신</t>
        </is>
      </c>
      <c r="C13" t="inlineStr">
        <is>
          <t>https://www2.jpx.co.jp/disc/67230/140120240724554093.pdf</t>
        </is>
      </c>
    </row>
    <row r="14">
      <c r="A14" t="inlineStr">
        <is>
          <t>2024-04-25</t>
        </is>
      </c>
      <c r="B14" t="inlineStr">
        <is>
          <t>2024년 12월 결산기 １분기 결산단신</t>
        </is>
      </c>
      <c r="C14" t="inlineStr">
        <is>
          <t>https://www2.jpx.co.jp/disc/67230/140120240423574840.pdf</t>
        </is>
      </c>
    </row>
    <row r="15">
      <c r="A15" t="inlineStr">
        <is>
          <t>2024-02-08</t>
        </is>
      </c>
      <c r="B15" t="inlineStr">
        <is>
          <t>2023년 12월 결산기 연간 결산단신</t>
        </is>
      </c>
      <c r="C15" t="inlineStr">
        <is>
          <t>https://www2.jpx.co.jp/disc/67230/140120240208529283.pdf</t>
        </is>
      </c>
    </row>
    <row r="16">
      <c r="A16" t="inlineStr">
        <is>
          <t>2023-10-26</t>
        </is>
      </c>
      <c r="B16" t="inlineStr">
        <is>
          <t>2023년 12월 결산기 ３분기 결산단신</t>
        </is>
      </c>
      <c r="C16" t="inlineStr">
        <is>
          <t>https://www2.jpx.co.jp/disc/67230/140120231025571753.pdf</t>
        </is>
      </c>
    </row>
    <row r="17">
      <c r="A17" t="inlineStr">
        <is>
          <t>2023-07-27</t>
        </is>
      </c>
      <c r="B17" t="inlineStr">
        <is>
          <t>2023년 12월 결산기 ２분기 결산단신</t>
        </is>
      </c>
      <c r="C17" t="inlineStr">
        <is>
          <t>https://www2.jpx.co.jp/disc/67230/140120230727527742.pdf</t>
        </is>
      </c>
    </row>
    <row r="18">
      <c r="A18" t="inlineStr">
        <is>
          <t>2023-04-27</t>
        </is>
      </c>
      <c r="B18" t="inlineStr">
        <is>
          <t>2023년 12월 결산기 １분기 결산단신</t>
        </is>
      </c>
      <c r="C18" t="inlineStr">
        <is>
          <t>https://www2.jpx.co.jp/disc/67230/140120230427554416.pdf</t>
        </is>
      </c>
    </row>
    <row r="19">
      <c r="A19" t="inlineStr">
        <is>
          <t>2023-02-09</t>
        </is>
      </c>
      <c r="B19" t="inlineStr">
        <is>
          <t>2022년 12월 결산기 연간 결산단신</t>
        </is>
      </c>
      <c r="C19" t="inlineStr">
        <is>
          <t>https://www2.jpx.co.jp/disc/67230/140120230209504478.pdf</t>
        </is>
      </c>
    </row>
    <row r="20">
      <c r="A20" t="inlineStr">
        <is>
          <t>2022-02-09</t>
        </is>
      </c>
      <c r="B20" t="inlineStr">
        <is>
          <t>2021년 12월 결산기 연간 결산단신</t>
        </is>
      </c>
      <c r="C20" t="inlineStr">
        <is>
          <t>https://www2.jpx.co.jp/disc/67230/140120220207581724.pdf</t>
        </is>
      </c>
    </row>
    <row r="21">
      <c r="A21" t="inlineStr">
        <is>
          <t>2021-02-10</t>
        </is>
      </c>
      <c r="B21" t="inlineStr">
        <is>
          <t>2020년 12월 결산기 연간 결산단신</t>
        </is>
      </c>
      <c r="C21" t="inlineStr">
        <is>
          <t>https://www2.jpx.co.jp/disc/67230/140120210210460793.pdf</t>
        </is>
      </c>
    </row>
    <row r="22">
      <c r="A22" t="inlineStr">
        <is>
          <t>2020-02-12</t>
        </is>
      </c>
      <c r="B22" t="inlineStr">
        <is>
          <t>2019년 12월 결산기 연간 결산단신</t>
        </is>
      </c>
      <c r="C22" t="inlineStr">
        <is>
          <t>https://www2.jpx.co.jp/disc/67230/140120200210461599.pdf</t>
        </is>
      </c>
    </row>
    <row r="23">
      <c r="A23" t="inlineStr">
        <is>
          <t>2019-02-08</t>
        </is>
      </c>
      <c r="B23" t="inlineStr">
        <is>
          <t>2018년 12월 결산기 연간 결산단신</t>
        </is>
      </c>
      <c r="C23" t="inlineStr">
        <is>
          <t>https://www2.jpx.co.jp/disc/67230/140120190208473218.pdf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2026-10-29T01:01:39Z</dcterms:created>
  <dcterms:modified xmlns:dcterms="http://purl.org/dc/terms/" xmlns:xsi="http://www.w3.org/2001/XMLSchema-instance" xsi:type="dcterms:W3CDTF">2026-10-29T01:01:39Z</dcterms:modified>
</cp:coreProperties>
</file>