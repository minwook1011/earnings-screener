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7">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311"/>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4307 Model</t>
        </is>
      </c>
    </row>
    <row r="2">
      <c r="A2" s="2" t="inlineStr">
        <is>
          <t>모를 땐 보수적으로</t>
        </is>
      </c>
      <c r="B2" s="3" t="inlineStr">
        <is>
          <t>(단위: 백만엔)</t>
        </is>
      </c>
      <c r="C2" s="3" t="inlineStr">
        <is>
          <t>3월 결산 · IFRS · 2026.4Q = 2026년 3월 결산기 4분기</t>
        </is>
      </c>
      <c r="Y2" s="4" t="inlineStr">
        <is>
          <t>(추정: 파란 글씨 = 직접 입력)</t>
        </is>
      </c>
    </row>
    <row r="3">
      <c r="A3" s="5" t="inlineStr">
        <is>
          <t>항목</t>
        </is>
      </c>
      <c r="B3" s="5" t="inlineStr">
        <is>
          <t>참고</t>
        </is>
      </c>
      <c r="C3" s="6" t="inlineStr">
        <is>
          <t>2024.1Q</t>
        </is>
      </c>
      <c r="D3" s="5" t="inlineStr">
        <is>
          <t>2024.2Q</t>
        </is>
      </c>
      <c r="E3" s="5" t="inlineStr">
        <is>
          <t>2024.3Q</t>
        </is>
      </c>
      <c r="F3" s="5" t="inlineStr">
        <is>
          <t>2024.4Q</t>
        </is>
      </c>
      <c r="G3" s="5" t="inlineStr">
        <is>
          <t>2025.1Q</t>
        </is>
      </c>
      <c r="H3" s="5" t="inlineStr">
        <is>
          <t>2025.2Q</t>
        </is>
      </c>
      <c r="I3" s="5" t="inlineStr">
        <is>
          <t>2025.3Q</t>
        </is>
      </c>
      <c r="J3" s="5" t="inlineStr">
        <is>
          <t>2025.4Q</t>
        </is>
      </c>
      <c r="K3" s="5" t="inlineStr">
        <is>
          <t>2026.1Q</t>
        </is>
      </c>
      <c r="L3" s="5" t="inlineStr">
        <is>
          <t>2026.2Q</t>
        </is>
      </c>
      <c r="M3" s="5" t="inlineStr">
        <is>
          <t>2026.3Q</t>
        </is>
      </c>
      <c r="N3" s="5" t="inlineStr">
        <is>
          <t>2026.4Q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 제품 합계</t>
        </is>
      </c>
      <c r="C4" s="11" t="n"/>
      <c r="D4" s="12" t="n"/>
      <c r="E4" s="12" t="n"/>
      <c r="F4" s="12" t="n"/>
      <c r="G4" s="12" t="n"/>
      <c r="H4" s="12" t="n"/>
      <c r="I4" s="12" t="n"/>
      <c r="J4" s="12" t="n"/>
      <c r="K4" s="12" t="n"/>
      <c r="L4" s="12" t="n"/>
      <c r="M4" s="12" t="n"/>
      <c r="N4" s="12" t="n"/>
      <c r="O4" s="11" t="n">
        <v>424548</v>
      </c>
      <c r="P4" s="12" t="n">
        <v>471488</v>
      </c>
      <c r="Q4" s="12" t="n">
        <v>501243</v>
      </c>
      <c r="R4" s="12" t="n">
        <v>528873</v>
      </c>
      <c r="S4" s="12" t="n">
        <v>550337</v>
      </c>
      <c r="T4" s="12" t="n">
        <v>611634</v>
      </c>
      <c r="U4" s="12" t="n">
        <v>692165</v>
      </c>
      <c r="V4" s="12" t="n">
        <v>736556</v>
      </c>
      <c r="W4" s="12" t="n">
        <v>764813</v>
      </c>
      <c r="X4" s="12" t="n">
        <v>814708</v>
      </c>
      <c r="Y4" s="11">
        <f>IF(COUNT(Y7,Y10,Y13,Y16)=0,"",SUM(Y7,Y10,Y13,Y16))</f>
        <v/>
      </c>
      <c r="Z4" s="12">
        <f>IF(COUNT(Z7,Z10,Z13,Z16)=0,"",SUM(Z7,Z10,Z13,Z16))</f>
        <v/>
      </c>
      <c r="AA4" s="12">
        <f>IF(COUNT(AA7,AA10,AA13,AA16)=0,"",SUM(AA7,AA10,AA13,AA16))</f>
        <v/>
      </c>
      <c r="AB4" s="12">
        <f>IF(COUNT(AB7,AB10,AB13,AB16)=0,"",SUM(AB7,AB10,AB13,AB16))</f>
        <v/>
      </c>
      <c r="AC4" s="12">
        <f>IF(COUNT(AC7,AC10,AC13,AC16)=0,"",SUM(AC7,AC10,AC13,AC16))</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Consulting</t>
        </is>
      </c>
      <c r="B7" s="10" t="n"/>
      <c r="C7" s="19" t="n">
        <v>10655</v>
      </c>
      <c r="D7" s="20" t="n">
        <v>13092</v>
      </c>
      <c r="E7" s="20" t="n">
        <v>13609</v>
      </c>
      <c r="F7" s="20" t="n">
        <v>14603</v>
      </c>
      <c r="G7" s="20" t="n">
        <v>12579</v>
      </c>
      <c r="H7" s="20" t="n">
        <v>14866</v>
      </c>
      <c r="I7" s="20" t="n">
        <v>16189</v>
      </c>
      <c r="J7" s="20" t="n">
        <v>16699</v>
      </c>
      <c r="K7" s="20" t="n">
        <v>13404</v>
      </c>
      <c r="L7" s="20" t="n">
        <v>15917</v>
      </c>
      <c r="M7" s="20" t="n">
        <v>17154</v>
      </c>
      <c r="N7" s="20" t="n">
        <v>17081</v>
      </c>
      <c r="O7" s="19" t="n"/>
      <c r="P7" s="20" t="n"/>
      <c r="Q7" s="20" t="n"/>
      <c r="R7" s="20" t="n"/>
      <c r="S7" s="20" t="n"/>
      <c r="T7" s="20" t="n"/>
      <c r="U7" s="20" t="n"/>
      <c r="V7" s="20" t="n">
        <v>51959</v>
      </c>
      <c r="W7" s="20" t="n">
        <v>60333</v>
      </c>
      <c r="X7" s="20" t="n">
        <v>63556</v>
      </c>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Financial ITSolutions</t>
        </is>
      </c>
      <c r="B10" s="10" t="n"/>
      <c r="C10" s="19" t="n">
        <v>83408</v>
      </c>
      <c r="D10" s="20" t="n">
        <v>87511</v>
      </c>
      <c r="E10" s="20" t="n">
        <v>89458</v>
      </c>
      <c r="F10" s="20" t="n">
        <v>89495</v>
      </c>
      <c r="G10" s="20" t="n">
        <v>89313</v>
      </c>
      <c r="H10" s="20" t="n">
        <v>90639</v>
      </c>
      <c r="I10" s="20" t="n">
        <v>93066</v>
      </c>
      <c r="J10" s="20" t="n">
        <v>93587</v>
      </c>
      <c r="K10" s="20" t="n">
        <v>109443</v>
      </c>
      <c r="L10" s="20" t="n">
        <v>84104</v>
      </c>
      <c r="M10" s="20" t="n">
        <v>101903</v>
      </c>
      <c r="N10" s="20" t="n">
        <v>104342</v>
      </c>
      <c r="O10" s="19" t="n"/>
      <c r="P10" s="20" t="n"/>
      <c r="Q10" s="20" t="n"/>
      <c r="R10" s="20" t="n"/>
      <c r="S10" s="20" t="n"/>
      <c r="T10" s="20" t="n"/>
      <c r="U10" s="20" t="n"/>
      <c r="V10" s="20" t="n">
        <v>349872</v>
      </c>
      <c r="W10" s="20" t="n">
        <v>366605</v>
      </c>
      <c r="X10" s="20" t="n">
        <v>399792</v>
      </c>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Industrial ITSolutions</t>
        </is>
      </c>
      <c r="B13" s="10" t="n"/>
      <c r="C13" s="19" t="n">
        <v>69426</v>
      </c>
      <c r="D13" s="20" t="n">
        <v>70631</v>
      </c>
      <c r="E13" s="20" t="n">
        <v>69295</v>
      </c>
      <c r="F13" s="20" t="n">
        <v>66571</v>
      </c>
      <c r="G13" s="20" t="n">
        <v>70599</v>
      </c>
      <c r="H13" s="20" t="n">
        <v>67175</v>
      </c>
      <c r="I13" s="20" t="n">
        <v>64674</v>
      </c>
      <c r="J13" s="20" t="n">
        <v>65039</v>
      </c>
      <c r="K13" s="20" t="n">
        <v>54550</v>
      </c>
      <c r="L13" s="20" t="n">
        <v>82486</v>
      </c>
      <c r="M13" s="20" t="n">
        <v>66210</v>
      </c>
      <c r="N13" s="20" t="n">
        <v>67995</v>
      </c>
      <c r="O13" s="19" t="n"/>
      <c r="P13" s="20" t="n"/>
      <c r="Q13" s="20" t="n"/>
      <c r="R13" s="20" t="n"/>
      <c r="S13" s="20" t="n"/>
      <c r="T13" s="20" t="n"/>
      <c r="U13" s="20" t="n"/>
      <c r="V13" s="20" t="n">
        <v>275923</v>
      </c>
      <c r="W13" s="20" t="n">
        <v>267487</v>
      </c>
      <c r="X13" s="20" t="n">
        <v>271241</v>
      </c>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8" t="inlineStr">
        <is>
          <t>ITPlatform Services</t>
        </is>
      </c>
      <c r="B16" s="10" t="n"/>
      <c r="C16" s="19" t="n">
        <v>12489</v>
      </c>
      <c r="D16" s="20" t="n">
        <v>13339</v>
      </c>
      <c r="E16" s="20" t="n">
        <v>14805</v>
      </c>
      <c r="F16" s="20" t="n">
        <v>14995</v>
      </c>
      <c r="G16" s="20" t="n">
        <v>14745</v>
      </c>
      <c r="H16" s="20" t="n">
        <v>15147</v>
      </c>
      <c r="I16" s="20" t="n">
        <v>16725</v>
      </c>
      <c r="J16" s="20" t="n">
        <v>20424</v>
      </c>
      <c r="K16" s="20" t="n">
        <v>17648</v>
      </c>
      <c r="L16" s="20" t="n">
        <v>18037</v>
      </c>
      <c r="M16" s="20" t="n">
        <v>19216</v>
      </c>
      <c r="N16" s="20" t="n">
        <v>22138</v>
      </c>
      <c r="O16" s="19" t="n"/>
      <c r="P16" s="20" t="n"/>
      <c r="Q16" s="20" t="n"/>
      <c r="R16" s="20" t="n"/>
      <c r="S16" s="20" t="n"/>
      <c r="T16" s="20" t="n"/>
      <c r="U16" s="20" t="n"/>
      <c r="V16" s="20" t="n">
        <v>55628</v>
      </c>
      <c r="W16" s="20" t="n">
        <v>67041</v>
      </c>
      <c r="X16" s="20" t="n">
        <v>77039</v>
      </c>
      <c r="Y16" s="21" t="n"/>
      <c r="Z16" s="22" t="n"/>
      <c r="AA16" s="22" t="n"/>
      <c r="AB16" s="22" t="n"/>
      <c r="AC16" s="22" t="n"/>
    </row>
    <row r="17">
      <c r="A17" s="13" t="inlineStr">
        <is>
          <t>비중</t>
        </is>
      </c>
      <c r="B17" s="10" t="n"/>
      <c r="C17" s="14">
        <f>IF(OR(C16="",C4=""),"",IFERROR(C16/C4,""))</f>
        <v/>
      </c>
      <c r="D17" s="15">
        <f>IF(OR(D16="",D4=""),"",IFERROR(D16/D4,""))</f>
        <v/>
      </c>
      <c r="E17" s="15">
        <f>IF(OR(E16="",E4=""),"",IFERROR(E16/E4,""))</f>
        <v/>
      </c>
      <c r="F17" s="15">
        <f>IF(OR(F16="",F4=""),"",IFERROR(F16/F4,""))</f>
        <v/>
      </c>
      <c r="G17" s="15">
        <f>IF(OR(G16="",G4=""),"",IFERROR(G16/G4,""))</f>
        <v/>
      </c>
      <c r="H17" s="15">
        <f>IF(OR(H16="",H4=""),"",IFERROR(H16/H4,""))</f>
        <v/>
      </c>
      <c r="I17" s="15">
        <f>IF(OR(I16="",I4=""),"",IFERROR(I16/I4,""))</f>
        <v/>
      </c>
      <c r="J17" s="15">
        <f>IF(OR(J16="",J4=""),"",IFERROR(J16/J4,""))</f>
        <v/>
      </c>
      <c r="K17" s="15">
        <f>IF(OR(K16="",K4=""),"",IFERROR(K16/K4,""))</f>
        <v/>
      </c>
      <c r="L17" s="15">
        <f>IF(OR(L16="",L4=""),"",IFERROR(L16/L4,""))</f>
        <v/>
      </c>
      <c r="M17" s="15">
        <f>IF(OR(M16="",M4=""),"",IFERROR(M16/M4,""))</f>
        <v/>
      </c>
      <c r="N17" s="15">
        <f>IF(OR(N16="",N4=""),"",IFERROR(N16/N4,""))</f>
        <v/>
      </c>
      <c r="O17" s="14">
        <f>IF(OR(O16="",O4=""),"",IFERROR(O16/O4,""))</f>
        <v/>
      </c>
      <c r="P17" s="15">
        <f>IF(OR(P16="",P4=""),"",IFERROR(P16/P4,""))</f>
        <v/>
      </c>
      <c r="Q17" s="15">
        <f>IF(OR(Q16="",Q4=""),"",IFERROR(Q16/Q4,""))</f>
        <v/>
      </c>
      <c r="R17" s="15">
        <f>IF(OR(R16="",R4=""),"",IFERROR(R16/R4,""))</f>
        <v/>
      </c>
      <c r="S17" s="15">
        <f>IF(OR(S16="",S4=""),"",IFERROR(S16/S4,""))</f>
        <v/>
      </c>
      <c r="T17" s="15">
        <f>IF(OR(T16="",T4=""),"",IFERROR(T16/T4,""))</f>
        <v/>
      </c>
      <c r="U17" s="15">
        <f>IF(OR(U16="",U4=""),"",IFERROR(U16/U4,""))</f>
        <v/>
      </c>
      <c r="V17" s="15">
        <f>IF(OR(V16="",V4=""),"",IFERROR(V16/V4,""))</f>
        <v/>
      </c>
      <c r="W17" s="15">
        <f>IF(OR(W16="",W4=""),"",IFERROR(W16/W4,""))</f>
        <v/>
      </c>
      <c r="X17" s="15">
        <f>IF(OR(X16="",X4=""),"",IFERROR(X16/X4,""))</f>
        <v/>
      </c>
      <c r="Y17" s="14">
        <f>IF(OR(Y16="",Y4=""),"",IFERROR(Y16/Y4,""))</f>
        <v/>
      </c>
      <c r="Z17" s="15">
        <f>IF(OR(Z16="",Z4=""),"",IFERROR(Z16/Z4,""))</f>
        <v/>
      </c>
      <c r="AA17" s="15">
        <f>IF(OR(AA16="",AA4=""),"",IFERROR(AA16/AA4,""))</f>
        <v/>
      </c>
      <c r="AB17" s="15">
        <f>IF(OR(AB16="",AB4=""),"",IFERROR(AB16/AB4,""))</f>
        <v/>
      </c>
      <c r="AC17" s="15">
        <f>IF(OR(AC16="",AC4=""),"",IFERROR(AC16/AC4,""))</f>
        <v/>
      </c>
    </row>
    <row r="18">
      <c r="A18" s="13" t="inlineStr">
        <is>
          <t>YoY</t>
        </is>
      </c>
      <c r="B18" s="10" t="n"/>
      <c r="C18" s="14" t="n"/>
      <c r="D18" s="15" t="n"/>
      <c r="E18" s="15" t="n"/>
      <c r="F18" s="15" t="n"/>
      <c r="G18" s="15">
        <f>IF(OR(G16="",C16=""),"",IFERROR(G16/C16-1,""))</f>
        <v/>
      </c>
      <c r="H18" s="15">
        <f>IF(OR(H16="",D16=""),"",IFERROR(H16/D16-1,""))</f>
        <v/>
      </c>
      <c r="I18" s="15">
        <f>IF(OR(I16="",E16=""),"",IFERROR(I16/E16-1,""))</f>
        <v/>
      </c>
      <c r="J18" s="15">
        <f>IF(OR(J16="",F16=""),"",IFERROR(J16/F16-1,""))</f>
        <v/>
      </c>
      <c r="K18" s="15">
        <f>IF(OR(K16="",G16=""),"",IFERROR(K16/G16-1,""))</f>
        <v/>
      </c>
      <c r="L18" s="15">
        <f>IF(OR(L16="",H16=""),"",IFERROR(L16/H16-1,""))</f>
        <v/>
      </c>
      <c r="M18" s="15">
        <f>IF(OR(M16="",I16=""),"",IFERROR(M16/I16-1,""))</f>
        <v/>
      </c>
      <c r="N18" s="15">
        <f>IF(OR(N16="",J16=""),"",IFERROR(N16/J16-1,""))</f>
        <v/>
      </c>
      <c r="O18" s="14" t="n"/>
      <c r="P18" s="15">
        <f>IF(OR(P16="",O16=""),"",IFERROR(P16/O16-1,""))</f>
        <v/>
      </c>
      <c r="Q18" s="15">
        <f>IF(OR(Q16="",P16=""),"",IFERROR(Q16/P16-1,""))</f>
        <v/>
      </c>
      <c r="R18" s="15">
        <f>IF(OR(R16="",Q16=""),"",IFERROR(R16/Q16-1,""))</f>
        <v/>
      </c>
      <c r="S18" s="15">
        <f>IF(OR(S16="",R16=""),"",IFERROR(S16/R16-1,""))</f>
        <v/>
      </c>
      <c r="T18" s="15">
        <f>IF(OR(T16="",S16=""),"",IFERROR(T16/S16-1,""))</f>
        <v/>
      </c>
      <c r="U18" s="15">
        <f>IF(OR(U16="",T16=""),"",IFERROR(U16/T16-1,""))</f>
        <v/>
      </c>
      <c r="V18" s="15">
        <f>IF(OR(V16="",U16=""),"",IFERROR(V16/U16-1,""))</f>
        <v/>
      </c>
      <c r="W18" s="15">
        <f>IF(OR(W16="",V16=""),"",IFERROR(W16/V16-1,""))</f>
        <v/>
      </c>
      <c r="X18" s="15">
        <f>IF(OR(X16="",W16=""),"",IFERROR(X16/W16-1,""))</f>
        <v/>
      </c>
      <c r="Y18" s="14">
        <f>IF(OR(Y16="",X16=""),"",IFERROR(Y16/X16-1,""))</f>
        <v/>
      </c>
      <c r="Z18" s="15">
        <f>IF(OR(Z16="",Y16=""),"",IFERROR(Z16/Y16-1,""))</f>
        <v/>
      </c>
      <c r="AA18" s="15">
        <f>IF(OR(AA16="",Z16=""),"",IFERROR(AA16/Z16-1,""))</f>
        <v/>
      </c>
      <c r="AB18" s="15">
        <f>IF(OR(AB16="",AA16=""),"",IFERROR(AB16/AA16-1,""))</f>
        <v/>
      </c>
      <c r="AC18" s="15">
        <f>IF(OR(AC16="",AB16=""),"",IFERROR(AC16/AB16-1,""))</f>
        <v/>
      </c>
    </row>
    <row r="19">
      <c r="A19" s="16" t="inlineStr">
        <is>
          <t>매출원가</t>
        </is>
      </c>
      <c r="B19" s="16" t="n"/>
      <c r="C19" s="17" t="n"/>
      <c r="D19" s="16" t="n"/>
      <c r="E19" s="16" t="n"/>
      <c r="F19" s="16" t="n"/>
      <c r="G19" s="16" t="n"/>
      <c r="H19" s="16" t="n"/>
      <c r="I19" s="16" t="n"/>
      <c r="J19" s="16" t="n"/>
      <c r="K19" s="16" t="n"/>
      <c r="L19" s="16" t="n"/>
      <c r="M19" s="16" t="n"/>
      <c r="N19" s="16" t="n"/>
      <c r="O19" s="17" t="n"/>
      <c r="P19" s="16" t="n"/>
      <c r="Q19" s="16" t="n"/>
      <c r="R19" s="16" t="n"/>
      <c r="S19" s="16" t="n"/>
      <c r="T19" s="16" t="n"/>
      <c r="U19" s="16" t="n"/>
      <c r="V19" s="16" t="n"/>
      <c r="W19" s="16" t="n"/>
      <c r="X19" s="16" t="n"/>
      <c r="Y19" s="17" t="n"/>
      <c r="Z19" s="16" t="n"/>
      <c r="AA19" s="16" t="n"/>
      <c r="AB19" s="16" t="n"/>
      <c r="AC19" s="16" t="n"/>
    </row>
    <row r="20">
      <c r="A20" s="18" t="inlineStr">
        <is>
          <t>전체 매출원가</t>
        </is>
      </c>
      <c r="B20" s="10" t="n"/>
      <c r="C20" s="19" t="n"/>
      <c r="D20" s="20" t="n"/>
      <c r="E20" s="20" t="n"/>
      <c r="F20" s="20" t="n"/>
      <c r="G20" s="20" t="n"/>
      <c r="H20" s="20" t="n"/>
      <c r="I20" s="20" t="n"/>
      <c r="J20" s="20" t="n"/>
      <c r="K20" s="20" t="n"/>
      <c r="L20" s="20" t="n"/>
      <c r="M20" s="20" t="n"/>
      <c r="N20" s="20" t="n"/>
      <c r="O20" s="19" t="n">
        <v>280761</v>
      </c>
      <c r="P20" s="20" t="n">
        <v>311868</v>
      </c>
      <c r="Q20" s="20" t="n">
        <v>336508</v>
      </c>
      <c r="R20" s="20" t="n">
        <v>348006</v>
      </c>
      <c r="S20" s="20" t="n">
        <v>364539</v>
      </c>
      <c r="T20" s="20" t="n">
        <v>395562</v>
      </c>
      <c r="U20" s="20" t="n">
        <v>452336</v>
      </c>
      <c r="V20" s="20" t="n">
        <v>475549</v>
      </c>
      <c r="W20" s="20" t="n">
        <v>489517</v>
      </c>
      <c r="X20" s="20" t="n">
        <v>514556</v>
      </c>
      <c r="Y20" s="19" t="n"/>
      <c r="Z20" s="20" t="n"/>
      <c r="AA20" s="20" t="n"/>
      <c r="AB20" s="20" t="n"/>
      <c r="AC20" s="20" t="n"/>
    </row>
    <row r="21">
      <c r="A21" s="13" t="inlineStr">
        <is>
          <t>YoY</t>
        </is>
      </c>
      <c r="B21" s="10" t="n"/>
      <c r="C21" s="14" t="n"/>
      <c r="D21" s="15" t="n"/>
      <c r="E21" s="15" t="n"/>
      <c r="F21" s="15" t="n"/>
      <c r="G21" s="15">
        <f>IF(OR(G20="",C20=""),"",IF(C20&lt;=0,"",IFERROR(G20/C20-1,"")))</f>
        <v/>
      </c>
      <c r="H21" s="15">
        <f>IF(OR(H20="",D20=""),"",IF(D20&lt;=0,"",IFERROR(H20/D20-1,"")))</f>
        <v/>
      </c>
      <c r="I21" s="15">
        <f>IF(OR(I20="",E20=""),"",IF(E20&lt;=0,"",IFERROR(I20/E20-1,"")))</f>
        <v/>
      </c>
      <c r="J21" s="15">
        <f>IF(OR(J20="",F20=""),"",IF(F20&lt;=0,"",IFERROR(J20/F20-1,"")))</f>
        <v/>
      </c>
      <c r="K21" s="15">
        <f>IF(OR(K20="",G20=""),"",IF(G20&lt;=0,"",IFERROR(K20/G20-1,"")))</f>
        <v/>
      </c>
      <c r="L21" s="15">
        <f>IF(OR(L20="",H20=""),"",IF(H20&lt;=0,"",IFERROR(L20/H20-1,"")))</f>
        <v/>
      </c>
      <c r="M21" s="15">
        <f>IF(OR(M20="",I20=""),"",IF(I20&lt;=0,"",IFERROR(M20/I20-1,"")))</f>
        <v/>
      </c>
      <c r="N21" s="15">
        <f>IF(OR(N20="",J20=""),"",IF(J20&lt;=0,"",IFERROR(N20/J20-1,"")))</f>
        <v/>
      </c>
      <c r="O21" s="14" t="n"/>
      <c r="P21" s="15">
        <f>IF(OR(P20="",O20=""),"",IF(O20&lt;=0,"",IFERROR(P20/O20-1,"")))</f>
        <v/>
      </c>
      <c r="Q21" s="15">
        <f>IF(OR(Q20="",P20=""),"",IF(P20&lt;=0,"",IFERROR(Q20/P20-1,"")))</f>
        <v/>
      </c>
      <c r="R21" s="15">
        <f>IF(OR(R20="",Q20=""),"",IF(Q20&lt;=0,"",IFERROR(R20/Q20-1,"")))</f>
        <v/>
      </c>
      <c r="S21" s="15">
        <f>IF(OR(S20="",R20=""),"",IF(R20&lt;=0,"",IFERROR(S20/R20-1,"")))</f>
        <v/>
      </c>
      <c r="T21" s="15">
        <f>IF(OR(T20="",S20=""),"",IF(S20&lt;=0,"",IFERROR(T20/S20-1,"")))</f>
        <v/>
      </c>
      <c r="U21" s="15">
        <f>IF(OR(U20="",T20=""),"",IF(T20&lt;=0,"",IFERROR(U20/T20-1,"")))</f>
        <v/>
      </c>
      <c r="V21" s="15">
        <f>IF(OR(V20="",U20=""),"",IF(U20&lt;=0,"",IFERROR(V20/U20-1,"")))</f>
        <v/>
      </c>
      <c r="W21" s="15">
        <f>IF(OR(W20="",V20=""),"",IF(V20&lt;=0,"",IFERROR(W20/V20-1,"")))</f>
        <v/>
      </c>
      <c r="X21" s="15">
        <f>IF(OR(X20="",W20=""),"",IF(W20&lt;=0,"",IFERROR(X20/W20-1,"")))</f>
        <v/>
      </c>
      <c r="Y21" s="14">
        <f>IF(OR(Y20="",X20=""),"",IF(X20&lt;=0,"",IFERROR(Y20/X20-1,"")))</f>
        <v/>
      </c>
      <c r="Z21" s="15">
        <f>IF(OR(Z20="",Y20=""),"",IF(Y20&lt;=0,"",IFERROR(Z20/Y20-1,"")))</f>
        <v/>
      </c>
      <c r="AA21" s="15">
        <f>IF(OR(AA20="",Z20=""),"",IF(Z20&lt;=0,"",IFERROR(AA20/Z20-1,"")))</f>
        <v/>
      </c>
      <c r="AB21" s="15">
        <f>IF(OR(AB20="",AA20=""),"",IF(AA20&lt;=0,"",IFERROR(AB20/AA20-1,"")))</f>
        <v/>
      </c>
      <c r="AC21" s="15">
        <f>IF(OR(AC20="",AB20=""),"",IF(AB20&lt;=0,"",IFERROR(AC20/AB20-1,"")))</f>
        <v/>
      </c>
    </row>
    <row r="22">
      <c r="A22" s="18" t="inlineStr">
        <is>
          <t>매출총이익</t>
        </is>
      </c>
      <c r="B22" s="10" t="n"/>
      <c r="C22" s="19">
        <f>IF(OR(C4="",C20=""),"",IFERROR(C4-C20,""))</f>
        <v/>
      </c>
      <c r="D22" s="20">
        <f>IF(OR(D4="",D20=""),"",IFERROR(D4-D20,""))</f>
        <v/>
      </c>
      <c r="E22" s="20">
        <f>IF(OR(E4="",E20=""),"",IFERROR(E4-E20,""))</f>
        <v/>
      </c>
      <c r="F22" s="20">
        <f>IF(OR(F4="",F20=""),"",IFERROR(F4-F20,""))</f>
        <v/>
      </c>
      <c r="G22" s="20">
        <f>IF(OR(G4="",G20=""),"",IFERROR(G4-G20,""))</f>
        <v/>
      </c>
      <c r="H22" s="20">
        <f>IF(OR(H4="",H20=""),"",IFERROR(H4-H20,""))</f>
        <v/>
      </c>
      <c r="I22" s="20">
        <f>IF(OR(I4="",I20=""),"",IFERROR(I4-I20,""))</f>
        <v/>
      </c>
      <c r="J22" s="20">
        <f>IF(OR(J4="",J20=""),"",IFERROR(J4-J20,""))</f>
        <v/>
      </c>
      <c r="K22" s="20">
        <f>IF(OR(K4="",K20=""),"",IFERROR(K4-K20,""))</f>
        <v/>
      </c>
      <c r="L22" s="20">
        <f>IF(OR(L4="",L20=""),"",IFERROR(L4-L20,""))</f>
        <v/>
      </c>
      <c r="M22" s="20">
        <f>IF(OR(M4="",M20=""),"",IFERROR(M4-M20,""))</f>
        <v/>
      </c>
      <c r="N22" s="20">
        <f>IF(OR(N4="",N20=""),"",IFERROR(N4-N20,""))</f>
        <v/>
      </c>
      <c r="O22" s="19">
        <f>IF(OR(O4="",O20=""),"",IFERROR(O4-O20,""))</f>
        <v/>
      </c>
      <c r="P22" s="20">
        <f>IF(OR(P4="",P20=""),"",IFERROR(P4-P20,""))</f>
        <v/>
      </c>
      <c r="Q22" s="20">
        <f>IF(OR(Q4="",Q20=""),"",IFERROR(Q4-Q20,""))</f>
        <v/>
      </c>
      <c r="R22" s="20">
        <f>IF(OR(R4="",R20=""),"",IFERROR(R4-R20,""))</f>
        <v/>
      </c>
      <c r="S22" s="20">
        <f>IF(OR(S4="",S20=""),"",IFERROR(S4-S20,""))</f>
        <v/>
      </c>
      <c r="T22" s="20">
        <f>IF(OR(T4="",T20=""),"",IFERROR(T4-T20,""))</f>
        <v/>
      </c>
      <c r="U22" s="20">
        <f>IF(OR(U4="",U20=""),"",IFERROR(U4-U20,""))</f>
        <v/>
      </c>
      <c r="V22" s="20">
        <f>IF(OR(V4="",V20=""),"",IFERROR(V4-V20,""))</f>
        <v/>
      </c>
      <c r="W22" s="20">
        <f>IF(OR(W4="",W20=""),"",IFERROR(W4-W20,""))</f>
        <v/>
      </c>
      <c r="X22" s="20">
        <f>IF(OR(X4="",X20=""),"",IFERROR(X4-X20,""))</f>
        <v/>
      </c>
      <c r="Y22" s="19" t="n"/>
      <c r="Z22" s="20" t="n"/>
      <c r="AA22" s="20" t="n"/>
      <c r="AB22" s="20" t="n"/>
      <c r="AC22" s="20" t="n"/>
    </row>
    <row r="23">
      <c r="A23" s="13" t="inlineStr">
        <is>
          <t>GPM</t>
        </is>
      </c>
      <c r="B23" s="10" t="n"/>
      <c r="C23" s="14">
        <f>IF(OR(C22="",C4=""),"",IFERROR(C22/C4,""))</f>
        <v/>
      </c>
      <c r="D23" s="15">
        <f>IF(OR(D22="",D4=""),"",IFERROR(D22/D4,""))</f>
        <v/>
      </c>
      <c r="E23" s="15">
        <f>IF(OR(E22="",E4=""),"",IFERROR(E22/E4,""))</f>
        <v/>
      </c>
      <c r="F23" s="15">
        <f>IF(OR(F22="",F4=""),"",IFERROR(F22/F4,""))</f>
        <v/>
      </c>
      <c r="G23" s="15">
        <f>IF(OR(G22="",G4=""),"",IFERROR(G22/G4,""))</f>
        <v/>
      </c>
      <c r="H23" s="15">
        <f>IF(OR(H22="",H4=""),"",IFERROR(H22/H4,""))</f>
        <v/>
      </c>
      <c r="I23" s="15">
        <f>IF(OR(I22="",I4=""),"",IFERROR(I22/I4,""))</f>
        <v/>
      </c>
      <c r="J23" s="15">
        <f>IF(OR(J22="",J4=""),"",IFERROR(J22/J4,""))</f>
        <v/>
      </c>
      <c r="K23" s="15">
        <f>IF(OR(K22="",K4=""),"",IFERROR(K22/K4,""))</f>
        <v/>
      </c>
      <c r="L23" s="15">
        <f>IF(OR(L22="",L4=""),"",IFERROR(L22/L4,""))</f>
        <v/>
      </c>
      <c r="M23" s="15">
        <f>IF(OR(M22="",M4=""),"",IFERROR(M22/M4,""))</f>
        <v/>
      </c>
      <c r="N23" s="15">
        <f>IF(OR(N22="",N4=""),"",IFERROR(N22/N4,""))</f>
        <v/>
      </c>
      <c r="O23" s="14">
        <f>IF(OR(O22="",O4=""),"",IFERROR(O22/O4,""))</f>
        <v/>
      </c>
      <c r="P23" s="15">
        <f>IF(OR(P22="",P4=""),"",IFERROR(P22/P4,""))</f>
        <v/>
      </c>
      <c r="Q23" s="15">
        <f>IF(OR(Q22="",Q4=""),"",IFERROR(Q22/Q4,""))</f>
        <v/>
      </c>
      <c r="R23" s="15">
        <f>IF(OR(R22="",R4=""),"",IFERROR(R22/R4,""))</f>
        <v/>
      </c>
      <c r="S23" s="15">
        <f>IF(OR(S22="",S4=""),"",IFERROR(S22/S4,""))</f>
        <v/>
      </c>
      <c r="T23" s="15">
        <f>IF(OR(T22="",T4=""),"",IFERROR(T22/T4,""))</f>
        <v/>
      </c>
      <c r="U23" s="15">
        <f>IF(OR(U22="",U4=""),"",IFERROR(U22/U4,""))</f>
        <v/>
      </c>
      <c r="V23" s="15">
        <f>IF(OR(V22="",V4=""),"",IFERROR(V22/V4,""))</f>
        <v/>
      </c>
      <c r="W23" s="15">
        <f>IF(OR(W22="",W4=""),"",IFERROR(W22/W4,""))</f>
        <v/>
      </c>
      <c r="X23" s="15">
        <f>IF(OR(X22="",X4=""),"",IFERROR(X22/X4,""))</f>
        <v/>
      </c>
      <c r="Y23" s="14">
        <f>IF(OR(Y22="",Y4=""),"",IFERROR(Y22/Y4,""))</f>
        <v/>
      </c>
      <c r="Z23" s="15">
        <f>IF(OR(Z22="",Z4=""),"",IFERROR(Z22/Z4,""))</f>
        <v/>
      </c>
      <c r="AA23" s="15">
        <f>IF(OR(AA22="",AA4=""),"",IFERROR(AA22/AA4,""))</f>
        <v/>
      </c>
      <c r="AB23" s="15">
        <f>IF(OR(AB22="",AB4=""),"",IFERROR(AB22/AB4,""))</f>
        <v/>
      </c>
      <c r="AC23" s="15">
        <f>IF(OR(AC22="",AC4=""),"",IFERROR(AC22/AC4,""))</f>
        <v/>
      </c>
    </row>
    <row r="24">
      <c r="A24" s="13" t="inlineStr">
        <is>
          <t>YoY</t>
        </is>
      </c>
      <c r="B24" s="10" t="n"/>
      <c r="C24" s="14" t="n"/>
      <c r="D24" s="15" t="n"/>
      <c r="E24" s="15" t="n"/>
      <c r="F24" s="15" t="n"/>
      <c r="G24" s="15">
        <f>IF(OR(G22="",C22=""),"",IF(C22&lt;=0,"",IFERROR(G22/C22-1,"")))</f>
        <v/>
      </c>
      <c r="H24" s="15">
        <f>IF(OR(H22="",D22=""),"",IF(D22&lt;=0,"",IFERROR(H22/D22-1,"")))</f>
        <v/>
      </c>
      <c r="I24" s="15">
        <f>IF(OR(I22="",E22=""),"",IF(E22&lt;=0,"",IFERROR(I22/E22-1,"")))</f>
        <v/>
      </c>
      <c r="J24" s="15">
        <f>IF(OR(J22="",F22=""),"",IF(F22&lt;=0,"",IFERROR(J22/F22-1,"")))</f>
        <v/>
      </c>
      <c r="K24" s="15">
        <f>IF(OR(K22="",G22=""),"",IF(G22&lt;=0,"",IFERROR(K22/G22-1,"")))</f>
        <v/>
      </c>
      <c r="L24" s="15">
        <f>IF(OR(L22="",H22=""),"",IF(H22&lt;=0,"",IFERROR(L22/H22-1,"")))</f>
        <v/>
      </c>
      <c r="M24" s="15">
        <f>IF(OR(M22="",I22=""),"",IF(I22&lt;=0,"",IFERROR(M22/I22-1,"")))</f>
        <v/>
      </c>
      <c r="N24" s="15">
        <f>IF(OR(N22="",J22=""),"",IF(J22&lt;=0,"",IFERROR(N22/J22-1,"")))</f>
        <v/>
      </c>
      <c r="O24" s="14" t="n"/>
      <c r="P24" s="15">
        <f>IF(OR(P22="",O22=""),"",IF(O22&lt;=0,"",IFERROR(P22/O22-1,"")))</f>
        <v/>
      </c>
      <c r="Q24" s="15">
        <f>IF(OR(Q22="",P22=""),"",IF(P22&lt;=0,"",IFERROR(Q22/P22-1,"")))</f>
        <v/>
      </c>
      <c r="R24" s="15">
        <f>IF(OR(R22="",Q22=""),"",IF(Q22&lt;=0,"",IFERROR(R22/Q22-1,"")))</f>
        <v/>
      </c>
      <c r="S24" s="15">
        <f>IF(OR(S22="",R22=""),"",IF(R22&lt;=0,"",IFERROR(S22/R22-1,"")))</f>
        <v/>
      </c>
      <c r="T24" s="15">
        <f>IF(OR(T22="",S22=""),"",IF(S22&lt;=0,"",IFERROR(T22/S22-1,"")))</f>
        <v/>
      </c>
      <c r="U24" s="15">
        <f>IF(OR(U22="",T22=""),"",IF(T22&lt;=0,"",IFERROR(U22/T22-1,"")))</f>
        <v/>
      </c>
      <c r="V24" s="15">
        <f>IF(OR(V22="",U22=""),"",IF(U22&lt;=0,"",IFERROR(V22/U22-1,"")))</f>
        <v/>
      </c>
      <c r="W24" s="15">
        <f>IF(OR(W22="",V22=""),"",IF(V22&lt;=0,"",IFERROR(W22/V22-1,"")))</f>
        <v/>
      </c>
      <c r="X24" s="15">
        <f>IF(OR(X22="",W22=""),"",IF(W22&lt;=0,"",IFERROR(X22/W22-1,"")))</f>
        <v/>
      </c>
      <c r="Y24" s="14">
        <f>IF(OR(Y22="",X22=""),"",IF(X22&lt;=0,"",IFERROR(Y22/X22-1,"")))</f>
        <v/>
      </c>
      <c r="Z24" s="15">
        <f>IF(OR(Z22="",Y22=""),"",IF(Y22&lt;=0,"",IFERROR(Z22/Y22-1,"")))</f>
        <v/>
      </c>
      <c r="AA24" s="15">
        <f>IF(OR(AA22="",Z22=""),"",IF(Z22&lt;=0,"",IFERROR(AA22/Z22-1,"")))</f>
        <v/>
      </c>
      <c r="AB24" s="15">
        <f>IF(OR(AB22="",AA22=""),"",IF(AA22&lt;=0,"",IFERROR(AB22/AA22-1,"")))</f>
        <v/>
      </c>
      <c r="AC24" s="15">
        <f>IF(OR(AC22="",AB22=""),"",IF(AB22&lt;=0,"",IFERROR(AC22/AB22-1,"")))</f>
        <v/>
      </c>
    </row>
    <row r="25">
      <c r="A25" s="23" t="inlineStr">
        <is>
          <t>판매관리비</t>
        </is>
      </c>
      <c r="B25" s="23" t="n"/>
      <c r="C25" s="24" t="n"/>
      <c r="D25" s="23" t="n"/>
      <c r="E25" s="23" t="n"/>
      <c r="F25" s="23" t="n"/>
      <c r="G25" s="23" t="n"/>
      <c r="H25" s="23" t="n"/>
      <c r="I25" s="23" t="n"/>
      <c r="J25" s="23" t="n"/>
      <c r="K25" s="23" t="n"/>
      <c r="L25" s="23" t="n"/>
      <c r="M25" s="23" t="n"/>
      <c r="N25" s="23" t="n"/>
      <c r="O25" s="24" t="n"/>
      <c r="P25" s="23" t="n"/>
      <c r="Q25" s="23" t="n"/>
      <c r="R25" s="23" t="n"/>
      <c r="S25" s="23" t="n"/>
      <c r="T25" s="23" t="n"/>
      <c r="U25" s="23" t="n"/>
      <c r="V25" s="23" t="n"/>
      <c r="W25" s="23" t="n"/>
      <c r="X25" s="23" t="n"/>
      <c r="Y25" s="24" t="n"/>
      <c r="Z25" s="23" t="n"/>
      <c r="AA25" s="23" t="n"/>
      <c r="AB25" s="23" t="n"/>
      <c r="AC25" s="23" t="n"/>
    </row>
    <row r="26">
      <c r="A26" s="18" t="inlineStr">
        <is>
          <t>전체 판관비</t>
        </is>
      </c>
      <c r="B26" s="10" t="n"/>
      <c r="C26" s="19" t="n"/>
      <c r="D26" s="20" t="n"/>
      <c r="E26" s="20" t="n"/>
      <c r="F26" s="20" t="n"/>
      <c r="G26" s="20" t="n"/>
      <c r="H26" s="20" t="n"/>
      <c r="I26" s="20" t="n"/>
      <c r="J26" s="20" t="n"/>
      <c r="K26" s="20" t="n"/>
      <c r="L26" s="20" t="n"/>
      <c r="M26" s="20" t="n"/>
      <c r="N26" s="20" t="n"/>
      <c r="O26" s="19" t="n">
        <v>85272</v>
      </c>
      <c r="P26" s="20" t="n">
        <v>94481</v>
      </c>
      <c r="Q26" s="20" t="n">
        <v>93293</v>
      </c>
      <c r="R26" s="20" t="n">
        <v>97688</v>
      </c>
      <c r="S26" s="20" t="n">
        <v>98366</v>
      </c>
      <c r="T26" s="20" t="n">
        <v>113536</v>
      </c>
      <c r="U26" s="20" t="n">
        <v>131580</v>
      </c>
      <c r="V26" s="20" t="n">
        <v>142353</v>
      </c>
      <c r="W26" s="20" t="n">
        <v>144071</v>
      </c>
      <c r="X26" s="20" t="n">
        <v>145642</v>
      </c>
      <c r="Y26" s="19" t="n"/>
      <c r="Z26" s="20" t="n"/>
      <c r="AA26" s="20" t="n"/>
      <c r="AB26" s="20" t="n"/>
      <c r="AC26" s="20" t="n"/>
    </row>
    <row r="27">
      <c r="A27" s="13" t="inlineStr">
        <is>
          <t>YoY</t>
        </is>
      </c>
      <c r="B27" s="10" t="n"/>
      <c r="C27" s="14" t="n"/>
      <c r="D27" s="15" t="n"/>
      <c r="E27" s="15" t="n"/>
      <c r="F27" s="15" t="n"/>
      <c r="G27" s="15">
        <f>IF(OR(G26="",C26=""),"",IF(C26&lt;=0,"",IFERROR(G26/C26-1,"")))</f>
        <v/>
      </c>
      <c r="H27" s="15">
        <f>IF(OR(H26="",D26=""),"",IF(D26&lt;=0,"",IFERROR(H26/D26-1,"")))</f>
        <v/>
      </c>
      <c r="I27" s="15">
        <f>IF(OR(I26="",E26=""),"",IF(E26&lt;=0,"",IFERROR(I26/E26-1,"")))</f>
        <v/>
      </c>
      <c r="J27" s="15">
        <f>IF(OR(J26="",F26=""),"",IF(F26&lt;=0,"",IFERROR(J26/F26-1,"")))</f>
        <v/>
      </c>
      <c r="K27" s="15">
        <f>IF(OR(K26="",G26=""),"",IF(G26&lt;=0,"",IFERROR(K26/G26-1,"")))</f>
        <v/>
      </c>
      <c r="L27" s="15">
        <f>IF(OR(L26="",H26=""),"",IF(H26&lt;=0,"",IFERROR(L26/H26-1,"")))</f>
        <v/>
      </c>
      <c r="M27" s="15">
        <f>IF(OR(M26="",I26=""),"",IF(I26&lt;=0,"",IFERROR(M26/I26-1,"")))</f>
        <v/>
      </c>
      <c r="N27" s="15">
        <f>IF(OR(N26="",J26=""),"",IF(J26&lt;=0,"",IFERROR(N26/J26-1,"")))</f>
        <v/>
      </c>
      <c r="O27" s="14" t="n"/>
      <c r="P27" s="15">
        <f>IF(OR(P26="",O26=""),"",IF(O26&lt;=0,"",IFERROR(P26/O26-1,"")))</f>
        <v/>
      </c>
      <c r="Q27" s="15">
        <f>IF(OR(Q26="",P26=""),"",IF(P26&lt;=0,"",IFERROR(Q26/P26-1,"")))</f>
        <v/>
      </c>
      <c r="R27" s="15">
        <f>IF(OR(R26="",Q26=""),"",IF(Q26&lt;=0,"",IFERROR(R26/Q26-1,"")))</f>
        <v/>
      </c>
      <c r="S27" s="15">
        <f>IF(OR(S26="",R26=""),"",IF(R26&lt;=0,"",IFERROR(S26/R26-1,"")))</f>
        <v/>
      </c>
      <c r="T27" s="15">
        <f>IF(OR(T26="",S26=""),"",IF(S26&lt;=0,"",IFERROR(T26/S26-1,"")))</f>
        <v/>
      </c>
      <c r="U27" s="15">
        <f>IF(OR(U26="",T26=""),"",IF(T26&lt;=0,"",IFERROR(U26/T26-1,"")))</f>
        <v/>
      </c>
      <c r="V27" s="15">
        <f>IF(OR(V26="",U26=""),"",IF(U26&lt;=0,"",IFERROR(V26/U26-1,"")))</f>
        <v/>
      </c>
      <c r="W27" s="15">
        <f>IF(OR(W26="",V26=""),"",IF(V26&lt;=0,"",IFERROR(W26/V26-1,"")))</f>
        <v/>
      </c>
      <c r="X27" s="15">
        <f>IF(OR(X26="",W26=""),"",IF(W26&lt;=0,"",IFERROR(X26/W26-1,"")))</f>
        <v/>
      </c>
      <c r="Y27" s="14">
        <f>IF(OR(Y26="",X26=""),"",IF(X26&lt;=0,"",IFERROR(Y26/X26-1,"")))</f>
        <v/>
      </c>
      <c r="Z27" s="15">
        <f>IF(OR(Z26="",Y26=""),"",IF(Y26&lt;=0,"",IFERROR(Z26/Y26-1,"")))</f>
        <v/>
      </c>
      <c r="AA27" s="15">
        <f>IF(OR(AA26="",Z26=""),"",IF(Z26&lt;=0,"",IFERROR(AA26/Z26-1,"")))</f>
        <v/>
      </c>
      <c r="AB27" s="15">
        <f>IF(OR(AB26="",AA26=""),"",IF(AA26&lt;=0,"",IFERROR(AB26/AA26-1,"")))</f>
        <v/>
      </c>
      <c r="AC27" s="15">
        <f>IF(OR(AC26="",AB26=""),"",IF(AB26&lt;=0,"",IFERROR(AC26/AB26-1,"")))</f>
        <v/>
      </c>
    </row>
    <row r="28">
      <c r="A28" s="9" t="inlineStr">
        <is>
          <t>영업이익</t>
        </is>
      </c>
      <c r="B28" s="10" t="inlineStr">
        <is>
          <t>MW = 매출 × OPM</t>
        </is>
      </c>
      <c r="C28" s="11" t="n"/>
      <c r="D28" s="12" t="n"/>
      <c r="E28" s="12" t="n"/>
      <c r="F28" s="12" t="n"/>
      <c r="G28" s="12" t="n"/>
      <c r="H28" s="12" t="n"/>
      <c r="I28" s="12" t="n"/>
      <c r="J28" s="12" t="n"/>
      <c r="K28" s="12" t="n"/>
      <c r="L28" s="12" t="n"/>
      <c r="M28" s="12" t="n"/>
      <c r="N28" s="12" t="n"/>
      <c r="O28" s="11" t="n">
        <v>58514</v>
      </c>
      <c r="P28" s="12" t="n">
        <v>65138</v>
      </c>
      <c r="Q28" s="12" t="n">
        <v>71442</v>
      </c>
      <c r="R28" s="12" t="n">
        <v>83178</v>
      </c>
      <c r="S28" s="12" t="n">
        <v>80748</v>
      </c>
      <c r="T28" s="12" t="n">
        <v>106218</v>
      </c>
      <c r="U28" s="12" t="n">
        <v>111832</v>
      </c>
      <c r="V28" s="12" t="n">
        <v>120411</v>
      </c>
      <c r="W28" s="12" t="n">
        <v>134907</v>
      </c>
      <c r="X28" s="12" t="n">
        <v>58273</v>
      </c>
      <c r="Y28" s="11">
        <f>IF(OR(Y4="",Y29=""),"",IFERROR(Y4*Y29,""))</f>
        <v/>
      </c>
      <c r="Z28" s="12">
        <f>IF(OR(Z4="",Z29=""),"",IFERROR(Z4*Z29,""))</f>
        <v/>
      </c>
      <c r="AA28" s="12">
        <f>IF(OR(AA4="",AA29=""),"",IFERROR(AA4*AA29,""))</f>
        <v/>
      </c>
      <c r="AB28" s="12">
        <f>IF(OR(AB4="",AB29=""),"",IFERROR(AB4*AB29,""))</f>
        <v/>
      </c>
      <c r="AC28" s="12">
        <f>IF(OR(AC4="",AC29=""),"",IFERROR(AC4*AC29,""))</f>
        <v/>
      </c>
    </row>
    <row r="29">
      <c r="A29" s="13" t="inlineStr">
        <is>
          <t>OPM</t>
        </is>
      </c>
      <c r="B29" s="10" t="inlineStr">
        <is>
          <t>MW 입력</t>
        </is>
      </c>
      <c r="C29" s="14">
        <f>IF(OR(C28="",C4=""),"",IFERROR(C28/C4,""))</f>
        <v/>
      </c>
      <c r="D29" s="15">
        <f>IF(OR(D28="",D4=""),"",IFERROR(D28/D4,""))</f>
        <v/>
      </c>
      <c r="E29" s="15">
        <f>IF(OR(E28="",E4=""),"",IFERROR(E28/E4,""))</f>
        <v/>
      </c>
      <c r="F29" s="15">
        <f>IF(OR(F28="",F4=""),"",IFERROR(F28/F4,""))</f>
        <v/>
      </c>
      <c r="G29" s="15">
        <f>IF(OR(G28="",G4=""),"",IFERROR(G28/G4,""))</f>
        <v/>
      </c>
      <c r="H29" s="15">
        <f>IF(OR(H28="",H4=""),"",IFERROR(H28/H4,""))</f>
        <v/>
      </c>
      <c r="I29" s="15">
        <f>IF(OR(I28="",I4=""),"",IFERROR(I28/I4,""))</f>
        <v/>
      </c>
      <c r="J29" s="15">
        <f>IF(OR(J28="",J4=""),"",IFERROR(J28/J4,""))</f>
        <v/>
      </c>
      <c r="K29" s="15">
        <f>IF(OR(K28="",K4=""),"",IFERROR(K28/K4,""))</f>
        <v/>
      </c>
      <c r="L29" s="15">
        <f>IF(OR(L28="",L4=""),"",IFERROR(L28/L4,""))</f>
        <v/>
      </c>
      <c r="M29" s="15">
        <f>IF(OR(M28="",M4=""),"",IFERROR(M28/M4,""))</f>
        <v/>
      </c>
      <c r="N29" s="15">
        <f>IF(OR(N28="",N4=""),"",IFERROR(N28/N4,""))</f>
        <v/>
      </c>
      <c r="O29" s="14">
        <f>IF(OR(O28="",O4=""),"",IFERROR(O28/O4,""))</f>
        <v/>
      </c>
      <c r="P29" s="15">
        <f>IF(OR(P28="",P4=""),"",IFERROR(P28/P4,""))</f>
        <v/>
      </c>
      <c r="Q29" s="15">
        <f>IF(OR(Q28="",Q4=""),"",IFERROR(Q28/Q4,""))</f>
        <v/>
      </c>
      <c r="R29" s="15">
        <f>IF(OR(R28="",R4=""),"",IFERROR(R28/R4,""))</f>
        <v/>
      </c>
      <c r="S29" s="15">
        <f>IF(OR(S28="",S4=""),"",IFERROR(S28/S4,""))</f>
        <v/>
      </c>
      <c r="T29" s="15">
        <f>IF(OR(T28="",T4=""),"",IFERROR(T28/T4,""))</f>
        <v/>
      </c>
      <c r="U29" s="15">
        <f>IF(OR(U28="",U4=""),"",IFERROR(U28/U4,""))</f>
        <v/>
      </c>
      <c r="V29" s="15">
        <f>IF(OR(V28="",V4=""),"",IFERROR(V28/V4,""))</f>
        <v/>
      </c>
      <c r="W29" s="15">
        <f>IF(OR(W28="",W4=""),"",IFERROR(W28/W4,""))</f>
        <v/>
      </c>
      <c r="X29" s="15">
        <f>IF(OR(X28="",X4=""),"",IFERROR(X28/X4,""))</f>
        <v/>
      </c>
      <c r="Y29" s="25" t="n"/>
      <c r="Z29" s="26" t="n"/>
      <c r="AA29" s="26" t="n"/>
      <c r="AB29" s="26" t="n"/>
      <c r="AC29" s="26" t="n"/>
    </row>
    <row r="30">
      <c r="A30" s="13" t="inlineStr">
        <is>
          <t>증가율</t>
        </is>
      </c>
      <c r="B30" s="10" t="n"/>
      <c r="C30" s="14" t="n"/>
      <c r="D30" s="15" t="n"/>
      <c r="E30" s="15" t="n"/>
      <c r="F30" s="15" t="n"/>
      <c r="G30" s="15">
        <f>IF(OR(G28="",C28=""),"",IFERROR(G28/C28-1,""))</f>
        <v/>
      </c>
      <c r="H30" s="15">
        <f>IF(OR(H28="",D28=""),"",IFERROR(H28/D28-1,""))</f>
        <v/>
      </c>
      <c r="I30" s="15">
        <f>IF(OR(I28="",E28=""),"",IFERROR(I28/E28-1,""))</f>
        <v/>
      </c>
      <c r="J30" s="15">
        <f>IF(OR(J28="",F28=""),"",IFERROR(J28/F28-1,""))</f>
        <v/>
      </c>
      <c r="K30" s="15">
        <f>IF(OR(K28="",G28=""),"",IFERROR(K28/G28-1,""))</f>
        <v/>
      </c>
      <c r="L30" s="15">
        <f>IF(OR(L28="",H28=""),"",IFERROR(L28/H28-1,""))</f>
        <v/>
      </c>
      <c r="M30" s="15">
        <f>IF(OR(M28="",I28=""),"",IFERROR(M28/I28-1,""))</f>
        <v/>
      </c>
      <c r="N30" s="15">
        <f>IF(OR(N28="",J28=""),"",IFERROR(N28/J28-1,""))</f>
        <v/>
      </c>
      <c r="O30" s="14" t="n"/>
      <c r="P30" s="15">
        <f>IF(OR(P28="",O28=""),"",IFERROR(P28/O28-1,""))</f>
        <v/>
      </c>
      <c r="Q30" s="15">
        <f>IF(OR(Q28="",P28=""),"",IFERROR(Q28/P28-1,""))</f>
        <v/>
      </c>
      <c r="R30" s="15">
        <f>IF(OR(R28="",Q28=""),"",IFERROR(R28/Q28-1,""))</f>
        <v/>
      </c>
      <c r="S30" s="15">
        <f>IF(OR(S28="",R28=""),"",IFERROR(S28/R28-1,""))</f>
        <v/>
      </c>
      <c r="T30" s="15">
        <f>IF(OR(T28="",S28=""),"",IFERROR(T28/S28-1,""))</f>
        <v/>
      </c>
      <c r="U30" s="15">
        <f>IF(OR(U28="",T28=""),"",IFERROR(U28/T28-1,""))</f>
        <v/>
      </c>
      <c r="V30" s="15">
        <f>IF(OR(V28="",U28=""),"",IFERROR(V28/U28-1,""))</f>
        <v/>
      </c>
      <c r="W30" s="15">
        <f>IF(OR(W28="",V28=""),"",IFERROR(W28/V28-1,""))</f>
        <v/>
      </c>
      <c r="X30" s="15">
        <f>IF(OR(X28="",W28=""),"",IFERROR(X28/W28-1,""))</f>
        <v/>
      </c>
      <c r="Y30" s="14">
        <f>IF(OR(Y28="",X28=""),"",IFERROR(Y28/X28-1,""))</f>
        <v/>
      </c>
      <c r="Z30" s="15">
        <f>IF(OR(Z28="",Y28=""),"",IFERROR(Z28/Y28-1,""))</f>
        <v/>
      </c>
      <c r="AA30" s="15">
        <f>IF(OR(AA28="",Z28=""),"",IFERROR(AA28/Z28-1,""))</f>
        <v/>
      </c>
      <c r="AB30" s="15">
        <f>IF(OR(AB28="",AA28=""),"",IFERROR(AB28/AA28-1,""))</f>
        <v/>
      </c>
      <c r="AC30" s="15">
        <f>IF(OR(AC28="",AB28=""),"",IFERROR(AC28/AB28-1,""))</f>
        <v/>
      </c>
    </row>
    <row r="31">
      <c r="A31" s="16" t="inlineStr">
        <is>
          <t>비용의 성격별 분류</t>
        </is>
      </c>
      <c r="B31" s="16" t="inlineStr">
        <is>
          <t>참고 데이터</t>
        </is>
      </c>
      <c r="C31" s="17" t="n"/>
      <c r="D31" s="16" t="n"/>
      <c r="E31" s="16" t="n"/>
      <c r="F31" s="16" t="n"/>
      <c r="G31" s="16" t="n"/>
      <c r="H31" s="16" t="n"/>
      <c r="I31" s="16" t="n"/>
      <c r="J31" s="16" t="n"/>
      <c r="K31" s="16" t="n"/>
      <c r="L31" s="16" t="n"/>
      <c r="M31" s="16" t="n"/>
      <c r="N31" s="16" t="n"/>
      <c r="O31" s="17" t="n"/>
      <c r="P31" s="16" t="n"/>
      <c r="Q31" s="16" t="n"/>
      <c r="R31" s="16" t="n"/>
      <c r="S31" s="16" t="n"/>
      <c r="T31" s="16" t="n"/>
      <c r="U31" s="16" t="n"/>
      <c r="V31" s="16" t="n"/>
      <c r="W31" s="16" t="n"/>
      <c r="X31" s="16" t="n"/>
      <c r="Y31" s="17" t="n"/>
      <c r="Z31" s="16" t="n"/>
      <c r="AA31" s="16" t="n"/>
      <c r="AB31" s="16" t="n"/>
      <c r="AC31" s="16" t="n"/>
    </row>
    <row r="32">
      <c r="A32" s="9" t="inlineStr">
        <is>
          <t>총 판관비</t>
        </is>
      </c>
      <c r="B32" s="10" t="n"/>
      <c r="C32" s="11" t="n"/>
      <c r="D32" s="12" t="n"/>
      <c r="E32" s="12" t="n"/>
      <c r="F32" s="12" t="n"/>
      <c r="G32" s="12" t="n"/>
      <c r="H32" s="12" t="n"/>
      <c r="I32" s="12" t="n"/>
      <c r="J32" s="12" t="n"/>
      <c r="K32" s="12" t="n"/>
      <c r="L32" s="12" t="n"/>
      <c r="M32" s="12" t="n"/>
      <c r="N32" s="12" t="n"/>
      <c r="O32" s="11">
        <f>IF(O26="","",O26)</f>
        <v/>
      </c>
      <c r="P32" s="12">
        <f>IF(P26="","",P26)</f>
        <v/>
      </c>
      <c r="Q32" s="12">
        <f>IF(Q26="","",Q26)</f>
        <v/>
      </c>
      <c r="R32" s="12">
        <f>IF(R26="","",R26)</f>
        <v/>
      </c>
      <c r="S32" s="12">
        <f>IF(S26="","",S26)</f>
        <v/>
      </c>
      <c r="T32" s="12">
        <f>IF(T26="","",T26)</f>
        <v/>
      </c>
      <c r="U32" s="12">
        <f>IF(U26="","",U26)</f>
        <v/>
      </c>
      <c r="V32" s="12">
        <f>IF(V26="","",V26)</f>
        <v/>
      </c>
      <c r="W32" s="12">
        <f>IF(W26="","",W26)</f>
        <v/>
      </c>
      <c r="X32" s="12">
        <f>IF(X26="","",X26)</f>
        <v/>
      </c>
      <c r="Y32" s="11" t="n"/>
      <c r="Z32" s="12" t="n"/>
      <c r="AA32" s="12" t="n"/>
      <c r="AB32" s="12" t="n"/>
      <c r="AC32" s="12" t="n"/>
    </row>
    <row r="33">
      <c r="A33" s="18" t="inlineStr">
        <is>
          <t>급여</t>
        </is>
      </c>
      <c r="B33" s="10" t="inlineStr">
        <is>
          <t>고정비</t>
        </is>
      </c>
      <c r="C33" s="19" t="n"/>
      <c r="D33" s="20" t="n"/>
      <c r="E33" s="20" t="n"/>
      <c r="F33" s="20" t="n"/>
      <c r="G33" s="20" t="n"/>
      <c r="H33" s="20" t="n"/>
      <c r="I33" s="20" t="n"/>
      <c r="J33" s="20" t="n"/>
      <c r="K33" s="20" t="n"/>
      <c r="L33" s="20" t="n"/>
      <c r="M33" s="20" t="n"/>
      <c r="N33" s="20" t="n"/>
      <c r="O33" s="19" t="n"/>
      <c r="P33" s="20" t="n"/>
      <c r="Q33" s="20" t="n"/>
      <c r="R33" s="20" t="n"/>
      <c r="S33" s="20" t="n"/>
      <c r="T33" s="20" t="n"/>
      <c r="U33" s="20" t="n"/>
      <c r="V33" s="20" t="n"/>
      <c r="W33" s="20" t="n"/>
      <c r="X33" s="20" t="n"/>
      <c r="Y33" s="19" t="n"/>
      <c r="Z33" s="20" t="n"/>
      <c r="AA33" s="20" t="n"/>
      <c r="AB33" s="20" t="n"/>
      <c r="AC33" s="20" t="n"/>
    </row>
    <row r="34">
      <c r="A34" s="13" t="inlineStr">
        <is>
          <t>% of Sales</t>
        </is>
      </c>
      <c r="B34" s="10" t="n"/>
      <c r="C34" s="14" t="n"/>
      <c r="D34" s="15" t="n"/>
      <c r="E34" s="15" t="n"/>
      <c r="F34" s="15" t="n"/>
      <c r="G34" s="15" t="n"/>
      <c r="H34" s="15" t="n"/>
      <c r="I34" s="15" t="n"/>
      <c r="J34" s="15" t="n"/>
      <c r="K34" s="15" t="n"/>
      <c r="L34" s="15" t="n"/>
      <c r="M34" s="15" t="n"/>
      <c r="N34" s="15" t="n"/>
      <c r="O34" s="14">
        <f>IF(OR(O33="",O4=""),"",IFERROR(O33/O4,""))</f>
        <v/>
      </c>
      <c r="P34" s="15">
        <f>IF(OR(P33="",P4=""),"",IFERROR(P33/P4,""))</f>
        <v/>
      </c>
      <c r="Q34" s="15">
        <f>IF(OR(Q33="",Q4=""),"",IFERROR(Q33/Q4,""))</f>
        <v/>
      </c>
      <c r="R34" s="15">
        <f>IF(OR(R33="",R4=""),"",IFERROR(R33/R4,""))</f>
        <v/>
      </c>
      <c r="S34" s="15">
        <f>IF(OR(S33="",S4=""),"",IFERROR(S33/S4,""))</f>
        <v/>
      </c>
      <c r="T34" s="15">
        <f>IF(OR(T33="",T4=""),"",IFERROR(T33/T4,""))</f>
        <v/>
      </c>
      <c r="U34" s="15">
        <f>IF(OR(U33="",U4=""),"",IFERROR(U33/U4,""))</f>
        <v/>
      </c>
      <c r="V34" s="15">
        <f>IF(OR(V33="",V4=""),"",IFERROR(V33/V4,""))</f>
        <v/>
      </c>
      <c r="W34" s="15">
        <f>IF(OR(W33="",W4=""),"",IFERROR(W33/W4,""))</f>
        <v/>
      </c>
      <c r="X34" s="15">
        <f>IF(OR(X33="",X4=""),"",IFERROR(X33/X4,""))</f>
        <v/>
      </c>
      <c r="Y34" s="14" t="n"/>
      <c r="Z34" s="15" t="n"/>
      <c r="AA34" s="15" t="n"/>
      <c r="AB34" s="15" t="n"/>
      <c r="AC34" s="15" t="n"/>
    </row>
    <row r="35">
      <c r="A35" s="18" t="inlineStr">
        <is>
          <t>감가상각비</t>
        </is>
      </c>
      <c r="B35" s="10" t="inlineStr">
        <is>
          <t>고정비</t>
        </is>
      </c>
      <c r="C35" s="19" t="n"/>
      <c r="D35" s="20" t="n"/>
      <c r="E35" s="20" t="n"/>
      <c r="F35" s="20" t="n"/>
      <c r="G35" s="20" t="n"/>
      <c r="H35" s="20" t="n"/>
      <c r="I35" s="20" t="n"/>
      <c r="J35" s="20" t="n"/>
      <c r="K35" s="20" t="n"/>
      <c r="L35" s="20" t="n"/>
      <c r="M35" s="20" t="n"/>
      <c r="N35" s="20" t="n"/>
      <c r="O35" s="19" t="n"/>
      <c r="P35" s="20" t="n"/>
      <c r="Q35" s="20" t="n"/>
      <c r="R35" s="20" t="n"/>
      <c r="S35" s="20" t="n"/>
      <c r="T35" s="20" t="n"/>
      <c r="U35" s="20" t="n"/>
      <c r="V35" s="20" t="n"/>
      <c r="W35" s="20" t="n"/>
      <c r="X35" s="20" t="n"/>
      <c r="Y35" s="19" t="n"/>
      <c r="Z35" s="20" t="n"/>
      <c r="AA35" s="20" t="n"/>
      <c r="AB35" s="20" t="n"/>
      <c r="AC35" s="20" t="n"/>
    </row>
    <row r="36">
      <c r="A36" s="13" t="inlineStr">
        <is>
          <t>% of Sales</t>
        </is>
      </c>
      <c r="B36" s="10" t="n"/>
      <c r="C36" s="14" t="n"/>
      <c r="D36" s="15" t="n"/>
      <c r="E36" s="15" t="n"/>
      <c r="F36" s="15" t="n"/>
      <c r="G36" s="15" t="n"/>
      <c r="H36" s="15" t="n"/>
      <c r="I36" s="15" t="n"/>
      <c r="J36" s="15" t="n"/>
      <c r="K36" s="15" t="n"/>
      <c r="L36" s="15" t="n"/>
      <c r="M36" s="15" t="n"/>
      <c r="N36" s="15" t="n"/>
      <c r="O36" s="14">
        <f>IF(OR(O35="",O4=""),"",IFERROR(O35/O4,""))</f>
        <v/>
      </c>
      <c r="P36" s="15">
        <f>IF(OR(P35="",P4=""),"",IFERROR(P35/P4,""))</f>
        <v/>
      </c>
      <c r="Q36" s="15">
        <f>IF(OR(Q35="",Q4=""),"",IFERROR(Q35/Q4,""))</f>
        <v/>
      </c>
      <c r="R36" s="15">
        <f>IF(OR(R35="",R4=""),"",IFERROR(R35/R4,""))</f>
        <v/>
      </c>
      <c r="S36" s="15">
        <f>IF(OR(S35="",S4=""),"",IFERROR(S35/S4,""))</f>
        <v/>
      </c>
      <c r="T36" s="15">
        <f>IF(OR(T35="",T4=""),"",IFERROR(T35/T4,""))</f>
        <v/>
      </c>
      <c r="U36" s="15">
        <f>IF(OR(U35="",U4=""),"",IFERROR(U35/U4,""))</f>
        <v/>
      </c>
      <c r="V36" s="15">
        <f>IF(OR(V35="",V4=""),"",IFERROR(V35/V4,""))</f>
        <v/>
      </c>
      <c r="W36" s="15">
        <f>IF(OR(W35="",W4=""),"",IFERROR(W35/W4,""))</f>
        <v/>
      </c>
      <c r="X36" s="15">
        <f>IF(OR(X35="",X4=""),"",IFERROR(X35/X4,""))</f>
        <v/>
      </c>
      <c r="Y36" s="14" t="n"/>
      <c r="Z36" s="15" t="n"/>
      <c r="AA36" s="15" t="n"/>
      <c r="AB36" s="15" t="n"/>
      <c r="AC36" s="15" t="n"/>
    </row>
    <row r="37">
      <c r="A37" s="18" t="inlineStr">
        <is>
          <t>지급수수료</t>
        </is>
      </c>
      <c r="B37" s="10" t="inlineStr">
        <is>
          <t>고정비</t>
        </is>
      </c>
      <c r="C37" s="19" t="n"/>
      <c r="D37" s="20" t="n"/>
      <c r="E37" s="20" t="n"/>
      <c r="F37" s="20" t="n"/>
      <c r="G37" s="20" t="n"/>
      <c r="H37" s="20" t="n"/>
      <c r="I37" s="20" t="n"/>
      <c r="J37" s="20" t="n"/>
      <c r="K37" s="20" t="n"/>
      <c r="L37" s="20" t="n"/>
      <c r="M37" s="20" t="n"/>
      <c r="N37" s="20" t="n"/>
      <c r="O37" s="19" t="n"/>
      <c r="P37" s="20" t="n"/>
      <c r="Q37" s="20" t="n"/>
      <c r="R37" s="20" t="n"/>
      <c r="S37" s="20" t="n"/>
      <c r="T37" s="20" t="n"/>
      <c r="U37" s="20" t="n"/>
      <c r="V37" s="20" t="n"/>
      <c r="W37" s="20" t="n"/>
      <c r="X37" s="20" t="n"/>
      <c r="Y37" s="19" t="n"/>
      <c r="Z37" s="20" t="n"/>
      <c r="AA37" s="20" t="n"/>
      <c r="AB37" s="20" t="n"/>
      <c r="AC37" s="20" t="n"/>
    </row>
    <row r="38">
      <c r="A38" s="13" t="inlineStr">
        <is>
          <t>% of Sales</t>
        </is>
      </c>
      <c r="B38" s="10" t="n"/>
      <c r="C38" s="14" t="n"/>
      <c r="D38" s="15" t="n"/>
      <c r="E38" s="15" t="n"/>
      <c r="F38" s="15" t="n"/>
      <c r="G38" s="15" t="n"/>
      <c r="H38" s="15" t="n"/>
      <c r="I38" s="15" t="n"/>
      <c r="J38" s="15" t="n"/>
      <c r="K38" s="15" t="n"/>
      <c r="L38" s="15" t="n"/>
      <c r="M38" s="15" t="n"/>
      <c r="N38" s="15" t="n"/>
      <c r="O38" s="14">
        <f>IF(OR(O37="",O4=""),"",IFERROR(O37/O4,""))</f>
        <v/>
      </c>
      <c r="P38" s="15">
        <f>IF(OR(P37="",P4=""),"",IFERROR(P37/P4,""))</f>
        <v/>
      </c>
      <c r="Q38" s="15">
        <f>IF(OR(Q37="",Q4=""),"",IFERROR(Q37/Q4,""))</f>
        <v/>
      </c>
      <c r="R38" s="15">
        <f>IF(OR(R37="",R4=""),"",IFERROR(R37/R4,""))</f>
        <v/>
      </c>
      <c r="S38" s="15">
        <f>IF(OR(S37="",S4=""),"",IFERROR(S37/S4,""))</f>
        <v/>
      </c>
      <c r="T38" s="15">
        <f>IF(OR(T37="",T4=""),"",IFERROR(T37/T4,""))</f>
        <v/>
      </c>
      <c r="U38" s="15">
        <f>IF(OR(U37="",U4=""),"",IFERROR(U37/U4,""))</f>
        <v/>
      </c>
      <c r="V38" s="15">
        <f>IF(OR(V37="",V4=""),"",IFERROR(V37/V4,""))</f>
        <v/>
      </c>
      <c r="W38" s="15">
        <f>IF(OR(W37="",W4=""),"",IFERROR(W37/W4,""))</f>
        <v/>
      </c>
      <c r="X38" s="15">
        <f>IF(OR(X37="",X4=""),"",IFERROR(X37/X4,""))</f>
        <v/>
      </c>
      <c r="Y38" s="14" t="n"/>
      <c r="Z38" s="15" t="n"/>
      <c r="AA38" s="15" t="n"/>
      <c r="AB38" s="15" t="n"/>
      <c r="AC38" s="15" t="n"/>
    </row>
    <row r="39">
      <c r="A39" s="18" t="inlineStr">
        <is>
          <t>연구개발비</t>
        </is>
      </c>
      <c r="B39" s="10" t="inlineStr">
        <is>
          <t>변동비</t>
        </is>
      </c>
      <c r="C39" s="19" t="n"/>
      <c r="D39" s="20" t="n"/>
      <c r="E39" s="20" t="n"/>
      <c r="F39" s="20" t="n"/>
      <c r="G39" s="20" t="n"/>
      <c r="H39" s="20" t="n"/>
      <c r="I39" s="20" t="n"/>
      <c r="J39" s="20" t="n"/>
      <c r="K39" s="20" t="n"/>
      <c r="L39" s="20" t="n"/>
      <c r="M39" s="20" t="n"/>
      <c r="N39" s="20" t="n"/>
      <c r="O39" s="19" t="n"/>
      <c r="P39" s="20" t="n"/>
      <c r="Q39" s="20" t="n"/>
      <c r="R39" s="20" t="n"/>
      <c r="S39" s="20" t="n"/>
      <c r="T39" s="20" t="n"/>
      <c r="U39" s="20" t="n"/>
      <c r="V39" s="20" t="n"/>
      <c r="W39" s="20" t="n"/>
      <c r="X39" s="20" t="n"/>
      <c r="Y39" s="19" t="n"/>
      <c r="Z39" s="20" t="n"/>
      <c r="AA39" s="20" t="n"/>
      <c r="AB39" s="20" t="n"/>
      <c r="AC39" s="20" t="n"/>
    </row>
    <row r="40">
      <c r="A40" s="13" t="inlineStr">
        <is>
          <t>% of Sales</t>
        </is>
      </c>
      <c r="B40" s="10" t="n"/>
      <c r="C40" s="14" t="n"/>
      <c r="D40" s="15" t="n"/>
      <c r="E40" s="15" t="n"/>
      <c r="F40" s="15" t="n"/>
      <c r="G40" s="15" t="n"/>
      <c r="H40" s="15" t="n"/>
      <c r="I40" s="15" t="n"/>
      <c r="J40" s="15" t="n"/>
      <c r="K40" s="15" t="n"/>
      <c r="L40" s="15" t="n"/>
      <c r="M40" s="15" t="n"/>
      <c r="N40" s="15" t="n"/>
      <c r="O40" s="14">
        <f>IF(OR(O39="",O4=""),"",IFERROR(O39/O4,""))</f>
        <v/>
      </c>
      <c r="P40" s="15">
        <f>IF(OR(P39="",P4=""),"",IFERROR(P39/P4,""))</f>
        <v/>
      </c>
      <c r="Q40" s="15">
        <f>IF(OR(Q39="",Q4=""),"",IFERROR(Q39/Q4,""))</f>
        <v/>
      </c>
      <c r="R40" s="15">
        <f>IF(OR(R39="",R4=""),"",IFERROR(R39/R4,""))</f>
        <v/>
      </c>
      <c r="S40" s="15">
        <f>IF(OR(S39="",S4=""),"",IFERROR(S39/S4,""))</f>
        <v/>
      </c>
      <c r="T40" s="15">
        <f>IF(OR(T39="",T4=""),"",IFERROR(T39/T4,""))</f>
        <v/>
      </c>
      <c r="U40" s="15">
        <f>IF(OR(U39="",U4=""),"",IFERROR(U39/U4,""))</f>
        <v/>
      </c>
      <c r="V40" s="15">
        <f>IF(OR(V39="",V4=""),"",IFERROR(V39/V4,""))</f>
        <v/>
      </c>
      <c r="W40" s="15">
        <f>IF(OR(W39="",W4=""),"",IFERROR(W39/W4,""))</f>
        <v/>
      </c>
      <c r="X40" s="15">
        <f>IF(OR(X39="",X4=""),"",IFERROR(X39/X4,""))</f>
        <v/>
      </c>
      <c r="Y40" s="14" t="n"/>
      <c r="Z40" s="15" t="n"/>
      <c r="AA40" s="15" t="n"/>
      <c r="AB40" s="15" t="n"/>
      <c r="AC40" s="15" t="n"/>
    </row>
    <row r="41">
      <c r="A41" s="18" t="inlineStr">
        <is>
          <t>기타비용</t>
        </is>
      </c>
      <c r="B41" s="10" t="inlineStr">
        <is>
          <t>변동비</t>
        </is>
      </c>
      <c r="C41" s="19" t="n"/>
      <c r="D41" s="20" t="n"/>
      <c r="E41" s="20" t="n"/>
      <c r="F41" s="20" t="n"/>
      <c r="G41" s="20" t="n"/>
      <c r="H41" s="20" t="n"/>
      <c r="I41" s="20" t="n"/>
      <c r="J41" s="20" t="n"/>
      <c r="K41" s="20" t="n"/>
      <c r="L41" s="20" t="n"/>
      <c r="M41" s="20" t="n"/>
      <c r="N41" s="20" t="n"/>
      <c r="O41" s="19">
        <f>IF(OR(O32="",O33="",O35="",O37="",O39=""),"",IFERROR(O32-O33-O35-O37-O39,""))</f>
        <v/>
      </c>
      <c r="P41" s="20">
        <f>IF(OR(P32="",P33="",P35="",P37="",P39=""),"",IFERROR(P32-P33-P35-P37-P39,""))</f>
        <v/>
      </c>
      <c r="Q41" s="20">
        <f>IF(OR(Q32="",Q33="",Q35="",Q37="",Q39=""),"",IFERROR(Q32-Q33-Q35-Q37-Q39,""))</f>
        <v/>
      </c>
      <c r="R41" s="20">
        <f>IF(OR(R32="",R33="",R35="",R37="",R39=""),"",IFERROR(R32-R33-R35-R37-R39,""))</f>
        <v/>
      </c>
      <c r="S41" s="20">
        <f>IF(OR(S32="",S33="",S35="",S37="",S39=""),"",IFERROR(S32-S33-S35-S37-S39,""))</f>
        <v/>
      </c>
      <c r="T41" s="20">
        <f>IF(OR(T32="",T33="",T35="",T37="",T39=""),"",IFERROR(T32-T33-T35-T37-T39,""))</f>
        <v/>
      </c>
      <c r="U41" s="20">
        <f>IF(OR(U32="",U33="",U35="",U37="",U39=""),"",IFERROR(U32-U33-U35-U37-U39,""))</f>
        <v/>
      </c>
      <c r="V41" s="20">
        <f>IF(OR(V32="",V33="",V35="",V37="",V39=""),"",IFERROR(V32-V33-V35-V37-V39,""))</f>
        <v/>
      </c>
      <c r="W41" s="20">
        <f>IF(OR(W32="",W33="",W35="",W37="",W39=""),"",IFERROR(W32-W33-W35-W37-W39,""))</f>
        <v/>
      </c>
      <c r="X41" s="20">
        <f>IF(OR(X32="",X33="",X35="",X37="",X39=""),"",IFERROR(X32-X33-X35-X37-X39,""))</f>
        <v/>
      </c>
      <c r="Y41" s="19" t="n"/>
      <c r="Z41" s="20" t="n"/>
      <c r="AA41" s="20" t="n"/>
      <c r="AB41" s="20" t="n"/>
      <c r="AC41" s="20" t="n"/>
    </row>
    <row r="42">
      <c r="A42" s="13" t="inlineStr">
        <is>
          <t>% of Sales</t>
        </is>
      </c>
      <c r="B42" s="10" t="n"/>
      <c r="C42" s="14" t="n"/>
      <c r="D42" s="15" t="n"/>
      <c r="E42" s="15" t="n"/>
      <c r="F42" s="15" t="n"/>
      <c r="G42" s="15" t="n"/>
      <c r="H42" s="15" t="n"/>
      <c r="I42" s="15" t="n"/>
      <c r="J42" s="15" t="n"/>
      <c r="K42" s="15" t="n"/>
      <c r="L42" s="15" t="n"/>
      <c r="M42" s="15" t="n"/>
      <c r="N42" s="15" t="n"/>
      <c r="O42" s="14">
        <f>IF(OR(O41="",O4=""),"",IFERROR(O41/O4,""))</f>
        <v/>
      </c>
      <c r="P42" s="15">
        <f>IF(OR(P41="",P4=""),"",IFERROR(P41/P4,""))</f>
        <v/>
      </c>
      <c r="Q42" s="15">
        <f>IF(OR(Q41="",Q4=""),"",IFERROR(Q41/Q4,""))</f>
        <v/>
      </c>
      <c r="R42" s="15">
        <f>IF(OR(R41="",R4=""),"",IFERROR(R41/R4,""))</f>
        <v/>
      </c>
      <c r="S42" s="15">
        <f>IF(OR(S41="",S4=""),"",IFERROR(S41/S4,""))</f>
        <v/>
      </c>
      <c r="T42" s="15">
        <f>IF(OR(T41="",T4=""),"",IFERROR(T41/T4,""))</f>
        <v/>
      </c>
      <c r="U42" s="15">
        <f>IF(OR(U41="",U4=""),"",IFERROR(U41/U4,""))</f>
        <v/>
      </c>
      <c r="V42" s="15">
        <f>IF(OR(V41="",V4=""),"",IFERROR(V41/V4,""))</f>
        <v/>
      </c>
      <c r="W42" s="15">
        <f>IF(OR(W41="",W4=""),"",IFERROR(W41/W4,""))</f>
        <v/>
      </c>
      <c r="X42" s="15">
        <f>IF(OR(X41="",X4=""),"",IFERROR(X41/X4,""))</f>
        <v/>
      </c>
      <c r="Y42" s="14" t="n"/>
      <c r="Z42" s="15" t="n"/>
      <c r="AA42" s="15" t="n"/>
      <c r="AB42" s="15" t="n"/>
      <c r="AC42" s="15" t="n"/>
    </row>
    <row r="43">
      <c r="A43" s="16" t="inlineStr">
        <is>
          <t>당기순이익 추정</t>
        </is>
      </c>
      <c r="B43" s="16" t="n"/>
      <c r="C43" s="17" t="n"/>
      <c r="D43" s="16" t="n"/>
      <c r="E43" s="16" t="n"/>
      <c r="F43" s="16" t="n"/>
      <c r="G43" s="16" t="n"/>
      <c r="H43" s="16" t="n"/>
      <c r="I43" s="16" t="n"/>
      <c r="J43" s="16" t="n"/>
      <c r="K43" s="16" t="n"/>
      <c r="L43" s="16" t="n"/>
      <c r="M43" s="16" t="n"/>
      <c r="N43" s="16" t="n"/>
      <c r="O43" s="17" t="n"/>
      <c r="P43" s="16" t="n"/>
      <c r="Q43" s="16" t="n"/>
      <c r="R43" s="16" t="n"/>
      <c r="S43" s="16" t="n"/>
      <c r="T43" s="16" t="n"/>
      <c r="U43" s="16" t="n"/>
      <c r="V43" s="16" t="n"/>
      <c r="W43" s="16" t="n"/>
      <c r="X43" s="16" t="n"/>
      <c r="Y43" s="17" t="n"/>
      <c r="Z43" s="16" t="n"/>
      <c r="AA43" s="16" t="n"/>
      <c r="AB43" s="16" t="n"/>
      <c r="AC43" s="16" t="n"/>
    </row>
    <row r="44">
      <c r="A44" s="18" t="inlineStr">
        <is>
          <t>기타이익</t>
        </is>
      </c>
      <c r="B44" s="10" t="n"/>
      <c r="C44" s="19" t="n"/>
      <c r="D44" s="20" t="n"/>
      <c r="E44" s="20" t="n"/>
      <c r="F44" s="20" t="n"/>
      <c r="G44" s="20" t="n"/>
      <c r="H44" s="20" t="n"/>
      <c r="I44" s="20" t="n"/>
      <c r="J44" s="20" t="n"/>
      <c r="K44" s="20" t="n"/>
      <c r="L44" s="20" t="n"/>
      <c r="M44" s="20" t="n"/>
      <c r="N44" s="20" t="n"/>
      <c r="O44" s="19" t="n">
        <v>13234</v>
      </c>
      <c r="P44" s="20" t="n">
        <v>22104</v>
      </c>
      <c r="Q44" s="20" t="n">
        <v>9385</v>
      </c>
      <c r="R44" s="20" t="n">
        <v>20873</v>
      </c>
      <c r="S44" s="20" t="n">
        <v>1880</v>
      </c>
      <c r="T44" s="20" t="n">
        <v>3754</v>
      </c>
      <c r="U44" s="20" t="n">
        <v>3779</v>
      </c>
      <c r="V44" s="20" t="n">
        <v>2748</v>
      </c>
      <c r="W44" s="20" t="n">
        <v>3249</v>
      </c>
      <c r="X44" s="20" t="n">
        <v>1396</v>
      </c>
      <c r="Y44" s="19">
        <f>IF(OR(Y4="",Y45=""),"",IFERROR(Y4*Y45,""))</f>
        <v/>
      </c>
      <c r="Z44" s="20">
        <f>IF(OR(Z4="",Z45=""),"",IFERROR(Z4*Z45,""))</f>
        <v/>
      </c>
      <c r="AA44" s="20">
        <f>IF(OR(AA4="",AA45=""),"",IFERROR(AA4*AA45,""))</f>
        <v/>
      </c>
      <c r="AB44" s="20">
        <f>IF(OR(AB4="",AB45=""),"",IFERROR(AB4*AB45,""))</f>
        <v/>
      </c>
      <c r="AC44" s="20">
        <f>IF(OR(AC4="",AC45=""),"",IFERROR(AC4*AC45,""))</f>
        <v/>
      </c>
    </row>
    <row r="45">
      <c r="A45" s="13" t="inlineStr">
        <is>
          <t>% of Sales</t>
        </is>
      </c>
      <c r="B45" s="10" t="inlineStr">
        <is>
          <t>MW = 최근 3년 평균</t>
        </is>
      </c>
      <c r="C45" s="14">
        <f>IF(OR(C44="",C4=""),"",IFERROR(C44/C4,""))</f>
        <v/>
      </c>
      <c r="D45" s="15">
        <f>IF(OR(D44="",D4=""),"",IFERROR(D44/D4,""))</f>
        <v/>
      </c>
      <c r="E45" s="15">
        <f>IF(OR(E44="",E4=""),"",IFERROR(E44/E4,""))</f>
        <v/>
      </c>
      <c r="F45" s="15">
        <f>IF(OR(F44="",F4=""),"",IFERROR(F44/F4,""))</f>
        <v/>
      </c>
      <c r="G45" s="15">
        <f>IF(OR(G44="",G4=""),"",IFERROR(G44/G4,""))</f>
        <v/>
      </c>
      <c r="H45" s="15">
        <f>IF(OR(H44="",H4=""),"",IFERROR(H44/H4,""))</f>
        <v/>
      </c>
      <c r="I45" s="15">
        <f>IF(OR(I44="",I4=""),"",IFERROR(I44/I4,""))</f>
        <v/>
      </c>
      <c r="J45" s="15">
        <f>IF(OR(J44="",J4=""),"",IFERROR(J44/J4,""))</f>
        <v/>
      </c>
      <c r="K45" s="15">
        <f>IF(OR(K44="",K4=""),"",IFERROR(K44/K4,""))</f>
        <v/>
      </c>
      <c r="L45" s="15">
        <f>IF(OR(L44="",L4=""),"",IFERROR(L44/L4,""))</f>
        <v/>
      </c>
      <c r="M45" s="15">
        <f>IF(OR(M44="",M4=""),"",IFERROR(M44/M4,""))</f>
        <v/>
      </c>
      <c r="N45" s="15">
        <f>IF(OR(N44="",N4=""),"",IFERROR(N44/N4,""))</f>
        <v/>
      </c>
      <c r="O45" s="14">
        <f>IF(OR(O44="",O4=""),"",IFERROR(O44/O4,""))</f>
        <v/>
      </c>
      <c r="P45" s="15">
        <f>IF(OR(P44="",P4=""),"",IFERROR(P44/P4,""))</f>
        <v/>
      </c>
      <c r="Q45" s="15">
        <f>IF(OR(Q44="",Q4=""),"",IFERROR(Q44/Q4,""))</f>
        <v/>
      </c>
      <c r="R45" s="15">
        <f>IF(OR(R44="",R4=""),"",IFERROR(R44/R4,""))</f>
        <v/>
      </c>
      <c r="S45" s="15">
        <f>IF(OR(S44="",S4=""),"",IFERROR(S44/S4,""))</f>
        <v/>
      </c>
      <c r="T45" s="15">
        <f>IF(OR(T44="",T4=""),"",IFERROR(T44/T4,""))</f>
        <v/>
      </c>
      <c r="U45" s="15">
        <f>IF(OR(U44="",U4=""),"",IFERROR(U44/U4,""))</f>
        <v/>
      </c>
      <c r="V45" s="15">
        <f>IF(OR(V44="",V4=""),"",IFERROR(V44/V4,""))</f>
        <v/>
      </c>
      <c r="W45" s="15">
        <f>IF(OR(W44="",W4=""),"",IFERROR(W44/W4,""))</f>
        <v/>
      </c>
      <c r="X45" s="15">
        <f>IF(OR(X44="",X4=""),"",IFERROR(X44/X4,""))</f>
        <v/>
      </c>
      <c r="Y45" s="25">
        <f>IFERROR(AVERAGE(V45,W45,X45),"")</f>
        <v/>
      </c>
      <c r="Z45" s="26">
        <f>Y45</f>
        <v/>
      </c>
      <c r="AA45" s="26">
        <f>Z45</f>
        <v/>
      </c>
      <c r="AB45" s="26">
        <f>AA45</f>
        <v/>
      </c>
      <c r="AC45" s="26">
        <f>AB45</f>
        <v/>
      </c>
    </row>
    <row r="46">
      <c r="A46" s="18" t="inlineStr">
        <is>
          <t>기타손실</t>
        </is>
      </c>
      <c r="B46" s="10" t="n"/>
      <c r="C46" s="19" t="n"/>
      <c r="D46" s="20" t="n"/>
      <c r="E46" s="20" t="n"/>
      <c r="F46" s="20" t="n"/>
      <c r="G46" s="20" t="n"/>
      <c r="H46" s="20" t="n"/>
      <c r="I46" s="20" t="n"/>
      <c r="J46" s="20" t="n"/>
      <c r="K46" s="20" t="n"/>
      <c r="L46" s="20" t="n"/>
      <c r="M46" s="20" t="n"/>
      <c r="N46" s="20" t="n"/>
      <c r="O46" s="19" t="n">
        <v>8596</v>
      </c>
      <c r="P46" s="20" t="n">
        <v>5738</v>
      </c>
      <c r="Q46" s="20" t="n">
        <v>5044</v>
      </c>
      <c r="R46" s="20" t="n">
        <v>2905</v>
      </c>
      <c r="S46" s="20" t="n">
        <v>8626</v>
      </c>
      <c r="T46" s="20" t="n">
        <v>275</v>
      </c>
      <c r="U46" s="20" t="n">
        <v>647</v>
      </c>
      <c r="V46" s="20" t="n">
        <v>1771</v>
      </c>
      <c r="W46" s="20" t="n">
        <v>468</v>
      </c>
      <c r="X46" s="20" t="n">
        <v>98735</v>
      </c>
      <c r="Y46" s="19">
        <f>IF(OR(Y4="",Y47=""),"",IFERROR(Y4*Y47,""))</f>
        <v/>
      </c>
      <c r="Z46" s="20">
        <f>IF(OR(Z4="",Z47=""),"",IFERROR(Z4*Z47,""))</f>
        <v/>
      </c>
      <c r="AA46" s="20">
        <f>IF(OR(AA4="",AA47=""),"",IFERROR(AA4*AA47,""))</f>
        <v/>
      </c>
      <c r="AB46" s="20">
        <f>IF(OR(AB4="",AB47=""),"",IFERROR(AB4*AB47,""))</f>
        <v/>
      </c>
      <c r="AC46" s="20">
        <f>IF(OR(AC4="",AC47=""),"",IFERROR(AC4*AC47,""))</f>
        <v/>
      </c>
    </row>
    <row r="47">
      <c r="A47" s="13" t="inlineStr">
        <is>
          <t>% of Sales</t>
        </is>
      </c>
      <c r="B47" s="10" t="n"/>
      <c r="C47" s="14">
        <f>IF(OR(C46="",C4=""),"",IFERROR(C46/C4,""))</f>
        <v/>
      </c>
      <c r="D47" s="15">
        <f>IF(OR(D46="",D4=""),"",IFERROR(D46/D4,""))</f>
        <v/>
      </c>
      <c r="E47" s="15">
        <f>IF(OR(E46="",E4=""),"",IFERROR(E46/E4,""))</f>
        <v/>
      </c>
      <c r="F47" s="15">
        <f>IF(OR(F46="",F4=""),"",IFERROR(F46/F4,""))</f>
        <v/>
      </c>
      <c r="G47" s="15">
        <f>IF(OR(G46="",G4=""),"",IFERROR(G46/G4,""))</f>
        <v/>
      </c>
      <c r="H47" s="15">
        <f>IF(OR(H46="",H4=""),"",IFERROR(H46/H4,""))</f>
        <v/>
      </c>
      <c r="I47" s="15">
        <f>IF(OR(I46="",I4=""),"",IFERROR(I46/I4,""))</f>
        <v/>
      </c>
      <c r="J47" s="15">
        <f>IF(OR(J46="",J4=""),"",IFERROR(J46/J4,""))</f>
        <v/>
      </c>
      <c r="K47" s="15">
        <f>IF(OR(K46="",K4=""),"",IFERROR(K46/K4,""))</f>
        <v/>
      </c>
      <c r="L47" s="15">
        <f>IF(OR(L46="",L4=""),"",IFERROR(L46/L4,""))</f>
        <v/>
      </c>
      <c r="M47" s="15">
        <f>IF(OR(M46="",M4=""),"",IFERROR(M46/M4,""))</f>
        <v/>
      </c>
      <c r="N47" s="15">
        <f>IF(OR(N46="",N4=""),"",IFERROR(N46/N4,""))</f>
        <v/>
      </c>
      <c r="O47" s="14">
        <f>IF(OR(O46="",O4=""),"",IFERROR(O46/O4,""))</f>
        <v/>
      </c>
      <c r="P47" s="15">
        <f>IF(OR(P46="",P4=""),"",IFERROR(P46/P4,""))</f>
        <v/>
      </c>
      <c r="Q47" s="15">
        <f>IF(OR(Q46="",Q4=""),"",IFERROR(Q46/Q4,""))</f>
        <v/>
      </c>
      <c r="R47" s="15">
        <f>IF(OR(R46="",R4=""),"",IFERROR(R46/R4,""))</f>
        <v/>
      </c>
      <c r="S47" s="15">
        <f>IF(OR(S46="",S4=""),"",IFERROR(S46/S4,""))</f>
        <v/>
      </c>
      <c r="T47" s="15">
        <f>IF(OR(T46="",T4=""),"",IFERROR(T46/T4,""))</f>
        <v/>
      </c>
      <c r="U47" s="15">
        <f>IF(OR(U46="",U4=""),"",IFERROR(U46/U4,""))</f>
        <v/>
      </c>
      <c r="V47" s="15">
        <f>IF(OR(V46="",V4=""),"",IFERROR(V46/V4,""))</f>
        <v/>
      </c>
      <c r="W47" s="15">
        <f>IF(OR(W46="",W4=""),"",IFERROR(W46/W4,""))</f>
        <v/>
      </c>
      <c r="X47" s="15">
        <f>IF(OR(X46="",X4=""),"",IFERROR(X46/X4,""))</f>
        <v/>
      </c>
      <c r="Y47" s="25">
        <f>IFERROR(AVERAGE(V47,W47,X47),"")</f>
        <v/>
      </c>
      <c r="Z47" s="26">
        <f>Y47</f>
        <v/>
      </c>
      <c r="AA47" s="26">
        <f>Z47</f>
        <v/>
      </c>
      <c r="AB47" s="26">
        <f>AA47</f>
        <v/>
      </c>
      <c r="AC47" s="26">
        <f>AB47</f>
        <v/>
      </c>
    </row>
    <row r="48">
      <c r="A48" s="18" t="inlineStr">
        <is>
          <t>금융수익</t>
        </is>
      </c>
      <c r="B48" s="10" t="n"/>
      <c r="C48" s="19" t="n"/>
      <c r="D48" s="20" t="n"/>
      <c r="E48" s="20" t="n"/>
      <c r="F48" s="20" t="n"/>
      <c r="G48" s="20" t="n"/>
      <c r="H48" s="20" t="n"/>
      <c r="I48" s="20" t="n"/>
      <c r="J48" s="20" t="n"/>
      <c r="K48" s="20" t="n"/>
      <c r="L48" s="20" t="n"/>
      <c r="M48" s="20" t="n"/>
      <c r="N48" s="20" t="n"/>
      <c r="O48" s="19" t="n">
        <v>2112</v>
      </c>
      <c r="P48" s="20" t="n">
        <v>2004</v>
      </c>
      <c r="Q48" s="20" t="n">
        <v>1743</v>
      </c>
      <c r="R48" s="20" t="n">
        <v>2068</v>
      </c>
      <c r="S48" s="20" t="n">
        <v>1841</v>
      </c>
      <c r="T48" s="20" t="n">
        <v>1971</v>
      </c>
      <c r="U48" s="20" t="n">
        <v>2218</v>
      </c>
      <c r="V48" s="20" t="n">
        <v>3472</v>
      </c>
      <c r="W48" s="20" t="n">
        <v>5057</v>
      </c>
      <c r="X48" s="20" t="n">
        <v>5173</v>
      </c>
      <c r="Y48" s="19">
        <f>IF(OR(Y4="",Y49=""),"",IFERROR(Y4*Y49,""))</f>
        <v/>
      </c>
      <c r="Z48" s="20">
        <f>IF(OR(Z4="",Z49=""),"",IFERROR(Z4*Z49,""))</f>
        <v/>
      </c>
      <c r="AA48" s="20">
        <f>IF(OR(AA4="",AA49=""),"",IFERROR(AA4*AA49,""))</f>
        <v/>
      </c>
      <c r="AB48" s="20">
        <f>IF(OR(AB4="",AB49=""),"",IFERROR(AB4*AB49,""))</f>
        <v/>
      </c>
      <c r="AC48" s="20">
        <f>IF(OR(AC4="",AC49=""),"",IFERROR(AC4*AC49,""))</f>
        <v/>
      </c>
    </row>
    <row r="49">
      <c r="A49" s="13" t="inlineStr">
        <is>
          <t>% of Sales</t>
        </is>
      </c>
      <c r="B49" s="10" t="n"/>
      <c r="C49" s="14">
        <f>IF(OR(C48="",C4=""),"",IFERROR(C48/C4,""))</f>
        <v/>
      </c>
      <c r="D49" s="15">
        <f>IF(OR(D48="",D4=""),"",IFERROR(D48/D4,""))</f>
        <v/>
      </c>
      <c r="E49" s="15">
        <f>IF(OR(E48="",E4=""),"",IFERROR(E48/E4,""))</f>
        <v/>
      </c>
      <c r="F49" s="15">
        <f>IF(OR(F48="",F4=""),"",IFERROR(F48/F4,""))</f>
        <v/>
      </c>
      <c r="G49" s="15">
        <f>IF(OR(G48="",G4=""),"",IFERROR(G48/G4,""))</f>
        <v/>
      </c>
      <c r="H49" s="15">
        <f>IF(OR(H48="",H4=""),"",IFERROR(H48/H4,""))</f>
        <v/>
      </c>
      <c r="I49" s="15">
        <f>IF(OR(I48="",I4=""),"",IFERROR(I48/I4,""))</f>
        <v/>
      </c>
      <c r="J49" s="15">
        <f>IF(OR(J48="",J4=""),"",IFERROR(J48/J4,""))</f>
        <v/>
      </c>
      <c r="K49" s="15">
        <f>IF(OR(K48="",K4=""),"",IFERROR(K48/K4,""))</f>
        <v/>
      </c>
      <c r="L49" s="15">
        <f>IF(OR(L48="",L4=""),"",IFERROR(L48/L4,""))</f>
        <v/>
      </c>
      <c r="M49" s="15">
        <f>IF(OR(M48="",M4=""),"",IFERROR(M48/M4,""))</f>
        <v/>
      </c>
      <c r="N49" s="15">
        <f>IF(OR(N48="",N4=""),"",IFERROR(N48/N4,""))</f>
        <v/>
      </c>
      <c r="O49" s="14">
        <f>IF(OR(O48="",O4=""),"",IFERROR(O48/O4,""))</f>
        <v/>
      </c>
      <c r="P49" s="15">
        <f>IF(OR(P48="",P4=""),"",IFERROR(P48/P4,""))</f>
        <v/>
      </c>
      <c r="Q49" s="15">
        <f>IF(OR(Q48="",Q4=""),"",IFERROR(Q48/Q4,""))</f>
        <v/>
      </c>
      <c r="R49" s="15">
        <f>IF(OR(R48="",R4=""),"",IFERROR(R48/R4,""))</f>
        <v/>
      </c>
      <c r="S49" s="15">
        <f>IF(OR(S48="",S4=""),"",IFERROR(S48/S4,""))</f>
        <v/>
      </c>
      <c r="T49" s="15">
        <f>IF(OR(T48="",T4=""),"",IFERROR(T48/T4,""))</f>
        <v/>
      </c>
      <c r="U49" s="15">
        <f>IF(OR(U48="",U4=""),"",IFERROR(U48/U4,""))</f>
        <v/>
      </c>
      <c r="V49" s="15">
        <f>IF(OR(V48="",V4=""),"",IFERROR(V48/V4,""))</f>
        <v/>
      </c>
      <c r="W49" s="15">
        <f>IF(OR(W48="",W4=""),"",IFERROR(W48/W4,""))</f>
        <v/>
      </c>
      <c r="X49" s="15">
        <f>IF(OR(X48="",X4=""),"",IFERROR(X48/X4,""))</f>
        <v/>
      </c>
      <c r="Y49" s="25">
        <f>IFERROR(AVERAGE(V49,W49,X49),"")</f>
        <v/>
      </c>
      <c r="Z49" s="26">
        <f>Y49</f>
        <v/>
      </c>
      <c r="AA49" s="26">
        <f>Z49</f>
        <v/>
      </c>
      <c r="AB49" s="26">
        <f>AA49</f>
        <v/>
      </c>
      <c r="AC49" s="26">
        <f>AB49</f>
        <v/>
      </c>
    </row>
    <row r="50">
      <c r="A50" s="18" t="inlineStr">
        <is>
          <t>금융원가</t>
        </is>
      </c>
      <c r="B50" s="10" t="n"/>
      <c r="C50" s="19" t="n"/>
      <c r="D50" s="20" t="n"/>
      <c r="E50" s="20" t="n"/>
      <c r="F50" s="20" t="n"/>
      <c r="G50" s="20" t="n"/>
      <c r="H50" s="20" t="n"/>
      <c r="I50" s="20" t="n"/>
      <c r="J50" s="20" t="n"/>
      <c r="K50" s="20" t="n"/>
      <c r="L50" s="20" t="n"/>
      <c r="M50" s="20" t="n"/>
      <c r="N50" s="20" t="n"/>
      <c r="O50" s="19" t="n">
        <v>272</v>
      </c>
      <c r="P50" s="20" t="n">
        <v>981</v>
      </c>
      <c r="Q50" s="20" t="n">
        <v>776</v>
      </c>
      <c r="R50" s="20" t="n">
        <v>718</v>
      </c>
      <c r="S50" s="20" t="n">
        <v>11514</v>
      </c>
      <c r="T50" s="20" t="n">
        <v>3518</v>
      </c>
      <c r="U50" s="20" t="n">
        <v>5551</v>
      </c>
      <c r="V50" s="20" t="n">
        <v>6658</v>
      </c>
      <c r="W50" s="20" t="n">
        <v>5803</v>
      </c>
      <c r="X50" s="20" t="n">
        <v>4595</v>
      </c>
      <c r="Y50" s="19">
        <f>IF(OR(Y4="",Y51=""),"",IFERROR(Y4*Y51,""))</f>
        <v/>
      </c>
      <c r="Z50" s="20">
        <f>IF(OR(Z4="",Z51=""),"",IFERROR(Z4*Z51,""))</f>
        <v/>
      </c>
      <c r="AA50" s="20">
        <f>IF(OR(AA4="",AA51=""),"",IFERROR(AA4*AA51,""))</f>
        <v/>
      </c>
      <c r="AB50" s="20">
        <f>IF(OR(AB4="",AB51=""),"",IFERROR(AB4*AB51,""))</f>
        <v/>
      </c>
      <c r="AC50" s="20">
        <f>IF(OR(AC4="",AC51=""),"",IFERROR(AC4*AC51,""))</f>
        <v/>
      </c>
    </row>
    <row r="51">
      <c r="A51" s="13" t="inlineStr">
        <is>
          <t>% of Sales</t>
        </is>
      </c>
      <c r="B51" s="10" t="n"/>
      <c r="C51" s="14">
        <f>IF(OR(C50="",C4=""),"",IFERROR(C50/C4,""))</f>
        <v/>
      </c>
      <c r="D51" s="15">
        <f>IF(OR(D50="",D4=""),"",IFERROR(D50/D4,""))</f>
        <v/>
      </c>
      <c r="E51" s="15">
        <f>IF(OR(E50="",E4=""),"",IFERROR(E50/E4,""))</f>
        <v/>
      </c>
      <c r="F51" s="15">
        <f>IF(OR(F50="",F4=""),"",IFERROR(F50/F4,""))</f>
        <v/>
      </c>
      <c r="G51" s="15">
        <f>IF(OR(G50="",G4=""),"",IFERROR(G50/G4,""))</f>
        <v/>
      </c>
      <c r="H51" s="15">
        <f>IF(OR(H50="",H4=""),"",IFERROR(H50/H4,""))</f>
        <v/>
      </c>
      <c r="I51" s="15">
        <f>IF(OR(I50="",I4=""),"",IFERROR(I50/I4,""))</f>
        <v/>
      </c>
      <c r="J51" s="15">
        <f>IF(OR(J50="",J4=""),"",IFERROR(J50/J4,""))</f>
        <v/>
      </c>
      <c r="K51" s="15">
        <f>IF(OR(K50="",K4=""),"",IFERROR(K50/K4,""))</f>
        <v/>
      </c>
      <c r="L51" s="15">
        <f>IF(OR(L50="",L4=""),"",IFERROR(L50/L4,""))</f>
        <v/>
      </c>
      <c r="M51" s="15">
        <f>IF(OR(M50="",M4=""),"",IFERROR(M50/M4,""))</f>
        <v/>
      </c>
      <c r="N51" s="15">
        <f>IF(OR(N50="",N4=""),"",IFERROR(N50/N4,""))</f>
        <v/>
      </c>
      <c r="O51" s="14">
        <f>IF(OR(O50="",O4=""),"",IFERROR(O50/O4,""))</f>
        <v/>
      </c>
      <c r="P51" s="15">
        <f>IF(OR(P50="",P4=""),"",IFERROR(P50/P4,""))</f>
        <v/>
      </c>
      <c r="Q51" s="15">
        <f>IF(OR(Q50="",Q4=""),"",IFERROR(Q50/Q4,""))</f>
        <v/>
      </c>
      <c r="R51" s="15">
        <f>IF(OR(R50="",R4=""),"",IFERROR(R50/R4,""))</f>
        <v/>
      </c>
      <c r="S51" s="15">
        <f>IF(OR(S50="",S4=""),"",IFERROR(S50/S4,""))</f>
        <v/>
      </c>
      <c r="T51" s="15">
        <f>IF(OR(T50="",T4=""),"",IFERROR(T50/T4,""))</f>
        <v/>
      </c>
      <c r="U51" s="15">
        <f>IF(OR(U50="",U4=""),"",IFERROR(U50/U4,""))</f>
        <v/>
      </c>
      <c r="V51" s="15">
        <f>IF(OR(V50="",V4=""),"",IFERROR(V50/V4,""))</f>
        <v/>
      </c>
      <c r="W51" s="15">
        <f>IF(OR(W50="",W4=""),"",IFERROR(W50/W4,""))</f>
        <v/>
      </c>
      <c r="X51" s="15">
        <f>IF(OR(X50="",X4=""),"",IFERROR(X50/X4,""))</f>
        <v/>
      </c>
      <c r="Y51" s="25">
        <f>IFERROR(AVERAGE(V51,W51,X51),"")</f>
        <v/>
      </c>
      <c r="Z51" s="26">
        <f>Y51</f>
        <v/>
      </c>
      <c r="AA51" s="26">
        <f>Z51</f>
        <v/>
      </c>
      <c r="AB51" s="26">
        <f>AA51</f>
        <v/>
      </c>
      <c r="AC51" s="26">
        <f>AB51</f>
        <v/>
      </c>
    </row>
    <row r="52">
      <c r="A52" s="9" t="inlineStr">
        <is>
          <t>법인세비용차감전순이익(손실)</t>
        </is>
      </c>
      <c r="B52" s="10" t="n"/>
      <c r="C52" s="11" t="n"/>
      <c r="D52" s="12" t="n"/>
      <c r="E52" s="12" t="n"/>
      <c r="F52" s="12" t="n"/>
      <c r="G52" s="12" t="n"/>
      <c r="H52" s="12" t="n"/>
      <c r="I52" s="12" t="n"/>
      <c r="J52" s="12" t="n"/>
      <c r="K52" s="12" t="n"/>
      <c r="L52" s="12" t="n"/>
      <c r="M52" s="12" t="n"/>
      <c r="N52" s="12" t="n"/>
      <c r="O52" s="11" t="n">
        <v>64992</v>
      </c>
      <c r="P52" s="12" t="n">
        <v>82527</v>
      </c>
      <c r="Q52" s="12" t="n">
        <v>76749</v>
      </c>
      <c r="R52" s="12" t="n">
        <v>102496</v>
      </c>
      <c r="S52" s="12" t="n">
        <v>71075</v>
      </c>
      <c r="T52" s="12" t="n">
        <v>104671</v>
      </c>
      <c r="U52" s="12" t="n">
        <v>108499</v>
      </c>
      <c r="V52" s="12" t="n">
        <v>117224</v>
      </c>
      <c r="W52" s="12" t="n">
        <v>134161</v>
      </c>
      <c r="X52" s="12" t="n">
        <v>58851</v>
      </c>
      <c r="Y52" s="11">
        <f>IF(OR(Y28=""),"",IFERROR(Y28+N(Y44)-N(Y46)+N(Y48)-N(Y50),""))</f>
        <v/>
      </c>
      <c r="Z52" s="12">
        <f>IF(OR(Z28=""),"",IFERROR(Z28+N(Z44)-N(Z46)+N(Z48)-N(Z50),""))</f>
        <v/>
      </c>
      <c r="AA52" s="12">
        <f>IF(OR(AA28=""),"",IFERROR(AA28+N(AA44)-N(AA46)+N(AA48)-N(AA50),""))</f>
        <v/>
      </c>
      <c r="AB52" s="12">
        <f>IF(OR(AB28=""),"",IFERROR(AB28+N(AB44)-N(AB46)+N(AB48)-N(AB50),""))</f>
        <v/>
      </c>
      <c r="AC52" s="12">
        <f>IF(OR(AC28=""),"",IFERROR(AC28+N(AC44)-N(AC46)+N(AC48)-N(AC50),""))</f>
        <v/>
      </c>
    </row>
    <row r="53">
      <c r="A53" s="13" t="inlineStr">
        <is>
          <t>YoY</t>
        </is>
      </c>
      <c r="B53" s="10" t="n"/>
      <c r="C53" s="14" t="n"/>
      <c r="D53" s="15" t="n"/>
      <c r="E53" s="15" t="n"/>
      <c r="F53" s="15" t="n"/>
      <c r="G53" s="15">
        <f>IF(OR(G52="",C52=""),"",IF(C52&lt;=0,"",IFERROR(G52/C52-1,"")))</f>
        <v/>
      </c>
      <c r="H53" s="15">
        <f>IF(OR(H52="",D52=""),"",IF(D52&lt;=0,"",IFERROR(H52/D52-1,"")))</f>
        <v/>
      </c>
      <c r="I53" s="15">
        <f>IF(OR(I52="",E52=""),"",IF(E52&lt;=0,"",IFERROR(I52/E52-1,"")))</f>
        <v/>
      </c>
      <c r="J53" s="15">
        <f>IF(OR(J52="",F52=""),"",IF(F52&lt;=0,"",IFERROR(J52/F52-1,"")))</f>
        <v/>
      </c>
      <c r="K53" s="15">
        <f>IF(OR(K52="",G52=""),"",IF(G52&lt;=0,"",IFERROR(K52/G52-1,"")))</f>
        <v/>
      </c>
      <c r="L53" s="15">
        <f>IF(OR(L52="",H52=""),"",IF(H52&lt;=0,"",IFERROR(L52/H52-1,"")))</f>
        <v/>
      </c>
      <c r="M53" s="15">
        <f>IF(OR(M52="",I52=""),"",IF(I52&lt;=0,"",IFERROR(M52/I52-1,"")))</f>
        <v/>
      </c>
      <c r="N53" s="15">
        <f>IF(OR(N52="",J52=""),"",IF(J52&lt;=0,"",IFERROR(N52/J52-1,"")))</f>
        <v/>
      </c>
      <c r="O53" s="14" t="n"/>
      <c r="P53" s="15">
        <f>IF(OR(P52="",O52=""),"",IF(O52&lt;=0,"",IFERROR(P52/O52-1,"")))</f>
        <v/>
      </c>
      <c r="Q53" s="15">
        <f>IF(OR(Q52="",P52=""),"",IF(P52&lt;=0,"",IFERROR(Q52/P52-1,"")))</f>
        <v/>
      </c>
      <c r="R53" s="15">
        <f>IF(OR(R52="",Q52=""),"",IF(Q52&lt;=0,"",IFERROR(R52/Q52-1,"")))</f>
        <v/>
      </c>
      <c r="S53" s="15">
        <f>IF(OR(S52="",R52=""),"",IF(R52&lt;=0,"",IFERROR(S52/R52-1,"")))</f>
        <v/>
      </c>
      <c r="T53" s="15">
        <f>IF(OR(T52="",S52=""),"",IF(S52&lt;=0,"",IFERROR(T52/S52-1,"")))</f>
        <v/>
      </c>
      <c r="U53" s="15">
        <f>IF(OR(U52="",T52=""),"",IF(T52&lt;=0,"",IFERROR(U52/T52-1,"")))</f>
        <v/>
      </c>
      <c r="V53" s="15">
        <f>IF(OR(V52="",U52=""),"",IF(U52&lt;=0,"",IFERROR(V52/U52-1,"")))</f>
        <v/>
      </c>
      <c r="W53" s="15">
        <f>IF(OR(W52="",V52=""),"",IF(V52&lt;=0,"",IFERROR(W52/V52-1,"")))</f>
        <v/>
      </c>
      <c r="X53" s="15">
        <f>IF(OR(X52="",W52=""),"",IF(W52&lt;=0,"",IFERROR(X52/W52-1,"")))</f>
        <v/>
      </c>
      <c r="Y53" s="14">
        <f>IF(OR(Y52="",X52=""),"",IF(X52&lt;=0,"",IFERROR(Y52/X52-1,"")))</f>
        <v/>
      </c>
      <c r="Z53" s="15">
        <f>IF(OR(Z52="",Y52=""),"",IF(Y52&lt;=0,"",IFERROR(Z52/Y52-1,"")))</f>
        <v/>
      </c>
      <c r="AA53" s="15">
        <f>IF(OR(AA52="",Z52=""),"",IF(Z52&lt;=0,"",IFERROR(AA52/Z52-1,"")))</f>
        <v/>
      </c>
      <c r="AB53" s="15">
        <f>IF(OR(AB52="",AA52=""),"",IF(AA52&lt;=0,"",IFERROR(AB52/AA52-1,"")))</f>
        <v/>
      </c>
      <c r="AC53" s="15">
        <f>IF(OR(AC52="",AB52=""),"",IF(AB52&lt;=0,"",IFERROR(AC52/AB52-1,"")))</f>
        <v/>
      </c>
    </row>
    <row r="54">
      <c r="A54" s="18" t="inlineStr">
        <is>
          <t>법인세비용(수익)</t>
        </is>
      </c>
      <c r="B54" s="10" t="n"/>
      <c r="C54" s="19" t="n"/>
      <c r="D54" s="20" t="n"/>
      <c r="E54" s="20" t="n"/>
      <c r="F54" s="20" t="n"/>
      <c r="G54" s="20" t="n"/>
      <c r="H54" s="20" t="n"/>
      <c r="I54" s="20" t="n"/>
      <c r="J54" s="20" t="n"/>
      <c r="K54" s="20" t="n"/>
      <c r="L54" s="20" t="n"/>
      <c r="M54" s="20" t="n"/>
      <c r="N54" s="20" t="n"/>
      <c r="O54" s="19" t="n">
        <v>21042</v>
      </c>
      <c r="P54" s="20" t="n">
        <v>26356</v>
      </c>
      <c r="Q54" s="20" t="n">
        <v>25213</v>
      </c>
      <c r="R54" s="20" t="n">
        <v>32288</v>
      </c>
      <c r="S54" s="20" t="n">
        <v>18497</v>
      </c>
      <c r="T54" s="20" t="n">
        <v>32878</v>
      </c>
      <c r="U54" s="20" t="n">
        <v>32002</v>
      </c>
      <c r="V54" s="20" t="n">
        <v>37062</v>
      </c>
      <c r="W54" s="20" t="n">
        <v>39778</v>
      </c>
      <c r="X54" s="20" t="n">
        <v>43067</v>
      </c>
      <c r="Y54" s="19">
        <f>IF(OR(Y52="",Y55=""),"",IFERROR(MAX(Y52,0)*Y55,""))</f>
        <v/>
      </c>
      <c r="Z54" s="20">
        <f>IF(OR(Z52="",Z55=""),"",IFERROR(MAX(Z52,0)*Z55,""))</f>
        <v/>
      </c>
      <c r="AA54" s="20">
        <f>IF(OR(AA52="",AA55=""),"",IFERROR(MAX(AA52,0)*AA55,""))</f>
        <v/>
      </c>
      <c r="AB54" s="20">
        <f>IF(OR(AB52="",AB55=""),"",IFERROR(MAX(AB52,0)*AB55,""))</f>
        <v/>
      </c>
      <c r="AC54" s="20">
        <f>IF(OR(AC52="",AC55=""),"",IFERROR(MAX(AC52,0)*AC55,""))</f>
        <v/>
      </c>
    </row>
    <row r="55">
      <c r="A55" s="13" t="inlineStr">
        <is>
          <t>법인세율</t>
        </is>
      </c>
      <c r="B55" s="10" t="inlineStr">
        <is>
          <t>MW 기본 30%</t>
        </is>
      </c>
      <c r="C55" s="14">
        <f>IF(OR(C54="",C52=""),"",IFERROR(C54/C52,""))</f>
        <v/>
      </c>
      <c r="D55" s="15">
        <f>IF(OR(D54="",D52=""),"",IFERROR(D54/D52,""))</f>
        <v/>
      </c>
      <c r="E55" s="15">
        <f>IF(OR(E54="",E52=""),"",IFERROR(E54/E52,""))</f>
        <v/>
      </c>
      <c r="F55" s="15">
        <f>IF(OR(F54="",F52=""),"",IFERROR(F54/F52,""))</f>
        <v/>
      </c>
      <c r="G55" s="15">
        <f>IF(OR(G54="",G52=""),"",IFERROR(G54/G52,""))</f>
        <v/>
      </c>
      <c r="H55" s="15">
        <f>IF(OR(H54="",H52=""),"",IFERROR(H54/H52,""))</f>
        <v/>
      </c>
      <c r="I55" s="15">
        <f>IF(OR(I54="",I52=""),"",IFERROR(I54/I52,""))</f>
        <v/>
      </c>
      <c r="J55" s="15">
        <f>IF(OR(J54="",J52=""),"",IFERROR(J54/J52,""))</f>
        <v/>
      </c>
      <c r="K55" s="15">
        <f>IF(OR(K54="",K52=""),"",IFERROR(K54/K52,""))</f>
        <v/>
      </c>
      <c r="L55" s="15">
        <f>IF(OR(L54="",L52=""),"",IFERROR(L54/L52,""))</f>
        <v/>
      </c>
      <c r="M55" s="15">
        <f>IF(OR(M54="",M52=""),"",IFERROR(M54/M52,""))</f>
        <v/>
      </c>
      <c r="N55" s="15">
        <f>IF(OR(N54="",N52=""),"",IFERROR(N54/N52,""))</f>
        <v/>
      </c>
      <c r="O55" s="14">
        <f>IF(OR(O54="",O52=""),"",IFERROR(O54/O52,""))</f>
        <v/>
      </c>
      <c r="P55" s="15">
        <f>IF(OR(P54="",P52=""),"",IFERROR(P54/P52,""))</f>
        <v/>
      </c>
      <c r="Q55" s="15">
        <f>IF(OR(Q54="",Q52=""),"",IFERROR(Q54/Q52,""))</f>
        <v/>
      </c>
      <c r="R55" s="15">
        <f>IF(OR(R54="",R52=""),"",IFERROR(R54/R52,""))</f>
        <v/>
      </c>
      <c r="S55" s="15">
        <f>IF(OR(S54="",S52=""),"",IFERROR(S54/S52,""))</f>
        <v/>
      </c>
      <c r="T55" s="15">
        <f>IF(OR(T54="",T52=""),"",IFERROR(T54/T52,""))</f>
        <v/>
      </c>
      <c r="U55" s="15">
        <f>IF(OR(U54="",U52=""),"",IFERROR(U54/U52,""))</f>
        <v/>
      </c>
      <c r="V55" s="15">
        <f>IF(OR(V54="",V52=""),"",IFERROR(V54/V52,""))</f>
        <v/>
      </c>
      <c r="W55" s="15">
        <f>IF(OR(W54="",W52=""),"",IFERROR(W54/W52,""))</f>
        <v/>
      </c>
      <c r="X55" s="15">
        <f>IF(OR(X54="",X52=""),"",IFERROR(X54/X52,""))</f>
        <v/>
      </c>
      <c r="Y55" s="25" t="n">
        <v>0.3</v>
      </c>
      <c r="Z55" s="26" t="n">
        <v>0.3</v>
      </c>
      <c r="AA55" s="26" t="n">
        <v>0.3</v>
      </c>
      <c r="AB55" s="26" t="n">
        <v>0.3</v>
      </c>
      <c r="AC55" s="26" t="n">
        <v>0.3</v>
      </c>
    </row>
    <row r="56">
      <c r="A56" s="9" t="inlineStr">
        <is>
          <t>당기순이익(손실)</t>
        </is>
      </c>
      <c r="B56" s="10" t="n"/>
      <c r="C56" s="11" t="n"/>
      <c r="D56" s="12" t="n"/>
      <c r="E56" s="12" t="n"/>
      <c r="F56" s="12" t="n"/>
      <c r="G56" s="12" t="n"/>
      <c r="H56" s="12" t="n"/>
      <c r="I56" s="12" t="n"/>
      <c r="J56" s="12" t="n"/>
      <c r="K56" s="12" t="n"/>
      <c r="L56" s="12" t="n"/>
      <c r="M56" s="12" t="n"/>
      <c r="N56" s="12" t="n"/>
      <c r="O56" s="11" t="n">
        <v>43950</v>
      </c>
      <c r="P56" s="12" t="n">
        <v>56171</v>
      </c>
      <c r="Q56" s="12" t="n">
        <v>51535</v>
      </c>
      <c r="R56" s="12" t="n">
        <v>70208</v>
      </c>
      <c r="S56" s="12" t="n">
        <v>52578</v>
      </c>
      <c r="T56" s="12" t="n">
        <v>71792</v>
      </c>
      <c r="U56" s="12" t="n">
        <v>76496</v>
      </c>
      <c r="V56" s="12" t="n">
        <v>80162</v>
      </c>
      <c r="W56" s="12" t="n">
        <v>94382</v>
      </c>
      <c r="X56" s="12" t="n">
        <v>15783</v>
      </c>
      <c r="Y56" s="11">
        <f>IF(OR(Y52=""),"",IFERROR(Y52-Y54,""))</f>
        <v/>
      </c>
      <c r="Z56" s="12">
        <f>IF(OR(Z52=""),"",IFERROR(Z52-Z54,""))</f>
        <v/>
      </c>
      <c r="AA56" s="12">
        <f>IF(OR(AA52=""),"",IFERROR(AA52-AA54,""))</f>
        <v/>
      </c>
      <c r="AB56" s="12">
        <f>IF(OR(AB52=""),"",IFERROR(AB52-AB54,""))</f>
        <v/>
      </c>
      <c r="AC56" s="12">
        <f>IF(OR(AC52=""),"",IFERROR(AC52-AC54,""))</f>
        <v/>
      </c>
    </row>
    <row r="57">
      <c r="A57" s="13" t="inlineStr">
        <is>
          <t>YoY</t>
        </is>
      </c>
      <c r="B57" s="10" t="n"/>
      <c r="C57" s="14" t="n"/>
      <c r="D57" s="15" t="n"/>
      <c r="E57" s="15" t="n"/>
      <c r="F57" s="15" t="n"/>
      <c r="G57" s="15">
        <f>IF(OR(G56="",C56=""),"",IF(C56&lt;=0,"",IFERROR(G56/C56-1,"")))</f>
        <v/>
      </c>
      <c r="H57" s="15">
        <f>IF(OR(H56="",D56=""),"",IF(D56&lt;=0,"",IFERROR(H56/D56-1,"")))</f>
        <v/>
      </c>
      <c r="I57" s="15">
        <f>IF(OR(I56="",E56=""),"",IF(E56&lt;=0,"",IFERROR(I56/E56-1,"")))</f>
        <v/>
      </c>
      <c r="J57" s="15">
        <f>IF(OR(J56="",F56=""),"",IF(F56&lt;=0,"",IFERROR(J56/F56-1,"")))</f>
        <v/>
      </c>
      <c r="K57" s="15">
        <f>IF(OR(K56="",G56=""),"",IF(G56&lt;=0,"",IFERROR(K56/G56-1,"")))</f>
        <v/>
      </c>
      <c r="L57" s="15">
        <f>IF(OR(L56="",H56=""),"",IF(H56&lt;=0,"",IFERROR(L56/H56-1,"")))</f>
        <v/>
      </c>
      <c r="M57" s="15">
        <f>IF(OR(M56="",I56=""),"",IF(I56&lt;=0,"",IFERROR(M56/I56-1,"")))</f>
        <v/>
      </c>
      <c r="N57" s="15">
        <f>IF(OR(N56="",J56=""),"",IF(J56&lt;=0,"",IFERROR(N56/J56-1,"")))</f>
        <v/>
      </c>
      <c r="O57" s="14" t="n"/>
      <c r="P57" s="15">
        <f>IF(OR(P56="",O56=""),"",IF(O56&lt;=0,"",IFERROR(P56/O56-1,"")))</f>
        <v/>
      </c>
      <c r="Q57" s="15">
        <f>IF(OR(Q56="",P56=""),"",IF(P56&lt;=0,"",IFERROR(Q56/P56-1,"")))</f>
        <v/>
      </c>
      <c r="R57" s="15">
        <f>IF(OR(R56="",Q56=""),"",IF(Q56&lt;=0,"",IFERROR(R56/Q56-1,"")))</f>
        <v/>
      </c>
      <c r="S57" s="15">
        <f>IF(OR(S56="",R56=""),"",IF(R56&lt;=0,"",IFERROR(S56/R56-1,"")))</f>
        <v/>
      </c>
      <c r="T57" s="15">
        <f>IF(OR(T56="",S56=""),"",IF(S56&lt;=0,"",IFERROR(T56/S56-1,"")))</f>
        <v/>
      </c>
      <c r="U57" s="15">
        <f>IF(OR(U56="",T56=""),"",IF(T56&lt;=0,"",IFERROR(U56/T56-1,"")))</f>
        <v/>
      </c>
      <c r="V57" s="15">
        <f>IF(OR(V56="",U56=""),"",IF(U56&lt;=0,"",IFERROR(V56/U56-1,"")))</f>
        <v/>
      </c>
      <c r="W57" s="15">
        <f>IF(OR(W56="",V56=""),"",IF(V56&lt;=0,"",IFERROR(W56/V56-1,"")))</f>
        <v/>
      </c>
      <c r="X57" s="15">
        <f>IF(OR(X56="",W56=""),"",IF(W56&lt;=0,"",IFERROR(X56/W56-1,"")))</f>
        <v/>
      </c>
      <c r="Y57" s="14">
        <f>IF(OR(Y56="",X56=""),"",IF(X56&lt;=0,"",IFERROR(Y56/X56-1,"")))</f>
        <v/>
      </c>
      <c r="Z57" s="15">
        <f>IF(OR(Z56="",Y56=""),"",IF(Y56&lt;=0,"",IFERROR(Z56/Y56-1,"")))</f>
        <v/>
      </c>
      <c r="AA57" s="15">
        <f>IF(OR(AA56="",Z56=""),"",IF(Z56&lt;=0,"",IFERROR(AA56/Z56-1,"")))</f>
        <v/>
      </c>
      <c r="AB57" s="15">
        <f>IF(OR(AB56="",AA56=""),"",IF(AA56&lt;=0,"",IFERROR(AB56/AA56-1,"")))</f>
        <v/>
      </c>
      <c r="AC57" s="15">
        <f>IF(OR(AC56="",AB56=""),"",IF(AB56&lt;=0,"",IFERROR(AC56/AB56-1,"")))</f>
        <v/>
      </c>
    </row>
    <row r="58">
      <c r="A58" s="9" t="inlineStr">
        <is>
          <t>지배주주 순이익</t>
        </is>
      </c>
      <c r="B58" s="10" t="n"/>
      <c r="C58" s="11" t="n"/>
      <c r="D58" s="12" t="n"/>
      <c r="E58" s="12" t="n"/>
      <c r="F58" s="12" t="n"/>
      <c r="G58" s="12" t="n"/>
      <c r="H58" s="12" t="n"/>
      <c r="I58" s="12" t="n"/>
      <c r="J58" s="12" t="n"/>
      <c r="K58" s="12" t="n"/>
      <c r="L58" s="12" t="n"/>
      <c r="M58" s="12" t="n"/>
      <c r="N58" s="12" t="n"/>
      <c r="O58" s="11" t="n">
        <v>45064</v>
      </c>
      <c r="P58" s="12" t="n">
        <v>55145</v>
      </c>
      <c r="Q58" s="12" t="n">
        <v>50931</v>
      </c>
      <c r="R58" s="12" t="n">
        <v>69276</v>
      </c>
      <c r="S58" s="12" t="n">
        <v>52867</v>
      </c>
      <c r="T58" s="12" t="n">
        <v>71445</v>
      </c>
      <c r="U58" s="12" t="n">
        <v>76307</v>
      </c>
      <c r="V58" s="12" t="n">
        <v>79643</v>
      </c>
      <c r="W58" s="12" t="n">
        <v>93762</v>
      </c>
      <c r="X58" s="12" t="n">
        <v>15257</v>
      </c>
      <c r="Y58" s="11">
        <f>IF(OR(Y56="",Y59=""),"",IFERROR(Y56*Y59,""))</f>
        <v/>
      </c>
      <c r="Z58" s="12">
        <f>IF(OR(Z56="",Z59=""),"",IFERROR(Z56*Z59,""))</f>
        <v/>
      </c>
      <c r="AA58" s="12">
        <f>IF(OR(AA56="",AA59=""),"",IFERROR(AA56*AA59,""))</f>
        <v/>
      </c>
      <c r="AB58" s="12">
        <f>IF(OR(AB56="",AB59=""),"",IFERROR(AB56*AB59,""))</f>
        <v/>
      </c>
      <c r="AC58" s="12">
        <f>IF(OR(AC56="",AC59=""),"",IFERROR(AC56*AC59,""))</f>
        <v/>
      </c>
    </row>
    <row r="59">
      <c r="A59" s="13" t="inlineStr">
        <is>
          <t>지배주주 순이익률</t>
        </is>
      </c>
      <c r="B59" s="10" t="inlineStr">
        <is>
          <t>MW 기본 100%</t>
        </is>
      </c>
      <c r="C59" s="14">
        <f>IF(OR(C58="",C56=""),"",IFERROR(C58/C56,""))</f>
        <v/>
      </c>
      <c r="D59" s="15">
        <f>IF(OR(D58="",D56=""),"",IFERROR(D58/D56,""))</f>
        <v/>
      </c>
      <c r="E59" s="15">
        <f>IF(OR(E58="",E56=""),"",IFERROR(E58/E56,""))</f>
        <v/>
      </c>
      <c r="F59" s="15">
        <f>IF(OR(F58="",F56=""),"",IFERROR(F58/F56,""))</f>
        <v/>
      </c>
      <c r="G59" s="15">
        <f>IF(OR(G58="",G56=""),"",IFERROR(G58/G56,""))</f>
        <v/>
      </c>
      <c r="H59" s="15">
        <f>IF(OR(H58="",H56=""),"",IFERROR(H58/H56,""))</f>
        <v/>
      </c>
      <c r="I59" s="15">
        <f>IF(OR(I58="",I56=""),"",IFERROR(I58/I56,""))</f>
        <v/>
      </c>
      <c r="J59" s="15">
        <f>IF(OR(J58="",J56=""),"",IFERROR(J58/J56,""))</f>
        <v/>
      </c>
      <c r="K59" s="15">
        <f>IF(OR(K58="",K56=""),"",IFERROR(K58/K56,""))</f>
        <v/>
      </c>
      <c r="L59" s="15">
        <f>IF(OR(L58="",L56=""),"",IFERROR(L58/L56,""))</f>
        <v/>
      </c>
      <c r="M59" s="15">
        <f>IF(OR(M58="",M56=""),"",IFERROR(M58/M56,""))</f>
        <v/>
      </c>
      <c r="N59" s="15">
        <f>IF(OR(N58="",N56=""),"",IFERROR(N58/N56,""))</f>
        <v/>
      </c>
      <c r="O59" s="14">
        <f>IF(OR(O58="",O56=""),"",IFERROR(O58/O56,""))</f>
        <v/>
      </c>
      <c r="P59" s="15">
        <f>IF(OR(P58="",P56=""),"",IFERROR(P58/P56,""))</f>
        <v/>
      </c>
      <c r="Q59" s="15">
        <f>IF(OR(Q58="",Q56=""),"",IFERROR(Q58/Q56,""))</f>
        <v/>
      </c>
      <c r="R59" s="15">
        <f>IF(OR(R58="",R56=""),"",IFERROR(R58/R56,""))</f>
        <v/>
      </c>
      <c r="S59" s="15">
        <f>IF(OR(S58="",S56=""),"",IFERROR(S58/S56,""))</f>
        <v/>
      </c>
      <c r="T59" s="15">
        <f>IF(OR(T58="",T56=""),"",IFERROR(T58/T56,""))</f>
        <v/>
      </c>
      <c r="U59" s="15">
        <f>IF(OR(U58="",U56=""),"",IFERROR(U58/U56,""))</f>
        <v/>
      </c>
      <c r="V59" s="15">
        <f>IF(OR(V58="",V56=""),"",IFERROR(V58/V56,""))</f>
        <v/>
      </c>
      <c r="W59" s="15">
        <f>IF(OR(W58="",W56=""),"",IFERROR(W58/W56,""))</f>
        <v/>
      </c>
      <c r="X59" s="15">
        <f>IF(OR(X58="",X56=""),"",IFERROR(X58/X56,""))</f>
        <v/>
      </c>
      <c r="Y59" s="25" t="n">
        <v>1</v>
      </c>
      <c r="Z59" s="26" t="n">
        <v>1</v>
      </c>
      <c r="AA59" s="26" t="n">
        <v>1</v>
      </c>
      <c r="AB59" s="26" t="n">
        <v>1</v>
      </c>
      <c r="AC59" s="26" t="n">
        <v>1</v>
      </c>
    </row>
    <row r="60">
      <c r="A60" s="13" t="inlineStr">
        <is>
          <t>지배주주 순이익 YoY</t>
        </is>
      </c>
      <c r="B60" s="10" t="n"/>
      <c r="C60" s="14" t="n"/>
      <c r="D60" s="15" t="n"/>
      <c r="E60" s="15" t="n"/>
      <c r="F60" s="15" t="n"/>
      <c r="G60" s="15">
        <f>IF(OR(G58="",C58=""),"",IF(C58&lt;=0,"",IFERROR(G58/C58-1,"")))</f>
        <v/>
      </c>
      <c r="H60" s="15">
        <f>IF(OR(H58="",D58=""),"",IF(D58&lt;=0,"",IFERROR(H58/D58-1,"")))</f>
        <v/>
      </c>
      <c r="I60" s="15">
        <f>IF(OR(I58="",E58=""),"",IF(E58&lt;=0,"",IFERROR(I58/E58-1,"")))</f>
        <v/>
      </c>
      <c r="J60" s="15">
        <f>IF(OR(J58="",F58=""),"",IF(F58&lt;=0,"",IFERROR(J58/F58-1,"")))</f>
        <v/>
      </c>
      <c r="K60" s="15">
        <f>IF(OR(K58="",G58=""),"",IF(G58&lt;=0,"",IFERROR(K58/G58-1,"")))</f>
        <v/>
      </c>
      <c r="L60" s="15">
        <f>IF(OR(L58="",H58=""),"",IF(H58&lt;=0,"",IFERROR(L58/H58-1,"")))</f>
        <v/>
      </c>
      <c r="M60" s="15">
        <f>IF(OR(M58="",I58=""),"",IF(I58&lt;=0,"",IFERROR(M58/I58-1,"")))</f>
        <v/>
      </c>
      <c r="N60" s="15">
        <f>IF(OR(N58="",J58=""),"",IF(J58&lt;=0,"",IFERROR(N58/J58-1,"")))</f>
        <v/>
      </c>
      <c r="O60" s="14" t="n"/>
      <c r="P60" s="15">
        <f>IF(OR(P58="",O58=""),"",IF(O58&lt;=0,"",IFERROR(P58/O58-1,"")))</f>
        <v/>
      </c>
      <c r="Q60" s="15">
        <f>IF(OR(Q58="",P58=""),"",IF(P58&lt;=0,"",IFERROR(Q58/P58-1,"")))</f>
        <v/>
      </c>
      <c r="R60" s="15">
        <f>IF(OR(R58="",Q58=""),"",IF(Q58&lt;=0,"",IFERROR(R58/Q58-1,"")))</f>
        <v/>
      </c>
      <c r="S60" s="15">
        <f>IF(OR(S58="",R58=""),"",IF(R58&lt;=0,"",IFERROR(S58/R58-1,"")))</f>
        <v/>
      </c>
      <c r="T60" s="15">
        <f>IF(OR(T58="",S58=""),"",IF(S58&lt;=0,"",IFERROR(T58/S58-1,"")))</f>
        <v/>
      </c>
      <c r="U60" s="15">
        <f>IF(OR(U58="",T58=""),"",IF(T58&lt;=0,"",IFERROR(U58/T58-1,"")))</f>
        <v/>
      </c>
      <c r="V60" s="15">
        <f>IF(OR(V58="",U58=""),"",IF(U58&lt;=0,"",IFERROR(V58/U58-1,"")))</f>
        <v/>
      </c>
      <c r="W60" s="15">
        <f>IF(OR(W58="",V58=""),"",IF(V58&lt;=0,"",IFERROR(W58/V58-1,"")))</f>
        <v/>
      </c>
      <c r="X60" s="15">
        <f>IF(OR(X58="",W58=""),"",IF(W58&lt;=0,"",IFERROR(X58/W58-1,"")))</f>
        <v/>
      </c>
      <c r="Y60" s="14">
        <f>IF(OR(Y58="",X58=""),"",IF(X58&lt;=0,"",IFERROR(Y58/X58-1,"")))</f>
        <v/>
      </c>
      <c r="Z60" s="15">
        <f>IF(OR(Z58="",Y58=""),"",IF(Y58&lt;=0,"",IFERROR(Z58/Y58-1,"")))</f>
        <v/>
      </c>
      <c r="AA60" s="15">
        <f>IF(OR(AA58="",Z58=""),"",IF(Z58&lt;=0,"",IFERROR(AA58/Z58-1,"")))</f>
        <v/>
      </c>
      <c r="AB60" s="15">
        <f>IF(OR(AB58="",AA58=""),"",IF(AA58&lt;=0,"",IFERROR(AB58/AA58-1,"")))</f>
        <v/>
      </c>
      <c r="AC60" s="15">
        <f>IF(OR(AC58="",AB58=""),"",IF(AB58&lt;=0,"",IFERROR(AC58/AB58-1,"")))</f>
        <v/>
      </c>
    </row>
    <row r="61">
      <c r="A61" s="16" t="inlineStr">
        <is>
          <t>목표주가 산출</t>
        </is>
      </c>
      <c r="B61" s="16" t="n"/>
      <c r="C61" s="17" t="n"/>
      <c r="D61" s="16" t="n"/>
      <c r="E61" s="16" t="n"/>
      <c r="F61" s="16" t="n"/>
      <c r="G61" s="16" t="n"/>
      <c r="H61" s="16" t="n"/>
      <c r="I61" s="16" t="n"/>
      <c r="J61" s="16" t="n"/>
      <c r="K61" s="16" t="n"/>
      <c r="L61" s="16" t="n"/>
      <c r="M61" s="16" t="n"/>
      <c r="N61" s="16" t="n"/>
      <c r="O61" s="17" t="n"/>
      <c r="P61" s="16" t="n"/>
      <c r="Q61" s="16" t="n"/>
      <c r="R61" s="16" t="n"/>
      <c r="S61" s="16" t="n"/>
      <c r="T61" s="16" t="n"/>
      <c r="U61" s="16" t="n"/>
      <c r="V61" s="16" t="n"/>
      <c r="W61" s="16" t="n"/>
      <c r="X61" s="16" t="n"/>
      <c r="Y61" s="17" t="n"/>
      <c r="Z61" s="16" t="n"/>
      <c r="AA61" s="16" t="n"/>
      <c r="AB61" s="16" t="n"/>
      <c r="AC61" s="16" t="n"/>
    </row>
    <row r="62">
      <c r="A62" s="18" t="inlineStr">
        <is>
          <t>현재 주가 (2026.10.28)</t>
        </is>
      </c>
      <c r="B62" s="27" t="n">
        <v>6137</v>
      </c>
      <c r="C62" s="28" t="n"/>
      <c r="D62" s="29" t="n"/>
      <c r="E62" s="29" t="n"/>
      <c r="F62" s="29" t="n"/>
      <c r="G62" s="29" t="n"/>
      <c r="H62" s="29" t="n"/>
      <c r="I62" s="29" t="n"/>
      <c r="J62" s="29" t="n"/>
      <c r="K62" s="29" t="n"/>
      <c r="L62" s="29" t="n"/>
      <c r="M62" s="29" t="n"/>
      <c r="N62" s="29" t="n"/>
      <c r="O62" s="28" t="n"/>
      <c r="P62" s="29" t="n"/>
      <c r="Q62" s="29" t="n"/>
      <c r="R62" s="29" t="n"/>
      <c r="S62" s="29" t="n"/>
      <c r="T62" s="29" t="n"/>
      <c r="U62" s="29" t="n"/>
      <c r="V62" s="29" t="n"/>
      <c r="W62" s="29" t="n"/>
      <c r="X62" s="29" t="n"/>
      <c r="Y62" s="28" t="n"/>
      <c r="Z62" s="29" t="n"/>
      <c r="AA62" s="29" t="n"/>
      <c r="AB62" s="29" t="n"/>
      <c r="AC62" s="29" t="n"/>
    </row>
    <row r="63">
      <c r="A63" s="18" t="inlineStr">
        <is>
          <t>발행주식수 (보통주)</t>
        </is>
      </c>
      <c r="B63" s="27" t="n">
        <v>561197409</v>
      </c>
      <c r="C63" s="28" t="n"/>
      <c r="D63" s="29" t="n"/>
      <c r="E63" s="29" t="n"/>
      <c r="F63" s="29" t="n"/>
      <c r="G63" s="29" t="n"/>
      <c r="H63" s="29" t="n"/>
      <c r="I63" s="29" t="n"/>
      <c r="J63" s="29" t="n"/>
      <c r="K63" s="29" t="n"/>
      <c r="L63" s="29" t="n"/>
      <c r="M63" s="29" t="n"/>
      <c r="N63" s="29" t="n"/>
      <c r="O63" s="28" t="n"/>
      <c r="P63" s="29" t="n"/>
      <c r="Q63" s="29" t="n"/>
      <c r="R63" s="29" t="n"/>
      <c r="S63" s="29" t="n"/>
      <c r="T63" s="29" t="n"/>
      <c r="U63" s="29" t="n"/>
      <c r="V63" s="29" t="n"/>
      <c r="W63" s="29" t="n"/>
      <c r="X63" s="29" t="n"/>
      <c r="Y63" s="28" t="n"/>
      <c r="Z63" s="29" t="n"/>
      <c r="AA63" s="29" t="n"/>
      <c r="AB63" s="29" t="n"/>
      <c r="AC63" s="29" t="n"/>
    </row>
    <row r="64">
      <c r="A64" s="18" t="inlineStr">
        <is>
          <t>시가총액 (백만엔)</t>
        </is>
      </c>
      <c r="B64" s="12">
        <f>IF(OR(B62="",B63=""),"",B62*B63/1000000.0)</f>
        <v/>
      </c>
      <c r="C64" s="19" t="n"/>
      <c r="D64" s="20" t="n"/>
      <c r="E64" s="20" t="n"/>
      <c r="F64" s="20" t="n"/>
      <c r="G64" s="20" t="n"/>
      <c r="H64" s="20" t="n"/>
      <c r="I64" s="20" t="n"/>
      <c r="J64" s="20" t="n"/>
      <c r="K64" s="20" t="n"/>
      <c r="L64" s="20" t="n"/>
      <c r="M64" s="20" t="n"/>
      <c r="N64" s="20" t="n"/>
      <c r="O64" s="19" t="n"/>
      <c r="P64" s="20" t="n"/>
      <c r="Q64" s="20" t="n"/>
      <c r="R64" s="20" t="n"/>
      <c r="S64" s="20" t="n"/>
      <c r="T64" s="20" t="n"/>
      <c r="U64" s="20" t="n"/>
      <c r="V64" s="20" t="n"/>
      <c r="W64" s="20" t="n"/>
      <c r="X64" s="20" t="n"/>
      <c r="Y64" s="19" t="n"/>
      <c r="Z64" s="20" t="n"/>
      <c r="AA64" s="20" t="n"/>
      <c r="AB64" s="20" t="n"/>
      <c r="AC64" s="20" t="n"/>
    </row>
    <row r="65">
      <c r="A65" s="13" t="inlineStr">
        <is>
          <t>OPM</t>
        </is>
      </c>
      <c r="B65" s="10" t="n"/>
      <c r="C65" s="14" t="n"/>
      <c r="D65" s="15" t="n"/>
      <c r="E65" s="15" t="n"/>
      <c r="F65" s="15" t="n"/>
      <c r="G65" s="15" t="n"/>
      <c r="H65" s="15" t="n"/>
      <c r="I65" s="15" t="n"/>
      <c r="J65" s="15" t="n"/>
      <c r="K65" s="15" t="n"/>
      <c r="L65" s="15" t="n"/>
      <c r="M65" s="15" t="n"/>
      <c r="N65" s="15" t="n"/>
      <c r="O65" s="14">
        <f>IF(O29="","",O29)</f>
        <v/>
      </c>
      <c r="P65" s="15">
        <f>IF(P29="","",P29)</f>
        <v/>
      </c>
      <c r="Q65" s="15">
        <f>IF(Q29="","",Q29)</f>
        <v/>
      </c>
      <c r="R65" s="15">
        <f>IF(R29="","",R29)</f>
        <v/>
      </c>
      <c r="S65" s="15">
        <f>IF(S29="","",S29)</f>
        <v/>
      </c>
      <c r="T65" s="15">
        <f>IF(T29="","",T29)</f>
        <v/>
      </c>
      <c r="U65" s="15">
        <f>IF(U29="","",U29)</f>
        <v/>
      </c>
      <c r="V65" s="15">
        <f>IF(V29="","",V29)</f>
        <v/>
      </c>
      <c r="W65" s="15">
        <f>IF(W29="","",W29)</f>
        <v/>
      </c>
      <c r="X65" s="15">
        <f>IF(X29="","",X29)</f>
        <v/>
      </c>
      <c r="Y65" s="14">
        <f>IF(Y29="","",Y29)</f>
        <v/>
      </c>
      <c r="Z65" s="15">
        <f>IF(Z29="","",Z29)</f>
        <v/>
      </c>
      <c r="AA65" s="15">
        <f>IF(AA29="","",AA29)</f>
        <v/>
      </c>
      <c r="AB65" s="15">
        <f>IF(AB29="","",AB29)</f>
        <v/>
      </c>
      <c r="AC65" s="15">
        <f>IF(AC29="","",AC29)</f>
        <v/>
      </c>
    </row>
    <row r="66">
      <c r="A66" s="13" t="inlineStr">
        <is>
          <t>지배주주 순이익 증가율</t>
        </is>
      </c>
      <c r="B66" s="10" t="n"/>
      <c r="C66" s="14" t="n"/>
      <c r="D66" s="15" t="n"/>
      <c r="E66" s="15" t="n"/>
      <c r="F66" s="15" t="n"/>
      <c r="G66" s="15" t="n"/>
      <c r="H66" s="15" t="n"/>
      <c r="I66" s="15" t="n"/>
      <c r="J66" s="15" t="n"/>
      <c r="K66" s="15" t="n"/>
      <c r="L66" s="15" t="n"/>
      <c r="M66" s="15" t="n"/>
      <c r="N66" s="15" t="n"/>
      <c r="O66" s="14" t="n"/>
      <c r="P66" s="15">
        <f>IF(OR(P58="",O58=""),"",IFERROR(P58/O58-1,""))</f>
        <v/>
      </c>
      <c r="Q66" s="15">
        <f>IF(OR(Q58="",P58=""),"",IFERROR(Q58/P58-1,""))</f>
        <v/>
      </c>
      <c r="R66" s="15">
        <f>IF(OR(R58="",Q58=""),"",IFERROR(R58/Q58-1,""))</f>
        <v/>
      </c>
      <c r="S66" s="15">
        <f>IF(OR(S58="",R58=""),"",IFERROR(S58/R58-1,""))</f>
        <v/>
      </c>
      <c r="T66" s="15">
        <f>IF(OR(T58="",S58=""),"",IFERROR(T58/S58-1,""))</f>
        <v/>
      </c>
      <c r="U66" s="15">
        <f>IF(OR(U58="",T58=""),"",IFERROR(U58/T58-1,""))</f>
        <v/>
      </c>
      <c r="V66" s="15">
        <f>IF(OR(V58="",U58=""),"",IFERROR(V58/U58-1,""))</f>
        <v/>
      </c>
      <c r="W66" s="15">
        <f>IF(OR(W58="",V58=""),"",IFERROR(W58/V58-1,""))</f>
        <v/>
      </c>
      <c r="X66" s="15">
        <f>IF(OR(X58="",W58=""),"",IFERROR(X58/W58-1,""))</f>
        <v/>
      </c>
      <c r="Y66" s="14">
        <f>IF(OR(Y58="",X58=""),"",IFERROR(Y58/X58-1,""))</f>
        <v/>
      </c>
      <c r="Z66" s="15">
        <f>IF(OR(Z58="",Y58=""),"",IFERROR(Z58/Y58-1,""))</f>
        <v/>
      </c>
      <c r="AA66" s="15">
        <f>IF(OR(AA58="",Z58=""),"",IFERROR(AA58/Z58-1,""))</f>
        <v/>
      </c>
      <c r="AB66" s="15">
        <f>IF(OR(AB58="",AA58=""),"",IFERROR(AB58/AA58-1,""))</f>
        <v/>
      </c>
      <c r="AC66" s="15">
        <f>IF(OR(AC58="",AB58=""),"",IFERROR(AC58/AB58-1,""))</f>
        <v/>
      </c>
    </row>
    <row r="67">
      <c r="A67" s="18" t="inlineStr">
        <is>
          <t>P/E (현재 주가)</t>
        </is>
      </c>
      <c r="B67" s="10" t="inlineStr">
        <is>
          <t>시총 ÷ 지배순이익</t>
        </is>
      </c>
      <c r="C67" s="30" t="n"/>
      <c r="D67" s="31" t="n"/>
      <c r="E67" s="31" t="n"/>
      <c r="F67" s="31" t="n"/>
      <c r="G67" s="31" t="n"/>
      <c r="H67" s="31" t="n"/>
      <c r="I67" s="31" t="n"/>
      <c r="J67" s="31" t="n"/>
      <c r="K67" s="31" t="n"/>
      <c r="L67" s="31" t="n"/>
      <c r="M67" s="31" t="n"/>
      <c r="N67" s="31" t="n"/>
      <c r="O67" s="30" t="n"/>
      <c r="P67" s="31" t="n"/>
      <c r="Q67" s="31" t="n"/>
      <c r="R67" s="31" t="n"/>
      <c r="S67" s="31" t="n"/>
      <c r="T67" s="31" t="n"/>
      <c r="U67" s="31" t="n"/>
      <c r="V67" s="31" t="n"/>
      <c r="W67" s="31" t="n"/>
      <c r="X67" s="31">
        <f>IF(OR($B$64="",X58=""),"",IFERROR($B$64/X58,""))</f>
        <v/>
      </c>
      <c r="Y67" s="30">
        <f>IF(OR($B$64="",Y58=""),"",IFERROR($B$64/Y58,""))</f>
        <v/>
      </c>
      <c r="Z67" s="31">
        <f>IF(OR($B$64="",Z58=""),"",IFERROR($B$64/Z58,""))</f>
        <v/>
      </c>
      <c r="AA67" s="31">
        <f>IF(OR($B$64="",AA58=""),"",IFERROR($B$64/AA58,""))</f>
        <v/>
      </c>
      <c r="AB67" s="31">
        <f>IF(OR($B$64="",AB58=""),"",IFERROR($B$64/AB58,""))</f>
        <v/>
      </c>
      <c r="AC67" s="31">
        <f>IF(OR($B$64="",AC58=""),"",IFERROR($B$64/AC58,""))</f>
        <v/>
      </c>
    </row>
    <row r="68">
      <c r="A68" s="18" t="inlineStr">
        <is>
          <t>Target P/E</t>
        </is>
      </c>
      <c r="B68" s="10" t="inlineStr">
        <is>
          <t>직접 입력</t>
        </is>
      </c>
      <c r="C68" s="30" t="n"/>
      <c r="D68" s="31" t="n"/>
      <c r="E68" s="31" t="n"/>
      <c r="F68" s="31" t="n"/>
      <c r="G68" s="31" t="n"/>
      <c r="H68" s="31" t="n"/>
      <c r="I68" s="31" t="n"/>
      <c r="J68" s="31" t="n"/>
      <c r="K68" s="31" t="n"/>
      <c r="L68" s="31" t="n"/>
      <c r="M68" s="31" t="n"/>
      <c r="N68" s="31" t="n"/>
      <c r="O68" s="30" t="n"/>
      <c r="P68" s="31" t="n"/>
      <c r="Q68" s="31" t="n"/>
      <c r="R68" s="31" t="n"/>
      <c r="S68" s="31" t="n"/>
      <c r="T68" s="31" t="n"/>
      <c r="U68" s="31" t="n"/>
      <c r="V68" s="31" t="n"/>
      <c r="W68" s="31" t="n"/>
      <c r="X68" s="31" t="n"/>
      <c r="Y68" s="32" t="n"/>
      <c r="Z68" s="33" t="n"/>
      <c r="AA68" s="33" t="n"/>
      <c r="AB68" s="33" t="n"/>
      <c r="AC68" s="33" t="n"/>
    </row>
    <row r="69">
      <c r="A69" s="18" t="inlineStr">
        <is>
          <t>EPS</t>
        </is>
      </c>
      <c r="B69" s="10" t="inlineStr">
        <is>
          <t>지배순이익 ÷ 주식수</t>
        </is>
      </c>
      <c r="C69" s="28" t="n"/>
      <c r="D69" s="29" t="n"/>
      <c r="E69" s="29" t="n"/>
      <c r="F69" s="29" t="n"/>
      <c r="G69" s="29" t="n"/>
      <c r="H69" s="29" t="n"/>
      <c r="I69" s="29" t="n"/>
      <c r="J69" s="29" t="n"/>
      <c r="K69" s="29" t="n"/>
      <c r="L69" s="29" t="n"/>
      <c r="M69" s="29" t="n"/>
      <c r="N69" s="29" t="n"/>
      <c r="O69" s="28">
        <f>IF(OR(O58="",$B$63=""),"",IFERROR(O58*1000000.0/$B$63,""))</f>
        <v/>
      </c>
      <c r="P69" s="29">
        <f>IF(OR(P58="",$B$63=""),"",IFERROR(P58*1000000.0/$B$63,""))</f>
        <v/>
      </c>
      <c r="Q69" s="29">
        <f>IF(OR(Q58="",$B$63=""),"",IFERROR(Q58*1000000.0/$B$63,""))</f>
        <v/>
      </c>
      <c r="R69" s="29">
        <f>IF(OR(R58="",$B$63=""),"",IFERROR(R58*1000000.0/$B$63,""))</f>
        <v/>
      </c>
      <c r="S69" s="29">
        <f>IF(OR(S58="",$B$63=""),"",IFERROR(S58*1000000.0/$B$63,""))</f>
        <v/>
      </c>
      <c r="T69" s="29">
        <f>IF(OR(T58="",$B$63=""),"",IFERROR(T58*1000000.0/$B$63,""))</f>
        <v/>
      </c>
      <c r="U69" s="29">
        <f>IF(OR(U58="",$B$63=""),"",IFERROR(U58*1000000.0/$B$63,""))</f>
        <v/>
      </c>
      <c r="V69" s="29">
        <f>IF(OR(V58="",$B$63=""),"",IFERROR(V58*1000000.0/$B$63,""))</f>
        <v/>
      </c>
      <c r="W69" s="29">
        <f>IF(OR(W58="",$B$63=""),"",IFERROR(W58*1000000.0/$B$63,""))</f>
        <v/>
      </c>
      <c r="X69" s="29">
        <f>IF(OR(X58="",$B$63=""),"",IFERROR(X58*1000000.0/$B$63,""))</f>
        <v/>
      </c>
      <c r="Y69" s="28">
        <f>IF(OR(Y58="",$B$63=""),"",IFERROR(Y58*1000000.0/$B$63,""))</f>
        <v/>
      </c>
      <c r="Z69" s="29">
        <f>IF(OR(Z58="",$B$63=""),"",IFERROR(Z58*1000000.0/$B$63,""))</f>
        <v/>
      </c>
      <c r="AA69" s="29">
        <f>IF(OR(AA58="",$B$63=""),"",IFERROR(AA58*1000000.0/$B$63,""))</f>
        <v/>
      </c>
      <c r="AB69" s="29">
        <f>IF(OR(AB58="",$B$63=""),"",IFERROR(AB58*1000000.0/$B$63,""))</f>
        <v/>
      </c>
      <c r="AC69" s="29">
        <f>IF(OR(AC58="",$B$63=""),"",IFERROR(AC58*1000000.0/$B$63,""))</f>
        <v/>
      </c>
    </row>
    <row r="70">
      <c r="A70" s="9" t="inlineStr">
        <is>
          <t>목표주가</t>
        </is>
      </c>
      <c r="B70" s="10" t="n"/>
      <c r="C70" s="34" t="n"/>
      <c r="D70" s="27" t="n"/>
      <c r="E70" s="27" t="n"/>
      <c r="F70" s="27" t="n"/>
      <c r="G70" s="27" t="n"/>
      <c r="H70" s="27" t="n"/>
      <c r="I70" s="27" t="n"/>
      <c r="J70" s="27" t="n"/>
      <c r="K70" s="27" t="n"/>
      <c r="L70" s="27" t="n"/>
      <c r="M70" s="27" t="n"/>
      <c r="N70" s="27" t="n"/>
      <c r="O70" s="34" t="n"/>
      <c r="P70" s="27" t="n"/>
      <c r="Q70" s="27" t="n"/>
      <c r="R70" s="27" t="n"/>
      <c r="S70" s="27" t="n"/>
      <c r="T70" s="27" t="n"/>
      <c r="U70" s="27" t="n"/>
      <c r="V70" s="27" t="n"/>
      <c r="W70" s="27" t="n"/>
      <c r="X70" s="27" t="n"/>
      <c r="Y70" s="34">
        <f>IF(OR(Y69="",Y68=""),"",IFERROR(Y69*Y68,""))</f>
        <v/>
      </c>
      <c r="Z70" s="27">
        <f>IF(OR(Z69="",Z68=""),"",IFERROR(Z69*Z68,""))</f>
        <v/>
      </c>
      <c r="AA70" s="27">
        <f>IF(OR(AA69="",AA68=""),"",IFERROR(AA69*AA68,""))</f>
        <v/>
      </c>
      <c r="AB70" s="27">
        <f>IF(OR(AB69="",AB68=""),"",IFERROR(AB69*AB68,""))</f>
        <v/>
      </c>
      <c r="AC70" s="27">
        <f>IF(OR(AC69="",AC68=""),"",IFERROR(AC69*AC68,""))</f>
        <v/>
      </c>
    </row>
    <row r="71">
      <c r="A71" s="18" t="inlineStr">
        <is>
          <t>상승여력</t>
        </is>
      </c>
      <c r="B71" s="10" t="n"/>
      <c r="C71" s="35" t="n"/>
      <c r="D71" s="36" t="n"/>
      <c r="E71" s="36" t="n"/>
      <c r="F71" s="36" t="n"/>
      <c r="G71" s="36" t="n"/>
      <c r="H71" s="36" t="n"/>
      <c r="I71" s="36" t="n"/>
      <c r="J71" s="36" t="n"/>
      <c r="K71" s="36" t="n"/>
      <c r="L71" s="36" t="n"/>
      <c r="M71" s="36" t="n"/>
      <c r="N71" s="36" t="n"/>
      <c r="O71" s="35" t="n"/>
      <c r="P71" s="36" t="n"/>
      <c r="Q71" s="36" t="n"/>
      <c r="R71" s="36" t="n"/>
      <c r="S71" s="36" t="n"/>
      <c r="T71" s="36" t="n"/>
      <c r="U71" s="36" t="n"/>
      <c r="V71" s="36" t="n"/>
      <c r="W71" s="36" t="n"/>
      <c r="X71" s="36" t="n"/>
      <c r="Y71" s="37">
        <f>IF(OR(Y70="",$B$62=""),"",IFERROR(Y70/$B$62-1,""))</f>
        <v/>
      </c>
      <c r="Z71" s="38">
        <f>IF(OR(Z70="",$B$62=""),"",IFERROR(Z70/$B$62-1,""))</f>
        <v/>
      </c>
      <c r="AA71" s="38">
        <f>IF(OR(AA70="",$B$62=""),"",IFERROR(AA70/$B$62-1,""))</f>
        <v/>
      </c>
      <c r="AB71" s="38">
        <f>IF(OR(AB70="",$B$62=""),"",IFERROR(AB70/$B$62-1,""))</f>
        <v/>
      </c>
      <c r="AC71" s="38">
        <f>IF(OR(AC70="",$B$62=""),"",IFERROR(AC70/$B$62-1,""))</f>
        <v/>
      </c>
    </row>
    <row r="72">
      <c r="A72" s="16" t="inlineStr">
        <is>
          <t>자산가치 산출</t>
        </is>
      </c>
      <c r="B72" s="16" t="inlineStr">
        <is>
          <t>최신 분기 BS</t>
        </is>
      </c>
      <c r="C72" s="17" t="n"/>
      <c r="D72" s="16" t="n"/>
      <c r="E72" s="16" t="n"/>
      <c r="F72" s="16" t="n"/>
      <c r="G72" s="16" t="n"/>
      <c r="H72" s="16" t="n"/>
      <c r="I72" s="16" t="n"/>
      <c r="J72" s="16" t="n"/>
      <c r="K72" s="16" t="n"/>
      <c r="L72" s="16" t="n"/>
      <c r="M72" s="16" t="n"/>
      <c r="N72" s="16" t="n"/>
      <c r="O72" s="17" t="n"/>
      <c r="P72" s="16" t="n"/>
      <c r="Q72" s="16" t="n"/>
      <c r="R72" s="16" t="n"/>
      <c r="S72" s="16" t="n"/>
      <c r="T72" s="16" t="n"/>
      <c r="U72" s="16" t="n"/>
      <c r="V72" s="16" t="n"/>
      <c r="W72" s="16" t="n"/>
      <c r="X72" s="16" t="n"/>
      <c r="Y72" s="17" t="n"/>
      <c r="Z72" s="16" t="n"/>
      <c r="AA72" s="16" t="n"/>
      <c r="AB72" s="16" t="n"/>
      <c r="AC72" s="16" t="n"/>
    </row>
    <row r="73">
      <c r="A73" s="18" t="inlineStr">
        <is>
          <t>현금및현금성자산</t>
        </is>
      </c>
      <c r="B73" s="10" t="n"/>
      <c r="C73" s="19" t="n"/>
      <c r="D73" s="20" t="n"/>
      <c r="E73" s="20" t="n"/>
      <c r="F73" s="20" t="n"/>
      <c r="G73" s="20" t="n"/>
      <c r="H73" s="20" t="n"/>
      <c r="I73" s="20" t="n"/>
      <c r="J73" s="20" t="n"/>
      <c r="K73" s="20" t="n"/>
      <c r="L73" s="20" t="n"/>
      <c r="M73" s="20" t="n"/>
      <c r="N73" s="20" t="n"/>
      <c r="O73" s="19" t="n"/>
      <c r="P73" s="20" t="n"/>
      <c r="Q73" s="20" t="n"/>
      <c r="R73" s="20" t="n"/>
      <c r="S73" s="20" t="n"/>
      <c r="T73" s="20" t="n"/>
      <c r="U73" s="20" t="n"/>
      <c r="V73" s="20" t="n"/>
      <c r="W73" s="20" t="n"/>
      <c r="X73" s="20">
        <f>'재무상태표'!G6</f>
        <v/>
      </c>
      <c r="Y73" s="19">
        <f>'재무상태표'!G6</f>
        <v/>
      </c>
      <c r="Z73" s="20">
        <f>'재무상태표'!G6</f>
        <v/>
      </c>
      <c r="AA73" s="20">
        <f>'재무상태표'!G6</f>
        <v/>
      </c>
      <c r="AB73" s="20">
        <f>'재무상태표'!G6</f>
        <v/>
      </c>
      <c r="AC73" s="20">
        <f>'재무상태표'!G6</f>
        <v/>
      </c>
    </row>
    <row r="74">
      <c r="A74" s="18" t="inlineStr">
        <is>
          <t>단기금융상품</t>
        </is>
      </c>
      <c r="B74" s="10" t="n"/>
      <c r="C74" s="19" t="n"/>
      <c r="D74" s="20" t="n"/>
      <c r="E74" s="20" t="n"/>
      <c r="F74" s="20" t="n"/>
      <c r="G74" s="20" t="n"/>
      <c r="H74" s="20" t="n"/>
      <c r="I74" s="20" t="n"/>
      <c r="J74" s="20" t="n"/>
      <c r="K74" s="20" t="n"/>
      <c r="L74" s="20" t="n"/>
      <c r="M74" s="20" t="n"/>
      <c r="N74" s="20" t="n"/>
      <c r="O74" s="19" t="n"/>
      <c r="P74" s="20" t="n"/>
      <c r="Q74" s="20" t="n"/>
      <c r="R74" s="20" t="n"/>
      <c r="S74" s="20" t="n"/>
      <c r="T74" s="20" t="n"/>
      <c r="U74" s="20" t="n"/>
      <c r="V74" s="20" t="n"/>
      <c r="W74" s="20" t="n"/>
      <c r="X74" s="20">
        <f>'재무상태표'!G7</f>
        <v/>
      </c>
      <c r="Y74" s="19">
        <f>'재무상태표'!G7</f>
        <v/>
      </c>
      <c r="Z74" s="20">
        <f>'재무상태표'!G7</f>
        <v/>
      </c>
      <c r="AA74" s="20">
        <f>'재무상태표'!G7</f>
        <v/>
      </c>
      <c r="AB74" s="20">
        <f>'재무상태표'!G7</f>
        <v/>
      </c>
      <c r="AC74" s="20">
        <f>'재무상태표'!G7</f>
        <v/>
      </c>
    </row>
    <row r="75">
      <c r="A75" s="18" t="inlineStr">
        <is>
          <t>투자부동산</t>
        </is>
      </c>
      <c r="B75" s="10" t="n"/>
      <c r="C75" s="19" t="n"/>
      <c r="D75" s="20" t="n"/>
      <c r="E75" s="20" t="n"/>
      <c r="F75" s="20" t="n"/>
      <c r="G75" s="20" t="n"/>
      <c r="H75" s="20" t="n"/>
      <c r="I75" s="20" t="n"/>
      <c r="J75" s="20" t="n"/>
      <c r="K75" s="20" t="n"/>
      <c r="L75" s="20" t="n"/>
      <c r="M75" s="20" t="n"/>
      <c r="N75" s="20" t="n"/>
      <c r="O75" s="19" t="n"/>
      <c r="P75" s="20" t="n"/>
      <c r="Q75" s="20" t="n"/>
      <c r="R75" s="20" t="n"/>
      <c r="S75" s="20" t="n"/>
      <c r="T75" s="20" t="n"/>
      <c r="U75" s="20" t="n"/>
      <c r="V75" s="20" t="n"/>
      <c r="W75" s="20" t="n"/>
      <c r="X75" s="20">
        <f>'재무상태표'!G14</f>
        <v/>
      </c>
      <c r="Y75" s="19">
        <f>'재무상태표'!G14</f>
        <v/>
      </c>
      <c r="Z75" s="20">
        <f>'재무상태표'!G14</f>
        <v/>
      </c>
      <c r="AA75" s="20">
        <f>'재무상태표'!G14</f>
        <v/>
      </c>
      <c r="AB75" s="20">
        <f>'재무상태표'!G14</f>
        <v/>
      </c>
      <c r="AC75" s="20">
        <f>'재무상태표'!G14</f>
        <v/>
      </c>
    </row>
    <row r="76">
      <c r="A76" s="18" t="inlineStr">
        <is>
          <t>지배자본</t>
        </is>
      </c>
      <c r="B76" s="10" t="n"/>
      <c r="C76" s="19" t="n"/>
      <c r="D76" s="20" t="n"/>
      <c r="E76" s="20" t="n"/>
      <c r="F76" s="20" t="n"/>
      <c r="G76" s="20" t="n"/>
      <c r="H76" s="20" t="n"/>
      <c r="I76" s="20" t="n"/>
      <c r="J76" s="20" t="n"/>
      <c r="K76" s="20" t="n"/>
      <c r="L76" s="20" t="n"/>
      <c r="M76" s="20" t="n"/>
      <c r="N76" s="20" t="n"/>
      <c r="O76" s="19" t="n"/>
      <c r="P76" s="20" t="n"/>
      <c r="Q76" s="20" t="n"/>
      <c r="R76" s="20" t="n"/>
      <c r="S76" s="20" t="n"/>
      <c r="T76" s="20" t="n"/>
      <c r="U76" s="20" t="n"/>
      <c r="V76" s="20" t="n"/>
      <c r="W76" s="20" t="n"/>
      <c r="X76" s="20">
        <f>'재무상태표'!G31</f>
        <v/>
      </c>
      <c r="Y76" s="19">
        <f>'재무상태표'!G31</f>
        <v/>
      </c>
      <c r="Z76" s="20">
        <f>'재무상태표'!G31</f>
        <v/>
      </c>
      <c r="AA76" s="20">
        <f>'재무상태표'!G31</f>
        <v/>
      </c>
      <c r="AB76" s="20">
        <f>'재무상태표'!G31</f>
        <v/>
      </c>
      <c r="AC76" s="20">
        <f>'재무상태표'!G31</f>
        <v/>
      </c>
    </row>
    <row r="77">
      <c r="A77" s="18" t="inlineStr">
        <is>
          <t>부채</t>
        </is>
      </c>
      <c r="B77" s="10" t="n"/>
      <c r="C77" s="19" t="n"/>
      <c r="D77" s="20" t="n"/>
      <c r="E77" s="20" t="n"/>
      <c r="F77" s="20" t="n"/>
      <c r="G77" s="20" t="n"/>
      <c r="H77" s="20" t="n"/>
      <c r="I77" s="20" t="n"/>
      <c r="J77" s="20" t="n"/>
      <c r="K77" s="20" t="n"/>
      <c r="L77" s="20" t="n"/>
      <c r="M77" s="20" t="n"/>
      <c r="N77" s="20" t="n"/>
      <c r="O77" s="19" t="n"/>
      <c r="P77" s="20" t="n"/>
      <c r="Q77" s="20" t="n"/>
      <c r="R77" s="20" t="n"/>
      <c r="S77" s="20" t="n"/>
      <c r="T77" s="20" t="n"/>
      <c r="U77" s="20" t="n"/>
      <c r="V77" s="20" t="n"/>
      <c r="W77" s="20" t="n"/>
      <c r="X77" s="20">
        <f>'재무상태표'!G27</f>
        <v/>
      </c>
      <c r="Y77" s="19">
        <f>'재무상태표'!G27</f>
        <v/>
      </c>
      <c r="Z77" s="20">
        <f>'재무상태표'!G27</f>
        <v/>
      </c>
      <c r="AA77" s="20">
        <f>'재무상태표'!G27</f>
        <v/>
      </c>
      <c r="AB77" s="20">
        <f>'재무상태표'!G27</f>
        <v/>
      </c>
      <c r="AC77" s="20">
        <f>'재무상태표'!G27</f>
        <v/>
      </c>
    </row>
    <row r="78">
      <c r="A78" s="13" t="inlineStr">
        <is>
          <t>부채비율</t>
        </is>
      </c>
      <c r="B78" s="10" t="n"/>
      <c r="C78" s="14" t="n"/>
      <c r="D78" s="15" t="n"/>
      <c r="E78" s="15" t="n"/>
      <c r="F78" s="15" t="n"/>
      <c r="G78" s="15" t="n"/>
      <c r="H78" s="15" t="n"/>
      <c r="I78" s="15" t="n"/>
      <c r="J78" s="15" t="n"/>
      <c r="K78" s="15" t="n"/>
      <c r="L78" s="15" t="n"/>
      <c r="M78" s="15" t="n"/>
      <c r="N78" s="15" t="n"/>
      <c r="O78" s="14" t="n"/>
      <c r="P78" s="15" t="n"/>
      <c r="Q78" s="15" t="n"/>
      <c r="R78" s="15" t="n"/>
      <c r="S78" s="15" t="n"/>
      <c r="T78" s="15" t="n"/>
      <c r="U78" s="15" t="n"/>
      <c r="V78" s="15" t="n"/>
      <c r="W78" s="15" t="n"/>
      <c r="X78" s="15">
        <f>IF(OR(X77="",X76=""),"",IFERROR(X77/X76,""))</f>
        <v/>
      </c>
      <c r="Y78" s="14">
        <f>IF(OR(Y77="",Y76=""),"",IFERROR(Y77/Y76,""))</f>
        <v/>
      </c>
      <c r="Z78" s="15">
        <f>IF(OR(Z77="",Z76=""),"",IFERROR(Z77/Z76,""))</f>
        <v/>
      </c>
      <c r="AA78" s="15">
        <f>IF(OR(AA77="",AA76=""),"",IFERROR(AA77/AA76,""))</f>
        <v/>
      </c>
      <c r="AB78" s="15">
        <f>IF(OR(AB77="",AB76=""),"",IFERROR(AB77/AB76,""))</f>
        <v/>
      </c>
      <c r="AC78" s="15">
        <f>IF(OR(AC77="",AC76=""),"",IFERROR(AC77/AC76,""))</f>
        <v/>
      </c>
    </row>
    <row r="79">
      <c r="A79" s="9" t="inlineStr">
        <is>
          <t>자산가치</t>
        </is>
      </c>
      <c r="B79" s="10" t="inlineStr">
        <is>
          <t>현금+단기금융+투자부동산</t>
        </is>
      </c>
      <c r="C79" s="11" t="n"/>
      <c r="D79" s="12" t="n"/>
      <c r="E79" s="12" t="n"/>
      <c r="F79" s="12" t="n"/>
      <c r="G79" s="12" t="n"/>
      <c r="H79" s="12" t="n"/>
      <c r="I79" s="12" t="n"/>
      <c r="J79" s="12" t="n"/>
      <c r="K79" s="12" t="n"/>
      <c r="L79" s="12" t="n"/>
      <c r="M79" s="12" t="n"/>
      <c r="N79" s="12" t="n"/>
      <c r="O79" s="11" t="n"/>
      <c r="P79" s="12" t="n"/>
      <c r="Q79" s="12" t="n"/>
      <c r="R79" s="12" t="n"/>
      <c r="S79" s="12" t="n"/>
      <c r="T79" s="12" t="n"/>
      <c r="U79" s="12" t="n"/>
      <c r="V79" s="12" t="n"/>
      <c r="W79" s="12" t="n"/>
      <c r="X79" s="12">
        <f>SUM(X73,X74,X75)</f>
        <v/>
      </c>
      <c r="Y79" s="11">
        <f>SUM(Y73,Y74,Y75)</f>
        <v/>
      </c>
      <c r="Z79" s="12">
        <f>SUM(Z73,Z74,Z75)</f>
        <v/>
      </c>
      <c r="AA79" s="12">
        <f>SUM(AA73,AA74,AA75)</f>
        <v/>
      </c>
      <c r="AB79" s="12">
        <f>SUM(AB73,AB74,AB75)</f>
        <v/>
      </c>
      <c r="AC79" s="12">
        <f>SUM(AC73,AC74,AC75)</f>
        <v/>
      </c>
    </row>
    <row r="80">
      <c r="A80" s="16" t="inlineStr">
        <is>
          <t>기업가치 산출</t>
        </is>
      </c>
      <c r="B80" s="16" t="n"/>
      <c r="C80" s="17" t="n"/>
      <c r="D80" s="16" t="n"/>
      <c r="E80" s="16" t="n"/>
      <c r="F80" s="16" t="n"/>
      <c r="G80" s="16" t="n"/>
      <c r="H80" s="16" t="n"/>
      <c r="I80" s="16" t="n"/>
      <c r="J80" s="16" t="n"/>
      <c r="K80" s="16" t="n"/>
      <c r="L80" s="16" t="n"/>
      <c r="M80" s="16" t="n"/>
      <c r="N80" s="16" t="n"/>
      <c r="O80" s="17" t="n"/>
      <c r="P80" s="16" t="n"/>
      <c r="Q80" s="16" t="n"/>
      <c r="R80" s="16" t="n"/>
      <c r="S80" s="16" t="n"/>
      <c r="T80" s="16" t="n"/>
      <c r="U80" s="16" t="n"/>
      <c r="V80" s="16" t="n"/>
      <c r="W80" s="16" t="n"/>
      <c r="X80" s="16" t="n"/>
      <c r="Y80" s="17" t="n"/>
      <c r="Z80" s="16" t="n"/>
      <c r="AA80" s="16" t="n"/>
      <c r="AB80" s="16" t="n"/>
      <c r="AC80" s="16" t="n"/>
    </row>
    <row r="81">
      <c r="A81" s="18" t="inlineStr">
        <is>
          <t>목표 시가총액 (P/E)</t>
        </is>
      </c>
      <c r="B81" s="10" t="inlineStr">
        <is>
          <t>지배순이익 × Target P/E</t>
        </is>
      </c>
      <c r="C81" s="19" t="n"/>
      <c r="D81" s="20" t="n"/>
      <c r="E81" s="20" t="n"/>
      <c r="F81" s="20" t="n"/>
      <c r="G81" s="20" t="n"/>
      <c r="H81" s="20" t="n"/>
      <c r="I81" s="20" t="n"/>
      <c r="J81" s="20" t="n"/>
      <c r="K81" s="20" t="n"/>
      <c r="L81" s="20" t="n"/>
      <c r="M81" s="20" t="n"/>
      <c r="N81" s="20" t="n"/>
      <c r="O81" s="19" t="n"/>
      <c r="P81" s="20" t="n"/>
      <c r="Q81" s="20" t="n"/>
      <c r="R81" s="20" t="n"/>
      <c r="S81" s="20" t="n"/>
      <c r="T81" s="20" t="n"/>
      <c r="U81" s="20" t="n"/>
      <c r="V81" s="20" t="n"/>
      <c r="W81" s="20" t="n"/>
      <c r="X81" s="20" t="n"/>
      <c r="Y81" s="19">
        <f>IF(OR(Y58="",Y68=""),"",IFERROR(Y58*Y68,""))</f>
        <v/>
      </c>
      <c r="Z81" s="20">
        <f>IF(OR(Z58="",Z68=""),"",IFERROR(Z58*Z68,""))</f>
        <v/>
      </c>
      <c r="AA81" s="20">
        <f>IF(OR(AA58="",AA68=""),"",IFERROR(AA58*AA68,""))</f>
        <v/>
      </c>
      <c r="AB81" s="20">
        <f>IF(OR(AB58="",AB68=""),"",IFERROR(AB58*AB68,""))</f>
        <v/>
      </c>
      <c r="AC81" s="20">
        <f>IF(OR(AC58="",AC68=""),"",IFERROR(AC58*AC68,""))</f>
        <v/>
      </c>
    </row>
    <row r="82">
      <c r="A82" s="9" t="inlineStr">
        <is>
          <t>기업가치</t>
        </is>
      </c>
      <c r="B82" s="10" t="inlineStr">
        <is>
          <t>목표시총 + 자산가치</t>
        </is>
      </c>
      <c r="C82" s="11" t="n"/>
      <c r="D82" s="12" t="n"/>
      <c r="E82" s="12" t="n"/>
      <c r="F82" s="12" t="n"/>
      <c r="G82" s="12" t="n"/>
      <c r="H82" s="12" t="n"/>
      <c r="I82" s="12" t="n"/>
      <c r="J82" s="12" t="n"/>
      <c r="K82" s="12" t="n"/>
      <c r="L82" s="12" t="n"/>
      <c r="M82" s="12" t="n"/>
      <c r="N82" s="12" t="n"/>
      <c r="O82" s="11" t="n"/>
      <c r="P82" s="12" t="n"/>
      <c r="Q82" s="12" t="n"/>
      <c r="R82" s="12" t="n"/>
      <c r="S82" s="12" t="n"/>
      <c r="T82" s="12" t="n"/>
      <c r="U82" s="12" t="n"/>
      <c r="V82" s="12" t="n"/>
      <c r="W82" s="12" t="n"/>
      <c r="X82" s="12" t="n"/>
      <c r="Y82" s="11">
        <f>IF(OR(Y81=""),"",IFERROR(Y81+Y79,""))</f>
        <v/>
      </c>
      <c r="Z82" s="12">
        <f>IF(OR(Z81=""),"",IFERROR(Z81+Z79,""))</f>
        <v/>
      </c>
      <c r="AA82" s="12">
        <f>IF(OR(AA81=""),"",IFERROR(AA81+AA79,""))</f>
        <v/>
      </c>
      <c r="AB82" s="12">
        <f>IF(OR(AB81=""),"",IFERROR(AB81+AB79,""))</f>
        <v/>
      </c>
      <c r="AC82" s="12">
        <f>IF(OR(AC81=""),"",IFERROR(AC81+AC79,""))</f>
        <v/>
      </c>
    </row>
    <row r="83">
      <c r="A83" s="18" t="inlineStr">
        <is>
          <t>현재 시가총액</t>
        </is>
      </c>
      <c r="B83" s="10" t="n"/>
      <c r="C83" s="19" t="n"/>
      <c r="D83" s="20" t="n"/>
      <c r="E83" s="20" t="n"/>
      <c r="F83" s="20" t="n"/>
      <c r="G83" s="20" t="n"/>
      <c r="H83" s="20" t="n"/>
      <c r="I83" s="20" t="n"/>
      <c r="J83" s="20" t="n"/>
      <c r="K83" s="20" t="n"/>
      <c r="L83" s="20" t="n"/>
      <c r="M83" s="20" t="n"/>
      <c r="N83" s="20" t="n"/>
      <c r="O83" s="19" t="n"/>
      <c r="P83" s="20" t="n"/>
      <c r="Q83" s="20" t="n"/>
      <c r="R83" s="20" t="n"/>
      <c r="S83" s="20" t="n"/>
      <c r="T83" s="20" t="n"/>
      <c r="U83" s="20" t="n"/>
      <c r="V83" s="20" t="n"/>
      <c r="W83" s="20" t="n"/>
      <c r="X83" s="20" t="n"/>
      <c r="Y83" s="19">
        <f>$B$64</f>
        <v/>
      </c>
      <c r="Z83" s="20">
        <f>$B$64</f>
        <v/>
      </c>
      <c r="AA83" s="20">
        <f>$B$64</f>
        <v/>
      </c>
      <c r="AB83" s="20">
        <f>$B$64</f>
        <v/>
      </c>
      <c r="AC83" s="20">
        <f>$B$64</f>
        <v/>
      </c>
    </row>
    <row r="84">
      <c r="A84" s="18" t="inlineStr">
        <is>
          <t>상승여력</t>
        </is>
      </c>
      <c r="B84" s="10" t="n"/>
      <c r="C84" s="35" t="n"/>
      <c r="D84" s="36" t="n"/>
      <c r="E84" s="36" t="n"/>
      <c r="F84" s="36" t="n"/>
      <c r="G84" s="36" t="n"/>
      <c r="H84" s="36" t="n"/>
      <c r="I84" s="36" t="n"/>
      <c r="J84" s="36" t="n"/>
      <c r="K84" s="36" t="n"/>
      <c r="L84" s="36" t="n"/>
      <c r="M84" s="36" t="n"/>
      <c r="N84" s="36" t="n"/>
      <c r="O84" s="35" t="n"/>
      <c r="P84" s="36" t="n"/>
      <c r="Q84" s="36" t="n"/>
      <c r="R84" s="36" t="n"/>
      <c r="S84" s="36" t="n"/>
      <c r="T84" s="36" t="n"/>
      <c r="U84" s="36" t="n"/>
      <c r="V84" s="36" t="n"/>
      <c r="W84" s="36" t="n"/>
      <c r="X84" s="36" t="n"/>
      <c r="Y84" s="37">
        <f>IF(OR(Y82="",Y83=""),"",IFERROR(Y82/Y83-1,""))</f>
        <v/>
      </c>
      <c r="Z84" s="38">
        <f>IF(OR(Z82="",Z83=""),"",IFERROR(Z82/Z83-1,""))</f>
        <v/>
      </c>
      <c r="AA84" s="38">
        <f>IF(OR(AA82="",AA83=""),"",IFERROR(AA82/AA83-1,""))</f>
        <v/>
      </c>
      <c r="AB84" s="38">
        <f>IF(OR(AB82="",AB83=""),"",IFERROR(AB82/AB83-1,""))</f>
        <v/>
      </c>
      <c r="AC84" s="38">
        <f>IF(OR(AC82="",AC83=""),"",IFERROR(AC82/AC83-1,""))</f>
        <v/>
      </c>
    </row>
    <row r="85">
      <c r="C85" s="39" t="n"/>
      <c r="O85" s="39" t="n"/>
      <c r="Y85" s="39" t="n"/>
    </row>
    <row r="86">
      <c r="A86" s="40" t="inlineStr">
        <is>
          <t>출처</t>
        </is>
      </c>
      <c r="C86" s="39" t="n"/>
      <c r="O86" s="39" t="n"/>
      <c r="Y86" s="39" t="n"/>
    </row>
    <row r="87">
      <c r="A87" s="41" t="inlineStr">
        <is>
          <t>결산단신 XBRL(TDnet·JPX 보관소) — 쓴 문서는 '출처' 시트</t>
        </is>
      </c>
      <c r="C87" s="39" t="n"/>
      <c r="O87" s="39" t="n"/>
      <c r="Y87" s="39" t="n"/>
    </row>
    <row r="88">
      <c r="A88" s="41" t="inlineStr">
        <is>
          <t>분기 = 누계에서 앞 분기를 뺀 3개월 값</t>
        </is>
      </c>
      <c r="C88" s="39" t="n"/>
      <c r="O88" s="39" t="n"/>
      <c r="Y88" s="39" t="n"/>
    </row>
    <row r="89">
      <c r="A89" s="41" t="inlineStr">
        <is>
          <t>주가: 야후 파이낸스 일봉 2026.10.28</t>
        </is>
      </c>
      <c r="C89" s="39" t="n"/>
      <c r="O89" s="39" t="n"/>
      <c r="Y89" s="39" t="n"/>
    </row>
    <row r="91">
      <c r="A91" s="16" t="inlineStr">
        <is>
          <t>포괄손익 · 전 항목</t>
        </is>
      </c>
      <c r="B91" s="42" t="inlineStr">
        <is>
          <t>분기 = 3개월 단독</t>
        </is>
      </c>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row>
    <row r="92">
      <c r="A92" s="5" t="inlineStr">
        <is>
          <t>항목</t>
        </is>
      </c>
      <c r="B92" s="5" t="inlineStr">
        <is>
          <t>참고</t>
        </is>
      </c>
      <c r="C92" s="5" t="inlineStr">
        <is>
          <t>2024.1Q</t>
        </is>
      </c>
      <c r="D92" s="5" t="inlineStr">
        <is>
          <t>2024.2Q</t>
        </is>
      </c>
      <c r="E92" s="5" t="inlineStr">
        <is>
          <t>2024.3Q</t>
        </is>
      </c>
      <c r="F92" s="5" t="inlineStr">
        <is>
          <t>2024.4Q</t>
        </is>
      </c>
      <c r="G92" s="5" t="inlineStr">
        <is>
          <t>2025.1Q</t>
        </is>
      </c>
      <c r="H92" s="5" t="inlineStr">
        <is>
          <t>2025.2Q</t>
        </is>
      </c>
      <c r="I92" s="5" t="inlineStr">
        <is>
          <t>2025.3Q</t>
        </is>
      </c>
      <c r="J92" s="5" t="inlineStr">
        <is>
          <t>2025.4Q</t>
        </is>
      </c>
      <c r="K92" s="5" t="inlineStr">
        <is>
          <t>2026.1Q</t>
        </is>
      </c>
      <c r="L92" s="5" t="inlineStr">
        <is>
          <t>2026.2Q</t>
        </is>
      </c>
      <c r="M92" s="5" t="inlineStr">
        <is>
          <t>2026.3Q</t>
        </is>
      </c>
      <c r="N92" s="5" t="inlineStr">
        <is>
          <t>2026.4Q</t>
        </is>
      </c>
      <c r="O92" s="5" t="inlineStr">
        <is>
          <t>2017</t>
        </is>
      </c>
      <c r="P92" s="5" t="inlineStr">
        <is>
          <t>2018</t>
        </is>
      </c>
      <c r="Q92" s="5" t="inlineStr">
        <is>
          <t>2019</t>
        </is>
      </c>
      <c r="R92" s="5" t="inlineStr">
        <is>
          <t>2020</t>
        </is>
      </c>
      <c r="S92" s="5" t="inlineStr">
        <is>
          <t>2021</t>
        </is>
      </c>
      <c r="T92" s="5" t="inlineStr">
        <is>
          <t>2022</t>
        </is>
      </c>
      <c r="U92" s="5" t="inlineStr">
        <is>
          <t>2023</t>
        </is>
      </c>
      <c r="V92" s="5" t="inlineStr">
        <is>
          <t>2024</t>
        </is>
      </c>
      <c r="W92" s="5" t="inlineStr">
        <is>
          <t>2025</t>
        </is>
      </c>
      <c r="X92" s="5" t="inlineStr">
        <is>
          <t>2026</t>
        </is>
      </c>
      <c r="Y92" s="5" t="inlineStr">
        <is>
          <t>2027(MW)</t>
        </is>
      </c>
      <c r="Z92" s="5" t="inlineStr">
        <is>
          <t>2028(MW)</t>
        </is>
      </c>
      <c r="AA92" s="5" t="inlineStr">
        <is>
          <t>2029(MW)</t>
        </is>
      </c>
      <c r="AB92" s="5" t="inlineStr">
        <is>
          <t>2030(MW)</t>
        </is>
      </c>
      <c r="AC92" s="5" t="inlineStr">
        <is>
          <t>2031(MW)</t>
        </is>
      </c>
    </row>
    <row r="93">
      <c r="A93" s="9" t="inlineStr">
        <is>
          <t>매출수익</t>
        </is>
      </c>
      <c r="C93" s="12" t="n">
        <v>176709</v>
      </c>
      <c r="D93" s="12" t="n">
        <v>185356</v>
      </c>
      <c r="E93" s="12" t="n">
        <v>187954</v>
      </c>
      <c r="G93" s="12" t="n">
        <v>188110</v>
      </c>
      <c r="K93" s="12" t="n">
        <v>195770</v>
      </c>
    </row>
    <row r="94">
      <c r="A94" s="18" t="inlineStr">
        <is>
          <t>매출원가</t>
        </is>
      </c>
      <c r="C94" s="20" t="n">
        <v>113538</v>
      </c>
      <c r="D94" s="20" t="n">
        <v>120154</v>
      </c>
      <c r="E94" s="20" t="n">
        <v>121346</v>
      </c>
      <c r="G94" s="20" t="n">
        <v>120450</v>
      </c>
      <c r="K94" s="20" t="n">
        <v>124198</v>
      </c>
    </row>
    <row r="95">
      <c r="A95" s="9" t="inlineStr">
        <is>
          <t>매출총이익</t>
        </is>
      </c>
      <c r="C95" s="12" t="n">
        <v>63170</v>
      </c>
      <c r="D95" s="12" t="n">
        <v>65203</v>
      </c>
      <c r="E95" s="12" t="n">
        <v>66607</v>
      </c>
      <c r="G95" s="12" t="n">
        <v>67660</v>
      </c>
      <c r="K95" s="12" t="n">
        <v>71571</v>
      </c>
    </row>
    <row r="96">
      <c r="A96" s="18" t="inlineStr">
        <is>
          <t>판매비와 관리비</t>
        </is>
      </c>
      <c r="C96" s="20" t="n">
        <v>35342</v>
      </c>
      <c r="D96" s="20" t="n">
        <v>33803</v>
      </c>
      <c r="E96" s="20" t="n">
        <v>36198</v>
      </c>
      <c r="G96" s="20" t="n">
        <v>36470</v>
      </c>
      <c r="K96" s="20" t="n">
        <v>34864</v>
      </c>
    </row>
    <row r="97">
      <c r="A97" s="18" t="inlineStr">
        <is>
          <t>Share Of Profit Loss Of Investments Accounted For Using Equity Method</t>
        </is>
      </c>
      <c r="C97" s="20" t="n">
        <v>147</v>
      </c>
      <c r="D97" s="20" t="n">
        <v>142</v>
      </c>
      <c r="E97" s="20" t="n">
        <v>331</v>
      </c>
      <c r="G97" s="20" t="n">
        <v>152</v>
      </c>
      <c r="K97" s="20" t="n">
        <v>285</v>
      </c>
    </row>
    <row r="98">
      <c r="A98" s="18" t="inlineStr">
        <is>
          <t>기타수익</t>
        </is>
      </c>
      <c r="C98" s="20" t="n">
        <v>90</v>
      </c>
      <c r="D98" s="20" t="n">
        <v>259</v>
      </c>
      <c r="E98" s="20" t="n">
        <v>1620</v>
      </c>
      <c r="G98" s="20" t="n">
        <v>1322</v>
      </c>
      <c r="K98" s="20" t="n">
        <v>312</v>
      </c>
    </row>
    <row r="99">
      <c r="A99" s="18" t="inlineStr">
        <is>
          <t>기타비용</t>
        </is>
      </c>
      <c r="C99" s="20" t="n">
        <v>1039</v>
      </c>
      <c r="D99" s="20" t="n">
        <v>-37</v>
      </c>
      <c r="E99" s="20" t="n">
        <v>-14</v>
      </c>
      <c r="G99" s="20" t="n">
        <v>21</v>
      </c>
      <c r="K99" s="20" t="n">
        <v>58</v>
      </c>
    </row>
    <row r="100">
      <c r="A100" s="18" t="inlineStr">
        <is>
          <t>영업이익</t>
        </is>
      </c>
      <c r="C100" s="20" t="n">
        <v>27027</v>
      </c>
      <c r="D100" s="20" t="n">
        <v>31838</v>
      </c>
      <c r="E100" s="20" t="n">
        <v>32374</v>
      </c>
      <c r="G100" s="20" t="n">
        <v>32643</v>
      </c>
      <c r="K100" s="20" t="n">
        <v>37246</v>
      </c>
    </row>
    <row r="101">
      <c r="A101" s="18" t="inlineStr">
        <is>
          <t>금융수익</t>
        </is>
      </c>
      <c r="C101" s="20" t="n">
        <v>1032</v>
      </c>
      <c r="D101" s="20" t="n">
        <v>756</v>
      </c>
      <c r="E101" s="20" t="n">
        <v>991</v>
      </c>
      <c r="G101" s="20" t="n">
        <v>1339</v>
      </c>
      <c r="K101" s="20" t="n">
        <v>2008</v>
      </c>
    </row>
    <row r="102">
      <c r="A102" s="18" t="inlineStr">
        <is>
          <t>금융비용</t>
        </is>
      </c>
      <c r="C102" s="20" t="n">
        <v>1479</v>
      </c>
      <c r="D102" s="20" t="n">
        <v>1635</v>
      </c>
      <c r="E102" s="20" t="n">
        <v>1630</v>
      </c>
      <c r="G102" s="20" t="n">
        <v>1933</v>
      </c>
      <c r="K102" s="20" t="n">
        <v>1275</v>
      </c>
    </row>
    <row r="103">
      <c r="A103" s="9" t="inlineStr">
        <is>
          <t>법인세비용차감전 중간이익</t>
        </is>
      </c>
      <c r="C103" s="12" t="n">
        <v>26580</v>
      </c>
      <c r="D103" s="12" t="n">
        <v>30959</v>
      </c>
      <c r="E103" s="12" t="n">
        <v>31735</v>
      </c>
      <c r="G103" s="12" t="n">
        <v>32050</v>
      </c>
      <c r="K103" s="12" t="n">
        <v>37978</v>
      </c>
    </row>
    <row r="104">
      <c r="A104" s="18" t="inlineStr">
        <is>
          <t>법인소득세 비용</t>
        </is>
      </c>
      <c r="C104" s="20" t="n">
        <v>9286</v>
      </c>
      <c r="D104" s="20" t="n">
        <v>10367</v>
      </c>
      <c r="E104" s="20" t="n">
        <v>8180</v>
      </c>
      <c r="G104" s="20" t="n">
        <v>9717</v>
      </c>
      <c r="K104" s="20" t="n">
        <v>11858</v>
      </c>
    </row>
    <row r="105">
      <c r="A105" s="9" t="inlineStr">
        <is>
          <t>중간이익</t>
        </is>
      </c>
      <c r="C105" s="12" t="n">
        <v>17294</v>
      </c>
      <c r="D105" s="12" t="n">
        <v>20592</v>
      </c>
      <c r="E105" s="12" t="n">
        <v>23555</v>
      </c>
      <c r="G105" s="12" t="n">
        <v>22332</v>
      </c>
      <c r="K105" s="12" t="n">
        <v>26120</v>
      </c>
    </row>
    <row r="106">
      <c r="A106" s="9" t="inlineStr">
        <is>
          <t>지배기업 소유주</t>
        </is>
      </c>
      <c r="C106" s="12" t="n">
        <v>22293</v>
      </c>
      <c r="D106" s="12" t="n">
        <v>22009</v>
      </c>
      <c r="E106" s="12" t="n">
        <v>18996</v>
      </c>
      <c r="G106" s="12" t="n">
        <v>31907</v>
      </c>
      <c r="K106" s="12" t="n">
        <v>25893</v>
      </c>
    </row>
    <row r="107">
      <c r="A107" s="9" t="inlineStr">
        <is>
          <t>비지배지분</t>
        </is>
      </c>
      <c r="C107" s="12" t="n">
        <v>83</v>
      </c>
      <c r="D107" s="12" t="n">
        <v>140</v>
      </c>
      <c r="E107" s="12" t="n">
        <v>124</v>
      </c>
      <c r="G107" s="12" t="n">
        <v>166</v>
      </c>
      <c r="K107" s="12" t="n">
        <v>119</v>
      </c>
    </row>
    <row r="108">
      <c r="A108" s="18" t="inlineStr">
        <is>
          <t>Net Change In Fair Value Of Equity Instruments Designated As Measured At Fair Value Through Other Comprehensive Income Net Of Tax Items That Will Not Be Reclassified To Profit Or Loss OCI</t>
        </is>
      </c>
      <c r="C108" s="20" t="n">
        <v>1822</v>
      </c>
      <c r="D108" s="20" t="n">
        <v>534</v>
      </c>
      <c r="E108" s="20" t="n">
        <v>177</v>
      </c>
      <c r="G108" s="20" t="n">
        <v>943</v>
      </c>
      <c r="K108" s="20" t="n">
        <v>1506</v>
      </c>
    </row>
    <row r="109">
      <c r="A109" s="18" t="inlineStr">
        <is>
          <t>확정급여제도 재측정</t>
        </is>
      </c>
      <c r="C109" s="20" t="n">
        <v>7</v>
      </c>
      <c r="D109" s="20" t="n">
        <v>-1</v>
      </c>
      <c r="E109" s="20" t="n">
        <v>0</v>
      </c>
      <c r="G109" s="20" t="n">
        <v>56</v>
      </c>
      <c r="K109" s="20" t="n">
        <v>-11</v>
      </c>
    </row>
    <row r="110">
      <c r="A110" s="18" t="inlineStr">
        <is>
          <t>Share Of Other Comprehensive Income Of Investments Accounted For Using Equity Method Net Of Tax Items That Will Not Be Reclassified To Profit Or Loss OCI</t>
        </is>
      </c>
      <c r="C110" s="20" t="n">
        <v>-0</v>
      </c>
      <c r="D110" s="20" t="n">
        <v>-6</v>
      </c>
      <c r="E110" s="20" t="n">
        <v>1</v>
      </c>
      <c r="G110" s="20" t="n">
        <v>5</v>
      </c>
      <c r="K110" s="20" t="n">
        <v>8</v>
      </c>
    </row>
    <row r="111">
      <c r="A111" s="18" t="inlineStr">
        <is>
          <t>당기손익으로 재분류되지 않는 항목 합계</t>
        </is>
      </c>
      <c r="C111" s="20" t="n">
        <v>1829</v>
      </c>
      <c r="D111" s="20" t="n">
        <v>527</v>
      </c>
      <c r="E111" s="20" t="n">
        <v>178</v>
      </c>
      <c r="G111" s="20" t="n">
        <v>1005</v>
      </c>
      <c r="K111" s="20" t="n">
        <v>1502</v>
      </c>
    </row>
    <row r="112">
      <c r="A112" s="18" t="inlineStr">
        <is>
          <t>Financial Assets Measured At Fair Value Through Other Comprehensive Income Net Of Tax Items That May Be Reclassified To Profit Or Loss OCI</t>
        </is>
      </c>
      <c r="C112" s="20" t="n">
        <v>0</v>
      </c>
      <c r="D112" s="20" t="n">
        <v>0</v>
      </c>
      <c r="E112" s="20" t="n">
        <v>0</v>
      </c>
      <c r="G112" s="20" t="n">
        <v>-0</v>
      </c>
      <c r="K112" s="20" t="n">
        <v>0</v>
      </c>
    </row>
    <row r="113">
      <c r="A113" s="18" t="inlineStr">
        <is>
          <t>해외사업 환산차액</t>
        </is>
      </c>
      <c r="C113" s="20" t="n">
        <v>2488</v>
      </c>
      <c r="D113" s="20" t="n">
        <v>556</v>
      </c>
      <c r="E113" s="20" t="n">
        <v>-3423</v>
      </c>
      <c r="G113" s="20" t="n">
        <v>8232</v>
      </c>
      <c r="K113" s="20" t="n">
        <v>-1046</v>
      </c>
    </row>
    <row r="114">
      <c r="A114" s="18" t="inlineStr">
        <is>
          <t>현금흐름 위험회피</t>
        </is>
      </c>
      <c r="C114" s="20" t="n">
        <v>772</v>
      </c>
      <c r="D114" s="20" t="n">
        <v>418</v>
      </c>
      <c r="E114" s="20" t="n">
        <v>-1164</v>
      </c>
      <c r="G114" s="20" t="n">
        <v>519</v>
      </c>
      <c r="K114" s="20" t="n">
        <v>-555</v>
      </c>
    </row>
    <row r="115">
      <c r="A115" s="18" t="inlineStr">
        <is>
          <t>Share Of Other Comprehensive Income Of Investments Accounted For Using Equity Method Net Of Tax Items That May Be Reclassified To Profit Or Loss OCI</t>
        </is>
      </c>
      <c r="C115" s="20" t="n">
        <v>-7</v>
      </c>
      <c r="D115" s="20" t="n">
        <v>54</v>
      </c>
      <c r="E115" s="20" t="n">
        <v>-25</v>
      </c>
      <c r="G115" s="20" t="n">
        <v>-17</v>
      </c>
      <c r="K115" s="20" t="n">
        <v>-8</v>
      </c>
    </row>
    <row r="116">
      <c r="A116" s="18" t="inlineStr">
        <is>
          <t>당기손익으로 재분류될 수 있는 항목 합계</t>
        </is>
      </c>
      <c r="C116" s="20" t="n">
        <v>3253</v>
      </c>
      <c r="D116" s="20" t="n">
        <v>1030</v>
      </c>
      <c r="E116" s="20" t="n">
        <v>-4613</v>
      </c>
      <c r="G116" s="20" t="n">
        <v>8734</v>
      </c>
      <c r="K116" s="20" t="n">
        <v>-1610</v>
      </c>
    </row>
    <row r="117">
      <c r="A117" s="18" t="inlineStr">
        <is>
          <t>세후 기타포괄이익</t>
        </is>
      </c>
      <c r="C117" s="20" t="n">
        <v>5083</v>
      </c>
      <c r="D117" s="20" t="n">
        <v>1556</v>
      </c>
      <c r="E117" s="20" t="n">
        <v>-4435</v>
      </c>
      <c r="G117" s="20" t="n">
        <v>9740</v>
      </c>
      <c r="K117" s="20" t="n">
        <v>-107</v>
      </c>
    </row>
    <row r="118">
      <c r="A118" s="9" t="inlineStr">
        <is>
          <t>포괄이익</t>
        </is>
      </c>
      <c r="C118" s="12" t="n">
        <v>22377</v>
      </c>
      <c r="D118" s="12" t="n">
        <v>22148</v>
      </c>
      <c r="E118" s="12" t="n">
        <v>19120</v>
      </c>
      <c r="G118" s="12" t="n">
        <v>32073</v>
      </c>
      <c r="K118" s="12" t="n">
        <v>26012</v>
      </c>
    </row>
    <row r="119">
      <c r="A119" s="18" t="inlineStr">
        <is>
          <t>Basic Earnings Loss Per Share</t>
        </is>
      </c>
      <c r="C119" s="20" t="n">
        <v>2.915e-05</v>
      </c>
      <c r="D119" s="20" t="n">
        <v>3.497999999999999e-05</v>
      </c>
      <c r="E119" s="20" t="n">
        <v>4.055000000000001e-05</v>
      </c>
      <c r="G119" s="20" t="n">
        <v>3.851e-05</v>
      </c>
      <c r="K119" s="20" t="n">
        <v>4.543e-05</v>
      </c>
    </row>
    <row r="120">
      <c r="A120" s="18" t="inlineStr">
        <is>
          <t>Diluted Earnings Loss Per Share</t>
        </is>
      </c>
      <c r="C120" s="20" t="n">
        <v>2.914e-05</v>
      </c>
      <c r="D120" s="20" t="n">
        <v>3.495e-05</v>
      </c>
      <c r="E120" s="20" t="n">
        <v>4.053e-05</v>
      </c>
      <c r="G120" s="20" t="n">
        <v>3.85e-05</v>
      </c>
      <c r="K120" s="20" t="n">
        <v>4.543e-05</v>
      </c>
    </row>
    <row r="121">
      <c r="A121" s="9" t="inlineStr">
        <is>
          <t>지배기업 소유주</t>
        </is>
      </c>
      <c r="C121" s="12" t="n">
        <v>17210</v>
      </c>
      <c r="D121" s="12" t="n">
        <v>20452</v>
      </c>
      <c r="E121" s="12" t="n">
        <v>23431</v>
      </c>
      <c r="G121" s="12" t="n">
        <v>22166</v>
      </c>
      <c r="K121" s="12" t="n">
        <v>26000</v>
      </c>
    </row>
    <row r="122">
      <c r="A122" s="9" t="inlineStr">
        <is>
          <t>비지배지분</t>
        </is>
      </c>
      <c r="C122" s="12" t="n">
        <v>83</v>
      </c>
      <c r="D122" s="12" t="n">
        <v>140</v>
      </c>
      <c r="E122" s="12" t="n">
        <v>124</v>
      </c>
      <c r="G122" s="12" t="n">
        <v>166</v>
      </c>
      <c r="K122" s="12" t="n">
        <v>119</v>
      </c>
    </row>
    <row r="124">
      <c r="A124" s="16" t="inlineStr">
        <is>
          <t>부문 · 전 항목</t>
        </is>
      </c>
      <c r="B124" s="42" t="inlineStr">
        <is>
          <t>부문 · 항목</t>
        </is>
      </c>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row>
    <row r="125">
      <c r="A125" s="5" t="inlineStr">
        <is>
          <t>항목</t>
        </is>
      </c>
      <c r="B125" s="5" t="inlineStr">
        <is>
          <t>참고</t>
        </is>
      </c>
      <c r="C125" s="5" t="inlineStr">
        <is>
          <t>2024.1Q</t>
        </is>
      </c>
      <c r="D125" s="5" t="inlineStr">
        <is>
          <t>2024.2Q</t>
        </is>
      </c>
      <c r="E125" s="5" t="inlineStr">
        <is>
          <t>2024.3Q</t>
        </is>
      </c>
      <c r="F125" s="5" t="inlineStr">
        <is>
          <t>2024.4Q</t>
        </is>
      </c>
      <c r="G125" s="5" t="inlineStr">
        <is>
          <t>2025.1Q</t>
        </is>
      </c>
      <c r="H125" s="5" t="inlineStr">
        <is>
          <t>2025.2Q</t>
        </is>
      </c>
      <c r="I125" s="5" t="inlineStr">
        <is>
          <t>2025.3Q</t>
        </is>
      </c>
      <c r="J125" s="5" t="inlineStr">
        <is>
          <t>2025.4Q</t>
        </is>
      </c>
      <c r="K125" s="5" t="inlineStr">
        <is>
          <t>2026.1Q</t>
        </is>
      </c>
      <c r="L125" s="5" t="inlineStr">
        <is>
          <t>2026.2Q</t>
        </is>
      </c>
      <c r="M125" s="5" t="inlineStr">
        <is>
          <t>2026.3Q</t>
        </is>
      </c>
      <c r="N125" s="5" t="inlineStr">
        <is>
          <t>2026.4Q</t>
        </is>
      </c>
      <c r="O125" s="5" t="inlineStr">
        <is>
          <t>2017</t>
        </is>
      </c>
      <c r="P125" s="5" t="inlineStr">
        <is>
          <t>2018</t>
        </is>
      </c>
      <c r="Q125" s="5" t="inlineStr">
        <is>
          <t>2019</t>
        </is>
      </c>
      <c r="R125" s="5" t="inlineStr">
        <is>
          <t>2020</t>
        </is>
      </c>
      <c r="S125" s="5" t="inlineStr">
        <is>
          <t>2021</t>
        </is>
      </c>
      <c r="T125" s="5" t="inlineStr">
        <is>
          <t>2022</t>
        </is>
      </c>
      <c r="U125" s="5" t="inlineStr">
        <is>
          <t>2023</t>
        </is>
      </c>
      <c r="V125" s="5" t="inlineStr">
        <is>
          <t>2024</t>
        </is>
      </c>
      <c r="W125" s="5" t="inlineStr">
        <is>
          <t>2025</t>
        </is>
      </c>
      <c r="X125" s="5" t="inlineStr">
        <is>
          <t>2026</t>
        </is>
      </c>
      <c r="Y125" s="5" t="inlineStr">
        <is>
          <t>2027(MW)</t>
        </is>
      </c>
      <c r="Z125" s="5" t="inlineStr">
        <is>
          <t>2028(MW)</t>
        </is>
      </c>
      <c r="AA125" s="5" t="inlineStr">
        <is>
          <t>2029(MW)</t>
        </is>
      </c>
      <c r="AB125" s="5" t="inlineStr">
        <is>
          <t>2030(MW)</t>
        </is>
      </c>
      <c r="AC125" s="5" t="inlineStr">
        <is>
          <t>2031(MW)</t>
        </is>
      </c>
    </row>
    <row r="126">
      <c r="A126" s="18" t="inlineStr">
        <is>
          <t>부문 · Revenue From External Customers</t>
        </is>
      </c>
      <c r="C126" s="20" t="n">
        <v>10655</v>
      </c>
      <c r="D126" s="20" t="n">
        <v>13092</v>
      </c>
      <c r="E126" s="20" t="n">
        <v>13609</v>
      </c>
      <c r="F126" s="20" t="n">
        <v>14603</v>
      </c>
      <c r="G126" s="20" t="n">
        <v>12579</v>
      </c>
      <c r="H126" s="20" t="n">
        <v>14866</v>
      </c>
      <c r="I126" s="20" t="n">
        <v>16189</v>
      </c>
      <c r="J126" s="20" t="n">
        <v>16699</v>
      </c>
      <c r="K126" s="20" t="n">
        <v>13404</v>
      </c>
      <c r="L126" s="20" t="n">
        <v>15917</v>
      </c>
      <c r="M126" s="20" t="n">
        <v>17154</v>
      </c>
      <c r="N126" s="20" t="n">
        <v>17081</v>
      </c>
      <c r="V126" s="20" t="n">
        <v>14603</v>
      </c>
      <c r="W126" s="20" t="n">
        <v>16699</v>
      </c>
      <c r="X126" s="20" t="n">
        <v>17081</v>
      </c>
    </row>
    <row r="127">
      <c r="A127" s="43" t="inlineStr">
        <is>
          <t>YoY</t>
        </is>
      </c>
      <c r="B127" s="3" t="inlineStr">
        <is>
          <t>전년 같은 분기·전년 대비</t>
        </is>
      </c>
      <c r="G127" s="15">
        <f>IF(OR(G126="",C126=""),"",IF(C126&lt;=0,"",IFERROR(G126/C126-1,"")))</f>
        <v/>
      </c>
      <c r="H127" s="15">
        <f>IF(OR(H126="",D126=""),"",IF(D126&lt;=0,"",IFERROR(H126/D126-1,"")))</f>
        <v/>
      </c>
      <c r="I127" s="15">
        <f>IF(OR(I126="",E126=""),"",IF(E126&lt;=0,"",IFERROR(I126/E126-1,"")))</f>
        <v/>
      </c>
      <c r="J127" s="15">
        <f>IF(OR(J126="",F126=""),"",IF(F126&lt;=0,"",IFERROR(J126/F126-1,"")))</f>
        <v/>
      </c>
      <c r="K127" s="15">
        <f>IF(OR(K126="",G126=""),"",IF(G126&lt;=0,"",IFERROR(K126/G126-1,"")))</f>
        <v/>
      </c>
      <c r="L127" s="15">
        <f>IF(OR(L126="",H126=""),"",IF(H126&lt;=0,"",IFERROR(L126/H126-1,"")))</f>
        <v/>
      </c>
      <c r="M127" s="15">
        <f>IF(OR(M126="",I126=""),"",IF(I126&lt;=0,"",IFERROR(M126/I126-1,"")))</f>
        <v/>
      </c>
      <c r="N127" s="15">
        <f>IF(OR(N126="",J126=""),"",IF(J126&lt;=0,"",IFERROR(N126/J126-1,"")))</f>
        <v/>
      </c>
      <c r="V127" s="15">
        <f>IF(OR(V126="",U126=""),"",IF(U126&lt;=0,"",IFERROR(V126/U126-1,"")))</f>
        <v/>
      </c>
      <c r="W127" s="15">
        <f>IF(OR(W126="",V126=""),"",IF(V126&lt;=0,"",IFERROR(W126/V126-1,"")))</f>
        <v/>
      </c>
      <c r="X127" s="15">
        <f>IF(OR(X126="",W126=""),"",IF(W126&lt;=0,"",IFERROR(X126/W126-1,"")))</f>
        <v/>
      </c>
    </row>
    <row r="128">
      <c r="A128" s="18" t="inlineStr">
        <is>
          <t>부문 · Revenue From External Customers</t>
        </is>
      </c>
      <c r="C128" s="20" t="n">
        <v>83408</v>
      </c>
      <c r="D128" s="20" t="n">
        <v>87511</v>
      </c>
      <c r="E128" s="20" t="n">
        <v>89458</v>
      </c>
      <c r="F128" s="20" t="n">
        <v>89495</v>
      </c>
      <c r="G128" s="20" t="n">
        <v>89313</v>
      </c>
      <c r="H128" s="20" t="n">
        <v>90639</v>
      </c>
      <c r="I128" s="20" t="n">
        <v>93066</v>
      </c>
      <c r="J128" s="20" t="n">
        <v>93587</v>
      </c>
      <c r="K128" s="20" t="n">
        <v>109443</v>
      </c>
      <c r="L128" s="20" t="n">
        <v>84104</v>
      </c>
      <c r="M128" s="20" t="n">
        <v>101903</v>
      </c>
      <c r="N128" s="20" t="n">
        <v>104342</v>
      </c>
      <c r="V128" s="20" t="n">
        <v>89495</v>
      </c>
      <c r="W128" s="20" t="n">
        <v>93587</v>
      </c>
      <c r="X128" s="20" t="n">
        <v>104342</v>
      </c>
    </row>
    <row r="129">
      <c r="A129" s="43" t="inlineStr">
        <is>
          <t>YoY</t>
        </is>
      </c>
      <c r="B129" s="3" t="inlineStr">
        <is>
          <t>전년 같은 분기·전년 대비</t>
        </is>
      </c>
      <c r="G129" s="15">
        <f>IF(OR(G128="",C128=""),"",IF(C128&lt;=0,"",IFERROR(G128/C128-1,"")))</f>
        <v/>
      </c>
      <c r="H129" s="15">
        <f>IF(OR(H128="",D128=""),"",IF(D128&lt;=0,"",IFERROR(H128/D128-1,"")))</f>
        <v/>
      </c>
      <c r="I129" s="15">
        <f>IF(OR(I128="",E128=""),"",IF(E128&lt;=0,"",IFERROR(I128/E128-1,"")))</f>
        <v/>
      </c>
      <c r="J129" s="15">
        <f>IF(OR(J128="",F128=""),"",IF(F128&lt;=0,"",IFERROR(J128/F128-1,"")))</f>
        <v/>
      </c>
      <c r="K129" s="15">
        <f>IF(OR(K128="",G128=""),"",IF(G128&lt;=0,"",IFERROR(K128/G128-1,"")))</f>
        <v/>
      </c>
      <c r="L129" s="15">
        <f>IF(OR(L128="",H128=""),"",IF(H128&lt;=0,"",IFERROR(L128/H128-1,"")))</f>
        <v/>
      </c>
      <c r="M129" s="15">
        <f>IF(OR(M128="",I128=""),"",IF(I128&lt;=0,"",IFERROR(M128/I128-1,"")))</f>
        <v/>
      </c>
      <c r="N129" s="15">
        <f>IF(OR(N128="",J128=""),"",IF(J128&lt;=0,"",IFERROR(N128/J128-1,"")))</f>
        <v/>
      </c>
      <c r="V129" s="15">
        <f>IF(OR(V128="",U128=""),"",IF(U128&lt;=0,"",IFERROR(V128/U128-1,"")))</f>
        <v/>
      </c>
      <c r="W129" s="15">
        <f>IF(OR(W128="",V128=""),"",IF(V128&lt;=0,"",IFERROR(W128/V128-1,"")))</f>
        <v/>
      </c>
      <c r="X129" s="15">
        <f>IF(OR(X128="",W128=""),"",IF(W128&lt;=0,"",IFERROR(X128/W128-1,"")))</f>
        <v/>
      </c>
    </row>
    <row r="130">
      <c r="A130" s="18" t="inlineStr">
        <is>
          <t>부문 · Revenue From External Customers</t>
        </is>
      </c>
      <c r="C130" s="20" t="n">
        <v>69426</v>
      </c>
      <c r="D130" s="20" t="n">
        <v>70631</v>
      </c>
      <c r="E130" s="20" t="n">
        <v>69295</v>
      </c>
      <c r="F130" s="20" t="n">
        <v>66571</v>
      </c>
      <c r="G130" s="20" t="n">
        <v>70599</v>
      </c>
      <c r="H130" s="20" t="n">
        <v>67175</v>
      </c>
      <c r="I130" s="20" t="n">
        <v>64674</v>
      </c>
      <c r="J130" s="20" t="n">
        <v>65039</v>
      </c>
      <c r="K130" s="20" t="n">
        <v>54550</v>
      </c>
      <c r="L130" s="20" t="n">
        <v>82486</v>
      </c>
      <c r="M130" s="20" t="n">
        <v>66210</v>
      </c>
      <c r="N130" s="20" t="n">
        <v>67995</v>
      </c>
      <c r="V130" s="20" t="n">
        <v>66571</v>
      </c>
      <c r="W130" s="20" t="n">
        <v>65039</v>
      </c>
      <c r="X130" s="20" t="n">
        <v>67995</v>
      </c>
    </row>
    <row r="131">
      <c r="A131" s="43" t="inlineStr">
        <is>
          <t>YoY</t>
        </is>
      </c>
      <c r="B131" s="3" t="inlineStr">
        <is>
          <t>전년 같은 분기·전년 대비</t>
        </is>
      </c>
      <c r="G131" s="15">
        <f>IF(OR(G130="",C130=""),"",IF(C130&lt;=0,"",IFERROR(G130/C130-1,"")))</f>
        <v/>
      </c>
      <c r="H131" s="15">
        <f>IF(OR(H130="",D130=""),"",IF(D130&lt;=0,"",IFERROR(H130/D130-1,"")))</f>
        <v/>
      </c>
      <c r="I131" s="15">
        <f>IF(OR(I130="",E130=""),"",IF(E130&lt;=0,"",IFERROR(I130/E130-1,"")))</f>
        <v/>
      </c>
      <c r="J131" s="15">
        <f>IF(OR(J130="",F130=""),"",IF(F130&lt;=0,"",IFERROR(J130/F130-1,"")))</f>
        <v/>
      </c>
      <c r="K131" s="15">
        <f>IF(OR(K130="",G130=""),"",IF(G130&lt;=0,"",IFERROR(K130/G130-1,"")))</f>
        <v/>
      </c>
      <c r="L131" s="15">
        <f>IF(OR(L130="",H130=""),"",IF(H130&lt;=0,"",IFERROR(L130/H130-1,"")))</f>
        <v/>
      </c>
      <c r="M131" s="15">
        <f>IF(OR(M130="",I130=""),"",IF(I130&lt;=0,"",IFERROR(M130/I130-1,"")))</f>
        <v/>
      </c>
      <c r="N131" s="15">
        <f>IF(OR(N130="",J130=""),"",IF(J130&lt;=0,"",IFERROR(N130/J130-1,"")))</f>
        <v/>
      </c>
      <c r="V131" s="15">
        <f>IF(OR(V130="",U130=""),"",IF(U130&lt;=0,"",IFERROR(V130/U130-1,"")))</f>
        <v/>
      </c>
      <c r="W131" s="15">
        <f>IF(OR(W130="",V130=""),"",IF(V130&lt;=0,"",IFERROR(W130/V130-1,"")))</f>
        <v/>
      </c>
      <c r="X131" s="15">
        <f>IF(OR(X130="",W130=""),"",IF(W130&lt;=0,"",IFERROR(X130/W130-1,"")))</f>
        <v/>
      </c>
    </row>
    <row r="132">
      <c r="A132" s="18" t="inlineStr">
        <is>
          <t>부문 · Revenue From External Customers</t>
        </is>
      </c>
      <c r="C132" s="20" t="n">
        <v>12489</v>
      </c>
      <c r="D132" s="20" t="n">
        <v>13339</v>
      </c>
      <c r="E132" s="20" t="n">
        <v>14805</v>
      </c>
      <c r="F132" s="20" t="n">
        <v>14995</v>
      </c>
      <c r="G132" s="20" t="n">
        <v>14745</v>
      </c>
      <c r="H132" s="20" t="n">
        <v>15147</v>
      </c>
      <c r="I132" s="20" t="n">
        <v>16725</v>
      </c>
      <c r="J132" s="20" t="n">
        <v>20424</v>
      </c>
      <c r="K132" s="20" t="n">
        <v>17648</v>
      </c>
      <c r="L132" s="20" t="n">
        <v>18037</v>
      </c>
      <c r="M132" s="20" t="n">
        <v>19216</v>
      </c>
      <c r="N132" s="20" t="n">
        <v>22138</v>
      </c>
      <c r="V132" s="20" t="n">
        <v>14995</v>
      </c>
      <c r="W132" s="20" t="n">
        <v>20424</v>
      </c>
      <c r="X132" s="20" t="n">
        <v>22138</v>
      </c>
    </row>
    <row r="133">
      <c r="A133" s="43" t="inlineStr">
        <is>
          <t>YoY</t>
        </is>
      </c>
      <c r="B133" s="3" t="inlineStr">
        <is>
          <t>전년 같은 분기·전년 대비</t>
        </is>
      </c>
      <c r="G133" s="15">
        <f>IF(OR(G132="",C132=""),"",IF(C132&lt;=0,"",IFERROR(G132/C132-1,"")))</f>
        <v/>
      </c>
      <c r="H133" s="15">
        <f>IF(OR(H132="",D132=""),"",IF(D132&lt;=0,"",IFERROR(H132/D132-1,"")))</f>
        <v/>
      </c>
      <c r="I133" s="15">
        <f>IF(OR(I132="",E132=""),"",IF(E132&lt;=0,"",IFERROR(I132/E132-1,"")))</f>
        <v/>
      </c>
      <c r="J133" s="15">
        <f>IF(OR(J132="",F132=""),"",IF(F132&lt;=0,"",IFERROR(J132/F132-1,"")))</f>
        <v/>
      </c>
      <c r="K133" s="15">
        <f>IF(OR(K132="",G132=""),"",IF(G132&lt;=0,"",IFERROR(K132/G132-1,"")))</f>
        <v/>
      </c>
      <c r="L133" s="15">
        <f>IF(OR(L132="",H132=""),"",IF(H132&lt;=0,"",IFERROR(L132/H132-1,"")))</f>
        <v/>
      </c>
      <c r="M133" s="15">
        <f>IF(OR(M132="",I132=""),"",IF(I132&lt;=0,"",IFERROR(M132/I132-1,"")))</f>
        <v/>
      </c>
      <c r="N133" s="15">
        <f>IF(OR(N132="",J132=""),"",IF(J132&lt;=0,"",IFERROR(N132/J132-1,"")))</f>
        <v/>
      </c>
      <c r="V133" s="15">
        <f>IF(OR(V132="",U132=""),"",IF(U132&lt;=0,"",IFERROR(V132/U132-1,"")))</f>
        <v/>
      </c>
      <c r="W133" s="15">
        <f>IF(OR(W132="",V132=""),"",IF(V132&lt;=0,"",IFERROR(W132/V132-1,"")))</f>
        <v/>
      </c>
      <c r="X133" s="15">
        <f>IF(OR(X132="",W132=""),"",IF(W132&lt;=0,"",IFERROR(X132/W132-1,"")))</f>
        <v/>
      </c>
    </row>
    <row r="134">
      <c r="A134" s="18" t="inlineStr">
        <is>
          <t>보고부문 합계 · Revenue From External Customers</t>
        </is>
      </c>
      <c r="C134" s="20" t="n">
        <v>175979</v>
      </c>
      <c r="D134" s="20" t="n">
        <v>184573</v>
      </c>
      <c r="E134" s="20" t="n">
        <v>187168</v>
      </c>
      <c r="F134" s="20" t="n">
        <v>185664</v>
      </c>
      <c r="G134" s="20" t="n">
        <v>187237</v>
      </c>
      <c r="H134" s="20" t="n">
        <v>187828</v>
      </c>
      <c r="I134" s="20" t="n">
        <v>190655</v>
      </c>
      <c r="J134" s="20" t="n">
        <v>195747</v>
      </c>
      <c r="K134" s="20" t="n">
        <v>195047</v>
      </c>
      <c r="L134" s="20" t="n">
        <v>200544</v>
      </c>
      <c r="M134" s="20" t="n">
        <v>204482</v>
      </c>
      <c r="N134" s="20" t="n">
        <v>211557</v>
      </c>
      <c r="V134" s="20" t="n">
        <v>185664</v>
      </c>
      <c r="W134" s="20" t="n">
        <v>195747</v>
      </c>
      <c r="X134" s="20" t="n">
        <v>211557</v>
      </c>
    </row>
    <row r="135">
      <c r="A135" s="43" t="inlineStr">
        <is>
          <t>YoY</t>
        </is>
      </c>
      <c r="B135" s="3" t="inlineStr">
        <is>
          <t>전년 같은 분기·전년 대비</t>
        </is>
      </c>
      <c r="G135" s="15">
        <f>IF(OR(G134="",C134=""),"",IF(C134&lt;=0,"",IFERROR(G134/C134-1,"")))</f>
        <v/>
      </c>
      <c r="H135" s="15">
        <f>IF(OR(H134="",D134=""),"",IF(D134&lt;=0,"",IFERROR(H134/D134-1,"")))</f>
        <v/>
      </c>
      <c r="I135" s="15">
        <f>IF(OR(I134="",E134=""),"",IF(E134&lt;=0,"",IFERROR(I134/E134-1,"")))</f>
        <v/>
      </c>
      <c r="J135" s="15">
        <f>IF(OR(J134="",F134=""),"",IF(F134&lt;=0,"",IFERROR(J134/F134-1,"")))</f>
        <v/>
      </c>
      <c r="K135" s="15">
        <f>IF(OR(K134="",G134=""),"",IF(G134&lt;=0,"",IFERROR(K134/G134-1,"")))</f>
        <v/>
      </c>
      <c r="L135" s="15">
        <f>IF(OR(L134="",H134=""),"",IF(H134&lt;=0,"",IFERROR(L134/H134-1,"")))</f>
        <v/>
      </c>
      <c r="M135" s="15">
        <f>IF(OR(M134="",I134=""),"",IF(I134&lt;=0,"",IFERROR(M134/I134-1,"")))</f>
        <v/>
      </c>
      <c r="N135" s="15">
        <f>IF(OR(N134="",J134=""),"",IF(J134&lt;=0,"",IFERROR(N134/J134-1,"")))</f>
        <v/>
      </c>
      <c r="V135" s="15">
        <f>IF(OR(V134="",U134=""),"",IF(U134&lt;=0,"",IFERROR(V134/U134-1,"")))</f>
        <v/>
      </c>
      <c r="W135" s="15">
        <f>IF(OR(W134="",V134=""),"",IF(V134&lt;=0,"",IFERROR(W134/V134-1,"")))</f>
        <v/>
      </c>
      <c r="X135" s="15">
        <f>IF(OR(X134="",W134=""),"",IF(W134&lt;=0,"",IFERROR(X134/W134-1,"")))</f>
        <v/>
      </c>
    </row>
    <row r="136">
      <c r="A136" s="18" t="inlineStr">
        <is>
          <t>조정액 · Revenue From External Customers</t>
        </is>
      </c>
      <c r="C136" s="20" t="n">
        <v>730</v>
      </c>
      <c r="D136" s="20" t="n">
        <v>782</v>
      </c>
      <c r="E136" s="20" t="n">
        <v>787</v>
      </c>
      <c r="F136" s="20" t="n">
        <v>873</v>
      </c>
      <c r="G136" s="20" t="n">
        <v>873</v>
      </c>
      <c r="H136" s="20" t="n">
        <v>839</v>
      </c>
      <c r="I136" s="20" t="n">
        <v>813</v>
      </c>
      <c r="J136" s="20" t="n">
        <v>821</v>
      </c>
      <c r="K136" s="20" t="n">
        <v>722</v>
      </c>
      <c r="L136" s="20" t="n">
        <v>752</v>
      </c>
      <c r="M136" s="20" t="n">
        <v>785</v>
      </c>
      <c r="N136" s="20" t="n">
        <v>818</v>
      </c>
      <c r="V136" s="20" t="n">
        <v>873</v>
      </c>
      <c r="W136" s="20" t="n">
        <v>821</v>
      </c>
      <c r="X136" s="20" t="n">
        <v>818</v>
      </c>
    </row>
    <row r="137">
      <c r="A137" s="9" t="inlineStr">
        <is>
          <t>Revenue From External Customers</t>
        </is>
      </c>
      <c r="C137" s="12" t="n">
        <v>176709</v>
      </c>
      <c r="D137" s="12" t="n">
        <v>185356</v>
      </c>
      <c r="E137" s="12" t="n">
        <v>187954</v>
      </c>
      <c r="F137" s="12" t="n">
        <v>186537</v>
      </c>
      <c r="G137" s="12" t="n">
        <v>188110</v>
      </c>
      <c r="H137" s="12" t="n">
        <v>188668</v>
      </c>
      <c r="I137" s="12" t="n">
        <v>191467</v>
      </c>
      <c r="J137" s="12" t="n">
        <v>196568</v>
      </c>
      <c r="K137" s="12" t="n">
        <v>195770</v>
      </c>
      <c r="L137" s="12" t="n">
        <v>201295</v>
      </c>
      <c r="M137" s="12" t="n">
        <v>205268</v>
      </c>
      <c r="N137" s="12" t="n">
        <v>212375</v>
      </c>
      <c r="V137" s="12" t="n">
        <v>186537</v>
      </c>
      <c r="W137" s="12" t="n">
        <v>196568</v>
      </c>
      <c r="X137" s="12" t="n">
        <v>212375</v>
      </c>
    </row>
    <row r="138">
      <c r="A138" s="43" t="inlineStr">
        <is>
          <t>YoY</t>
        </is>
      </c>
      <c r="B138" s="3" t="inlineStr">
        <is>
          <t>전년 같은 분기·전년 대비</t>
        </is>
      </c>
      <c r="G138" s="15">
        <f>IF(OR(G137="",C137=""),"",IF(C137&lt;=0,"",IFERROR(G137/C137-1,"")))</f>
        <v/>
      </c>
      <c r="H138" s="15">
        <f>IF(OR(H137="",D137=""),"",IF(D137&lt;=0,"",IFERROR(H137/D137-1,"")))</f>
        <v/>
      </c>
      <c r="I138" s="15">
        <f>IF(OR(I137="",E137=""),"",IF(E137&lt;=0,"",IFERROR(I137/E137-1,"")))</f>
        <v/>
      </c>
      <c r="J138" s="15">
        <f>IF(OR(J137="",F137=""),"",IF(F137&lt;=0,"",IFERROR(J137/F137-1,"")))</f>
        <v/>
      </c>
      <c r="K138" s="15">
        <f>IF(OR(K137="",G137=""),"",IF(G137&lt;=0,"",IFERROR(K137/G137-1,"")))</f>
        <v/>
      </c>
      <c r="L138" s="15">
        <f>IF(OR(L137="",H137=""),"",IF(H137&lt;=0,"",IFERROR(L137/H137-1,"")))</f>
        <v/>
      </c>
      <c r="M138" s="15">
        <f>IF(OR(M137="",I137=""),"",IF(I137&lt;=0,"",IFERROR(M137/I137-1,"")))</f>
        <v/>
      </c>
      <c r="N138" s="15">
        <f>IF(OR(N137="",J137=""),"",IF(J137&lt;=0,"",IFERROR(N137/J137-1,"")))</f>
        <v/>
      </c>
      <c r="V138" s="15">
        <f>IF(OR(V137="",U137=""),"",IF(U137&lt;=0,"",IFERROR(V137/U137-1,"")))</f>
        <v/>
      </c>
      <c r="W138" s="15">
        <f>IF(OR(W137="",V137=""),"",IF(V137&lt;=0,"",IFERROR(W137/V137-1,"")))</f>
        <v/>
      </c>
      <c r="X138" s="15">
        <f>IF(OR(X137="",W137=""),"",IF(W137&lt;=0,"",IFERROR(X137/W137-1,"")))</f>
        <v/>
      </c>
    </row>
    <row r="139">
      <c r="A139" s="18" t="inlineStr">
        <is>
          <t>부문 · Intersegment Revenue</t>
        </is>
      </c>
      <c r="C139" s="20" t="n">
        <v>563</v>
      </c>
      <c r="D139" s="20" t="n">
        <v>699</v>
      </c>
      <c r="E139" s="20" t="n">
        <v>746</v>
      </c>
      <c r="F139" s="20" t="n">
        <v>876</v>
      </c>
      <c r="G139" s="20" t="n">
        <v>1005</v>
      </c>
      <c r="H139" s="20" t="n">
        <v>1243</v>
      </c>
      <c r="I139" s="20" t="n">
        <v>1215</v>
      </c>
      <c r="J139" s="20" t="n">
        <v>1579</v>
      </c>
      <c r="K139" s="20" t="n">
        <v>1015</v>
      </c>
      <c r="L139" s="20" t="n">
        <v>1369</v>
      </c>
      <c r="M139" s="20" t="n">
        <v>1281</v>
      </c>
      <c r="N139" s="20" t="n">
        <v>1502</v>
      </c>
      <c r="V139" s="20" t="n">
        <v>876</v>
      </c>
      <c r="W139" s="20" t="n">
        <v>1579</v>
      </c>
      <c r="X139" s="20" t="n">
        <v>1502</v>
      </c>
    </row>
    <row r="140">
      <c r="A140" s="18" t="inlineStr">
        <is>
          <t>부문 · Intersegment Revenue</t>
        </is>
      </c>
      <c r="C140" s="20" t="n">
        <v>1342</v>
      </c>
      <c r="D140" s="20" t="n">
        <v>1402</v>
      </c>
      <c r="E140" s="20" t="n">
        <v>1479</v>
      </c>
      <c r="F140" s="20" t="n">
        <v>1557</v>
      </c>
      <c r="G140" s="20" t="n">
        <v>1291</v>
      </c>
      <c r="H140" s="20" t="n">
        <v>1339</v>
      </c>
      <c r="I140" s="20" t="n">
        <v>1585</v>
      </c>
      <c r="J140" s="20" t="n">
        <v>1754</v>
      </c>
      <c r="K140" s="20" t="n">
        <v>1234</v>
      </c>
      <c r="L140" s="20" t="n">
        <v>1234</v>
      </c>
      <c r="M140" s="20" t="n">
        <v>1450</v>
      </c>
      <c r="N140" s="20" t="n">
        <v>1441</v>
      </c>
      <c r="V140" s="20" t="n">
        <v>1557</v>
      </c>
      <c r="W140" s="20" t="n">
        <v>1754</v>
      </c>
      <c r="X140" s="20" t="n">
        <v>1441</v>
      </c>
    </row>
    <row r="141">
      <c r="A141" s="18" t="inlineStr">
        <is>
          <t>부문 · Intersegment Revenue</t>
        </is>
      </c>
      <c r="C141" s="20" t="n">
        <v>1807</v>
      </c>
      <c r="D141" s="20" t="n">
        <v>1618</v>
      </c>
      <c r="E141" s="20" t="n">
        <v>1336</v>
      </c>
      <c r="F141" s="20" t="n">
        <v>1811</v>
      </c>
      <c r="G141" s="20" t="n">
        <v>1765</v>
      </c>
      <c r="H141" s="20" t="n">
        <v>2210</v>
      </c>
      <c r="I141" s="20" t="n">
        <v>2093</v>
      </c>
      <c r="J141" s="20" t="n">
        <v>2415</v>
      </c>
      <c r="K141" s="20" t="n">
        <v>2104</v>
      </c>
      <c r="L141" s="20" t="n">
        <v>2360</v>
      </c>
      <c r="M141" s="20" t="n">
        <v>2152</v>
      </c>
      <c r="N141" s="20" t="n">
        <v>2175</v>
      </c>
      <c r="V141" s="20" t="n">
        <v>1811</v>
      </c>
      <c r="W141" s="20" t="n">
        <v>2415</v>
      </c>
      <c r="X141" s="20" t="n">
        <v>2175</v>
      </c>
    </row>
    <row r="142">
      <c r="A142" s="18" t="inlineStr">
        <is>
          <t>부문 · Intersegment Revenue</t>
        </is>
      </c>
      <c r="C142" s="20" t="n">
        <v>31473</v>
      </c>
      <c r="D142" s="20" t="n">
        <v>32382</v>
      </c>
      <c r="E142" s="20" t="n">
        <v>32838</v>
      </c>
      <c r="F142" s="20" t="n">
        <v>33228</v>
      </c>
      <c r="G142" s="20" t="n">
        <v>32873</v>
      </c>
      <c r="H142" s="20" t="n">
        <v>33771</v>
      </c>
      <c r="I142" s="20" t="n">
        <v>33588</v>
      </c>
      <c r="J142" s="20" t="n">
        <v>34206</v>
      </c>
      <c r="K142" s="20" t="n">
        <v>34639</v>
      </c>
      <c r="L142" s="20" t="n">
        <v>36295</v>
      </c>
      <c r="M142" s="20" t="n">
        <v>37072</v>
      </c>
      <c r="N142" s="20" t="n">
        <v>36500</v>
      </c>
      <c r="V142" s="20" t="n">
        <v>33228</v>
      </c>
      <c r="W142" s="20" t="n">
        <v>34206</v>
      </c>
      <c r="X142" s="20" t="n">
        <v>36500</v>
      </c>
    </row>
    <row r="143">
      <c r="A143" s="18" t="inlineStr">
        <is>
          <t>보고부문 합계 · Intersegment Revenue</t>
        </is>
      </c>
      <c r="C143" s="20" t="n">
        <v>35185</v>
      </c>
      <c r="D143" s="20" t="n">
        <v>36103</v>
      </c>
      <c r="E143" s="20" t="n">
        <v>36399</v>
      </c>
      <c r="F143" s="20" t="n">
        <v>37471</v>
      </c>
      <c r="G143" s="20" t="n">
        <v>36936</v>
      </c>
      <c r="H143" s="20" t="n">
        <v>38563</v>
      </c>
      <c r="I143" s="20" t="n">
        <v>38481</v>
      </c>
      <c r="J143" s="20" t="n">
        <v>39953</v>
      </c>
      <c r="K143" s="20" t="n">
        <v>38994</v>
      </c>
      <c r="L143" s="20" t="n">
        <v>41258</v>
      </c>
      <c r="M143" s="20" t="n">
        <v>41954</v>
      </c>
      <c r="N143" s="20" t="n">
        <v>41619</v>
      </c>
      <c r="V143" s="20" t="n">
        <v>37471</v>
      </c>
      <c r="W143" s="20" t="n">
        <v>39953</v>
      </c>
      <c r="X143" s="20" t="n">
        <v>41619</v>
      </c>
    </row>
    <row r="144">
      <c r="A144" s="18" t="inlineStr">
        <is>
          <t>조정액 · Intersegment Revenue</t>
        </is>
      </c>
      <c r="C144" s="20" t="n">
        <v>-35185</v>
      </c>
      <c r="D144" s="20" t="n">
        <v>-36103</v>
      </c>
      <c r="E144" s="20" t="n">
        <v>-36399</v>
      </c>
      <c r="F144" s="20" t="n">
        <v>-37471</v>
      </c>
      <c r="G144" s="20" t="n">
        <v>-36936</v>
      </c>
      <c r="H144" s="20" t="n">
        <v>-38563</v>
      </c>
      <c r="I144" s="20" t="n">
        <v>-38481</v>
      </c>
      <c r="J144" s="20" t="n">
        <v>-39953</v>
      </c>
      <c r="K144" s="20" t="n">
        <v>-38994</v>
      </c>
      <c r="L144" s="20" t="n">
        <v>-41258</v>
      </c>
      <c r="M144" s="20" t="n">
        <v>-41954</v>
      </c>
      <c r="N144" s="20" t="n">
        <v>-41619</v>
      </c>
      <c r="V144" s="20" t="n">
        <v>-37471</v>
      </c>
      <c r="W144" s="20" t="n">
        <v>-39953</v>
      </c>
      <c r="X144" s="20" t="n">
        <v>-41619</v>
      </c>
    </row>
    <row r="145">
      <c r="A145" s="18" t="inlineStr">
        <is>
          <t>Intersegment Revenue</t>
        </is>
      </c>
      <c r="C145" s="20" t="n">
        <v>0</v>
      </c>
      <c r="D145" s="20" t="n">
        <v>0</v>
      </c>
      <c r="E145" s="20" t="n">
        <v>0</v>
      </c>
      <c r="F145" s="20" t="n">
        <v>0</v>
      </c>
      <c r="G145" s="20" t="n">
        <v>0</v>
      </c>
      <c r="H145" s="20" t="n">
        <v>0</v>
      </c>
      <c r="I145" s="20" t="n">
        <v>0</v>
      </c>
      <c r="J145" s="20" t="n">
        <v>0</v>
      </c>
      <c r="K145" s="20" t="n">
        <v>0</v>
      </c>
      <c r="L145" s="20" t="n">
        <v>0</v>
      </c>
      <c r="M145" s="20" t="n">
        <v>0</v>
      </c>
      <c r="N145" s="20" t="n">
        <v>0</v>
      </c>
      <c r="V145" s="20" t="n">
        <v>0</v>
      </c>
      <c r="W145" s="20" t="n">
        <v>0</v>
      </c>
      <c r="X145" s="20" t="n">
        <v>0</v>
      </c>
    </row>
    <row r="146">
      <c r="A146" s="18" t="inlineStr">
        <is>
          <t>부문 · 계</t>
        </is>
      </c>
      <c r="C146" s="20" t="n">
        <v>11218</v>
      </c>
      <c r="D146" s="20" t="n">
        <v>13792</v>
      </c>
      <c r="E146" s="20" t="n">
        <v>14355</v>
      </c>
      <c r="F146" s="20" t="n">
        <v>15478</v>
      </c>
      <c r="G146" s="20" t="n">
        <v>13585</v>
      </c>
      <c r="H146" s="20" t="n">
        <v>16109</v>
      </c>
      <c r="I146" s="20" t="n">
        <v>17404</v>
      </c>
      <c r="J146" s="20" t="n">
        <v>18278</v>
      </c>
      <c r="K146" s="20" t="n">
        <v>14420</v>
      </c>
      <c r="L146" s="20" t="n">
        <v>17286</v>
      </c>
      <c r="M146" s="20" t="n">
        <v>18434</v>
      </c>
      <c r="N146" s="20" t="n">
        <v>18584</v>
      </c>
      <c r="V146" s="20" t="n">
        <v>15478</v>
      </c>
      <c r="W146" s="20" t="n">
        <v>18278</v>
      </c>
      <c r="X146" s="20" t="n">
        <v>18584</v>
      </c>
    </row>
    <row r="147">
      <c r="A147" s="43" t="inlineStr">
        <is>
          <t>YoY</t>
        </is>
      </c>
      <c r="B147" s="3" t="inlineStr">
        <is>
          <t>전년 같은 분기·전년 대비</t>
        </is>
      </c>
      <c r="G147" s="15">
        <f>IF(OR(G146="",C146=""),"",IF(C146&lt;=0,"",IFERROR(G146/C146-1,"")))</f>
        <v/>
      </c>
      <c r="H147" s="15">
        <f>IF(OR(H146="",D146=""),"",IF(D146&lt;=0,"",IFERROR(H146/D146-1,"")))</f>
        <v/>
      </c>
      <c r="I147" s="15">
        <f>IF(OR(I146="",E146=""),"",IF(E146&lt;=0,"",IFERROR(I146/E146-1,"")))</f>
        <v/>
      </c>
      <c r="J147" s="15">
        <f>IF(OR(J146="",F146=""),"",IF(F146&lt;=0,"",IFERROR(J146/F146-1,"")))</f>
        <v/>
      </c>
      <c r="K147" s="15">
        <f>IF(OR(K146="",G146=""),"",IF(G146&lt;=0,"",IFERROR(K146/G146-1,"")))</f>
        <v/>
      </c>
      <c r="L147" s="15">
        <f>IF(OR(L146="",H146=""),"",IF(H146&lt;=0,"",IFERROR(L146/H146-1,"")))</f>
        <v/>
      </c>
      <c r="M147" s="15">
        <f>IF(OR(M146="",I146=""),"",IF(I146&lt;=0,"",IFERROR(M146/I146-1,"")))</f>
        <v/>
      </c>
      <c r="N147" s="15">
        <f>IF(OR(N146="",J146=""),"",IF(J146&lt;=0,"",IFERROR(N146/J146-1,"")))</f>
        <v/>
      </c>
      <c r="V147" s="15">
        <f>IF(OR(V146="",U146=""),"",IF(U146&lt;=0,"",IFERROR(V146/U146-1,"")))</f>
        <v/>
      </c>
      <c r="W147" s="15">
        <f>IF(OR(W146="",V146=""),"",IF(V146&lt;=0,"",IFERROR(W146/V146-1,"")))</f>
        <v/>
      </c>
      <c r="X147" s="15">
        <f>IF(OR(X146="",W146=""),"",IF(W146&lt;=0,"",IFERROR(X146/W146-1,"")))</f>
        <v/>
      </c>
    </row>
    <row r="148">
      <c r="A148" s="18" t="inlineStr">
        <is>
          <t>부문 · 계</t>
        </is>
      </c>
      <c r="C148" s="20" t="n">
        <v>84750</v>
      </c>
      <c r="D148" s="20" t="n">
        <v>88913</v>
      </c>
      <c r="E148" s="20" t="n">
        <v>90938</v>
      </c>
      <c r="F148" s="20" t="n">
        <v>91051</v>
      </c>
      <c r="G148" s="20" t="n">
        <v>90604</v>
      </c>
      <c r="H148" s="20" t="n">
        <v>91978</v>
      </c>
      <c r="I148" s="20" t="n">
        <v>94652</v>
      </c>
      <c r="J148" s="20" t="n">
        <v>95340</v>
      </c>
      <c r="K148" s="20" t="n">
        <v>110678</v>
      </c>
      <c r="L148" s="20" t="n">
        <v>85338</v>
      </c>
      <c r="M148" s="20" t="n">
        <v>103353</v>
      </c>
      <c r="N148" s="20" t="n">
        <v>105783</v>
      </c>
      <c r="V148" s="20" t="n">
        <v>91051</v>
      </c>
      <c r="W148" s="20" t="n">
        <v>95340</v>
      </c>
      <c r="X148" s="20" t="n">
        <v>105783</v>
      </c>
    </row>
    <row r="149">
      <c r="A149" s="43" t="inlineStr">
        <is>
          <t>YoY</t>
        </is>
      </c>
      <c r="B149" s="3" t="inlineStr">
        <is>
          <t>전년 같은 분기·전년 대비</t>
        </is>
      </c>
      <c r="G149" s="15">
        <f>IF(OR(G148="",C148=""),"",IF(C148&lt;=0,"",IFERROR(G148/C148-1,"")))</f>
        <v/>
      </c>
      <c r="H149" s="15">
        <f>IF(OR(H148="",D148=""),"",IF(D148&lt;=0,"",IFERROR(H148/D148-1,"")))</f>
        <v/>
      </c>
      <c r="I149" s="15">
        <f>IF(OR(I148="",E148=""),"",IF(E148&lt;=0,"",IFERROR(I148/E148-1,"")))</f>
        <v/>
      </c>
      <c r="J149" s="15">
        <f>IF(OR(J148="",F148=""),"",IF(F148&lt;=0,"",IFERROR(J148/F148-1,"")))</f>
        <v/>
      </c>
      <c r="K149" s="15">
        <f>IF(OR(K148="",G148=""),"",IF(G148&lt;=0,"",IFERROR(K148/G148-1,"")))</f>
        <v/>
      </c>
      <c r="L149" s="15">
        <f>IF(OR(L148="",H148=""),"",IF(H148&lt;=0,"",IFERROR(L148/H148-1,"")))</f>
        <v/>
      </c>
      <c r="M149" s="15">
        <f>IF(OR(M148="",I148=""),"",IF(I148&lt;=0,"",IFERROR(M148/I148-1,"")))</f>
        <v/>
      </c>
      <c r="N149" s="15">
        <f>IF(OR(N148="",J148=""),"",IF(J148&lt;=0,"",IFERROR(N148/J148-1,"")))</f>
        <v/>
      </c>
      <c r="V149" s="15">
        <f>IF(OR(V148="",U148=""),"",IF(U148&lt;=0,"",IFERROR(V148/U148-1,"")))</f>
        <v/>
      </c>
      <c r="W149" s="15">
        <f>IF(OR(W148="",V148=""),"",IF(V148&lt;=0,"",IFERROR(W148/V148-1,"")))</f>
        <v/>
      </c>
      <c r="X149" s="15">
        <f>IF(OR(X148="",W148=""),"",IF(W148&lt;=0,"",IFERROR(X148/W148-1,"")))</f>
        <v/>
      </c>
    </row>
    <row r="150">
      <c r="A150" s="18" t="inlineStr">
        <is>
          <t>부문 · 계</t>
        </is>
      </c>
      <c r="C150" s="20" t="n">
        <v>71233</v>
      </c>
      <c r="D150" s="20" t="n">
        <v>72250</v>
      </c>
      <c r="E150" s="20" t="n">
        <v>70631</v>
      </c>
      <c r="F150" s="20" t="n">
        <v>68382</v>
      </c>
      <c r="G150" s="20" t="n">
        <v>72364</v>
      </c>
      <c r="H150" s="20" t="n">
        <v>69386</v>
      </c>
      <c r="I150" s="20" t="n">
        <v>66767</v>
      </c>
      <c r="J150" s="20" t="n">
        <v>67453</v>
      </c>
      <c r="K150" s="20" t="n">
        <v>56655</v>
      </c>
      <c r="L150" s="20" t="n">
        <v>84846</v>
      </c>
      <c r="M150" s="20" t="n">
        <v>68362</v>
      </c>
      <c r="N150" s="20" t="n">
        <v>70170</v>
      </c>
      <c r="V150" s="20" t="n">
        <v>68382</v>
      </c>
      <c r="W150" s="20" t="n">
        <v>67453</v>
      </c>
      <c r="X150" s="20" t="n">
        <v>70170</v>
      </c>
    </row>
    <row r="151">
      <c r="A151" s="43" t="inlineStr">
        <is>
          <t>YoY</t>
        </is>
      </c>
      <c r="B151" s="3" t="inlineStr">
        <is>
          <t>전년 같은 분기·전년 대비</t>
        </is>
      </c>
      <c r="G151" s="15">
        <f>IF(OR(G150="",C150=""),"",IF(C150&lt;=0,"",IFERROR(G150/C150-1,"")))</f>
        <v/>
      </c>
      <c r="H151" s="15">
        <f>IF(OR(H150="",D150=""),"",IF(D150&lt;=0,"",IFERROR(H150/D150-1,"")))</f>
        <v/>
      </c>
      <c r="I151" s="15">
        <f>IF(OR(I150="",E150=""),"",IF(E150&lt;=0,"",IFERROR(I150/E150-1,"")))</f>
        <v/>
      </c>
      <c r="J151" s="15">
        <f>IF(OR(J150="",F150=""),"",IF(F150&lt;=0,"",IFERROR(J150/F150-1,"")))</f>
        <v/>
      </c>
      <c r="K151" s="15">
        <f>IF(OR(K150="",G150=""),"",IF(G150&lt;=0,"",IFERROR(K150/G150-1,"")))</f>
        <v/>
      </c>
      <c r="L151" s="15">
        <f>IF(OR(L150="",H150=""),"",IF(H150&lt;=0,"",IFERROR(L150/H150-1,"")))</f>
        <v/>
      </c>
      <c r="M151" s="15">
        <f>IF(OR(M150="",I150=""),"",IF(I150&lt;=0,"",IFERROR(M150/I150-1,"")))</f>
        <v/>
      </c>
      <c r="N151" s="15">
        <f>IF(OR(N150="",J150=""),"",IF(J150&lt;=0,"",IFERROR(N150/J150-1,"")))</f>
        <v/>
      </c>
      <c r="V151" s="15">
        <f>IF(OR(V150="",U150=""),"",IF(U150&lt;=0,"",IFERROR(V150/U150-1,"")))</f>
        <v/>
      </c>
      <c r="W151" s="15">
        <f>IF(OR(W150="",V150=""),"",IF(V150&lt;=0,"",IFERROR(W150/V150-1,"")))</f>
        <v/>
      </c>
      <c r="X151" s="15">
        <f>IF(OR(X150="",W150=""),"",IF(W150&lt;=0,"",IFERROR(X150/W150-1,"")))</f>
        <v/>
      </c>
    </row>
    <row r="152">
      <c r="A152" s="18" t="inlineStr">
        <is>
          <t>부문 · 계</t>
        </is>
      </c>
      <c r="C152" s="20" t="n">
        <v>43962</v>
      </c>
      <c r="D152" s="20" t="n">
        <v>45721</v>
      </c>
      <c r="E152" s="20" t="n">
        <v>47643</v>
      </c>
      <c r="F152" s="20" t="n">
        <v>48223</v>
      </c>
      <c r="G152" s="20" t="n">
        <v>47618</v>
      </c>
      <c r="H152" s="20" t="n">
        <v>48919</v>
      </c>
      <c r="I152" s="20" t="n">
        <v>50313</v>
      </c>
      <c r="J152" s="20" t="n">
        <v>54630</v>
      </c>
      <c r="K152" s="20" t="n">
        <v>52288</v>
      </c>
      <c r="L152" s="20" t="n">
        <v>54331</v>
      </c>
      <c r="M152" s="20" t="n">
        <v>56288</v>
      </c>
      <c r="N152" s="20" t="n">
        <v>58638</v>
      </c>
      <c r="V152" s="20" t="n">
        <v>48223</v>
      </c>
      <c r="W152" s="20" t="n">
        <v>54630</v>
      </c>
      <c r="X152" s="20" t="n">
        <v>58638</v>
      </c>
    </row>
    <row r="153">
      <c r="A153" s="43" t="inlineStr">
        <is>
          <t>YoY</t>
        </is>
      </c>
      <c r="B153" s="3" t="inlineStr">
        <is>
          <t>전년 같은 분기·전년 대비</t>
        </is>
      </c>
      <c r="G153" s="15">
        <f>IF(OR(G152="",C152=""),"",IF(C152&lt;=0,"",IFERROR(G152/C152-1,"")))</f>
        <v/>
      </c>
      <c r="H153" s="15">
        <f>IF(OR(H152="",D152=""),"",IF(D152&lt;=0,"",IFERROR(H152/D152-1,"")))</f>
        <v/>
      </c>
      <c r="I153" s="15">
        <f>IF(OR(I152="",E152=""),"",IF(E152&lt;=0,"",IFERROR(I152/E152-1,"")))</f>
        <v/>
      </c>
      <c r="J153" s="15">
        <f>IF(OR(J152="",F152=""),"",IF(F152&lt;=0,"",IFERROR(J152/F152-1,"")))</f>
        <v/>
      </c>
      <c r="K153" s="15">
        <f>IF(OR(K152="",G152=""),"",IF(G152&lt;=0,"",IFERROR(K152/G152-1,"")))</f>
        <v/>
      </c>
      <c r="L153" s="15">
        <f>IF(OR(L152="",H152=""),"",IF(H152&lt;=0,"",IFERROR(L152/H152-1,"")))</f>
        <v/>
      </c>
      <c r="M153" s="15">
        <f>IF(OR(M152="",I152=""),"",IF(I152&lt;=0,"",IFERROR(M152/I152-1,"")))</f>
        <v/>
      </c>
      <c r="N153" s="15">
        <f>IF(OR(N152="",J152=""),"",IF(J152&lt;=0,"",IFERROR(N152/J152-1,"")))</f>
        <v/>
      </c>
      <c r="V153" s="15">
        <f>IF(OR(V152="",U152=""),"",IF(U152&lt;=0,"",IFERROR(V152/U152-1,"")))</f>
        <v/>
      </c>
      <c r="W153" s="15">
        <f>IF(OR(W152="",V152=""),"",IF(V152&lt;=0,"",IFERROR(W152/V152-1,"")))</f>
        <v/>
      </c>
      <c r="X153" s="15">
        <f>IF(OR(X152="",W152=""),"",IF(W152&lt;=0,"",IFERROR(X152/W152-1,"")))</f>
        <v/>
      </c>
    </row>
    <row r="154">
      <c r="A154" s="18" t="inlineStr">
        <is>
          <t>보고부문 합계 · 계</t>
        </is>
      </c>
      <c r="C154" s="20" t="n">
        <v>211164</v>
      </c>
      <c r="D154" s="20" t="n">
        <v>220677</v>
      </c>
      <c r="E154" s="20" t="n">
        <v>223566</v>
      </c>
      <c r="F154" s="20" t="n">
        <v>223135</v>
      </c>
      <c r="G154" s="20" t="n">
        <v>224173</v>
      </c>
      <c r="H154" s="20" t="n">
        <v>226392</v>
      </c>
      <c r="I154" s="20" t="n">
        <v>229135</v>
      </c>
      <c r="J154" s="20" t="n">
        <v>235700</v>
      </c>
      <c r="K154" s="20" t="n">
        <v>234042</v>
      </c>
      <c r="L154" s="20" t="n">
        <v>241801</v>
      </c>
      <c r="M154" s="20" t="n">
        <v>246437</v>
      </c>
      <c r="N154" s="20" t="n">
        <v>253175</v>
      </c>
      <c r="V154" s="20" t="n">
        <v>223135</v>
      </c>
      <c r="W154" s="20" t="n">
        <v>235700</v>
      </c>
      <c r="X154" s="20" t="n">
        <v>253175</v>
      </c>
    </row>
    <row r="155">
      <c r="A155" s="43" t="inlineStr">
        <is>
          <t>YoY</t>
        </is>
      </c>
      <c r="B155" s="3" t="inlineStr">
        <is>
          <t>전년 같은 분기·전년 대비</t>
        </is>
      </c>
      <c r="G155" s="15">
        <f>IF(OR(G154="",C154=""),"",IF(C154&lt;=0,"",IFERROR(G154/C154-1,"")))</f>
        <v/>
      </c>
      <c r="H155" s="15">
        <f>IF(OR(H154="",D154=""),"",IF(D154&lt;=0,"",IFERROR(H154/D154-1,"")))</f>
        <v/>
      </c>
      <c r="I155" s="15">
        <f>IF(OR(I154="",E154=""),"",IF(E154&lt;=0,"",IFERROR(I154/E154-1,"")))</f>
        <v/>
      </c>
      <c r="J155" s="15">
        <f>IF(OR(J154="",F154=""),"",IF(F154&lt;=0,"",IFERROR(J154/F154-1,"")))</f>
        <v/>
      </c>
      <c r="K155" s="15">
        <f>IF(OR(K154="",G154=""),"",IF(G154&lt;=0,"",IFERROR(K154/G154-1,"")))</f>
        <v/>
      </c>
      <c r="L155" s="15">
        <f>IF(OR(L154="",H154=""),"",IF(H154&lt;=0,"",IFERROR(L154/H154-1,"")))</f>
        <v/>
      </c>
      <c r="M155" s="15">
        <f>IF(OR(M154="",I154=""),"",IF(I154&lt;=0,"",IFERROR(M154/I154-1,"")))</f>
        <v/>
      </c>
      <c r="N155" s="15">
        <f>IF(OR(N154="",J154=""),"",IF(J154&lt;=0,"",IFERROR(N154/J154-1,"")))</f>
        <v/>
      </c>
      <c r="V155" s="15">
        <f>IF(OR(V154="",U154=""),"",IF(U154&lt;=0,"",IFERROR(V154/U154-1,"")))</f>
        <v/>
      </c>
      <c r="W155" s="15">
        <f>IF(OR(W154="",V154=""),"",IF(V154&lt;=0,"",IFERROR(W154/V154-1,"")))</f>
        <v/>
      </c>
      <c r="X155" s="15">
        <f>IF(OR(X154="",W154=""),"",IF(W154&lt;=0,"",IFERROR(X154/W154-1,"")))</f>
        <v/>
      </c>
    </row>
    <row r="156">
      <c r="A156" s="18" t="inlineStr">
        <is>
          <t>조정액 · 계</t>
        </is>
      </c>
      <c r="C156" s="20" t="n">
        <v>-34454</v>
      </c>
      <c r="D156" s="20" t="n">
        <v>-35321</v>
      </c>
      <c r="E156" s="20" t="n">
        <v>-35612</v>
      </c>
      <c r="F156" s="20" t="n">
        <v>-36599</v>
      </c>
      <c r="G156" s="20" t="n">
        <v>-36062</v>
      </c>
      <c r="H156" s="20" t="n">
        <v>-37724</v>
      </c>
      <c r="I156" s="20" t="n">
        <v>-37669</v>
      </c>
      <c r="J156" s="20" t="n">
        <v>-39132</v>
      </c>
      <c r="K156" s="20" t="n">
        <v>-38272</v>
      </c>
      <c r="L156" s="20" t="n">
        <v>-40506</v>
      </c>
      <c r="M156" s="20" t="n">
        <v>-41168</v>
      </c>
      <c r="N156" s="20" t="n">
        <v>-40801</v>
      </c>
      <c r="V156" s="20" t="n">
        <v>-36599</v>
      </c>
      <c r="W156" s="20" t="n">
        <v>-39132</v>
      </c>
      <c r="X156" s="20" t="n">
        <v>-40801</v>
      </c>
    </row>
    <row r="157">
      <c r="A157" s="9" t="inlineStr">
        <is>
          <t>계</t>
        </is>
      </c>
      <c r="C157" s="12" t="n">
        <v>176709</v>
      </c>
      <c r="D157" s="12" t="n">
        <v>185356</v>
      </c>
      <c r="E157" s="12" t="n">
        <v>187954</v>
      </c>
      <c r="F157" s="12" t="n">
        <v>186537</v>
      </c>
      <c r="G157" s="12" t="n">
        <v>188110</v>
      </c>
      <c r="H157" s="12" t="n">
        <v>188668</v>
      </c>
      <c r="I157" s="12" t="n">
        <v>191467</v>
      </c>
      <c r="J157" s="12" t="n">
        <v>196568</v>
      </c>
      <c r="K157" s="12" t="n">
        <v>195770</v>
      </c>
      <c r="L157" s="12" t="n">
        <v>201295</v>
      </c>
      <c r="M157" s="12" t="n">
        <v>205268</v>
      </c>
      <c r="N157" s="12" t="n">
        <v>212375</v>
      </c>
      <c r="V157" s="12" t="n">
        <v>186537</v>
      </c>
      <c r="W157" s="12" t="n">
        <v>196568</v>
      </c>
      <c r="X157" s="12" t="n">
        <v>212375</v>
      </c>
    </row>
    <row r="158">
      <c r="A158" s="43" t="inlineStr">
        <is>
          <t>YoY</t>
        </is>
      </c>
      <c r="B158" s="3" t="inlineStr">
        <is>
          <t>전년 같은 분기·전년 대비</t>
        </is>
      </c>
      <c r="G158" s="15">
        <f>IF(OR(G157="",C157=""),"",IF(C157&lt;=0,"",IFERROR(G157/C157-1,"")))</f>
        <v/>
      </c>
      <c r="H158" s="15">
        <f>IF(OR(H157="",D157=""),"",IF(D157&lt;=0,"",IFERROR(H157/D157-1,"")))</f>
        <v/>
      </c>
      <c r="I158" s="15">
        <f>IF(OR(I157="",E157=""),"",IF(E157&lt;=0,"",IFERROR(I157/E157-1,"")))</f>
        <v/>
      </c>
      <c r="J158" s="15">
        <f>IF(OR(J157="",F157=""),"",IF(F157&lt;=0,"",IFERROR(J157/F157-1,"")))</f>
        <v/>
      </c>
      <c r="K158" s="15">
        <f>IF(OR(K157="",G157=""),"",IF(G157&lt;=0,"",IFERROR(K157/G157-1,"")))</f>
        <v/>
      </c>
      <c r="L158" s="15">
        <f>IF(OR(L157="",H157=""),"",IF(H157&lt;=0,"",IFERROR(L157/H157-1,"")))</f>
        <v/>
      </c>
      <c r="M158" s="15">
        <f>IF(OR(M157="",I157=""),"",IF(I157&lt;=0,"",IFERROR(M157/I157-1,"")))</f>
        <v/>
      </c>
      <c r="N158" s="15">
        <f>IF(OR(N157="",J157=""),"",IF(J157&lt;=0,"",IFERROR(N157/J157-1,"")))</f>
        <v/>
      </c>
      <c r="V158" s="15">
        <f>IF(OR(V157="",U157=""),"",IF(U157&lt;=0,"",IFERROR(V157/U157-1,"")))</f>
        <v/>
      </c>
      <c r="W158" s="15">
        <f>IF(OR(W157="",V157=""),"",IF(V157&lt;=0,"",IFERROR(W157/V157-1,"")))</f>
        <v/>
      </c>
      <c r="X158" s="15">
        <f>IF(OR(X157="",W157=""),"",IF(W157&lt;=0,"",IFERROR(X157/W157-1,"")))</f>
        <v/>
      </c>
    </row>
    <row r="159">
      <c r="A159" s="18" t="inlineStr">
        <is>
          <t>부문 · 영업이익</t>
        </is>
      </c>
      <c r="C159" s="20" t="n">
        <v>2147</v>
      </c>
      <c r="D159" s="20" t="n">
        <v>3626</v>
      </c>
      <c r="E159" s="20" t="n">
        <v>3818</v>
      </c>
      <c r="F159" s="20" t="n">
        <v>4338</v>
      </c>
      <c r="G159" s="20" t="n">
        <v>2775</v>
      </c>
      <c r="H159" s="20" t="n">
        <v>4748</v>
      </c>
      <c r="I159" s="20" t="n">
        <v>5333</v>
      </c>
      <c r="J159" s="20" t="n">
        <v>5542</v>
      </c>
      <c r="K159" s="20" t="n">
        <v>3176</v>
      </c>
      <c r="L159" s="20" t="n">
        <v>5172</v>
      </c>
      <c r="M159" s="20" t="n">
        <v>5510</v>
      </c>
      <c r="N159" s="20" t="n">
        <v>5367</v>
      </c>
      <c r="V159" s="20" t="n">
        <v>4338</v>
      </c>
      <c r="W159" s="20" t="n">
        <v>5542</v>
      </c>
      <c r="X159" s="20" t="n">
        <v>5367</v>
      </c>
    </row>
    <row r="160">
      <c r="A160" s="43" t="inlineStr">
        <is>
          <t>OPM</t>
        </is>
      </c>
      <c r="B160" s="3" t="inlineStr">
        <is>
          <t>영업이익 ÷ 매출</t>
        </is>
      </c>
      <c r="C160" s="15">
        <f>IF(OR(C159="",C146=""),"",IF(C146&lt;=0,"",IFERROR(C159/C146,"")))</f>
        <v/>
      </c>
      <c r="D160" s="15">
        <f>IF(OR(D159="",D146=""),"",IF(D146&lt;=0,"",IFERROR(D159/D146,"")))</f>
        <v/>
      </c>
      <c r="E160" s="15">
        <f>IF(OR(E159="",E146=""),"",IF(E146&lt;=0,"",IFERROR(E159/E146,"")))</f>
        <v/>
      </c>
      <c r="F160" s="15">
        <f>IF(OR(F159="",F146=""),"",IF(F146&lt;=0,"",IFERROR(F159/F146,"")))</f>
        <v/>
      </c>
      <c r="G160" s="15">
        <f>IF(OR(G159="",G146=""),"",IF(G146&lt;=0,"",IFERROR(G159/G146,"")))</f>
        <v/>
      </c>
      <c r="H160" s="15">
        <f>IF(OR(H159="",H146=""),"",IF(H146&lt;=0,"",IFERROR(H159/H146,"")))</f>
        <v/>
      </c>
      <c r="I160" s="15">
        <f>IF(OR(I159="",I146=""),"",IF(I146&lt;=0,"",IFERROR(I159/I146,"")))</f>
        <v/>
      </c>
      <c r="J160" s="15">
        <f>IF(OR(J159="",J146=""),"",IF(J146&lt;=0,"",IFERROR(J159/J146,"")))</f>
        <v/>
      </c>
      <c r="K160" s="15">
        <f>IF(OR(K159="",K146=""),"",IF(K146&lt;=0,"",IFERROR(K159/K146,"")))</f>
        <v/>
      </c>
      <c r="L160" s="15">
        <f>IF(OR(L159="",L146=""),"",IF(L146&lt;=0,"",IFERROR(L159/L146,"")))</f>
        <v/>
      </c>
      <c r="M160" s="15">
        <f>IF(OR(M159="",M146=""),"",IF(M146&lt;=0,"",IFERROR(M159/M146,"")))</f>
        <v/>
      </c>
      <c r="N160" s="15">
        <f>IF(OR(N159="",N146=""),"",IF(N146&lt;=0,"",IFERROR(N159/N146,"")))</f>
        <v/>
      </c>
      <c r="V160" s="15">
        <f>IF(OR(V159="",V146=""),"",IF(V146&lt;=0,"",IFERROR(V159/V146,"")))</f>
        <v/>
      </c>
      <c r="W160" s="15">
        <f>IF(OR(W159="",W146=""),"",IF(W146&lt;=0,"",IFERROR(W159/W146,"")))</f>
        <v/>
      </c>
      <c r="X160" s="15">
        <f>IF(OR(X159="",X146=""),"",IF(X146&lt;=0,"",IFERROR(X159/X146,"")))</f>
        <v/>
      </c>
    </row>
    <row r="161">
      <c r="A161" s="43" t="inlineStr">
        <is>
          <t>YoY</t>
        </is>
      </c>
      <c r="B161" s="3" t="inlineStr">
        <is>
          <t>전년 같은 분기·전년 대비</t>
        </is>
      </c>
      <c r="G161" s="15">
        <f>IF(OR(G159="",C159=""),"",IF(C159&lt;=0,"",IFERROR(G159/C159-1,"")))</f>
        <v/>
      </c>
      <c r="H161" s="15">
        <f>IF(OR(H159="",D159=""),"",IF(D159&lt;=0,"",IFERROR(H159/D159-1,"")))</f>
        <v/>
      </c>
      <c r="I161" s="15">
        <f>IF(OR(I159="",E159=""),"",IF(E159&lt;=0,"",IFERROR(I159/E159-1,"")))</f>
        <v/>
      </c>
      <c r="J161" s="15">
        <f>IF(OR(J159="",F159=""),"",IF(F159&lt;=0,"",IFERROR(J159/F159-1,"")))</f>
        <v/>
      </c>
      <c r="K161" s="15">
        <f>IF(OR(K159="",G159=""),"",IF(G159&lt;=0,"",IFERROR(K159/G159-1,"")))</f>
        <v/>
      </c>
      <c r="L161" s="15">
        <f>IF(OR(L159="",H159=""),"",IF(H159&lt;=0,"",IFERROR(L159/H159-1,"")))</f>
        <v/>
      </c>
      <c r="M161" s="15">
        <f>IF(OR(M159="",I159=""),"",IF(I159&lt;=0,"",IFERROR(M159/I159-1,"")))</f>
        <v/>
      </c>
      <c r="N161" s="15">
        <f>IF(OR(N159="",J159=""),"",IF(J159&lt;=0,"",IFERROR(N159/J159-1,"")))</f>
        <v/>
      </c>
      <c r="V161" s="15">
        <f>IF(OR(V159="",U159=""),"",IF(U159&lt;=0,"",IFERROR(V159/U159-1,"")))</f>
        <v/>
      </c>
      <c r="W161" s="15">
        <f>IF(OR(W159="",V159=""),"",IF(V159&lt;=0,"",IFERROR(W159/V159-1,"")))</f>
        <v/>
      </c>
      <c r="X161" s="15">
        <f>IF(OR(X159="",W159=""),"",IF(W159&lt;=0,"",IFERROR(X159/W159-1,"")))</f>
        <v/>
      </c>
    </row>
    <row r="162">
      <c r="A162" s="18" t="inlineStr">
        <is>
          <t>부문 · 영업이익</t>
        </is>
      </c>
      <c r="C162" s="20" t="n">
        <v>12172</v>
      </c>
      <c r="D162" s="20" t="n">
        <v>14202</v>
      </c>
      <c r="E162" s="20" t="n">
        <v>15352</v>
      </c>
      <c r="F162" s="20" t="n">
        <v>12925</v>
      </c>
      <c r="G162" s="20" t="n">
        <v>15424</v>
      </c>
      <c r="H162" s="20" t="n">
        <v>14764</v>
      </c>
      <c r="I162" s="20" t="n">
        <v>16438</v>
      </c>
      <c r="J162" s="20" t="n">
        <v>14955</v>
      </c>
      <c r="K162" s="20" t="n">
        <v>17445</v>
      </c>
      <c r="L162" s="20" t="n">
        <v>18630</v>
      </c>
      <c r="M162" s="20" t="n">
        <v>18673</v>
      </c>
      <c r="N162" s="20" t="n">
        <v>19507</v>
      </c>
      <c r="V162" s="20" t="n">
        <v>12925</v>
      </c>
      <c r="W162" s="20" t="n">
        <v>14955</v>
      </c>
      <c r="X162" s="20" t="n">
        <v>19507</v>
      </c>
    </row>
    <row r="163">
      <c r="A163" s="43" t="inlineStr">
        <is>
          <t>OPM</t>
        </is>
      </c>
      <c r="B163" s="3" t="inlineStr">
        <is>
          <t>영업이익 ÷ 매출</t>
        </is>
      </c>
      <c r="C163" s="15">
        <f>IF(OR(C162="",C148=""),"",IF(C148&lt;=0,"",IFERROR(C162/C148,"")))</f>
        <v/>
      </c>
      <c r="D163" s="15">
        <f>IF(OR(D162="",D148=""),"",IF(D148&lt;=0,"",IFERROR(D162/D148,"")))</f>
        <v/>
      </c>
      <c r="E163" s="15">
        <f>IF(OR(E162="",E148=""),"",IF(E148&lt;=0,"",IFERROR(E162/E148,"")))</f>
        <v/>
      </c>
      <c r="F163" s="15">
        <f>IF(OR(F162="",F148=""),"",IF(F148&lt;=0,"",IFERROR(F162/F148,"")))</f>
        <v/>
      </c>
      <c r="G163" s="15">
        <f>IF(OR(G162="",G148=""),"",IF(G148&lt;=0,"",IFERROR(G162/G148,"")))</f>
        <v/>
      </c>
      <c r="H163" s="15">
        <f>IF(OR(H162="",H148=""),"",IF(H148&lt;=0,"",IFERROR(H162/H148,"")))</f>
        <v/>
      </c>
      <c r="I163" s="15">
        <f>IF(OR(I162="",I148=""),"",IF(I148&lt;=0,"",IFERROR(I162/I148,"")))</f>
        <v/>
      </c>
      <c r="J163" s="15">
        <f>IF(OR(J162="",J148=""),"",IF(J148&lt;=0,"",IFERROR(J162/J148,"")))</f>
        <v/>
      </c>
      <c r="K163" s="15">
        <f>IF(OR(K162="",K148=""),"",IF(K148&lt;=0,"",IFERROR(K162/K148,"")))</f>
        <v/>
      </c>
      <c r="L163" s="15">
        <f>IF(OR(L162="",L148=""),"",IF(L148&lt;=0,"",IFERROR(L162/L148,"")))</f>
        <v/>
      </c>
      <c r="M163" s="15">
        <f>IF(OR(M162="",M148=""),"",IF(M148&lt;=0,"",IFERROR(M162/M148,"")))</f>
        <v/>
      </c>
      <c r="N163" s="15">
        <f>IF(OR(N162="",N148=""),"",IF(N148&lt;=0,"",IFERROR(N162/N148,"")))</f>
        <v/>
      </c>
      <c r="V163" s="15">
        <f>IF(OR(V162="",V148=""),"",IF(V148&lt;=0,"",IFERROR(V162/V148,"")))</f>
        <v/>
      </c>
      <c r="W163" s="15">
        <f>IF(OR(W162="",W148=""),"",IF(W148&lt;=0,"",IFERROR(W162/W148,"")))</f>
        <v/>
      </c>
      <c r="X163" s="15">
        <f>IF(OR(X162="",X148=""),"",IF(X148&lt;=0,"",IFERROR(X162/X148,"")))</f>
        <v/>
      </c>
    </row>
    <row r="164">
      <c r="A164" s="43" t="inlineStr">
        <is>
          <t>YoY</t>
        </is>
      </c>
      <c r="B164" s="3" t="inlineStr">
        <is>
          <t>전년 같은 분기·전년 대비</t>
        </is>
      </c>
      <c r="G164" s="15">
        <f>IF(OR(G162="",C162=""),"",IF(C162&lt;=0,"",IFERROR(G162/C162-1,"")))</f>
        <v/>
      </c>
      <c r="H164" s="15">
        <f>IF(OR(H162="",D162=""),"",IF(D162&lt;=0,"",IFERROR(H162/D162-1,"")))</f>
        <v/>
      </c>
      <c r="I164" s="15">
        <f>IF(OR(I162="",E162=""),"",IF(E162&lt;=0,"",IFERROR(I162/E162-1,"")))</f>
        <v/>
      </c>
      <c r="J164" s="15">
        <f>IF(OR(J162="",F162=""),"",IF(F162&lt;=0,"",IFERROR(J162/F162-1,"")))</f>
        <v/>
      </c>
      <c r="K164" s="15">
        <f>IF(OR(K162="",G162=""),"",IF(G162&lt;=0,"",IFERROR(K162/G162-1,"")))</f>
        <v/>
      </c>
      <c r="L164" s="15">
        <f>IF(OR(L162="",H162=""),"",IF(H162&lt;=0,"",IFERROR(L162/H162-1,"")))</f>
        <v/>
      </c>
      <c r="M164" s="15">
        <f>IF(OR(M162="",I162=""),"",IF(I162&lt;=0,"",IFERROR(M162/I162-1,"")))</f>
        <v/>
      </c>
      <c r="N164" s="15">
        <f>IF(OR(N162="",J162=""),"",IF(J162&lt;=0,"",IFERROR(N162/J162-1,"")))</f>
        <v/>
      </c>
      <c r="V164" s="15">
        <f>IF(OR(V162="",U162=""),"",IF(U162&lt;=0,"",IFERROR(V162/U162-1,"")))</f>
        <v/>
      </c>
      <c r="W164" s="15">
        <f>IF(OR(W162="",V162=""),"",IF(V162&lt;=0,"",IFERROR(W162/V162-1,"")))</f>
        <v/>
      </c>
      <c r="X164" s="15">
        <f>IF(OR(X162="",W162=""),"",IF(W162&lt;=0,"",IFERROR(X162/W162-1,"")))</f>
        <v/>
      </c>
    </row>
    <row r="165">
      <c r="A165" s="18" t="inlineStr">
        <is>
          <t>부문 · 영업이익</t>
        </is>
      </c>
      <c r="C165" s="20" t="n">
        <v>5890</v>
      </c>
      <c r="D165" s="20" t="n">
        <v>6431</v>
      </c>
      <c r="E165" s="20" t="n">
        <v>5487</v>
      </c>
      <c r="F165" s="20" t="n">
        <v>5597</v>
      </c>
      <c r="G165" s="20" t="n">
        <v>6682</v>
      </c>
      <c r="H165" s="20" t="n">
        <v>7456</v>
      </c>
      <c r="I165" s="20" t="n">
        <v>6015</v>
      </c>
      <c r="J165" s="20" t="n">
        <v>4134</v>
      </c>
      <c r="K165" s="20" t="n">
        <v>7531</v>
      </c>
      <c r="L165" s="20" t="n">
        <v>7186</v>
      </c>
      <c r="M165" s="20" t="n">
        <v>5205</v>
      </c>
      <c r="N165" s="20" t="n">
        <v>-94538</v>
      </c>
      <c r="V165" s="20" t="n">
        <v>5597</v>
      </c>
      <c r="W165" s="20" t="n">
        <v>4134</v>
      </c>
      <c r="X165" s="20" t="n">
        <v>-94538</v>
      </c>
    </row>
    <row r="166">
      <c r="A166" s="43" t="inlineStr">
        <is>
          <t>OPM</t>
        </is>
      </c>
      <c r="B166" s="3" t="inlineStr">
        <is>
          <t>영업이익 ÷ 매출</t>
        </is>
      </c>
      <c r="C166" s="15">
        <f>IF(OR(C165="",C150=""),"",IF(C150&lt;=0,"",IFERROR(C165/C150,"")))</f>
        <v/>
      </c>
      <c r="D166" s="15">
        <f>IF(OR(D165="",D150=""),"",IF(D150&lt;=0,"",IFERROR(D165/D150,"")))</f>
        <v/>
      </c>
      <c r="E166" s="15">
        <f>IF(OR(E165="",E150=""),"",IF(E150&lt;=0,"",IFERROR(E165/E150,"")))</f>
        <v/>
      </c>
      <c r="F166" s="15">
        <f>IF(OR(F165="",F150=""),"",IF(F150&lt;=0,"",IFERROR(F165/F150,"")))</f>
        <v/>
      </c>
      <c r="G166" s="15">
        <f>IF(OR(G165="",G150=""),"",IF(G150&lt;=0,"",IFERROR(G165/G150,"")))</f>
        <v/>
      </c>
      <c r="H166" s="15">
        <f>IF(OR(H165="",H150=""),"",IF(H150&lt;=0,"",IFERROR(H165/H150,"")))</f>
        <v/>
      </c>
      <c r="I166" s="15">
        <f>IF(OR(I165="",I150=""),"",IF(I150&lt;=0,"",IFERROR(I165/I150,"")))</f>
        <v/>
      </c>
      <c r="J166" s="15">
        <f>IF(OR(J165="",J150=""),"",IF(J150&lt;=0,"",IFERROR(J165/J150,"")))</f>
        <v/>
      </c>
      <c r="K166" s="15">
        <f>IF(OR(K165="",K150=""),"",IF(K150&lt;=0,"",IFERROR(K165/K150,"")))</f>
        <v/>
      </c>
      <c r="L166" s="15">
        <f>IF(OR(L165="",L150=""),"",IF(L150&lt;=0,"",IFERROR(L165/L150,"")))</f>
        <v/>
      </c>
      <c r="M166" s="15">
        <f>IF(OR(M165="",M150=""),"",IF(M150&lt;=0,"",IFERROR(M165/M150,"")))</f>
        <v/>
      </c>
      <c r="N166" s="15">
        <f>IF(OR(N165="",N150=""),"",IF(N150&lt;=0,"",IFERROR(N165/N150,"")))</f>
        <v/>
      </c>
      <c r="V166" s="15">
        <f>IF(OR(V165="",V150=""),"",IF(V150&lt;=0,"",IFERROR(V165/V150,"")))</f>
        <v/>
      </c>
      <c r="W166" s="15">
        <f>IF(OR(W165="",W150=""),"",IF(W150&lt;=0,"",IFERROR(W165/W150,"")))</f>
        <v/>
      </c>
      <c r="X166" s="15">
        <f>IF(OR(X165="",X150=""),"",IF(X150&lt;=0,"",IFERROR(X165/X150,"")))</f>
        <v/>
      </c>
    </row>
    <row r="167">
      <c r="A167" s="43" t="inlineStr">
        <is>
          <t>YoY</t>
        </is>
      </c>
      <c r="B167" s="3" t="inlineStr">
        <is>
          <t>전년 같은 분기·전년 대비</t>
        </is>
      </c>
      <c r="G167" s="15">
        <f>IF(OR(G165="",C165=""),"",IF(C165&lt;=0,"",IFERROR(G165/C165-1,"")))</f>
        <v/>
      </c>
      <c r="H167" s="15">
        <f>IF(OR(H165="",D165=""),"",IF(D165&lt;=0,"",IFERROR(H165/D165-1,"")))</f>
        <v/>
      </c>
      <c r="I167" s="15">
        <f>IF(OR(I165="",E165=""),"",IF(E165&lt;=0,"",IFERROR(I165/E165-1,"")))</f>
        <v/>
      </c>
      <c r="J167" s="15">
        <f>IF(OR(J165="",F165=""),"",IF(F165&lt;=0,"",IFERROR(J165/F165-1,"")))</f>
        <v/>
      </c>
      <c r="K167" s="15">
        <f>IF(OR(K165="",G165=""),"",IF(G165&lt;=0,"",IFERROR(K165/G165-1,"")))</f>
        <v/>
      </c>
      <c r="L167" s="15">
        <f>IF(OR(L165="",H165=""),"",IF(H165&lt;=0,"",IFERROR(L165/H165-1,"")))</f>
        <v/>
      </c>
      <c r="M167" s="15">
        <f>IF(OR(M165="",I165=""),"",IF(I165&lt;=0,"",IFERROR(M165/I165-1,"")))</f>
        <v/>
      </c>
      <c r="N167" s="15">
        <f>IF(OR(N165="",J165=""),"",IF(J165&lt;=0,"",IFERROR(N165/J165-1,"")))</f>
        <v/>
      </c>
      <c r="V167" s="15">
        <f>IF(OR(V165="",U165=""),"",IF(U165&lt;=0,"",IFERROR(V165/U165-1,"")))</f>
        <v/>
      </c>
      <c r="W167" s="15">
        <f>IF(OR(W165="",V165=""),"",IF(V165&lt;=0,"",IFERROR(W165/V165-1,"")))</f>
        <v/>
      </c>
      <c r="X167" s="15">
        <f>IF(OR(X165="",W165=""),"",IF(W165&lt;=0,"",IFERROR(X165/W165-1,"")))</f>
        <v/>
      </c>
    </row>
    <row r="168">
      <c r="A168" s="18" t="inlineStr">
        <is>
          <t>부문 · 영업이익</t>
        </is>
      </c>
      <c r="C168" s="20" t="n">
        <v>6750</v>
      </c>
      <c r="D168" s="20" t="n">
        <v>7543</v>
      </c>
      <c r="E168" s="20" t="n">
        <v>7634</v>
      </c>
      <c r="F168" s="20" t="n">
        <v>6240</v>
      </c>
      <c r="G168" s="20" t="n">
        <v>7724</v>
      </c>
      <c r="H168" s="20" t="n">
        <v>6008</v>
      </c>
      <c r="I168" s="20" t="n">
        <v>8840</v>
      </c>
      <c r="J168" s="20" t="n">
        <v>7769</v>
      </c>
      <c r="K168" s="20" t="n">
        <v>8894</v>
      </c>
      <c r="L168" s="20" t="n">
        <v>10385</v>
      </c>
      <c r="M168" s="20" t="n">
        <v>10369</v>
      </c>
      <c r="N168" s="20" t="n">
        <v>8916</v>
      </c>
      <c r="V168" s="20" t="n">
        <v>6240</v>
      </c>
      <c r="W168" s="20" t="n">
        <v>7769</v>
      </c>
      <c r="X168" s="20" t="n">
        <v>8916</v>
      </c>
    </row>
    <row r="169">
      <c r="A169" s="43" t="inlineStr">
        <is>
          <t>OPM</t>
        </is>
      </c>
      <c r="B169" s="3" t="inlineStr">
        <is>
          <t>영업이익 ÷ 매출</t>
        </is>
      </c>
      <c r="C169" s="15">
        <f>IF(OR(C168="",C152=""),"",IF(C152&lt;=0,"",IFERROR(C168/C152,"")))</f>
        <v/>
      </c>
      <c r="D169" s="15">
        <f>IF(OR(D168="",D152=""),"",IF(D152&lt;=0,"",IFERROR(D168/D152,"")))</f>
        <v/>
      </c>
      <c r="E169" s="15">
        <f>IF(OR(E168="",E152=""),"",IF(E152&lt;=0,"",IFERROR(E168/E152,"")))</f>
        <v/>
      </c>
      <c r="F169" s="15">
        <f>IF(OR(F168="",F152=""),"",IF(F152&lt;=0,"",IFERROR(F168/F152,"")))</f>
        <v/>
      </c>
      <c r="G169" s="15">
        <f>IF(OR(G168="",G152=""),"",IF(G152&lt;=0,"",IFERROR(G168/G152,"")))</f>
        <v/>
      </c>
      <c r="H169" s="15">
        <f>IF(OR(H168="",H152=""),"",IF(H152&lt;=0,"",IFERROR(H168/H152,"")))</f>
        <v/>
      </c>
      <c r="I169" s="15">
        <f>IF(OR(I168="",I152=""),"",IF(I152&lt;=0,"",IFERROR(I168/I152,"")))</f>
        <v/>
      </c>
      <c r="J169" s="15">
        <f>IF(OR(J168="",J152=""),"",IF(J152&lt;=0,"",IFERROR(J168/J152,"")))</f>
        <v/>
      </c>
      <c r="K169" s="15">
        <f>IF(OR(K168="",K152=""),"",IF(K152&lt;=0,"",IFERROR(K168/K152,"")))</f>
        <v/>
      </c>
      <c r="L169" s="15">
        <f>IF(OR(L168="",L152=""),"",IF(L152&lt;=0,"",IFERROR(L168/L152,"")))</f>
        <v/>
      </c>
      <c r="M169" s="15">
        <f>IF(OR(M168="",M152=""),"",IF(M152&lt;=0,"",IFERROR(M168/M152,"")))</f>
        <v/>
      </c>
      <c r="N169" s="15">
        <f>IF(OR(N168="",N152=""),"",IF(N152&lt;=0,"",IFERROR(N168/N152,"")))</f>
        <v/>
      </c>
      <c r="V169" s="15">
        <f>IF(OR(V168="",V152=""),"",IF(V152&lt;=0,"",IFERROR(V168/V152,"")))</f>
        <v/>
      </c>
      <c r="W169" s="15">
        <f>IF(OR(W168="",W152=""),"",IF(W152&lt;=0,"",IFERROR(W168/W152,"")))</f>
        <v/>
      </c>
      <c r="X169" s="15">
        <f>IF(OR(X168="",X152=""),"",IF(X152&lt;=0,"",IFERROR(X168/X152,"")))</f>
        <v/>
      </c>
    </row>
    <row r="170">
      <c r="A170" s="43" t="inlineStr">
        <is>
          <t>YoY</t>
        </is>
      </c>
      <c r="B170" s="3" t="inlineStr">
        <is>
          <t>전년 같은 분기·전년 대비</t>
        </is>
      </c>
      <c r="G170" s="15">
        <f>IF(OR(G168="",C168=""),"",IF(C168&lt;=0,"",IFERROR(G168/C168-1,"")))</f>
        <v/>
      </c>
      <c r="H170" s="15">
        <f>IF(OR(H168="",D168=""),"",IF(D168&lt;=0,"",IFERROR(H168/D168-1,"")))</f>
        <v/>
      </c>
      <c r="I170" s="15">
        <f>IF(OR(I168="",E168=""),"",IF(E168&lt;=0,"",IFERROR(I168/E168-1,"")))</f>
        <v/>
      </c>
      <c r="J170" s="15">
        <f>IF(OR(J168="",F168=""),"",IF(F168&lt;=0,"",IFERROR(J168/F168-1,"")))</f>
        <v/>
      </c>
      <c r="K170" s="15">
        <f>IF(OR(K168="",G168=""),"",IF(G168&lt;=0,"",IFERROR(K168/G168-1,"")))</f>
        <v/>
      </c>
      <c r="L170" s="15">
        <f>IF(OR(L168="",H168=""),"",IF(H168&lt;=0,"",IFERROR(L168/H168-1,"")))</f>
        <v/>
      </c>
      <c r="M170" s="15">
        <f>IF(OR(M168="",I168=""),"",IF(I168&lt;=0,"",IFERROR(M168/I168-1,"")))</f>
        <v/>
      </c>
      <c r="N170" s="15">
        <f>IF(OR(N168="",J168=""),"",IF(J168&lt;=0,"",IFERROR(N168/J168-1,"")))</f>
        <v/>
      </c>
      <c r="V170" s="15">
        <f>IF(OR(V168="",U168=""),"",IF(U168&lt;=0,"",IFERROR(V168/U168-1,"")))</f>
        <v/>
      </c>
      <c r="W170" s="15">
        <f>IF(OR(W168="",V168=""),"",IF(V168&lt;=0,"",IFERROR(W168/V168-1,"")))</f>
        <v/>
      </c>
      <c r="X170" s="15">
        <f>IF(OR(X168="",W168=""),"",IF(W168&lt;=0,"",IFERROR(X168/W168-1,"")))</f>
        <v/>
      </c>
    </row>
    <row r="171">
      <c r="A171" s="18" t="inlineStr">
        <is>
          <t>보고부문 합계 · 영업이익</t>
        </is>
      </c>
      <c r="C171" s="20" t="n">
        <v>26960</v>
      </c>
      <c r="D171" s="20" t="n">
        <v>31802</v>
      </c>
      <c r="E171" s="20" t="n">
        <v>32291</v>
      </c>
      <c r="F171" s="20" t="n">
        <v>29100</v>
      </c>
      <c r="G171" s="20" t="n">
        <v>32607</v>
      </c>
      <c r="H171" s="20" t="n">
        <v>32975</v>
      </c>
      <c r="I171" s="20" t="n">
        <v>36627</v>
      </c>
      <c r="J171" s="20" t="n">
        <v>32400</v>
      </c>
      <c r="K171" s="20" t="n">
        <v>37047</v>
      </c>
      <c r="L171" s="20" t="n">
        <v>41374</v>
      </c>
      <c r="M171" s="20" t="n">
        <v>39756</v>
      </c>
      <c r="N171" s="20" t="n">
        <v>-60748</v>
      </c>
      <c r="V171" s="20" t="n">
        <v>29100</v>
      </c>
      <c r="W171" s="20" t="n">
        <v>32400</v>
      </c>
      <c r="X171" s="20" t="n">
        <v>-60748</v>
      </c>
    </row>
    <row r="172">
      <c r="A172" s="43" t="inlineStr">
        <is>
          <t>OPM</t>
        </is>
      </c>
      <c r="B172" s="3" t="inlineStr">
        <is>
          <t>영업이익 ÷ 매출</t>
        </is>
      </c>
      <c r="C172" s="15">
        <f>IF(OR(C171="",C154=""),"",IF(C154&lt;=0,"",IFERROR(C171/C154,"")))</f>
        <v/>
      </c>
      <c r="D172" s="15">
        <f>IF(OR(D171="",D154=""),"",IF(D154&lt;=0,"",IFERROR(D171/D154,"")))</f>
        <v/>
      </c>
      <c r="E172" s="15">
        <f>IF(OR(E171="",E154=""),"",IF(E154&lt;=0,"",IFERROR(E171/E154,"")))</f>
        <v/>
      </c>
      <c r="F172" s="15">
        <f>IF(OR(F171="",F154=""),"",IF(F154&lt;=0,"",IFERROR(F171/F154,"")))</f>
        <v/>
      </c>
      <c r="G172" s="15">
        <f>IF(OR(G171="",G154=""),"",IF(G154&lt;=0,"",IFERROR(G171/G154,"")))</f>
        <v/>
      </c>
      <c r="H172" s="15">
        <f>IF(OR(H171="",H154=""),"",IF(H154&lt;=0,"",IFERROR(H171/H154,"")))</f>
        <v/>
      </c>
      <c r="I172" s="15">
        <f>IF(OR(I171="",I154=""),"",IF(I154&lt;=0,"",IFERROR(I171/I154,"")))</f>
        <v/>
      </c>
      <c r="J172" s="15">
        <f>IF(OR(J171="",J154=""),"",IF(J154&lt;=0,"",IFERROR(J171/J154,"")))</f>
        <v/>
      </c>
      <c r="K172" s="15">
        <f>IF(OR(K171="",K154=""),"",IF(K154&lt;=0,"",IFERROR(K171/K154,"")))</f>
        <v/>
      </c>
      <c r="L172" s="15">
        <f>IF(OR(L171="",L154=""),"",IF(L154&lt;=0,"",IFERROR(L171/L154,"")))</f>
        <v/>
      </c>
      <c r="M172" s="15">
        <f>IF(OR(M171="",M154=""),"",IF(M154&lt;=0,"",IFERROR(M171/M154,"")))</f>
        <v/>
      </c>
      <c r="N172" s="15">
        <f>IF(OR(N171="",N154=""),"",IF(N154&lt;=0,"",IFERROR(N171/N154,"")))</f>
        <v/>
      </c>
      <c r="V172" s="15">
        <f>IF(OR(V171="",V154=""),"",IF(V154&lt;=0,"",IFERROR(V171/V154,"")))</f>
        <v/>
      </c>
      <c r="W172" s="15">
        <f>IF(OR(W171="",W154=""),"",IF(W154&lt;=0,"",IFERROR(W171/W154,"")))</f>
        <v/>
      </c>
      <c r="X172" s="15">
        <f>IF(OR(X171="",X154=""),"",IF(X154&lt;=0,"",IFERROR(X171/X154,"")))</f>
        <v/>
      </c>
    </row>
    <row r="173">
      <c r="A173" s="43" t="inlineStr">
        <is>
          <t>YoY</t>
        </is>
      </c>
      <c r="B173" s="3" t="inlineStr">
        <is>
          <t>전년 같은 분기·전년 대비</t>
        </is>
      </c>
      <c r="G173" s="15">
        <f>IF(OR(G171="",C171=""),"",IF(C171&lt;=0,"",IFERROR(G171/C171-1,"")))</f>
        <v/>
      </c>
      <c r="H173" s="15">
        <f>IF(OR(H171="",D171=""),"",IF(D171&lt;=0,"",IFERROR(H171/D171-1,"")))</f>
        <v/>
      </c>
      <c r="I173" s="15">
        <f>IF(OR(I171="",E171=""),"",IF(E171&lt;=0,"",IFERROR(I171/E171-1,"")))</f>
        <v/>
      </c>
      <c r="J173" s="15">
        <f>IF(OR(J171="",F171=""),"",IF(F171&lt;=0,"",IFERROR(J171/F171-1,"")))</f>
        <v/>
      </c>
      <c r="K173" s="15">
        <f>IF(OR(K171="",G171=""),"",IF(G171&lt;=0,"",IFERROR(K171/G171-1,"")))</f>
        <v/>
      </c>
      <c r="L173" s="15">
        <f>IF(OR(L171="",H171=""),"",IF(H171&lt;=0,"",IFERROR(L171/H171-1,"")))</f>
        <v/>
      </c>
      <c r="M173" s="15">
        <f>IF(OR(M171="",I171=""),"",IF(I171&lt;=0,"",IFERROR(M171/I171-1,"")))</f>
        <v/>
      </c>
      <c r="N173" s="15">
        <f>IF(OR(N171="",J171=""),"",IF(J171&lt;=0,"",IFERROR(N171/J171-1,"")))</f>
        <v/>
      </c>
      <c r="V173" s="15">
        <f>IF(OR(V171="",U171=""),"",IF(U171&lt;=0,"",IFERROR(V171/U171-1,"")))</f>
        <v/>
      </c>
      <c r="W173" s="15">
        <f>IF(OR(W171="",V171=""),"",IF(V171&lt;=0,"",IFERROR(W171/V171-1,"")))</f>
        <v/>
      </c>
      <c r="X173" s="15">
        <f>IF(OR(X171="",W171=""),"",IF(W171&lt;=0,"",IFERROR(X171/W171-1,"")))</f>
        <v/>
      </c>
    </row>
    <row r="174">
      <c r="A174" s="18" t="inlineStr">
        <is>
          <t>조정액 · 영업이익</t>
        </is>
      </c>
      <c r="C174" s="20" t="n">
        <v>67</v>
      </c>
      <c r="D174" s="20" t="n">
        <v>35</v>
      </c>
      <c r="E174" s="20" t="n">
        <v>83</v>
      </c>
      <c r="F174" s="20" t="n">
        <v>72</v>
      </c>
      <c r="G174" s="20" t="n">
        <v>36</v>
      </c>
      <c r="H174" s="20" t="n">
        <v>16</v>
      </c>
      <c r="I174" s="20" t="n">
        <v>91</v>
      </c>
      <c r="J174" s="20" t="n">
        <v>155</v>
      </c>
      <c r="K174" s="20" t="n">
        <v>198</v>
      </c>
      <c r="L174" s="20" t="n">
        <v>179</v>
      </c>
      <c r="M174" s="20" t="n">
        <v>226</v>
      </c>
      <c r="N174" s="20" t="n">
        <v>241</v>
      </c>
      <c r="V174" s="20" t="n">
        <v>72</v>
      </c>
      <c r="W174" s="20" t="n">
        <v>155</v>
      </c>
      <c r="X174" s="20" t="n">
        <v>241</v>
      </c>
    </row>
    <row r="175">
      <c r="A175" s="18" t="inlineStr">
        <is>
          <t>영업이익</t>
        </is>
      </c>
      <c r="C175" s="20" t="n">
        <v>27027</v>
      </c>
      <c r="D175" s="20" t="n">
        <v>31838</v>
      </c>
      <c r="E175" s="20" t="n">
        <v>32374</v>
      </c>
      <c r="F175" s="20" t="n">
        <v>29172</v>
      </c>
      <c r="G175" s="20" t="n">
        <v>32643</v>
      </c>
      <c r="H175" s="20" t="n">
        <v>32992</v>
      </c>
      <c r="I175" s="20" t="n">
        <v>36718</v>
      </c>
      <c r="J175" s="20" t="n">
        <v>32554</v>
      </c>
      <c r="K175" s="20" t="n">
        <v>37246</v>
      </c>
      <c r="L175" s="20" t="n">
        <v>41553</v>
      </c>
      <c r="M175" s="20" t="n">
        <v>39981</v>
      </c>
      <c r="N175" s="20" t="n">
        <v>-60507</v>
      </c>
      <c r="V175" s="20" t="n">
        <v>29172</v>
      </c>
      <c r="W175" s="20" t="n">
        <v>32554</v>
      </c>
      <c r="X175" s="20" t="n">
        <v>-60507</v>
      </c>
    </row>
    <row r="176">
      <c r="A176" s="43" t="inlineStr">
        <is>
          <t>OPM</t>
        </is>
      </c>
      <c r="B176" s="3" t="inlineStr">
        <is>
          <t>영업이익 ÷ 매출</t>
        </is>
      </c>
      <c r="C176" s="15">
        <f>IF(OR(C175="",C137=""),"",IF(C137&lt;=0,"",IFERROR(C175/C137,"")))</f>
        <v/>
      </c>
      <c r="D176" s="15">
        <f>IF(OR(D175="",D137=""),"",IF(D137&lt;=0,"",IFERROR(D175/D137,"")))</f>
        <v/>
      </c>
      <c r="E176" s="15">
        <f>IF(OR(E175="",E137=""),"",IF(E137&lt;=0,"",IFERROR(E175/E137,"")))</f>
        <v/>
      </c>
      <c r="F176" s="15">
        <f>IF(OR(F175="",F137=""),"",IF(F137&lt;=0,"",IFERROR(F175/F137,"")))</f>
        <v/>
      </c>
      <c r="G176" s="15">
        <f>IF(OR(G175="",G137=""),"",IF(G137&lt;=0,"",IFERROR(G175/G137,"")))</f>
        <v/>
      </c>
      <c r="H176" s="15">
        <f>IF(OR(H175="",H137=""),"",IF(H137&lt;=0,"",IFERROR(H175/H137,"")))</f>
        <v/>
      </c>
      <c r="I176" s="15">
        <f>IF(OR(I175="",I137=""),"",IF(I137&lt;=0,"",IFERROR(I175/I137,"")))</f>
        <v/>
      </c>
      <c r="J176" s="15">
        <f>IF(OR(J175="",J137=""),"",IF(J137&lt;=0,"",IFERROR(J175/J137,"")))</f>
        <v/>
      </c>
      <c r="K176" s="15">
        <f>IF(OR(K175="",K137=""),"",IF(K137&lt;=0,"",IFERROR(K175/K137,"")))</f>
        <v/>
      </c>
      <c r="L176" s="15">
        <f>IF(OR(L175="",L137=""),"",IF(L137&lt;=0,"",IFERROR(L175/L137,"")))</f>
        <v/>
      </c>
      <c r="M176" s="15">
        <f>IF(OR(M175="",M137=""),"",IF(M137&lt;=0,"",IFERROR(M175/M137,"")))</f>
        <v/>
      </c>
      <c r="N176" s="15">
        <f>IF(OR(N175="",N137=""),"",IF(N137&lt;=0,"",IFERROR(N175/N137,"")))</f>
        <v/>
      </c>
      <c r="V176" s="15">
        <f>IF(OR(V175="",V137=""),"",IF(V137&lt;=0,"",IFERROR(V175/V137,"")))</f>
        <v/>
      </c>
      <c r="W176" s="15">
        <f>IF(OR(W175="",W137=""),"",IF(W137&lt;=0,"",IFERROR(W175/W137,"")))</f>
        <v/>
      </c>
      <c r="X176" s="15">
        <f>IF(OR(X175="",X137=""),"",IF(X137&lt;=0,"",IFERROR(X175/X137,"")))</f>
        <v/>
      </c>
    </row>
    <row r="177">
      <c r="A177" s="43" t="inlineStr">
        <is>
          <t>YoY</t>
        </is>
      </c>
      <c r="B177" s="3" t="inlineStr">
        <is>
          <t>전년 같은 분기·전년 대비</t>
        </is>
      </c>
      <c r="G177" s="15">
        <f>IF(OR(G175="",C175=""),"",IF(C175&lt;=0,"",IFERROR(G175/C175-1,"")))</f>
        <v/>
      </c>
      <c r="H177" s="15">
        <f>IF(OR(H175="",D175=""),"",IF(D175&lt;=0,"",IFERROR(H175/D175-1,"")))</f>
        <v/>
      </c>
      <c r="I177" s="15">
        <f>IF(OR(I175="",E175=""),"",IF(E175&lt;=0,"",IFERROR(I175/E175-1,"")))</f>
        <v/>
      </c>
      <c r="J177" s="15">
        <f>IF(OR(J175="",F175=""),"",IF(F175&lt;=0,"",IFERROR(J175/F175-1,"")))</f>
        <v/>
      </c>
      <c r="K177" s="15">
        <f>IF(OR(K175="",G175=""),"",IF(G175&lt;=0,"",IFERROR(K175/G175-1,"")))</f>
        <v/>
      </c>
      <c r="L177" s="15">
        <f>IF(OR(L175="",H175=""),"",IF(H175&lt;=0,"",IFERROR(L175/H175-1,"")))</f>
        <v/>
      </c>
      <c r="M177" s="15">
        <f>IF(OR(M175="",I175=""),"",IF(I175&lt;=0,"",IFERROR(M175/I175-1,"")))</f>
        <v/>
      </c>
      <c r="N177" s="15">
        <f>IF(OR(N175="",J175=""),"",IF(J175&lt;=0,"",IFERROR(N175/J175-1,"")))</f>
        <v/>
      </c>
      <c r="V177" s="15">
        <f>IF(OR(V175="",U175=""),"",IF(U175&lt;=0,"",IFERROR(V175/U175-1,"")))</f>
        <v/>
      </c>
      <c r="W177" s="15">
        <f>IF(OR(W175="",V175=""),"",IF(V175&lt;=0,"",IFERROR(W175/V175-1,"")))</f>
        <v/>
      </c>
      <c r="X177" s="15">
        <f>IF(OR(X175="",W175=""),"",IF(W175&lt;=0,"",IFERROR(X175/W175-1,"")))</f>
        <v/>
      </c>
    </row>
    <row r="178">
      <c r="A178" s="18" t="inlineStr">
        <is>
          <t>금융수익</t>
        </is>
      </c>
      <c r="C178" s="20" t="n">
        <v>1032</v>
      </c>
      <c r="D178" s="20" t="n">
        <v>756</v>
      </c>
      <c r="E178" s="20" t="n">
        <v>991</v>
      </c>
      <c r="F178" s="20" t="n">
        <v>693</v>
      </c>
      <c r="G178" s="20" t="n">
        <v>1339</v>
      </c>
      <c r="H178" s="20" t="n">
        <v>1546</v>
      </c>
      <c r="I178" s="20" t="n">
        <v>937</v>
      </c>
      <c r="J178" s="20" t="n">
        <v>1235</v>
      </c>
      <c r="K178" s="20" t="n">
        <v>2008</v>
      </c>
      <c r="L178" s="20" t="n">
        <v>1077</v>
      </c>
      <c r="M178" s="20" t="n">
        <v>1226</v>
      </c>
      <c r="N178" s="20" t="n">
        <v>862</v>
      </c>
      <c r="V178" s="20" t="n">
        <v>693</v>
      </c>
      <c r="W178" s="20" t="n">
        <v>1235</v>
      </c>
      <c r="X178" s="20" t="n">
        <v>862</v>
      </c>
    </row>
    <row r="179">
      <c r="A179" s="43" t="inlineStr">
        <is>
          <t>YoY</t>
        </is>
      </c>
      <c r="B179" s="3" t="inlineStr">
        <is>
          <t>전년 같은 분기·전년 대비</t>
        </is>
      </c>
      <c r="G179" s="15">
        <f>IF(OR(G178="",C178=""),"",IF(G178*C178&lt;=0,"",IFERROR(G178/C178-1,"")))</f>
        <v/>
      </c>
      <c r="H179" s="15">
        <f>IF(OR(H178="",D178=""),"",IF(H178*D178&lt;=0,"",IFERROR(H178/D178-1,"")))</f>
        <v/>
      </c>
      <c r="I179" s="15">
        <f>IF(OR(I178="",E178=""),"",IF(I178*E178&lt;=0,"",IFERROR(I178/E178-1,"")))</f>
        <v/>
      </c>
      <c r="J179" s="15">
        <f>IF(OR(J178="",F178=""),"",IF(J178*F178&lt;=0,"",IFERROR(J178/F178-1,"")))</f>
        <v/>
      </c>
      <c r="K179" s="15">
        <f>IF(OR(K178="",G178=""),"",IF(K178*G178&lt;=0,"",IFERROR(K178/G178-1,"")))</f>
        <v/>
      </c>
      <c r="L179" s="15">
        <f>IF(OR(L178="",H178=""),"",IF(L178*H178&lt;=0,"",IFERROR(L178/H178-1,"")))</f>
        <v/>
      </c>
      <c r="M179" s="15">
        <f>IF(OR(M178="",I178=""),"",IF(M178*I178&lt;=0,"",IFERROR(M178/I178-1,"")))</f>
        <v/>
      </c>
      <c r="N179" s="15">
        <f>IF(OR(N178="",J178=""),"",IF(N178*J178&lt;=0,"",IFERROR(N178/J178-1,"")))</f>
        <v/>
      </c>
      <c r="V179" s="15">
        <f>IF(OR(V178="",U178=""),"",IF(V178*U178&lt;=0,"",IFERROR(V178/U178-1,"")))</f>
        <v/>
      </c>
      <c r="W179" s="15">
        <f>IF(OR(W178="",V178=""),"",IF(W178*V178&lt;=0,"",IFERROR(W178/V178-1,"")))</f>
        <v/>
      </c>
      <c r="X179" s="15">
        <f>IF(OR(X178="",W178=""),"",IF(X178*W178&lt;=0,"",IFERROR(X178/W178-1,"")))</f>
        <v/>
      </c>
    </row>
    <row r="180">
      <c r="A180" s="18" t="inlineStr">
        <is>
          <t>금융비용</t>
        </is>
      </c>
      <c r="C180" s="20" t="n">
        <v>1479</v>
      </c>
      <c r="D180" s="20" t="n">
        <v>1635</v>
      </c>
      <c r="E180" s="20" t="n">
        <v>1630</v>
      </c>
      <c r="F180" s="20" t="n">
        <v>1914</v>
      </c>
      <c r="G180" s="20" t="n">
        <v>1933</v>
      </c>
      <c r="H180" s="20" t="n">
        <v>1152</v>
      </c>
      <c r="I180" s="20" t="n">
        <v>1503</v>
      </c>
      <c r="J180" s="20" t="n">
        <v>1215</v>
      </c>
      <c r="K180" s="20" t="n">
        <v>1275</v>
      </c>
      <c r="L180" s="20" t="n">
        <v>1153</v>
      </c>
      <c r="M180" s="20" t="n">
        <v>1132</v>
      </c>
      <c r="N180" s="20" t="n">
        <v>1035</v>
      </c>
      <c r="V180" s="20" t="n">
        <v>1914</v>
      </c>
      <c r="W180" s="20" t="n">
        <v>1215</v>
      </c>
      <c r="X180" s="20" t="n">
        <v>1035</v>
      </c>
    </row>
    <row r="181">
      <c r="A181" s="43" t="inlineStr">
        <is>
          <t>YoY</t>
        </is>
      </c>
      <c r="B181" s="3" t="inlineStr">
        <is>
          <t>전년 같은 분기·전년 대비</t>
        </is>
      </c>
      <c r="G181" s="15">
        <f>IF(OR(G180="",C180=""),"",IF(G180*C180&lt;=0,"",IFERROR(G180/C180-1,"")))</f>
        <v/>
      </c>
      <c r="H181" s="15">
        <f>IF(OR(H180="",D180=""),"",IF(H180*D180&lt;=0,"",IFERROR(H180/D180-1,"")))</f>
        <v/>
      </c>
      <c r="I181" s="15">
        <f>IF(OR(I180="",E180=""),"",IF(I180*E180&lt;=0,"",IFERROR(I180/E180-1,"")))</f>
        <v/>
      </c>
      <c r="J181" s="15">
        <f>IF(OR(J180="",F180=""),"",IF(J180*F180&lt;=0,"",IFERROR(J180/F180-1,"")))</f>
        <v/>
      </c>
      <c r="K181" s="15">
        <f>IF(OR(K180="",G180=""),"",IF(K180*G180&lt;=0,"",IFERROR(K180/G180-1,"")))</f>
        <v/>
      </c>
      <c r="L181" s="15">
        <f>IF(OR(L180="",H180=""),"",IF(L180*H180&lt;=0,"",IFERROR(L180/H180-1,"")))</f>
        <v/>
      </c>
      <c r="M181" s="15">
        <f>IF(OR(M180="",I180=""),"",IF(M180*I180&lt;=0,"",IFERROR(M180/I180-1,"")))</f>
        <v/>
      </c>
      <c r="N181" s="15">
        <f>IF(OR(N180="",J180=""),"",IF(N180*J180&lt;=0,"",IFERROR(N180/J180-1,"")))</f>
        <v/>
      </c>
      <c r="V181" s="15">
        <f>IF(OR(V180="",U180=""),"",IF(V180*U180&lt;=0,"",IFERROR(V180/U180-1,"")))</f>
        <v/>
      </c>
      <c r="W181" s="15">
        <f>IF(OR(W180="",V180=""),"",IF(W180*V180&lt;=0,"",IFERROR(W180/V180-1,"")))</f>
        <v/>
      </c>
      <c r="X181" s="15">
        <f>IF(OR(X180="",W180=""),"",IF(X180*W180&lt;=0,"",IFERROR(X180/W180-1,"")))</f>
        <v/>
      </c>
    </row>
    <row r="182">
      <c r="A182" s="9" t="inlineStr">
        <is>
          <t>법인세비용차감전 중간이익</t>
        </is>
      </c>
      <c r="C182" s="12" t="n">
        <v>26580</v>
      </c>
      <c r="D182" s="12" t="n">
        <v>30959</v>
      </c>
      <c r="E182" s="12" t="n">
        <v>31735</v>
      </c>
      <c r="F182" s="12" t="n">
        <v>27950</v>
      </c>
      <c r="G182" s="12" t="n">
        <v>32050</v>
      </c>
      <c r="H182" s="12" t="n">
        <v>33385</v>
      </c>
      <c r="I182" s="12" t="n">
        <v>36152</v>
      </c>
      <c r="J182" s="12" t="n">
        <v>32574</v>
      </c>
      <c r="K182" s="12" t="n">
        <v>37978</v>
      </c>
      <c r="L182" s="12" t="n">
        <v>41478</v>
      </c>
      <c r="M182" s="12" t="n">
        <v>40075</v>
      </c>
      <c r="N182" s="12" t="n">
        <v>-60680</v>
      </c>
      <c r="V182" s="12" t="n">
        <v>27950</v>
      </c>
      <c r="W182" s="12" t="n">
        <v>32574</v>
      </c>
      <c r="X182" s="12" t="n">
        <v>-60680</v>
      </c>
    </row>
    <row r="184">
      <c r="A184" s="16" t="inlineStr">
        <is>
          <t>현금흐름표 · 전 항목</t>
        </is>
      </c>
      <c r="B184" s="42" t="inlineStr">
        <is>
          <t>분기 = 결산기 첫날부터 누계(공시 그대로)</t>
        </is>
      </c>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row>
    <row r="185">
      <c r="A185" s="5" t="inlineStr">
        <is>
          <t>항목</t>
        </is>
      </c>
      <c r="B185" s="5" t="inlineStr">
        <is>
          <t>참고</t>
        </is>
      </c>
      <c r="C185" s="5" t="inlineStr">
        <is>
          <t>2024.1Q</t>
        </is>
      </c>
      <c r="D185" s="5" t="inlineStr">
        <is>
          <t>2024.2Q</t>
        </is>
      </c>
      <c r="E185" s="5" t="inlineStr">
        <is>
          <t>2024.3Q</t>
        </is>
      </c>
      <c r="F185" s="5" t="inlineStr">
        <is>
          <t>2024.4Q</t>
        </is>
      </c>
      <c r="G185" s="5" t="inlineStr">
        <is>
          <t>2025.1Q</t>
        </is>
      </c>
      <c r="H185" s="5" t="inlineStr">
        <is>
          <t>2025.2Q</t>
        </is>
      </c>
      <c r="I185" s="5" t="inlineStr">
        <is>
          <t>2025.3Q</t>
        </is>
      </c>
      <c r="J185" s="5" t="inlineStr">
        <is>
          <t>2025.4Q</t>
        </is>
      </c>
      <c r="K185" s="5" t="inlineStr">
        <is>
          <t>2026.1Q</t>
        </is>
      </c>
      <c r="L185" s="5" t="inlineStr">
        <is>
          <t>2026.2Q</t>
        </is>
      </c>
      <c r="M185" s="5" t="inlineStr">
        <is>
          <t>2026.3Q</t>
        </is>
      </c>
      <c r="N185" s="5" t="inlineStr">
        <is>
          <t>2026.4Q</t>
        </is>
      </c>
      <c r="O185" s="5" t="inlineStr">
        <is>
          <t>2017</t>
        </is>
      </c>
      <c r="P185" s="5" t="inlineStr">
        <is>
          <t>2018</t>
        </is>
      </c>
      <c r="Q185" s="5" t="inlineStr">
        <is>
          <t>2019</t>
        </is>
      </c>
      <c r="R185" s="5" t="inlineStr">
        <is>
          <t>2020</t>
        </is>
      </c>
      <c r="S185" s="5" t="inlineStr">
        <is>
          <t>2021</t>
        </is>
      </c>
      <c r="T185" s="5" t="inlineStr">
        <is>
          <t>2022</t>
        </is>
      </c>
      <c r="U185" s="5" t="inlineStr">
        <is>
          <t>2023</t>
        </is>
      </c>
      <c r="V185" s="5" t="inlineStr">
        <is>
          <t>2024</t>
        </is>
      </c>
      <c r="W185" s="5" t="inlineStr">
        <is>
          <t>2025</t>
        </is>
      </c>
      <c r="X185" s="5" t="inlineStr">
        <is>
          <t>2026</t>
        </is>
      </c>
      <c r="Y185" s="5" t="inlineStr">
        <is>
          <t>2027(MW)</t>
        </is>
      </c>
      <c r="Z185" s="5" t="inlineStr">
        <is>
          <t>2028(MW)</t>
        </is>
      </c>
      <c r="AA185" s="5" t="inlineStr">
        <is>
          <t>2029(MW)</t>
        </is>
      </c>
      <c r="AB185" s="5" t="inlineStr">
        <is>
          <t>2030(MW)</t>
        </is>
      </c>
      <c r="AC185" s="5" t="inlineStr">
        <is>
          <t>2031(MW)</t>
        </is>
      </c>
    </row>
    <row r="186">
      <c r="A186" s="9" t="inlineStr">
        <is>
          <t>법인세비용차감전 중간이익</t>
        </is>
      </c>
      <c r="C186" s="12" t="n">
        <v>26580</v>
      </c>
      <c r="D186" s="12" t="n">
        <v>57539</v>
      </c>
      <c r="E186" s="12" t="n">
        <v>89274</v>
      </c>
      <c r="F186" s="12" t="n">
        <v>117224</v>
      </c>
      <c r="G186" s="12" t="n">
        <v>32050</v>
      </c>
      <c r="H186" s="12" t="n">
        <v>65435</v>
      </c>
      <c r="I186" s="12" t="n">
        <v>101587</v>
      </c>
      <c r="J186" s="12" t="n">
        <v>134161</v>
      </c>
      <c r="K186" s="12" t="n">
        <v>37978</v>
      </c>
      <c r="L186" s="12" t="n">
        <v>79456</v>
      </c>
      <c r="M186" s="12" t="n">
        <v>119531</v>
      </c>
      <c r="N186" s="12" t="n">
        <v>58851</v>
      </c>
      <c r="S186" s="12" t="n">
        <v>71075</v>
      </c>
      <c r="T186" s="12" t="n">
        <v>104671</v>
      </c>
      <c r="U186" s="12" t="n">
        <v>108499</v>
      </c>
      <c r="V186" s="12" t="n">
        <v>117224</v>
      </c>
      <c r="W186" s="12" t="n">
        <v>134161</v>
      </c>
      <c r="X186" s="12" t="n">
        <v>58851</v>
      </c>
    </row>
    <row r="187">
      <c r="A187" s="18" t="inlineStr">
        <is>
          <t>감가상각비 및 상각비</t>
        </is>
      </c>
      <c r="C187" s="20" t="n">
        <v>11719</v>
      </c>
      <c r="D187" s="20" t="n">
        <v>23752</v>
      </c>
      <c r="E187" s="20" t="n">
        <v>36058</v>
      </c>
      <c r="F187" s="20" t="n">
        <v>48157</v>
      </c>
      <c r="G187" s="20" t="n">
        <v>12280</v>
      </c>
      <c r="H187" s="20" t="n">
        <v>24494</v>
      </c>
      <c r="I187" s="20" t="n">
        <v>36609</v>
      </c>
      <c r="J187" s="20" t="n">
        <v>48910</v>
      </c>
      <c r="K187" s="20" t="n">
        <v>12207</v>
      </c>
      <c r="L187" s="20" t="n">
        <v>24798</v>
      </c>
      <c r="M187" s="20" t="n">
        <v>37841</v>
      </c>
      <c r="N187" s="20" t="n">
        <v>51275</v>
      </c>
      <c r="S187" s="20" t="n">
        <v>40911</v>
      </c>
      <c r="T187" s="20" t="n">
        <v>41941</v>
      </c>
      <c r="U187" s="20" t="n">
        <v>45092</v>
      </c>
      <c r="V187" s="20" t="n">
        <v>48157</v>
      </c>
      <c r="W187" s="20" t="n">
        <v>48910</v>
      </c>
      <c r="X187" s="20" t="n">
        <v>51275</v>
      </c>
    </row>
    <row r="188">
      <c r="A188" s="18" t="inlineStr">
        <is>
          <t>손상차손</t>
        </is>
      </c>
      <c r="F188" s="20" t="n">
        <v>751</v>
      </c>
      <c r="H188" s="20" t="n">
        <v>0</v>
      </c>
      <c r="I188" s="20" t="n">
        <v>0</v>
      </c>
      <c r="J188" s="20" t="n">
        <v>346</v>
      </c>
      <c r="K188" s="20" t="n">
        <v>0</v>
      </c>
      <c r="L188" s="20" t="n">
        <v>361</v>
      </c>
      <c r="M188" s="20" t="n">
        <v>361</v>
      </c>
      <c r="N188" s="20" t="n">
        <v>97586</v>
      </c>
      <c r="S188" s="20" t="n">
        <v>2220</v>
      </c>
      <c r="T188" s="20" t="n">
        <v>0</v>
      </c>
      <c r="U188" s="20" t="n">
        <v>0</v>
      </c>
      <c r="V188" s="20" t="n">
        <v>751</v>
      </c>
      <c r="W188" s="20" t="n">
        <v>346</v>
      </c>
      <c r="X188" s="20" t="n">
        <v>97586</v>
      </c>
    </row>
    <row r="189">
      <c r="A189" s="18" t="inlineStr">
        <is>
          <t>Loss Gain On Sale And Retirement Of Fixed Assets Ope CF</t>
        </is>
      </c>
      <c r="C189" s="20" t="n">
        <v>8</v>
      </c>
      <c r="D189" s="20" t="n">
        <v>516</v>
      </c>
      <c r="E189" s="20" t="n">
        <v>674</v>
      </c>
      <c r="F189" s="20" t="n">
        <v>1330</v>
      </c>
      <c r="G189" s="20" t="n">
        <v>20</v>
      </c>
      <c r="H189" s="20" t="n">
        <v>2689</v>
      </c>
      <c r="I189" s="20" t="n">
        <v>3161</v>
      </c>
      <c r="J189" s="20" t="n">
        <v>4084</v>
      </c>
      <c r="K189" s="20" t="n">
        <v>44</v>
      </c>
      <c r="L189" s="20" t="n">
        <v>87</v>
      </c>
      <c r="M189" s="20" t="n">
        <v>475</v>
      </c>
      <c r="N189" s="20" t="n">
        <v>703</v>
      </c>
      <c r="S189" s="20" t="n">
        <v>1363</v>
      </c>
      <c r="T189" s="20" t="n">
        <v>-2242</v>
      </c>
      <c r="U189" s="20" t="n">
        <v>-1939</v>
      </c>
      <c r="V189" s="20" t="n">
        <v>1330</v>
      </c>
      <c r="W189" s="20" t="n">
        <v>4084</v>
      </c>
      <c r="X189" s="20" t="n">
        <v>703</v>
      </c>
    </row>
    <row r="190">
      <c r="A190" s="18" t="inlineStr">
        <is>
          <t>금융수익</t>
        </is>
      </c>
      <c r="C190" s="20" t="n">
        <v>-1032</v>
      </c>
      <c r="D190" s="20" t="n">
        <v>-1788</v>
      </c>
      <c r="E190" s="20" t="n">
        <v>-2779</v>
      </c>
      <c r="F190" s="20" t="n">
        <v>-3472</v>
      </c>
      <c r="G190" s="20" t="n">
        <v>-1339</v>
      </c>
      <c r="H190" s="20" t="n">
        <v>-2885</v>
      </c>
      <c r="I190" s="20" t="n">
        <v>-3822</v>
      </c>
      <c r="J190" s="20" t="n">
        <v>-5057</v>
      </c>
      <c r="K190" s="20" t="n">
        <v>-2008</v>
      </c>
      <c r="L190" s="20" t="n">
        <v>-3085</v>
      </c>
      <c r="M190" s="20" t="n">
        <v>-4311</v>
      </c>
      <c r="N190" s="20" t="n">
        <v>-5173</v>
      </c>
      <c r="S190" s="20" t="n">
        <v>-1841</v>
      </c>
      <c r="T190" s="20" t="n">
        <v>-1971</v>
      </c>
      <c r="U190" s="20" t="n">
        <v>-2218</v>
      </c>
      <c r="V190" s="20" t="n">
        <v>-3472</v>
      </c>
      <c r="W190" s="20" t="n">
        <v>-5057</v>
      </c>
      <c r="X190" s="20" t="n">
        <v>-5173</v>
      </c>
    </row>
    <row r="191">
      <c r="A191" s="18" t="inlineStr">
        <is>
          <t>금융비용</t>
        </is>
      </c>
      <c r="C191" s="20" t="n">
        <v>1479</v>
      </c>
      <c r="D191" s="20" t="n">
        <v>3114</v>
      </c>
      <c r="E191" s="20" t="n">
        <v>4744</v>
      </c>
      <c r="F191" s="20" t="n">
        <v>6658</v>
      </c>
      <c r="G191" s="20" t="n">
        <v>1933</v>
      </c>
      <c r="H191" s="20" t="n">
        <v>3085</v>
      </c>
      <c r="I191" s="20" t="n">
        <v>4588</v>
      </c>
      <c r="J191" s="20" t="n">
        <v>5803</v>
      </c>
      <c r="K191" s="20" t="n">
        <v>1275</v>
      </c>
      <c r="L191" s="20" t="n">
        <v>2428</v>
      </c>
      <c r="M191" s="20" t="n">
        <v>3560</v>
      </c>
      <c r="N191" s="20" t="n">
        <v>4595</v>
      </c>
      <c r="S191" s="20" t="n">
        <v>11514</v>
      </c>
      <c r="T191" s="20" t="n">
        <v>3518</v>
      </c>
      <c r="U191" s="20" t="n">
        <v>5551</v>
      </c>
      <c r="V191" s="20" t="n">
        <v>6658</v>
      </c>
      <c r="W191" s="20" t="n">
        <v>5803</v>
      </c>
      <c r="X191" s="20" t="n">
        <v>4595</v>
      </c>
    </row>
    <row r="192">
      <c r="A192" s="18" t="inlineStr">
        <is>
          <t>Share Of Loss Profit Of Investments Accounted For Using Equity Method Ope CF</t>
        </is>
      </c>
      <c r="C192" s="20" t="n">
        <v>-147</v>
      </c>
      <c r="D192" s="20" t="n">
        <v>-289</v>
      </c>
      <c r="E192" s="20" t="n">
        <v>-620</v>
      </c>
      <c r="F192" s="20" t="n">
        <v>-780</v>
      </c>
      <c r="G192" s="20" t="n">
        <v>-152</v>
      </c>
      <c r="H192" s="20" t="n">
        <v>-330</v>
      </c>
      <c r="I192" s="20" t="n">
        <v>-759</v>
      </c>
      <c r="J192" s="20" t="n">
        <v>-902</v>
      </c>
      <c r="K192" s="20" t="n">
        <v>-285</v>
      </c>
      <c r="L192" s="20" t="n">
        <v>-506</v>
      </c>
      <c r="M192" s="20" t="n">
        <v>-758</v>
      </c>
      <c r="N192" s="20" t="n">
        <v>-1103</v>
      </c>
      <c r="S192" s="20" t="n">
        <v>-62</v>
      </c>
      <c r="T192" s="20" t="n">
        <v>-204</v>
      </c>
      <c r="U192" s="20" t="n">
        <v>-450</v>
      </c>
      <c r="V192" s="20" t="n">
        <v>-780</v>
      </c>
      <c r="W192" s="20" t="n">
        <v>-902</v>
      </c>
      <c r="X192" s="20" t="n">
        <v>-1103</v>
      </c>
    </row>
    <row r="193">
      <c r="A193" s="18" t="inlineStr">
        <is>
          <t>영업채권 및 기타채권 증감액</t>
        </is>
      </c>
      <c r="C193" s="20" t="n">
        <v>35940</v>
      </c>
      <c r="D193" s="20" t="n">
        <v>19934</v>
      </c>
      <c r="E193" s="20" t="n">
        <v>37582</v>
      </c>
      <c r="F193" s="20" t="n">
        <v>-8136</v>
      </c>
      <c r="G193" s="20" t="n">
        <v>46317</v>
      </c>
      <c r="H193" s="20" t="n">
        <v>20014</v>
      </c>
      <c r="I193" s="20" t="n">
        <v>54915</v>
      </c>
      <c r="J193" s="20" t="n">
        <v>-18056</v>
      </c>
      <c r="K193" s="20" t="n">
        <v>55601</v>
      </c>
      <c r="L193" s="20" t="n">
        <v>15161</v>
      </c>
      <c r="M193" s="20" t="n">
        <v>62252</v>
      </c>
      <c r="N193" s="20" t="n">
        <v>-35736</v>
      </c>
      <c r="S193" s="20" t="n">
        <v>-7814</v>
      </c>
      <c r="T193" s="20" t="n">
        <v>-9200</v>
      </c>
      <c r="U193" s="20" t="n">
        <v>4359</v>
      </c>
      <c r="V193" s="20" t="n">
        <v>-8136</v>
      </c>
      <c r="W193" s="20" t="n">
        <v>-18056</v>
      </c>
      <c r="X193" s="20" t="n">
        <v>-35736</v>
      </c>
    </row>
    <row r="194">
      <c r="A194" s="18" t="inlineStr">
        <is>
          <t>Decrease Increase In Contract Assets Ope CF</t>
        </is>
      </c>
      <c r="C194" s="20" t="n">
        <v>-3982</v>
      </c>
      <c r="D194" s="20" t="n">
        <v>-12268</v>
      </c>
      <c r="E194" s="20" t="n">
        <v>-21433</v>
      </c>
      <c r="F194" s="20" t="n">
        <v>615</v>
      </c>
      <c r="G194" s="20" t="n">
        <v>-11852</v>
      </c>
      <c r="H194" s="20" t="n">
        <v>-15450</v>
      </c>
      <c r="I194" s="20" t="n">
        <v>-29000</v>
      </c>
      <c r="J194" s="20" t="n">
        <v>-2527</v>
      </c>
      <c r="K194" s="20" t="n">
        <v>-13477</v>
      </c>
      <c r="L194" s="20" t="n">
        <v>-23146</v>
      </c>
      <c r="M194" s="20" t="n">
        <v>-38325</v>
      </c>
      <c r="N194" s="20" t="n">
        <v>-6365</v>
      </c>
      <c r="S194" s="20" t="n">
        <v>-2104</v>
      </c>
      <c r="T194" s="20" t="n">
        <v>-5382</v>
      </c>
      <c r="U194" s="20" t="n">
        <v>-5263</v>
      </c>
      <c r="V194" s="20" t="n">
        <v>615</v>
      </c>
      <c r="W194" s="20" t="n">
        <v>-2527</v>
      </c>
      <c r="X194" s="20" t="n">
        <v>-6365</v>
      </c>
    </row>
    <row r="195">
      <c r="A195" s="18" t="inlineStr">
        <is>
          <t>재고자산 증감액</t>
        </is>
      </c>
      <c r="C195" s="20" t="n">
        <v>526</v>
      </c>
      <c r="D195" s="20" t="n">
        <v>469</v>
      </c>
      <c r="E195" s="20" t="n">
        <v>90</v>
      </c>
      <c r="F195" s="20" t="n">
        <v>109</v>
      </c>
      <c r="G195" s="20" t="n">
        <v>369</v>
      </c>
      <c r="H195" s="20" t="n">
        <v>156</v>
      </c>
      <c r="I195" s="20" t="n">
        <v>-240</v>
      </c>
      <c r="J195" s="20" t="n">
        <v>358</v>
      </c>
      <c r="K195" s="20" t="n">
        <v>-899</v>
      </c>
      <c r="L195" s="20" t="n">
        <v>-970</v>
      </c>
      <c r="M195" s="20" t="n">
        <v>-895</v>
      </c>
      <c r="N195" s="20" t="n">
        <v>-661</v>
      </c>
      <c r="S195" s="20" t="n">
        <v>399</v>
      </c>
      <c r="T195" s="20" t="n">
        <v>213</v>
      </c>
      <c r="U195" s="20" t="n">
        <v>-276</v>
      </c>
      <c r="V195" s="20" t="n">
        <v>109</v>
      </c>
      <c r="W195" s="20" t="n">
        <v>358</v>
      </c>
      <c r="X195" s="20" t="n">
        <v>-661</v>
      </c>
    </row>
    <row r="196">
      <c r="A196" s="18" t="inlineStr">
        <is>
          <t>Decrease Increase In Prepaid Expenses Ope CF</t>
        </is>
      </c>
      <c r="C196" s="20" t="n">
        <v>-810</v>
      </c>
      <c r="D196" s="20" t="n">
        <v>-3376</v>
      </c>
      <c r="E196" s="20" t="n">
        <v>-1168</v>
      </c>
      <c r="F196" s="20" t="n">
        <v>-568</v>
      </c>
      <c r="G196" s="20" t="n">
        <v>-2601</v>
      </c>
      <c r="H196" s="20" t="n">
        <v>-5840</v>
      </c>
      <c r="I196" s="20" t="n">
        <v>-3569</v>
      </c>
      <c r="J196" s="20" t="n">
        <v>-982</v>
      </c>
      <c r="K196" s="20" t="n">
        <v>-7137</v>
      </c>
      <c r="L196" s="20" t="n">
        <v>-12026</v>
      </c>
      <c r="M196" s="20" t="n">
        <v>-7602</v>
      </c>
      <c r="N196" s="20" t="n">
        <v>-6831</v>
      </c>
      <c r="S196" s="20" t="n">
        <v>-1535</v>
      </c>
      <c r="T196" s="20" t="n">
        <v>-1279</v>
      </c>
      <c r="U196" s="20" t="n">
        <v>-2623</v>
      </c>
      <c r="V196" s="20" t="n">
        <v>-568</v>
      </c>
      <c r="W196" s="20" t="n">
        <v>-982</v>
      </c>
      <c r="X196" s="20" t="n">
        <v>-6831</v>
      </c>
    </row>
    <row r="197">
      <c r="A197" s="18" t="inlineStr">
        <is>
          <t>영업채무 및 기타채무 증감액</t>
        </is>
      </c>
      <c r="C197" s="20" t="n">
        <v>-14973</v>
      </c>
      <c r="D197" s="20" t="n">
        <v>-16512</v>
      </c>
      <c r="E197" s="20" t="n">
        <v>-21810</v>
      </c>
      <c r="F197" s="20" t="n">
        <v>-574</v>
      </c>
      <c r="G197" s="20" t="n">
        <v>-10807</v>
      </c>
      <c r="H197" s="20" t="n">
        <v>-5115</v>
      </c>
      <c r="I197" s="20" t="n">
        <v>-24487</v>
      </c>
      <c r="J197" s="20" t="n">
        <v>7074</v>
      </c>
      <c r="K197" s="20" t="n">
        <v>-9665</v>
      </c>
      <c r="L197" s="20" t="n">
        <v>9137</v>
      </c>
      <c r="M197" s="20" t="n">
        <v>-19831</v>
      </c>
      <c r="N197" s="20" t="n">
        <v>22735</v>
      </c>
      <c r="S197" s="20" t="n">
        <v>4279</v>
      </c>
      <c r="T197" s="20" t="n">
        <v>1351</v>
      </c>
      <c r="U197" s="20" t="n">
        <v>9577</v>
      </c>
      <c r="V197" s="20" t="n">
        <v>-574</v>
      </c>
      <c r="W197" s="20" t="n">
        <v>7074</v>
      </c>
      <c r="X197" s="20" t="n">
        <v>22735</v>
      </c>
    </row>
    <row r="198">
      <c r="A198" s="18" t="inlineStr">
        <is>
          <t>Increase Decrease In Contract Liabilities Ope CF</t>
        </is>
      </c>
      <c r="C198" s="20" t="n">
        <v>-80</v>
      </c>
      <c r="D198" s="20" t="n">
        <v>1742</v>
      </c>
      <c r="E198" s="20" t="n">
        <v>15</v>
      </c>
      <c r="F198" s="20" t="n">
        <v>1599</v>
      </c>
      <c r="G198" s="20" t="n">
        <v>1052</v>
      </c>
      <c r="H198" s="20" t="n">
        <v>4919</v>
      </c>
      <c r="I198" s="20" t="n">
        <v>2135</v>
      </c>
      <c r="J198" s="20" t="n">
        <v>3154</v>
      </c>
      <c r="K198" s="20" t="n">
        <v>1278</v>
      </c>
      <c r="L198" s="20" t="n">
        <v>5957</v>
      </c>
      <c r="M198" s="20" t="n">
        <v>869</v>
      </c>
      <c r="N198" s="20" t="n">
        <v>3536</v>
      </c>
      <c r="S198" s="20" t="n">
        <v>-3603</v>
      </c>
      <c r="T198" s="20" t="n">
        <v>2075</v>
      </c>
      <c r="U198" s="20" t="n">
        <v>-72</v>
      </c>
      <c r="V198" s="20" t="n">
        <v>1599</v>
      </c>
      <c r="W198" s="20" t="n">
        <v>3154</v>
      </c>
      <c r="X198" s="20" t="n">
        <v>3536</v>
      </c>
    </row>
    <row r="199">
      <c r="A199" s="18" t="inlineStr">
        <is>
          <t>Increase Decrease In Liabilities Relating To Trust Type Employee Stock Ownership Incentive Plan Ope CF</t>
        </is>
      </c>
      <c r="C199" s="20" t="n">
        <v>-1820</v>
      </c>
      <c r="D199" s="20" t="n">
        <v>-1820</v>
      </c>
      <c r="E199" s="20" t="n">
        <v>-1820</v>
      </c>
      <c r="F199" s="20" t="n">
        <v>-1820</v>
      </c>
      <c r="S199" s="20" t="n">
        <v>1590</v>
      </c>
      <c r="T199" s="20" t="n">
        <v>-12275</v>
      </c>
      <c r="U199" s="20" t="n">
        <v>504</v>
      </c>
      <c r="V199" s="20" t="n">
        <v>-1820</v>
      </c>
    </row>
    <row r="200">
      <c r="A200" s="18" t="inlineStr">
        <is>
          <t>Increase Decrease In Provision For Loss On Orders Received Ope CF</t>
        </is>
      </c>
      <c r="C200" s="20" t="n">
        <v>-341</v>
      </c>
      <c r="D200" s="20" t="n">
        <v>-484</v>
      </c>
      <c r="E200" s="20" t="n">
        <v>-688</v>
      </c>
      <c r="F200" s="20" t="n">
        <v>-720</v>
      </c>
      <c r="G200" s="20" t="n">
        <v>35</v>
      </c>
      <c r="H200" s="20" t="n">
        <v>35</v>
      </c>
      <c r="I200" s="20" t="n">
        <v>52</v>
      </c>
      <c r="J200" s="20" t="n">
        <v>99</v>
      </c>
      <c r="K200" s="20" t="n">
        <v>238</v>
      </c>
      <c r="L200" s="20" t="n">
        <v>124</v>
      </c>
      <c r="M200" s="20" t="n">
        <v>-30</v>
      </c>
      <c r="N200" s="20" t="n">
        <v>55</v>
      </c>
      <c r="S200" s="20" t="n">
        <v>31</v>
      </c>
      <c r="T200" s="20" t="n">
        <v>115</v>
      </c>
      <c r="U200" s="20" t="n">
        <v>378</v>
      </c>
      <c r="V200" s="20" t="n">
        <v>-720</v>
      </c>
      <c r="W200" s="20" t="n">
        <v>99</v>
      </c>
      <c r="X200" s="20" t="n">
        <v>55</v>
      </c>
    </row>
    <row r="201">
      <c r="A201" s="18" t="inlineStr">
        <is>
          <t>Increase Decrease In Accounts Payable Bonuses Ope CF</t>
        </is>
      </c>
      <c r="C201" s="20" t="n">
        <v>-14317</v>
      </c>
      <c r="D201" s="20" t="n">
        <v>-46</v>
      </c>
      <c r="E201" s="20" t="n">
        <v>-12441</v>
      </c>
      <c r="F201" s="20" t="n">
        <v>2230</v>
      </c>
      <c r="G201" s="20" t="n">
        <v>-16441</v>
      </c>
      <c r="H201" s="20" t="n">
        <v>-4174</v>
      </c>
      <c r="I201" s="20" t="n">
        <v>-15334</v>
      </c>
      <c r="J201" s="20" t="n">
        <v>-1815</v>
      </c>
      <c r="K201" s="20" t="n">
        <v>-14366</v>
      </c>
      <c r="L201" s="20" t="n">
        <v>-156</v>
      </c>
      <c r="M201" s="20" t="n">
        <v>-12880</v>
      </c>
      <c r="N201" s="20" t="n">
        <v>2153</v>
      </c>
      <c r="S201" s="20" t="n">
        <v>1916</v>
      </c>
      <c r="T201" s="20" t="n">
        <v>2026</v>
      </c>
      <c r="U201" s="20" t="n">
        <v>3152</v>
      </c>
      <c r="V201" s="20" t="n">
        <v>2230</v>
      </c>
      <c r="W201" s="20" t="n">
        <v>-1815</v>
      </c>
      <c r="X201" s="20" t="n">
        <v>2153</v>
      </c>
    </row>
    <row r="202">
      <c r="A202" s="18" t="inlineStr">
        <is>
          <t>Decrease Increase In Retirement Benefit Asset Ope CF</t>
        </is>
      </c>
      <c r="C202" s="20" t="n">
        <v>990</v>
      </c>
      <c r="D202" s="20" t="n">
        <v>1980</v>
      </c>
      <c r="E202" s="20" t="n">
        <v>2970</v>
      </c>
      <c r="F202" s="20" t="n">
        <v>3960</v>
      </c>
      <c r="G202" s="20" t="n">
        <v>705</v>
      </c>
      <c r="H202" s="20" t="n">
        <v>1162</v>
      </c>
      <c r="I202" s="20" t="n">
        <v>405</v>
      </c>
      <c r="J202" s="20" t="n">
        <v>-294</v>
      </c>
      <c r="K202" s="20" t="n">
        <v>-1085</v>
      </c>
      <c r="L202" s="20" t="n">
        <v>-2177</v>
      </c>
      <c r="M202" s="20" t="n">
        <v>-3214</v>
      </c>
      <c r="N202" s="20" t="n">
        <v>-4256</v>
      </c>
      <c r="S202" s="20" t="n">
        <v>-7244</v>
      </c>
      <c r="T202" s="20" t="n">
        <v>-2141</v>
      </c>
      <c r="U202" s="20" t="n">
        <v>-1765</v>
      </c>
      <c r="V202" s="20" t="n">
        <v>3960</v>
      </c>
      <c r="W202" s="20" t="n">
        <v>-294</v>
      </c>
      <c r="X202" s="20" t="n">
        <v>-4256</v>
      </c>
    </row>
    <row r="203">
      <c r="A203" s="18" t="inlineStr">
        <is>
          <t>퇴직급여부채 증감액</t>
        </is>
      </c>
      <c r="C203" s="20" t="n">
        <v>209</v>
      </c>
      <c r="D203" s="20" t="n">
        <v>456</v>
      </c>
      <c r="E203" s="20" t="n">
        <v>715</v>
      </c>
      <c r="F203" s="20" t="n">
        <v>28</v>
      </c>
      <c r="G203" s="20" t="n">
        <v>-252</v>
      </c>
      <c r="H203" s="20" t="n">
        <v>74</v>
      </c>
      <c r="I203" s="20" t="n">
        <v>394</v>
      </c>
      <c r="J203" s="20" t="n">
        <v>-624</v>
      </c>
      <c r="K203" s="20" t="n">
        <v>183</v>
      </c>
      <c r="L203" s="20" t="n">
        <v>426</v>
      </c>
      <c r="M203" s="20" t="n">
        <v>671</v>
      </c>
      <c r="N203" s="20" t="n">
        <v>-198</v>
      </c>
      <c r="S203" s="20" t="n">
        <v>1537</v>
      </c>
      <c r="T203" s="20" t="n">
        <v>491</v>
      </c>
      <c r="U203" s="20" t="n">
        <v>63</v>
      </c>
      <c r="V203" s="20" t="n">
        <v>28</v>
      </c>
      <c r="W203" s="20" t="n">
        <v>-624</v>
      </c>
      <c r="X203" s="20" t="n">
        <v>-198</v>
      </c>
    </row>
    <row r="204">
      <c r="A204" s="18" t="inlineStr">
        <is>
          <t>기타</t>
        </is>
      </c>
      <c r="C204" s="20" t="n">
        <v>15329</v>
      </c>
      <c r="D204" s="20" t="n">
        <v>9989</v>
      </c>
      <c r="E204" s="20" t="n">
        <v>19126</v>
      </c>
      <c r="F204" s="20" t="n">
        <v>5594</v>
      </c>
      <c r="G204" s="20" t="n">
        <v>2488</v>
      </c>
      <c r="H204" s="20" t="n">
        <v>-6338</v>
      </c>
      <c r="I204" s="20" t="n">
        <v>9105</v>
      </c>
      <c r="J204" s="20" t="n">
        <v>-1273</v>
      </c>
      <c r="K204" s="20" t="n">
        <v>11563</v>
      </c>
      <c r="L204" s="20" t="n">
        <v>935</v>
      </c>
      <c r="M204" s="20" t="n">
        <v>14173</v>
      </c>
      <c r="N204" s="20" t="n">
        <v>10903</v>
      </c>
      <c r="S204" s="20" t="n">
        <v>3974</v>
      </c>
      <c r="T204" s="20" t="n">
        <v>-2037</v>
      </c>
      <c r="U204" s="20" t="n">
        <v>-351</v>
      </c>
      <c r="V204" s="20" t="n">
        <v>5594</v>
      </c>
      <c r="W204" s="20" t="n">
        <v>-1273</v>
      </c>
      <c r="X204" s="20" t="n">
        <v>10903</v>
      </c>
    </row>
    <row r="205">
      <c r="A205" s="18" t="inlineStr">
        <is>
          <t>소계</t>
        </is>
      </c>
      <c r="C205" s="20" t="n">
        <v>57099</v>
      </c>
      <c r="D205" s="20" t="n">
        <v>84728</v>
      </c>
      <c r="E205" s="20" t="n">
        <v>130309</v>
      </c>
      <c r="F205" s="20" t="n">
        <v>174008</v>
      </c>
      <c r="G205" s="20" t="n">
        <v>53804</v>
      </c>
      <c r="H205" s="20" t="n">
        <v>81932</v>
      </c>
      <c r="I205" s="20" t="n">
        <v>135740</v>
      </c>
      <c r="J205" s="20" t="n">
        <v>172460</v>
      </c>
      <c r="K205" s="20" t="n">
        <v>71446</v>
      </c>
      <c r="L205" s="20" t="n">
        <v>96805</v>
      </c>
      <c r="M205" s="20" t="n">
        <v>151886</v>
      </c>
      <c r="N205" s="20" t="n">
        <v>192069</v>
      </c>
      <c r="S205" s="20" t="n">
        <v>116610</v>
      </c>
      <c r="T205" s="20" t="n">
        <v>119670</v>
      </c>
      <c r="U205" s="20" t="n">
        <v>162217</v>
      </c>
      <c r="V205" s="20" t="n">
        <v>174008</v>
      </c>
      <c r="W205" s="20" t="n">
        <v>172460</v>
      </c>
      <c r="X205" s="20" t="n">
        <v>192069</v>
      </c>
    </row>
    <row r="206">
      <c r="A206" s="18" t="inlineStr">
        <is>
          <t>이자·배당금 수취</t>
        </is>
      </c>
      <c r="C206" s="20" t="n">
        <v>834</v>
      </c>
      <c r="D206" s="20" t="n">
        <v>1589</v>
      </c>
      <c r="E206" s="20" t="n">
        <v>2363</v>
      </c>
      <c r="F206" s="20" t="n">
        <v>2675</v>
      </c>
      <c r="G206" s="20" t="n">
        <v>1073</v>
      </c>
      <c r="H206" s="20" t="n">
        <v>1877</v>
      </c>
      <c r="I206" s="20" t="n">
        <v>2849</v>
      </c>
      <c r="J206" s="20" t="n">
        <v>3231</v>
      </c>
      <c r="K206" s="20" t="n">
        <v>1926</v>
      </c>
      <c r="L206" s="20" t="n">
        <v>2447</v>
      </c>
      <c r="M206" s="20" t="n">
        <v>3423</v>
      </c>
      <c r="N206" s="20" t="n">
        <v>3687</v>
      </c>
      <c r="S206" s="20" t="n">
        <v>1258</v>
      </c>
      <c r="T206" s="20" t="n">
        <v>1382</v>
      </c>
      <c r="U206" s="20" t="n">
        <v>1608</v>
      </c>
      <c r="V206" s="20" t="n">
        <v>2675</v>
      </c>
      <c r="W206" s="20" t="n">
        <v>3231</v>
      </c>
      <c r="X206" s="20" t="n">
        <v>3687</v>
      </c>
    </row>
    <row r="207">
      <c r="A207" s="18" t="inlineStr">
        <is>
          <t>이자 지급</t>
        </is>
      </c>
      <c r="C207" s="20" t="n">
        <v>-1143</v>
      </c>
      <c r="D207" s="20" t="n">
        <v>-2873</v>
      </c>
      <c r="E207" s="20" t="n">
        <v>-4187</v>
      </c>
      <c r="F207" s="20" t="n">
        <v>-5891</v>
      </c>
      <c r="G207" s="20" t="n">
        <v>-1472</v>
      </c>
      <c r="H207" s="20" t="n">
        <v>-3027</v>
      </c>
      <c r="I207" s="20" t="n">
        <v>-4514</v>
      </c>
      <c r="J207" s="20" t="n">
        <v>-5860</v>
      </c>
      <c r="K207" s="20" t="n">
        <v>-1219</v>
      </c>
      <c r="L207" s="20" t="n">
        <v>-2509</v>
      </c>
      <c r="M207" s="20" t="n">
        <v>-3628</v>
      </c>
      <c r="N207" s="20" t="n">
        <v>-4478</v>
      </c>
      <c r="S207" s="20" t="n">
        <v>-811</v>
      </c>
      <c r="T207" s="20" t="n">
        <v>-993</v>
      </c>
      <c r="U207" s="20" t="n">
        <v>-3991</v>
      </c>
      <c r="V207" s="20" t="n">
        <v>-5891</v>
      </c>
      <c r="W207" s="20" t="n">
        <v>-5860</v>
      </c>
      <c r="X207" s="20" t="n">
        <v>-4478</v>
      </c>
    </row>
    <row r="208">
      <c r="A208" s="18" t="inlineStr">
        <is>
          <t>법인소득세 지급액</t>
        </is>
      </c>
      <c r="C208" s="20" t="n">
        <v>-13298</v>
      </c>
      <c r="D208" s="20" t="n">
        <v>-15439</v>
      </c>
      <c r="E208" s="20" t="n">
        <v>-28756</v>
      </c>
      <c r="F208" s="20" t="n">
        <v>-28514</v>
      </c>
      <c r="G208" s="20" t="n">
        <v>-21315</v>
      </c>
      <c r="H208" s="20" t="n">
        <v>-22124</v>
      </c>
      <c r="I208" s="20" t="n">
        <v>-38760</v>
      </c>
      <c r="J208" s="20" t="n">
        <v>-39634</v>
      </c>
      <c r="K208" s="20" t="n">
        <v>-23015</v>
      </c>
      <c r="L208" s="20" t="n">
        <v>-23074</v>
      </c>
      <c r="M208" s="20" t="n">
        <v>-43138</v>
      </c>
      <c r="N208" s="20" t="n">
        <v>-43636</v>
      </c>
      <c r="S208" s="20" t="n">
        <v>-32464</v>
      </c>
      <c r="T208" s="20" t="n">
        <v>-21922</v>
      </c>
      <c r="U208" s="20" t="n">
        <v>-40935</v>
      </c>
      <c r="V208" s="20" t="n">
        <v>-28514</v>
      </c>
      <c r="W208" s="20" t="n">
        <v>-39634</v>
      </c>
      <c r="X208" s="20" t="n">
        <v>-43636</v>
      </c>
    </row>
    <row r="209">
      <c r="A209" s="9" t="inlineStr">
        <is>
          <t>영업활동 현금흐름</t>
        </is>
      </c>
      <c r="C209" s="12" t="n">
        <v>43491</v>
      </c>
      <c r="D209" s="12" t="n">
        <v>68005</v>
      </c>
      <c r="E209" s="12" t="n">
        <v>99729</v>
      </c>
      <c r="F209" s="12" t="n">
        <v>142277</v>
      </c>
      <c r="G209" s="12" t="n">
        <v>32089</v>
      </c>
      <c r="H209" s="12" t="n">
        <v>58656</v>
      </c>
      <c r="I209" s="12" t="n">
        <v>95315</v>
      </c>
      <c r="J209" s="12" t="n">
        <v>130196</v>
      </c>
      <c r="K209" s="12" t="n">
        <v>49138</v>
      </c>
      <c r="L209" s="12" t="n">
        <v>73668</v>
      </c>
      <c r="M209" s="12" t="n">
        <v>108542</v>
      </c>
      <c r="N209" s="12" t="n">
        <v>147641</v>
      </c>
      <c r="S209" s="12" t="n">
        <v>84594</v>
      </c>
      <c r="T209" s="12" t="n">
        <v>98137</v>
      </c>
      <c r="U209" s="12" t="n">
        <v>118899</v>
      </c>
      <c r="V209" s="12" t="n">
        <v>142277</v>
      </c>
      <c r="W209" s="12" t="n">
        <v>130196</v>
      </c>
      <c r="X209" s="12" t="n">
        <v>147641</v>
      </c>
    </row>
    <row r="210">
      <c r="A210" s="18" t="inlineStr">
        <is>
          <t>정기예금 예입</t>
        </is>
      </c>
      <c r="C210" s="20" t="n">
        <v>-1011</v>
      </c>
      <c r="D210" s="20" t="n">
        <v>-1441</v>
      </c>
      <c r="E210" s="20" t="n">
        <v>-1494</v>
      </c>
      <c r="F210" s="20" t="n">
        <v>-1896</v>
      </c>
      <c r="G210" s="20" t="n">
        <v>-916</v>
      </c>
      <c r="H210" s="20" t="n">
        <v>-4443</v>
      </c>
      <c r="I210" s="20" t="n">
        <v>-4888</v>
      </c>
      <c r="J210" s="20" t="n">
        <v>-5093</v>
      </c>
      <c r="K210" s="20" t="n">
        <v>-2855</v>
      </c>
      <c r="L210" s="20" t="n">
        <v>-27462</v>
      </c>
      <c r="M210" s="20" t="n">
        <v>-72776</v>
      </c>
      <c r="N210" s="20" t="n">
        <v>-76104</v>
      </c>
      <c r="S210" s="20" t="n">
        <v>-2029</v>
      </c>
      <c r="T210" s="20" t="n">
        <v>-1802</v>
      </c>
      <c r="U210" s="20" t="n">
        <v>-5425</v>
      </c>
      <c r="V210" s="20" t="n">
        <v>-1896</v>
      </c>
      <c r="W210" s="20" t="n">
        <v>-5093</v>
      </c>
      <c r="X210" s="20" t="n">
        <v>-76104</v>
      </c>
    </row>
    <row r="211">
      <c r="A211" s="18" t="inlineStr">
        <is>
          <t>정기예금 인출</t>
        </is>
      </c>
      <c r="C211" s="20" t="n">
        <v>1061</v>
      </c>
      <c r="D211" s="20" t="n">
        <v>2103</v>
      </c>
      <c r="E211" s="20" t="n">
        <v>1686</v>
      </c>
      <c r="F211" s="20" t="n">
        <v>2068</v>
      </c>
      <c r="G211" s="20" t="n">
        <v>972</v>
      </c>
      <c r="H211" s="20" t="n">
        <v>2130</v>
      </c>
      <c r="I211" s="20" t="n">
        <v>2507</v>
      </c>
      <c r="J211" s="20" t="n">
        <v>3484</v>
      </c>
      <c r="K211" s="20" t="n">
        <v>2382</v>
      </c>
      <c r="L211" s="20" t="n">
        <v>2614</v>
      </c>
      <c r="M211" s="20" t="n">
        <v>29941</v>
      </c>
      <c r="N211" s="20" t="n">
        <v>30214</v>
      </c>
      <c r="S211" s="20" t="n">
        <v>2018</v>
      </c>
      <c r="T211" s="20" t="n">
        <v>1727</v>
      </c>
      <c r="U211" s="20" t="n">
        <v>4918</v>
      </c>
      <c r="V211" s="20" t="n">
        <v>2068</v>
      </c>
      <c r="W211" s="20" t="n">
        <v>3484</v>
      </c>
      <c r="X211" s="20" t="n">
        <v>30214</v>
      </c>
    </row>
    <row r="212">
      <c r="A212" s="18" t="inlineStr">
        <is>
          <t>유형자산 취득(설비투자)</t>
        </is>
      </c>
      <c r="C212" s="20" t="n">
        <v>-3809</v>
      </c>
      <c r="D212" s="20" t="n">
        <v>-4511</v>
      </c>
      <c r="E212" s="20" t="n">
        <v>-6353</v>
      </c>
      <c r="F212" s="20" t="n">
        <v>-7484</v>
      </c>
      <c r="G212" s="20" t="n">
        <v>-2295</v>
      </c>
      <c r="H212" s="20" t="n">
        <v>-3546</v>
      </c>
      <c r="I212" s="20" t="n">
        <v>-4566</v>
      </c>
      <c r="J212" s="20" t="n">
        <v>-6660</v>
      </c>
      <c r="K212" s="20" t="n">
        <v>-1111</v>
      </c>
      <c r="L212" s="20" t="n">
        <v>-2271</v>
      </c>
      <c r="M212" s="20" t="n">
        <v>-3425</v>
      </c>
      <c r="N212" s="20" t="n">
        <v>-5844</v>
      </c>
      <c r="S212" s="20" t="n">
        <v>-7634</v>
      </c>
      <c r="T212" s="20" t="n">
        <v>-6824</v>
      </c>
      <c r="U212" s="20" t="n">
        <v>-12061</v>
      </c>
      <c r="V212" s="20" t="n">
        <v>-7484</v>
      </c>
      <c r="W212" s="20" t="n">
        <v>-6660</v>
      </c>
      <c r="X212" s="20" t="n">
        <v>-5844</v>
      </c>
    </row>
    <row r="213">
      <c r="A213" s="18" t="inlineStr">
        <is>
          <t>유형자산 매각</t>
        </is>
      </c>
      <c r="C213" s="20" t="n">
        <v>12</v>
      </c>
      <c r="D213" s="20" t="n">
        <v>13</v>
      </c>
      <c r="E213" s="20" t="n">
        <v>50</v>
      </c>
      <c r="F213" s="20" t="n">
        <v>44</v>
      </c>
      <c r="G213" s="20" t="n">
        <v>0</v>
      </c>
      <c r="H213" s="20" t="n">
        <v>0</v>
      </c>
      <c r="I213" s="20" t="n">
        <v>0</v>
      </c>
      <c r="J213" s="20" t="n">
        <v>0</v>
      </c>
      <c r="K213" s="20" t="n">
        <v>4</v>
      </c>
      <c r="L213" s="20" t="n">
        <v>1</v>
      </c>
      <c r="M213" s="20" t="n">
        <v>2</v>
      </c>
      <c r="N213" s="20" t="n">
        <v>61</v>
      </c>
      <c r="S213" s="20" t="n">
        <v>5</v>
      </c>
      <c r="T213" s="20" t="n">
        <v>10380</v>
      </c>
      <c r="U213" s="20" t="n">
        <v>6907</v>
      </c>
      <c r="V213" s="20" t="n">
        <v>44</v>
      </c>
      <c r="W213" s="20" t="n">
        <v>0</v>
      </c>
      <c r="X213" s="20" t="n">
        <v>61</v>
      </c>
    </row>
    <row r="214">
      <c r="A214" s="18" t="inlineStr">
        <is>
          <t>무형자산 취득 지출</t>
        </is>
      </c>
      <c r="C214" s="20" t="n">
        <v>-12107</v>
      </c>
      <c r="D214" s="20" t="n">
        <v>-23238</v>
      </c>
      <c r="E214" s="20" t="n">
        <v>-33281</v>
      </c>
      <c r="F214" s="20" t="n">
        <v>-42313</v>
      </c>
      <c r="G214" s="20" t="n">
        <v>-9963</v>
      </c>
      <c r="H214" s="20" t="n">
        <v>-20733</v>
      </c>
      <c r="I214" s="20" t="n">
        <v>-32083</v>
      </c>
      <c r="J214" s="20" t="n">
        <v>-42942</v>
      </c>
      <c r="K214" s="20" t="n">
        <v>-11724</v>
      </c>
      <c r="L214" s="20" t="n">
        <v>-22789</v>
      </c>
      <c r="M214" s="20" t="n">
        <v>-31830</v>
      </c>
      <c r="N214" s="20" t="n">
        <v>-40467</v>
      </c>
      <c r="S214" s="20" t="n">
        <v>-21395</v>
      </c>
      <c r="T214" s="20" t="n">
        <v>-36153</v>
      </c>
      <c r="U214" s="20" t="n">
        <v>-42640</v>
      </c>
      <c r="V214" s="20" t="n">
        <v>-42313</v>
      </c>
      <c r="W214" s="20" t="n">
        <v>-42942</v>
      </c>
      <c r="X214" s="20" t="n">
        <v>-40467</v>
      </c>
    </row>
    <row r="215">
      <c r="A215" s="18" t="inlineStr">
        <is>
          <t>Proceeds From Sale Of Intangible Assets Inv CF</t>
        </is>
      </c>
      <c r="C215" s="20" t="n">
        <v>0</v>
      </c>
      <c r="D215" s="20" t="n">
        <v>0</v>
      </c>
      <c r="E215" s="20" t="n">
        <v>0</v>
      </c>
      <c r="F215" s="20" t="n">
        <v>0</v>
      </c>
      <c r="G215" s="20" t="n">
        <v>0</v>
      </c>
      <c r="H215" s="20" t="n">
        <v>7</v>
      </c>
      <c r="I215" s="20" t="n">
        <v>0</v>
      </c>
      <c r="J215" s="20" t="n">
        <v>0</v>
      </c>
      <c r="L215" s="20" t="n">
        <v>0</v>
      </c>
      <c r="S215" s="20" t="n">
        <v>4</v>
      </c>
      <c r="T215" s="20" t="n">
        <v>0</v>
      </c>
      <c r="U215" s="20" t="n">
        <v>0</v>
      </c>
      <c r="V215" s="20" t="n">
        <v>0</v>
      </c>
      <c r="W215" s="20" t="n">
        <v>0</v>
      </c>
    </row>
    <row r="216">
      <c r="A216" s="18" t="inlineStr">
        <is>
          <t>Purchase Of Investments Inv CF</t>
        </is>
      </c>
      <c r="C216" s="20" t="n">
        <v>-2</v>
      </c>
      <c r="D216" s="20" t="n">
        <v>-6</v>
      </c>
      <c r="E216" s="20" t="n">
        <v>-65</v>
      </c>
      <c r="F216" s="20" t="n">
        <v>-103</v>
      </c>
      <c r="G216" s="20" t="n">
        <v>-77</v>
      </c>
      <c r="H216" s="20" t="n">
        <v>-147</v>
      </c>
      <c r="I216" s="20" t="n">
        <v>-156</v>
      </c>
      <c r="J216" s="20" t="n">
        <v>-231</v>
      </c>
      <c r="K216" s="20" t="n">
        <v>-66</v>
      </c>
      <c r="L216" s="20" t="n">
        <v>-156</v>
      </c>
      <c r="M216" s="20" t="n">
        <v>-162</v>
      </c>
      <c r="N216" s="20" t="n">
        <v>-168</v>
      </c>
      <c r="S216" s="20" t="n">
        <v>-450</v>
      </c>
      <c r="T216" s="20" t="n">
        <v>-5861</v>
      </c>
      <c r="U216" s="20" t="n">
        <v>-1002</v>
      </c>
      <c r="V216" s="20" t="n">
        <v>-103</v>
      </c>
      <c r="W216" s="20" t="n">
        <v>-231</v>
      </c>
      <c r="X216" s="20" t="n">
        <v>-168</v>
      </c>
    </row>
    <row r="217">
      <c r="A217" s="18" t="inlineStr">
        <is>
          <t>투자 매각·상환 수입</t>
        </is>
      </c>
      <c r="C217" s="20" t="n">
        <v>0</v>
      </c>
      <c r="D217" s="20" t="n">
        <v>5</v>
      </c>
      <c r="E217" s="20" t="n">
        <v>5</v>
      </c>
      <c r="F217" s="20" t="n">
        <v>5</v>
      </c>
      <c r="H217" s="20" t="n">
        <v>1243</v>
      </c>
      <c r="I217" s="20" t="n">
        <v>1246</v>
      </c>
      <c r="J217" s="20" t="n">
        <v>4775</v>
      </c>
      <c r="L217" s="20" t="n">
        <v>2</v>
      </c>
      <c r="M217" s="20" t="n">
        <v>8</v>
      </c>
      <c r="N217" s="20" t="n">
        <v>369</v>
      </c>
      <c r="S217" s="20" t="n">
        <v>8991</v>
      </c>
      <c r="T217" s="20" t="n">
        <v>374</v>
      </c>
      <c r="U217" s="20" t="n">
        <v>468</v>
      </c>
      <c r="V217" s="20" t="n">
        <v>5</v>
      </c>
      <c r="W217" s="20" t="n">
        <v>4775</v>
      </c>
      <c r="X217" s="20" t="n">
        <v>369</v>
      </c>
    </row>
    <row r="218">
      <c r="A218" s="18" t="inlineStr">
        <is>
          <t>자회사 취득 지출</t>
        </is>
      </c>
      <c r="D218" s="20" t="n">
        <v>-3993</v>
      </c>
      <c r="E218" s="20" t="n">
        <v>-4037</v>
      </c>
      <c r="F218" s="20" t="n">
        <v>-4071</v>
      </c>
      <c r="G218" s="20" t="n">
        <v>0</v>
      </c>
      <c r="H218" s="20" t="n">
        <v>0</v>
      </c>
      <c r="I218" s="20" t="n">
        <v>0</v>
      </c>
      <c r="J218" s="20" t="n">
        <v>0</v>
      </c>
      <c r="K218" s="20" t="n">
        <v>-4507</v>
      </c>
      <c r="L218" s="20" t="n">
        <v>-4507</v>
      </c>
      <c r="M218" s="20" t="n">
        <v>-4507</v>
      </c>
      <c r="N218" s="20" t="n">
        <v>-4507</v>
      </c>
      <c r="S218" s="20" t="n">
        <v>0</v>
      </c>
      <c r="T218" s="20" t="n">
        <v>-75105</v>
      </c>
      <c r="U218" s="20" t="n">
        <v>-8780</v>
      </c>
      <c r="V218" s="20" t="n">
        <v>-4071</v>
      </c>
      <c r="W218" s="20" t="n">
        <v>0</v>
      </c>
      <c r="X218" s="20" t="n">
        <v>-4507</v>
      </c>
    </row>
    <row r="219">
      <c r="A219" s="18" t="inlineStr">
        <is>
          <t>대여</t>
        </is>
      </c>
      <c r="S219" s="20" t="n">
        <v>0</v>
      </c>
      <c r="T219" s="20" t="n">
        <v>-16366</v>
      </c>
      <c r="U219" s="20" t="n">
        <v>0</v>
      </c>
    </row>
    <row r="220">
      <c r="A220" s="18" t="inlineStr">
        <is>
          <t>Purchase Of Investments In Associates Inv CF</t>
        </is>
      </c>
      <c r="E220" s="20" t="n">
        <v>0</v>
      </c>
      <c r="F220" s="20" t="n">
        <v>0</v>
      </c>
      <c r="S220" s="20" t="n">
        <v>0</v>
      </c>
      <c r="T220" s="20" t="n">
        <v>-599</v>
      </c>
      <c r="U220" s="20" t="n">
        <v>-2991</v>
      </c>
      <c r="V220" s="20" t="n">
        <v>0</v>
      </c>
    </row>
    <row r="221">
      <c r="A221" s="18" t="inlineStr">
        <is>
          <t>Purchase Of Investments Accounted For Using Equity Method Inv CF</t>
        </is>
      </c>
      <c r="D221" s="20" t="n">
        <v>0</v>
      </c>
      <c r="E221" s="20" t="n">
        <v>0</v>
      </c>
      <c r="F221" s="20" t="n">
        <v>0</v>
      </c>
      <c r="H221" s="20" t="n">
        <v>-283</v>
      </c>
      <c r="I221" s="20" t="n">
        <v>-283</v>
      </c>
      <c r="J221" s="20" t="n">
        <v>-615</v>
      </c>
      <c r="L221" s="20" t="n">
        <v>-40</v>
      </c>
      <c r="M221" s="20" t="n">
        <v>-441</v>
      </c>
      <c r="N221" s="20" t="n">
        <v>-441</v>
      </c>
      <c r="V221" s="20" t="n">
        <v>0</v>
      </c>
      <c r="W221" s="20" t="n">
        <v>-615</v>
      </c>
      <c r="X221" s="20" t="n">
        <v>-441</v>
      </c>
    </row>
    <row r="222">
      <c r="A222" s="18" t="inlineStr">
        <is>
          <t>자회사 매각 수입</t>
        </is>
      </c>
      <c r="K222" s="20" t="n">
        <v>0</v>
      </c>
    </row>
    <row r="223">
      <c r="A223" s="18" t="inlineStr">
        <is>
          <t>Proceeds From Sale Of Investments Accounted For Using Equity Method Inv CF</t>
        </is>
      </c>
      <c r="G223" s="20" t="n">
        <v>0</v>
      </c>
      <c r="H223" s="20" t="n">
        <v>20</v>
      </c>
      <c r="I223" s="20" t="n">
        <v>55</v>
      </c>
      <c r="J223" s="20" t="n">
        <v>58</v>
      </c>
      <c r="K223" s="20" t="n">
        <v>130</v>
      </c>
      <c r="L223" s="20" t="n">
        <v>221</v>
      </c>
      <c r="M223" s="20" t="n">
        <v>221</v>
      </c>
      <c r="N223" s="20" t="n">
        <v>221</v>
      </c>
      <c r="W223" s="20" t="n">
        <v>58</v>
      </c>
      <c r="X223" s="20" t="n">
        <v>221</v>
      </c>
    </row>
    <row r="224">
      <c r="A224" s="18" t="inlineStr">
        <is>
          <t>기타</t>
        </is>
      </c>
      <c r="C224" s="20" t="n">
        <v>-22</v>
      </c>
      <c r="D224" s="20" t="n">
        <v>-60</v>
      </c>
      <c r="E224" s="20" t="n">
        <v>371</v>
      </c>
      <c r="F224" s="20" t="n">
        <v>329</v>
      </c>
      <c r="G224" s="20" t="n">
        <v>-138</v>
      </c>
      <c r="H224" s="20" t="n">
        <v>-204</v>
      </c>
      <c r="I224" s="20" t="n">
        <v>-261</v>
      </c>
      <c r="J224" s="20" t="n">
        <v>-364</v>
      </c>
      <c r="K224" s="20" t="n">
        <v>-347</v>
      </c>
      <c r="L224" s="20" t="n">
        <v>-350</v>
      </c>
      <c r="M224" s="20" t="n">
        <v>-365</v>
      </c>
      <c r="N224" s="20" t="n">
        <v>-380</v>
      </c>
      <c r="S224" s="20" t="n">
        <v>-33</v>
      </c>
      <c r="T224" s="20" t="n">
        <v>-316</v>
      </c>
      <c r="U224" s="20" t="n">
        <v>-583</v>
      </c>
      <c r="V224" s="20" t="n">
        <v>329</v>
      </c>
      <c r="W224" s="20" t="n">
        <v>-364</v>
      </c>
      <c r="X224" s="20" t="n">
        <v>-380</v>
      </c>
    </row>
    <row r="225">
      <c r="A225" s="9" t="inlineStr">
        <is>
          <t>투자활동 현금흐름</t>
        </is>
      </c>
      <c r="C225" s="12" t="n">
        <v>-15878</v>
      </c>
      <c r="D225" s="12" t="n">
        <v>-31128</v>
      </c>
      <c r="E225" s="12" t="n">
        <v>-43118</v>
      </c>
      <c r="F225" s="12" t="n">
        <v>-53422</v>
      </c>
      <c r="G225" s="12" t="n">
        <v>-12418</v>
      </c>
      <c r="H225" s="12" t="n">
        <v>-25956</v>
      </c>
      <c r="I225" s="12" t="n">
        <v>-38430</v>
      </c>
      <c r="J225" s="12" t="n">
        <v>-47590</v>
      </c>
      <c r="K225" s="12" t="n">
        <v>-18096</v>
      </c>
      <c r="L225" s="12" t="n">
        <v>-54739</v>
      </c>
      <c r="M225" s="12" t="n">
        <v>-83335</v>
      </c>
      <c r="N225" s="12" t="n">
        <v>-97047</v>
      </c>
      <c r="S225" s="12" t="n">
        <v>-20522</v>
      </c>
      <c r="T225" s="12" t="n">
        <v>-130547</v>
      </c>
      <c r="U225" s="12" t="n">
        <v>-61190</v>
      </c>
      <c r="V225" s="12" t="n">
        <v>-53422</v>
      </c>
      <c r="W225" s="12" t="n">
        <v>-47590</v>
      </c>
      <c r="X225" s="12" t="n">
        <v>-97047</v>
      </c>
    </row>
    <row r="226">
      <c r="A226" s="18" t="inlineStr">
        <is>
          <t>단기차입금 순증감액</t>
        </is>
      </c>
      <c r="C226" s="20" t="n">
        <v>-1837</v>
      </c>
      <c r="D226" s="20" t="n">
        <v>-1864</v>
      </c>
      <c r="E226" s="20" t="n">
        <v>-1885</v>
      </c>
      <c r="F226" s="20" t="n">
        <v>-3085</v>
      </c>
      <c r="G226" s="20" t="n">
        <v>69</v>
      </c>
      <c r="H226" s="20" t="n">
        <v>-263</v>
      </c>
      <c r="I226" s="20" t="n">
        <v>726</v>
      </c>
      <c r="J226" s="20" t="n">
        <v>1634</v>
      </c>
      <c r="K226" s="20" t="n">
        <v>124</v>
      </c>
      <c r="L226" s="20" t="n">
        <v>-805</v>
      </c>
      <c r="M226" s="20" t="n">
        <v>-3110</v>
      </c>
      <c r="N226" s="20" t="n">
        <v>-2850</v>
      </c>
      <c r="S226" s="20" t="n">
        <v>-3946</v>
      </c>
      <c r="T226" s="20" t="n">
        <v>53425</v>
      </c>
      <c r="U226" s="20" t="n">
        <v>-65048</v>
      </c>
      <c r="V226" s="20" t="n">
        <v>-3085</v>
      </c>
      <c r="W226" s="20" t="n">
        <v>1634</v>
      </c>
      <c r="X226" s="20" t="n">
        <v>-2850</v>
      </c>
    </row>
    <row r="227">
      <c r="A227" s="18" t="inlineStr">
        <is>
          <t>장기차입</t>
        </is>
      </c>
      <c r="C227" s="20" t="n">
        <v>18000</v>
      </c>
      <c r="D227" s="20" t="n">
        <v>18000</v>
      </c>
      <c r="E227" s="20" t="n">
        <v>18000</v>
      </c>
      <c r="F227" s="20" t="n">
        <v>18000</v>
      </c>
      <c r="G227" s="20" t="n">
        <v>0</v>
      </c>
      <c r="H227" s="20" t="n">
        <v>0</v>
      </c>
      <c r="I227" s="20" t="n">
        <v>0</v>
      </c>
      <c r="J227" s="20" t="n">
        <v>0</v>
      </c>
      <c r="S227" s="20" t="n">
        <v>10000</v>
      </c>
      <c r="T227" s="20" t="n">
        <v>12860</v>
      </c>
      <c r="U227" s="20" t="n">
        <v>59755</v>
      </c>
      <c r="V227" s="20" t="n">
        <v>18000</v>
      </c>
      <c r="W227" s="20" t="n">
        <v>0</v>
      </c>
    </row>
    <row r="228">
      <c r="A228" s="18" t="inlineStr">
        <is>
          <t>장기차입금 상환</t>
        </is>
      </c>
      <c r="C228" s="20" t="n">
        <v>-3396</v>
      </c>
      <c r="D228" s="20" t="n">
        <v>-4587</v>
      </c>
      <c r="E228" s="20" t="n">
        <v>-6883</v>
      </c>
      <c r="F228" s="20" t="n">
        <v>-8889</v>
      </c>
      <c r="G228" s="20" t="n">
        <v>-13784</v>
      </c>
      <c r="H228" s="20" t="n">
        <v>-15981</v>
      </c>
      <c r="I228" s="20" t="n">
        <v>-23021</v>
      </c>
      <c r="J228" s="20" t="n">
        <v>-24681</v>
      </c>
      <c r="K228" s="20" t="n">
        <v>-2861</v>
      </c>
      <c r="L228" s="20" t="n">
        <v>-13940</v>
      </c>
      <c r="M228" s="20" t="n">
        <v>-42867</v>
      </c>
      <c r="N228" s="20" t="n">
        <v>-42879</v>
      </c>
      <c r="S228" s="20" t="n">
        <v>-13019</v>
      </c>
      <c r="T228" s="20" t="n">
        <v>-16286</v>
      </c>
      <c r="U228" s="20" t="n">
        <v>-19737</v>
      </c>
      <c r="V228" s="20" t="n">
        <v>-8889</v>
      </c>
      <c r="W228" s="20" t="n">
        <v>-24681</v>
      </c>
      <c r="X228" s="20" t="n">
        <v>-42879</v>
      </c>
    </row>
    <row r="229">
      <c r="A229" s="18" t="inlineStr">
        <is>
          <t>Net Increase Decrease In Commercial Paper Fin CF</t>
        </is>
      </c>
      <c r="C229" s="20" t="n">
        <v>0</v>
      </c>
      <c r="D229" s="20" t="n">
        <v>9999</v>
      </c>
      <c r="E229" s="20" t="n">
        <v>-0</v>
      </c>
      <c r="F229" s="20" t="n">
        <v>-0</v>
      </c>
      <c r="H229" s="20" t="n">
        <v>0</v>
      </c>
      <c r="I229" s="20" t="n">
        <v>0</v>
      </c>
      <c r="J229" s="20" t="n">
        <v>0</v>
      </c>
      <c r="S229" s="20" t="n">
        <v>4978</v>
      </c>
      <c r="T229" s="20" t="n">
        <v>15000</v>
      </c>
      <c r="U229" s="20" t="n">
        <v>-20000</v>
      </c>
      <c r="V229" s="20" t="n">
        <v>-0</v>
      </c>
      <c r="W229" s="20" t="n">
        <v>0</v>
      </c>
    </row>
    <row r="230">
      <c r="A230" s="18" t="inlineStr">
        <is>
          <t>사채 발행</t>
        </is>
      </c>
      <c r="E230" s="20" t="n">
        <v>59572</v>
      </c>
      <c r="F230" s="20" t="n">
        <v>59786</v>
      </c>
      <c r="I230" s="20" t="n">
        <v>0</v>
      </c>
      <c r="J230" s="20" t="n">
        <v>2918</v>
      </c>
      <c r="N230" s="20" t="n">
        <v>0</v>
      </c>
      <c r="S230" s="20" t="n">
        <v>14946</v>
      </c>
      <c r="T230" s="20" t="n">
        <v>16499</v>
      </c>
      <c r="U230" s="20" t="n">
        <v>64807</v>
      </c>
      <c r="V230" s="20" t="n">
        <v>59786</v>
      </c>
      <c r="W230" s="20" t="n">
        <v>2918</v>
      </c>
      <c r="X230" s="20" t="n">
        <v>0</v>
      </c>
    </row>
    <row r="231">
      <c r="A231" s="18" t="inlineStr">
        <is>
          <t>사채 상환</t>
        </is>
      </c>
      <c r="D231" s="20" t="n">
        <v>0</v>
      </c>
      <c r="E231" s="20" t="n">
        <v>-10000</v>
      </c>
      <c r="F231" s="20" t="n">
        <v>-10000</v>
      </c>
      <c r="I231" s="20" t="n">
        <v>0</v>
      </c>
      <c r="J231" s="20" t="n">
        <v>0</v>
      </c>
      <c r="S231" s="20" t="n">
        <v>-30</v>
      </c>
      <c r="T231" s="20" t="n">
        <v>0</v>
      </c>
      <c r="U231" s="20" t="n">
        <v>-29446</v>
      </c>
      <c r="V231" s="20" t="n">
        <v>-10000</v>
      </c>
      <c r="W231" s="20" t="n">
        <v>0</v>
      </c>
    </row>
    <row r="232">
      <c r="A232" s="18" t="inlineStr">
        <is>
          <t>리스부채 상환 지출</t>
        </is>
      </c>
      <c r="C232" s="20" t="n">
        <v>-2896</v>
      </c>
      <c r="D232" s="20" t="n">
        <v>-5981</v>
      </c>
      <c r="E232" s="20" t="n">
        <v>-8873</v>
      </c>
      <c r="F232" s="20" t="n">
        <v>-11722</v>
      </c>
      <c r="G232" s="20" t="n">
        <v>-2971</v>
      </c>
      <c r="H232" s="20" t="n">
        <v>-5835</v>
      </c>
      <c r="I232" s="20" t="n">
        <v>-8663</v>
      </c>
      <c r="J232" s="20" t="n">
        <v>-11635</v>
      </c>
      <c r="K232" s="20" t="n">
        <v>-2839</v>
      </c>
      <c r="L232" s="20" t="n">
        <v>-5691</v>
      </c>
      <c r="M232" s="20" t="n">
        <v>-8474</v>
      </c>
      <c r="N232" s="20" t="n">
        <v>-11315</v>
      </c>
      <c r="S232" s="20" t="n">
        <v>-11789</v>
      </c>
      <c r="T232" s="20" t="n">
        <v>-13461</v>
      </c>
      <c r="U232" s="20" t="n">
        <v>-12445</v>
      </c>
      <c r="V232" s="20" t="n">
        <v>-11722</v>
      </c>
      <c r="W232" s="20" t="n">
        <v>-11635</v>
      </c>
      <c r="X232" s="20" t="n">
        <v>-11315</v>
      </c>
    </row>
    <row r="233">
      <c r="A233" s="18" t="inlineStr">
        <is>
          <t>자기주식 매각</t>
        </is>
      </c>
      <c r="C233" s="20" t="n">
        <v>157</v>
      </c>
      <c r="D233" s="20" t="n">
        <v>923</v>
      </c>
      <c r="E233" s="20" t="n">
        <v>3180</v>
      </c>
      <c r="F233" s="20" t="n">
        <v>5034</v>
      </c>
      <c r="G233" s="20" t="n">
        <v>2461</v>
      </c>
      <c r="H233" s="20" t="n">
        <v>4178</v>
      </c>
      <c r="I233" s="20" t="n">
        <v>6537</v>
      </c>
      <c r="J233" s="20" t="n">
        <v>8285</v>
      </c>
      <c r="K233" s="20" t="n">
        <v>2416</v>
      </c>
      <c r="L233" s="20" t="n">
        <v>4904</v>
      </c>
      <c r="M233" s="20" t="n">
        <v>5990</v>
      </c>
      <c r="N233" s="20" t="n">
        <v>6196</v>
      </c>
      <c r="S233" s="20" t="n">
        <v>27382</v>
      </c>
      <c r="T233" s="20" t="n">
        <v>6750</v>
      </c>
      <c r="U233" s="20" t="n">
        <v>22722</v>
      </c>
      <c r="V233" s="20" t="n">
        <v>5034</v>
      </c>
      <c r="W233" s="20" t="n">
        <v>8285</v>
      </c>
      <c r="X233" s="20" t="n">
        <v>6196</v>
      </c>
    </row>
    <row r="234">
      <c r="A234" s="18" t="inlineStr">
        <is>
          <t>자기주식 취득</t>
        </is>
      </c>
      <c r="C234" s="20" t="n">
        <v>-17108</v>
      </c>
      <c r="D234" s="20" t="n">
        <v>-45805</v>
      </c>
      <c r="E234" s="20" t="n">
        <v>-68426</v>
      </c>
      <c r="F234" s="20" t="n">
        <v>-68427</v>
      </c>
      <c r="G234" s="20" t="n">
        <v>-13050</v>
      </c>
      <c r="H234" s="20" t="n">
        <v>-23374</v>
      </c>
      <c r="I234" s="20" t="n">
        <v>-30306</v>
      </c>
      <c r="J234" s="20" t="n">
        <v>-30306</v>
      </c>
      <c r="K234" s="20" t="n">
        <v>-0</v>
      </c>
      <c r="L234" s="20" t="n">
        <v>-0</v>
      </c>
      <c r="M234" s="20" t="n">
        <v>-0</v>
      </c>
      <c r="N234" s="20" t="n">
        <v>-0</v>
      </c>
      <c r="S234" s="20" t="n">
        <v>-10002</v>
      </c>
      <c r="T234" s="20" t="n">
        <v>-60136</v>
      </c>
      <c r="U234" s="20" t="n">
        <v>-20156</v>
      </c>
      <c r="V234" s="20" t="n">
        <v>-68427</v>
      </c>
      <c r="W234" s="20" t="n">
        <v>-30306</v>
      </c>
      <c r="X234" s="20" t="n">
        <v>-0</v>
      </c>
    </row>
    <row r="235">
      <c r="A235" s="18" t="inlineStr">
        <is>
          <t>배당금 지급</t>
        </is>
      </c>
      <c r="C235" s="20" t="n">
        <v>-13675</v>
      </c>
      <c r="D235" s="20" t="n">
        <v>-13646</v>
      </c>
      <c r="E235" s="20" t="n">
        <v>-27582</v>
      </c>
      <c r="F235" s="20" t="n">
        <v>-27583</v>
      </c>
      <c r="G235" s="20" t="n">
        <v>-16680</v>
      </c>
      <c r="H235" s="20" t="n">
        <v>-16709</v>
      </c>
      <c r="I235" s="20" t="n">
        <v>-33297</v>
      </c>
      <c r="J235" s="20" t="n">
        <v>-33313</v>
      </c>
      <c r="K235" s="20" t="n">
        <v>-19424</v>
      </c>
      <c r="L235" s="20" t="n">
        <v>-19449</v>
      </c>
      <c r="M235" s="20" t="n">
        <v>-39503</v>
      </c>
      <c r="N235" s="20" t="n">
        <v>-39516</v>
      </c>
      <c r="S235" s="20" t="n">
        <v>-20307</v>
      </c>
      <c r="T235" s="20" t="n">
        <v>-22647</v>
      </c>
      <c r="U235" s="20" t="n">
        <v>-25372</v>
      </c>
      <c r="V235" s="20" t="n">
        <v>-27583</v>
      </c>
      <c r="W235" s="20" t="n">
        <v>-33313</v>
      </c>
      <c r="X235" s="20" t="n">
        <v>-39516</v>
      </c>
    </row>
    <row r="236">
      <c r="A236" s="18" t="inlineStr">
        <is>
          <t>비지배지분 배당금 지급액</t>
        </is>
      </c>
      <c r="C236" s="20" t="n">
        <v>-133</v>
      </c>
      <c r="D236" s="20" t="n">
        <v>-133</v>
      </c>
      <c r="E236" s="20" t="n">
        <v>-133</v>
      </c>
      <c r="F236" s="20" t="n">
        <v>-133</v>
      </c>
      <c r="G236" s="20" t="n">
        <v>-215</v>
      </c>
      <c r="H236" s="20" t="n">
        <v>-215</v>
      </c>
      <c r="I236" s="20" t="n">
        <v>-215</v>
      </c>
      <c r="J236" s="20" t="n">
        <v>-215</v>
      </c>
      <c r="K236" s="20" t="n">
        <v>-415</v>
      </c>
      <c r="L236" s="20" t="n">
        <v>-415</v>
      </c>
      <c r="M236" s="20" t="n">
        <v>-415</v>
      </c>
      <c r="N236" s="20" t="n">
        <v>-415</v>
      </c>
      <c r="S236" s="20" t="n">
        <v>-71</v>
      </c>
      <c r="T236" s="20" t="n">
        <v>-0</v>
      </c>
      <c r="U236" s="20" t="n">
        <v>0</v>
      </c>
      <c r="V236" s="20" t="n">
        <v>-133</v>
      </c>
      <c r="W236" s="20" t="n">
        <v>-215</v>
      </c>
      <c r="X236" s="20" t="n">
        <v>-415</v>
      </c>
    </row>
    <row r="237">
      <c r="A237" s="18" t="inlineStr">
        <is>
          <t>비지배지분으로부터 자회사 지분 취득 지출</t>
        </is>
      </c>
      <c r="C237" s="20" t="n">
        <v>-555</v>
      </c>
      <c r="D237" s="20" t="n">
        <v>-555</v>
      </c>
      <c r="E237" s="20" t="n">
        <v>-555</v>
      </c>
      <c r="F237" s="20" t="n">
        <v>-555</v>
      </c>
      <c r="G237" s="20" t="n">
        <v>0</v>
      </c>
      <c r="H237" s="20" t="n">
        <v>0</v>
      </c>
      <c r="I237" s="20" t="n">
        <v>0</v>
      </c>
      <c r="J237" s="20" t="n">
        <v>0</v>
      </c>
      <c r="S237" s="20" t="n">
        <v>-11324</v>
      </c>
      <c r="T237" s="20" t="n">
        <v>0</v>
      </c>
      <c r="U237" s="20" t="n">
        <v>0</v>
      </c>
      <c r="V237" s="20" t="n">
        <v>-555</v>
      </c>
      <c r="W237" s="20" t="n">
        <v>0</v>
      </c>
    </row>
    <row r="238">
      <c r="A238" s="9" t="inlineStr">
        <is>
          <t>재무활동 현금흐름</t>
        </is>
      </c>
      <c r="C238" s="12" t="n">
        <v>-21444</v>
      </c>
      <c r="D238" s="12" t="n">
        <v>-43650</v>
      </c>
      <c r="E238" s="12" t="n">
        <v>-43586</v>
      </c>
      <c r="F238" s="12" t="n">
        <v>-47575</v>
      </c>
      <c r="G238" s="12" t="n">
        <v>-44170</v>
      </c>
      <c r="H238" s="12" t="n">
        <v>-58202</v>
      </c>
      <c r="I238" s="12" t="n">
        <v>-88239</v>
      </c>
      <c r="J238" s="12" t="n">
        <v>-87314</v>
      </c>
      <c r="K238" s="12" t="n">
        <v>-22998</v>
      </c>
      <c r="L238" s="12" t="n">
        <v>-35397</v>
      </c>
      <c r="M238" s="12" t="n">
        <v>-88380</v>
      </c>
      <c r="N238" s="12" t="n">
        <v>-90781</v>
      </c>
      <c r="S238" s="12" t="n">
        <v>-13183</v>
      </c>
      <c r="T238" s="12" t="n">
        <v>-7995</v>
      </c>
      <c r="U238" s="12" t="n">
        <v>-44921</v>
      </c>
      <c r="V238" s="12" t="n">
        <v>-47575</v>
      </c>
      <c r="W238" s="12" t="n">
        <v>-87314</v>
      </c>
      <c r="X238" s="12" t="n">
        <v>-90781</v>
      </c>
    </row>
    <row r="239">
      <c r="A239" s="18" t="inlineStr">
        <is>
          <t>현금성자산 환산차이</t>
        </is>
      </c>
      <c r="C239" s="20" t="n">
        <v>1921</v>
      </c>
      <c r="D239" s="20" t="n">
        <v>2725</v>
      </c>
      <c r="E239" s="20" t="n">
        <v>2023</v>
      </c>
      <c r="F239" s="20" t="n">
        <v>3399</v>
      </c>
      <c r="G239" s="20" t="n">
        <v>2698</v>
      </c>
      <c r="H239" s="20" t="n">
        <v>-1170</v>
      </c>
      <c r="I239" s="20" t="n">
        <v>1406</v>
      </c>
      <c r="J239" s="20" t="n">
        <v>-629</v>
      </c>
      <c r="K239" s="20" t="n">
        <v>-363</v>
      </c>
      <c r="L239" s="20" t="n">
        <v>722</v>
      </c>
      <c r="M239" s="20" t="n">
        <v>3238</v>
      </c>
      <c r="N239" s="20" t="n">
        <v>4210</v>
      </c>
      <c r="S239" s="20" t="n">
        <v>1520</v>
      </c>
      <c r="T239" s="20" t="n">
        <v>2829</v>
      </c>
      <c r="U239" s="20" t="n">
        <v>859</v>
      </c>
      <c r="V239" s="20" t="n">
        <v>3399</v>
      </c>
      <c r="W239" s="20" t="n">
        <v>-629</v>
      </c>
      <c r="X239" s="20" t="n">
        <v>4210</v>
      </c>
    </row>
    <row r="240">
      <c r="A240" s="18" t="inlineStr">
        <is>
          <t>Net Increase Decrease In Cash And Cash Equivalents</t>
        </is>
      </c>
      <c r="C240" s="20" t="n">
        <v>8090</v>
      </c>
      <c r="D240" s="20" t="n">
        <v>-4048</v>
      </c>
      <c r="E240" s="20" t="n">
        <v>15047</v>
      </c>
      <c r="F240" s="20" t="n">
        <v>44678</v>
      </c>
      <c r="G240" s="20" t="n">
        <v>-21800</v>
      </c>
      <c r="H240" s="20" t="n">
        <v>-26673</v>
      </c>
      <c r="I240" s="20" t="n">
        <v>-29948</v>
      </c>
      <c r="J240" s="20" t="n">
        <v>-5337</v>
      </c>
      <c r="K240" s="20" t="n">
        <v>7679</v>
      </c>
      <c r="L240" s="20" t="n">
        <v>-15745</v>
      </c>
      <c r="M240" s="20" t="n">
        <v>-59933</v>
      </c>
      <c r="N240" s="20" t="n">
        <v>-35977</v>
      </c>
      <c r="S240" s="20" t="n">
        <v>52408</v>
      </c>
      <c r="T240" s="20" t="n">
        <v>-37576</v>
      </c>
      <c r="U240" s="20" t="n">
        <v>13646</v>
      </c>
      <c r="V240" s="20" t="n">
        <v>44678</v>
      </c>
      <c r="W240" s="20" t="n">
        <v>-5337</v>
      </c>
      <c r="X240" s="20" t="n">
        <v>-35977</v>
      </c>
    </row>
    <row r="241">
      <c r="A241" s="9" t="inlineStr">
        <is>
          <t>법인세차감전 순이익</t>
        </is>
      </c>
      <c r="O241" s="12" t="n">
        <v>64992</v>
      </c>
      <c r="P241" s="12" t="n">
        <v>82527</v>
      </c>
      <c r="Q241" s="12" t="n">
        <v>76749</v>
      </c>
      <c r="R241" s="12" t="n">
        <v>102496</v>
      </c>
      <c r="S241" s="12" t="n">
        <v>88686</v>
      </c>
    </row>
    <row r="242">
      <c r="A242" s="18" t="inlineStr">
        <is>
          <t>감가상각비</t>
        </is>
      </c>
      <c r="O242" s="20" t="n">
        <v>28476</v>
      </c>
      <c r="P242" s="20" t="n">
        <v>31941</v>
      </c>
      <c r="Q242" s="20" t="n">
        <v>30427</v>
      </c>
      <c r="R242" s="20" t="n">
        <v>30414</v>
      </c>
      <c r="S242" s="20" t="n">
        <v>31377</v>
      </c>
    </row>
    <row r="243">
      <c r="A243" s="18" t="inlineStr">
        <is>
          <t>대손충당금 증감</t>
        </is>
      </c>
      <c r="O243" s="20" t="n">
        <v>-48</v>
      </c>
      <c r="P243" s="20" t="n">
        <v>-5</v>
      </c>
      <c r="Q243" s="20" t="n">
        <v>-73</v>
      </c>
      <c r="R243" s="20" t="n">
        <v>64</v>
      </c>
      <c r="S243" s="20" t="n">
        <v>-41</v>
      </c>
    </row>
    <row r="244">
      <c r="A244" s="18" t="inlineStr">
        <is>
          <t>이자·배당금 수익</t>
        </is>
      </c>
      <c r="O244" s="20" t="n">
        <v>-1769</v>
      </c>
      <c r="P244" s="20" t="n">
        <v>-1674</v>
      </c>
      <c r="Q244" s="20" t="n">
        <v>-1410</v>
      </c>
      <c r="R244" s="20" t="n">
        <v>-1212</v>
      </c>
      <c r="S244" s="20" t="n">
        <v>-897</v>
      </c>
    </row>
    <row r="245">
      <c r="A245" s="18" t="inlineStr">
        <is>
          <t>이자비용</t>
        </is>
      </c>
      <c r="O245" s="20" t="n">
        <v>143</v>
      </c>
      <c r="P245" s="20" t="n">
        <v>261</v>
      </c>
      <c r="Q245" s="20" t="n">
        <v>441</v>
      </c>
      <c r="R245" s="20" t="n">
        <v>389</v>
      </c>
      <c r="S245" s="20" t="n">
        <v>400</v>
      </c>
    </row>
    <row r="246">
      <c r="A246" s="18" t="inlineStr">
        <is>
          <t>투자사업조합 운용 손익(△는 이익)</t>
        </is>
      </c>
      <c r="O246" s="20" t="n">
        <v>28</v>
      </c>
      <c r="P246" s="20" t="n">
        <v>-43</v>
      </c>
      <c r="Q246" s="20" t="n">
        <v>-32</v>
      </c>
      <c r="R246" s="20" t="n">
        <v>-135</v>
      </c>
      <c r="S246" s="20" t="n">
        <v>5</v>
      </c>
    </row>
    <row r="247">
      <c r="A247" s="18" t="inlineStr">
        <is>
          <t>지분법손익</t>
        </is>
      </c>
      <c r="O247" s="20" t="n">
        <v>19</v>
      </c>
      <c r="P247" s="20" t="n">
        <v>81</v>
      </c>
      <c r="Q247" s="20" t="n">
        <v>18</v>
      </c>
      <c r="R247" s="20" t="n">
        <v>-8</v>
      </c>
      <c r="S247" s="20" t="n">
        <v>-62</v>
      </c>
    </row>
    <row r="248">
      <c r="A248" s="18" t="inlineStr">
        <is>
          <t>고정자산 매각손익</t>
        </is>
      </c>
      <c r="O248" s="20" t="n">
        <v>8567</v>
      </c>
      <c r="P248" s="20" t="n">
        <v>153</v>
      </c>
      <c r="Q248" s="20" t="n">
        <v>0</v>
      </c>
    </row>
    <row r="249">
      <c r="A249" s="18" t="inlineStr">
        <is>
          <t>투자유가증권 매각손익</t>
        </is>
      </c>
      <c r="O249" s="20" t="n">
        <v>-13159</v>
      </c>
      <c r="P249" s="20" t="n">
        <v>-22077</v>
      </c>
      <c r="Q249" s="20" t="n">
        <v>-9079</v>
      </c>
      <c r="R249" s="20" t="n">
        <v>-19187</v>
      </c>
      <c r="S249" s="20" t="n">
        <v>-5672</v>
      </c>
    </row>
    <row r="250">
      <c r="A250" s="18" t="inlineStr">
        <is>
          <t>투자유가증권 평가손익</t>
        </is>
      </c>
      <c r="O250" s="20" t="n">
        <v>28</v>
      </c>
      <c r="P250" s="20" t="n">
        <v>52</v>
      </c>
      <c r="Q250" s="20" t="n">
        <v>1346</v>
      </c>
      <c r="R250" s="20" t="n">
        <v>509</v>
      </c>
      <c r="S250" s="20" t="n">
        <v>294</v>
      </c>
    </row>
    <row r="251">
      <c r="A251" s="18" t="inlineStr">
        <is>
          <t>관계회사 주식 매각손익</t>
        </is>
      </c>
      <c r="O251" s="20" t="n">
        <v>0</v>
      </c>
      <c r="P251" s="20" t="n">
        <v>-10</v>
      </c>
      <c r="Q251" s="20" t="n">
        <v>-183</v>
      </c>
      <c r="R251" s="20" t="n">
        <v>-1566</v>
      </c>
      <c r="S251" s="20" t="n">
        <v>0</v>
      </c>
    </row>
    <row r="252">
      <c r="A252" s="18" t="inlineStr">
        <is>
          <t>신주예약권 환입이익</t>
        </is>
      </c>
      <c r="O252" s="20" t="n">
        <v>-15</v>
      </c>
      <c r="P252" s="20" t="n">
        <v>-16</v>
      </c>
      <c r="Q252" s="20" t="n">
        <v>-3</v>
      </c>
      <c r="R252" s="20" t="n">
        <v>-2</v>
      </c>
      <c r="S252" s="20" t="n">
        <v>-6</v>
      </c>
    </row>
    <row r="253">
      <c r="A253" s="18" t="inlineStr">
        <is>
          <t>단계적 취득 차손익</t>
        </is>
      </c>
      <c r="Q253" s="20" t="n">
        <v>0</v>
      </c>
      <c r="R253" s="20" t="n">
        <v>-93</v>
      </c>
      <c r="S253" s="20" t="n">
        <v>0</v>
      </c>
    </row>
    <row r="254">
      <c r="A254" s="18" t="inlineStr">
        <is>
          <t>손상차손</t>
        </is>
      </c>
      <c r="P254" s="20" t="n">
        <v>0</v>
      </c>
      <c r="Q254" s="20" t="n">
        <v>3698</v>
      </c>
      <c r="R254" s="20" t="n">
        <v>2383</v>
      </c>
      <c r="S254" s="20" t="n">
        <v>1505</v>
      </c>
    </row>
    <row r="255">
      <c r="A255" s="18" t="inlineStr">
        <is>
          <t>Office Transfer Cost Ope CF</t>
        </is>
      </c>
      <c r="O255" s="20" t="n">
        <v>0</v>
      </c>
      <c r="P255" s="20" t="n">
        <v>5532</v>
      </c>
      <c r="Q255" s="20" t="n">
        <v>0</v>
      </c>
      <c r="R255" s="20" t="n">
        <v>0</v>
      </c>
      <c r="S255" s="20" t="n">
        <v>3601</v>
      </c>
    </row>
    <row r="256">
      <c r="A256" s="18" t="inlineStr">
        <is>
          <t>매출채권 증감</t>
        </is>
      </c>
      <c r="O256" s="20" t="n">
        <v>3478</v>
      </c>
      <c r="P256" s="20" t="n">
        <v>-13163</v>
      </c>
      <c r="Q256" s="20" t="n">
        <v>-16518</v>
      </c>
      <c r="R256" s="20" t="n">
        <v>4267</v>
      </c>
      <c r="S256" s="20" t="n">
        <v>-11600</v>
      </c>
    </row>
    <row r="257">
      <c r="A257" s="18" t="inlineStr">
        <is>
          <t>재고자산 증감</t>
        </is>
      </c>
      <c r="O257" s="20" t="n">
        <v>105</v>
      </c>
      <c r="P257" s="20" t="n">
        <v>-62</v>
      </c>
      <c r="Q257" s="20" t="n">
        <v>-1045</v>
      </c>
      <c r="R257" s="20" t="n">
        <v>-475</v>
      </c>
      <c r="S257" s="20" t="n">
        <v>492</v>
      </c>
    </row>
    <row r="258">
      <c r="A258" s="18" t="inlineStr">
        <is>
          <t>매입채무 증감</t>
        </is>
      </c>
      <c r="O258" s="20" t="n">
        <v>-822</v>
      </c>
      <c r="P258" s="20" t="n">
        <v>4487</v>
      </c>
      <c r="Q258" s="20" t="n">
        <v>4584</v>
      </c>
      <c r="R258" s="20" t="n">
        <v>-1548</v>
      </c>
      <c r="S258" s="20" t="n">
        <v>1044</v>
      </c>
    </row>
    <row r="259">
      <c r="A259" s="18" t="inlineStr">
        <is>
          <t>상여충당금 증감</t>
        </is>
      </c>
      <c r="O259" s="20" t="n">
        <v>767</v>
      </c>
      <c r="P259" s="20" t="n">
        <v>2413</v>
      </c>
      <c r="Q259" s="20" t="n">
        <v>653</v>
      </c>
      <c r="R259" s="20" t="n">
        <v>762</v>
      </c>
      <c r="S259" s="20" t="n">
        <v>1928</v>
      </c>
    </row>
    <row r="260">
      <c r="A260" s="18" t="inlineStr">
        <is>
          <t>퇴직급여자산 증감</t>
        </is>
      </c>
      <c r="O260" s="20" t="n">
        <v>-10721</v>
      </c>
      <c r="P260" s="20" t="n">
        <v>-10121</v>
      </c>
      <c r="Q260" s="20" t="n">
        <v>-8349</v>
      </c>
      <c r="R260" s="20" t="n">
        <v>-8475</v>
      </c>
      <c r="S260" s="20" t="n">
        <v>-9439</v>
      </c>
    </row>
    <row r="261">
      <c r="A261" s="18" t="inlineStr">
        <is>
          <t>퇴직급여부채 증감</t>
        </is>
      </c>
      <c r="O261" s="20" t="n">
        <v>745</v>
      </c>
      <c r="P261" s="20" t="n">
        <v>714</v>
      </c>
      <c r="Q261" s="20" t="n">
        <v>477</v>
      </c>
      <c r="R261" s="20" t="n">
        <v>477</v>
      </c>
      <c r="S261" s="20" t="n">
        <v>158</v>
      </c>
    </row>
    <row r="262">
      <c r="A262" s="18" t="inlineStr">
        <is>
          <t>수주손실 충당금 증감</t>
        </is>
      </c>
      <c r="O262" s="20" t="n">
        <v>246</v>
      </c>
      <c r="P262" s="20" t="n">
        <v>-1540</v>
      </c>
      <c r="Q262" s="20" t="n">
        <v>882</v>
      </c>
      <c r="R262" s="20" t="n">
        <v>-632</v>
      </c>
      <c r="S262" s="20" t="n">
        <v>31</v>
      </c>
    </row>
    <row r="263">
      <c r="A263" s="18" t="inlineStr">
        <is>
          <t>Decrease Increase In Guarantee Deposits Ope CF</t>
        </is>
      </c>
      <c r="O263" s="20" t="n">
        <v>1489</v>
      </c>
      <c r="P263" s="20" t="n">
        <v>1298</v>
      </c>
      <c r="Q263" s="20" t="n">
        <v>922</v>
      </c>
      <c r="R263" s="20" t="n">
        <v>980</v>
      </c>
      <c r="S263" s="20" t="n">
        <v>-121</v>
      </c>
    </row>
    <row r="264">
      <c r="A264" s="18" t="inlineStr">
        <is>
          <t>Decrease Increase In Operating Loans Receivable Ope CF</t>
        </is>
      </c>
      <c r="O264" s="20" t="n">
        <v>2728</v>
      </c>
      <c r="P264" s="20" t="n">
        <v>105</v>
      </c>
      <c r="Q264" s="20" t="n">
        <v>2200</v>
      </c>
      <c r="R264" s="20" t="n">
        <v>225</v>
      </c>
      <c r="S264" s="20" t="n">
        <v>0</v>
      </c>
    </row>
    <row r="265">
      <c r="A265" s="18" t="inlineStr">
        <is>
          <t>Decrease Increase In Margin Transaction Assets Ope CFSEC</t>
        </is>
      </c>
      <c r="O265" s="20" t="n">
        <v>-1282</v>
      </c>
      <c r="P265" s="20" t="n">
        <v>4676</v>
      </c>
      <c r="Q265" s="20" t="n">
        <v>-467</v>
      </c>
      <c r="R265" s="20" t="n">
        <v>1792</v>
      </c>
      <c r="S265" s="20" t="n">
        <v>-1657</v>
      </c>
    </row>
    <row r="266">
      <c r="A266" s="18" t="inlineStr">
        <is>
          <t>Decrease Increase In Short Term Guarantee Deposits Ope CFSEC</t>
        </is>
      </c>
      <c r="O266" s="20" t="n">
        <v>-1318</v>
      </c>
      <c r="P266" s="20" t="n">
        <v>5442</v>
      </c>
      <c r="Q266" s="20" t="n">
        <v>-100</v>
      </c>
      <c r="R266" s="20" t="n">
        <v>100</v>
      </c>
      <c r="S266" s="20" t="n">
        <v>-400</v>
      </c>
    </row>
    <row r="267">
      <c r="A267" s="18" t="inlineStr">
        <is>
          <t>Increase Decrease In Margin Transaction Liabilities Ope CFSEC</t>
        </is>
      </c>
      <c r="O267" s="20" t="n">
        <v>2442</v>
      </c>
      <c r="P267" s="20" t="n">
        <v>-7772</v>
      </c>
      <c r="Q267" s="20" t="n">
        <v>658</v>
      </c>
      <c r="R267" s="20" t="n">
        <v>-633</v>
      </c>
      <c r="S267" s="20" t="n">
        <v>721</v>
      </c>
    </row>
    <row r="268">
      <c r="A268" s="18" t="inlineStr">
        <is>
          <t>Increase Decrease In Short Term Guarantee Deposits Received Ope CF</t>
        </is>
      </c>
      <c r="O268" s="20" t="n">
        <v>-1002</v>
      </c>
      <c r="P268" s="20" t="n">
        <v>-3165</v>
      </c>
      <c r="Q268" s="20" t="n">
        <v>1452</v>
      </c>
      <c r="R268" s="20" t="n">
        <v>-60</v>
      </c>
      <c r="S268" s="20" t="n">
        <v>250</v>
      </c>
    </row>
    <row r="269">
      <c r="A269" s="18" t="inlineStr">
        <is>
          <t>Increase Decrease In Reserve For Financial Products Transaction Liabilities Ope CFSEC</t>
        </is>
      </c>
      <c r="O269" s="20" t="n">
        <v>-60</v>
      </c>
      <c r="P269" s="20" t="n">
        <v>0</v>
      </c>
      <c r="Q269" s="20" t="n">
        <v>-118</v>
      </c>
      <c r="R269" s="20" t="n">
        <v>-11</v>
      </c>
      <c r="S269" s="20" t="n">
        <v>-233</v>
      </c>
    </row>
    <row r="270">
      <c r="A270" s="18" t="inlineStr">
        <is>
          <t>기타</t>
        </is>
      </c>
      <c r="O270" s="20" t="n">
        <v>-2221</v>
      </c>
      <c r="P270" s="20" t="n">
        <v>5977</v>
      </c>
      <c r="Q270" s="20" t="n">
        <v>3829</v>
      </c>
      <c r="R270" s="20" t="n">
        <v>5376</v>
      </c>
      <c r="S270" s="20" t="n">
        <v>3974</v>
      </c>
    </row>
    <row r="271">
      <c r="A271" s="18" t="inlineStr">
        <is>
          <t>소계</t>
        </is>
      </c>
      <c r="O271" s="20" t="n">
        <v>81838</v>
      </c>
      <c r="P271" s="20" t="n">
        <v>86010</v>
      </c>
      <c r="Q271" s="20" t="n">
        <v>90960</v>
      </c>
      <c r="R271" s="20" t="n">
        <v>116196</v>
      </c>
      <c r="S271" s="20" t="n">
        <v>104340</v>
      </c>
    </row>
    <row r="272">
      <c r="A272" s="18" t="inlineStr">
        <is>
          <t>이자·배당금 수취</t>
        </is>
      </c>
      <c r="O272" s="20" t="n">
        <v>1841</v>
      </c>
      <c r="P272" s="20" t="n">
        <v>1896</v>
      </c>
      <c r="Q272" s="20" t="n">
        <v>1607</v>
      </c>
      <c r="R272" s="20" t="n">
        <v>1459</v>
      </c>
      <c r="S272" s="20" t="n">
        <v>1237</v>
      </c>
    </row>
    <row r="273">
      <c r="A273" s="18" t="inlineStr">
        <is>
          <t>이자 지급</t>
        </is>
      </c>
      <c r="O273" s="20" t="n">
        <v>-153</v>
      </c>
      <c r="P273" s="20" t="n">
        <v>-263</v>
      </c>
      <c r="Q273" s="20" t="n">
        <v>-445</v>
      </c>
      <c r="R273" s="20" t="n">
        <v>-350</v>
      </c>
      <c r="S273" s="20" t="n">
        <v>-446</v>
      </c>
    </row>
    <row r="274">
      <c r="A274" s="18" t="inlineStr">
        <is>
          <t>법인세 납부·환급</t>
        </is>
      </c>
      <c r="O274" s="20" t="n">
        <v>-22379</v>
      </c>
      <c r="P274" s="20" t="n">
        <v>-14150</v>
      </c>
      <c r="Q274" s="20" t="n">
        <v>-35772</v>
      </c>
      <c r="R274" s="20" t="n">
        <v>-14517</v>
      </c>
      <c r="S274" s="20" t="n">
        <v>-31200</v>
      </c>
    </row>
    <row r="275">
      <c r="A275" s="9" t="inlineStr">
        <is>
          <t>영업활동 현금흐름</t>
        </is>
      </c>
      <c r="O275" s="12" t="n">
        <v>61147</v>
      </c>
      <c r="P275" s="12" t="n">
        <v>73493</v>
      </c>
      <c r="Q275" s="12" t="n">
        <v>56349</v>
      </c>
      <c r="R275" s="12" t="n">
        <v>102787</v>
      </c>
      <c r="S275" s="12" t="n">
        <v>73931</v>
      </c>
    </row>
    <row r="276">
      <c r="A276" s="18" t="inlineStr">
        <is>
          <t>정기예금 예입</t>
        </is>
      </c>
      <c r="O276" s="20" t="n">
        <v>-1383</v>
      </c>
      <c r="P276" s="20" t="n">
        <v>-1996</v>
      </c>
      <c r="Q276" s="20" t="n">
        <v>-2586</v>
      </c>
      <c r="R276" s="20" t="n">
        <v>-1904</v>
      </c>
      <c r="S276" s="20" t="n">
        <v>-2029</v>
      </c>
    </row>
    <row r="277">
      <c r="A277" s="18" t="inlineStr">
        <is>
          <t>정기예금 인출</t>
        </is>
      </c>
      <c r="O277" s="20" t="n">
        <v>1319</v>
      </c>
      <c r="P277" s="20" t="n">
        <v>1309</v>
      </c>
      <c r="Q277" s="20" t="n">
        <v>2518</v>
      </c>
      <c r="R277" s="20" t="n">
        <v>1734</v>
      </c>
      <c r="S277" s="20" t="n">
        <v>2018</v>
      </c>
    </row>
    <row r="278">
      <c r="A278" s="18" t="inlineStr">
        <is>
          <t>유가증권 취득</t>
        </is>
      </c>
      <c r="O278" s="20" t="n">
        <v>-12008</v>
      </c>
      <c r="P278" s="20" t="n">
        <v>-1000</v>
      </c>
      <c r="Q278" s="20" t="n">
        <v>-2006</v>
      </c>
      <c r="R278" s="20" t="n">
        <v>-2307</v>
      </c>
      <c r="S278" s="20" t="n">
        <v>0</v>
      </c>
    </row>
    <row r="279">
      <c r="A279" s="18" t="inlineStr">
        <is>
          <t>유가증권 매각·상환 수입</t>
        </is>
      </c>
      <c r="O279" s="20" t="n">
        <v>13000</v>
      </c>
      <c r="P279" s="20" t="n">
        <v>6000</v>
      </c>
      <c r="Q279" s="20" t="n">
        <v>1000</v>
      </c>
      <c r="R279" s="20" t="n">
        <v>2000</v>
      </c>
      <c r="S279" s="20" t="n">
        <v>2300</v>
      </c>
    </row>
    <row r="280">
      <c r="A280" s="18" t="inlineStr">
        <is>
          <t>유형자산 취득(설비투자)</t>
        </is>
      </c>
      <c r="O280" s="20" t="n">
        <v>-13530</v>
      </c>
      <c r="P280" s="20" t="n">
        <v>-16932</v>
      </c>
      <c r="Q280" s="20" t="n">
        <v>-5527</v>
      </c>
      <c r="R280" s="20" t="n">
        <v>-4975</v>
      </c>
      <c r="S280" s="20" t="n">
        <v>-7634</v>
      </c>
    </row>
    <row r="281">
      <c r="A281" s="18" t="inlineStr">
        <is>
          <t>유형자산 매각</t>
        </is>
      </c>
      <c r="O281" s="20" t="n">
        <v>3558</v>
      </c>
      <c r="P281" s="20" t="n">
        <v>502</v>
      </c>
      <c r="Q281" s="20" t="n">
        <v>5</v>
      </c>
      <c r="R281" s="20" t="n">
        <v>2</v>
      </c>
      <c r="S281" s="20" t="n">
        <v>5</v>
      </c>
    </row>
    <row r="282">
      <c r="A282" s="18" t="inlineStr">
        <is>
          <t>무형자산 취득</t>
        </is>
      </c>
      <c r="O282" s="20" t="n">
        <v>-25261</v>
      </c>
      <c r="P282" s="20" t="n">
        <v>-21600</v>
      </c>
      <c r="Q282" s="20" t="n">
        <v>-19973</v>
      </c>
      <c r="R282" s="20" t="n">
        <v>-22426</v>
      </c>
      <c r="S282" s="20" t="n">
        <v>-21395</v>
      </c>
    </row>
    <row r="283">
      <c r="A283" s="18" t="inlineStr">
        <is>
          <t>무형자산 매각 수입</t>
        </is>
      </c>
      <c r="R283" s="20" t="n">
        <v>0</v>
      </c>
      <c r="S283" s="20" t="n">
        <v>4</v>
      </c>
    </row>
    <row r="284">
      <c r="A284" s="18" t="inlineStr">
        <is>
          <t>자산복구부채 이행 지출</t>
        </is>
      </c>
      <c r="O284" s="20" t="n">
        <v>-58</v>
      </c>
      <c r="P284" s="20" t="n">
        <v>-76</v>
      </c>
      <c r="Q284" s="20" t="n">
        <v>-45</v>
      </c>
      <c r="R284" s="20" t="n">
        <v>-6</v>
      </c>
      <c r="S284" s="20" t="n">
        <v>-34</v>
      </c>
    </row>
    <row r="285">
      <c r="A285" s="18" t="inlineStr">
        <is>
          <t>투자유가증권 취득</t>
        </is>
      </c>
      <c r="O285" s="20" t="n">
        <v>-6922</v>
      </c>
      <c r="P285" s="20" t="n">
        <v>-12508</v>
      </c>
      <c r="Q285" s="20" t="n">
        <v>-15262</v>
      </c>
      <c r="R285" s="20" t="n">
        <v>-766</v>
      </c>
      <c r="S285" s="20" t="n">
        <v>-450</v>
      </c>
    </row>
    <row r="286">
      <c r="A286" s="18" t="inlineStr">
        <is>
          <t>투자유가증권 매각·상환 수입</t>
        </is>
      </c>
      <c r="O286" s="20" t="n">
        <v>33591</v>
      </c>
      <c r="P286" s="20" t="n">
        <v>42554</v>
      </c>
      <c r="Q286" s="20" t="n">
        <v>24095</v>
      </c>
      <c r="R286" s="20" t="n">
        <v>47138</v>
      </c>
      <c r="S286" s="20" t="n">
        <v>6691</v>
      </c>
    </row>
    <row r="287">
      <c r="A287" s="18" t="inlineStr">
        <is>
          <t>관계회사 주식 취득</t>
        </is>
      </c>
      <c r="O287" s="20" t="n">
        <v>0</v>
      </c>
      <c r="P287" s="20" t="n">
        <v>-3647</v>
      </c>
      <c r="Q287" s="20" t="n">
        <v>-637</v>
      </c>
      <c r="R287" s="20" t="n">
        <v>-727</v>
      </c>
      <c r="S287" s="20" t="n">
        <v>0</v>
      </c>
    </row>
    <row r="288">
      <c r="A288" s="18" t="inlineStr">
        <is>
          <t>연결범위 변경 자회사 주식 취득</t>
        </is>
      </c>
      <c r="O288" s="20" t="n">
        <v>-31064</v>
      </c>
      <c r="P288" s="20" t="n">
        <v>-9637</v>
      </c>
      <c r="Q288" s="20" t="n">
        <v>0</v>
      </c>
      <c r="R288" s="20" t="n">
        <v>-2062</v>
      </c>
      <c r="S288" s="20" t="n">
        <v>0</v>
      </c>
    </row>
    <row r="289">
      <c r="A289" s="18" t="inlineStr">
        <is>
          <t>연결범위 변경 자회사 주식 매각(지출)</t>
        </is>
      </c>
      <c r="O289" s="20" t="n">
        <v>0</v>
      </c>
      <c r="P289" s="20" t="n">
        <v>-854</v>
      </c>
      <c r="Q289" s="20" t="n">
        <v>0</v>
      </c>
    </row>
    <row r="290">
      <c r="A290" s="18" t="inlineStr">
        <is>
          <t>연결범위 변경 자회사 주식 매각</t>
        </is>
      </c>
      <c r="P290" s="20" t="n">
        <v>0</v>
      </c>
      <c r="Q290" s="20" t="n">
        <v>1586</v>
      </c>
      <c r="R290" s="20" t="n">
        <v>2290</v>
      </c>
      <c r="S290" s="20" t="n">
        <v>0</v>
      </c>
    </row>
    <row r="291">
      <c r="A291" s="18" t="inlineStr">
        <is>
          <t>장기대여금 회수</t>
        </is>
      </c>
      <c r="O291" s="20" t="n">
        <v>8400</v>
      </c>
      <c r="P291" s="20" t="n">
        <v>0</v>
      </c>
      <c r="Q291" s="20" t="n">
        <v>0</v>
      </c>
      <c r="R291" s="20" t="n">
        <v>400</v>
      </c>
      <c r="S291" s="20" t="n">
        <v>0</v>
      </c>
    </row>
    <row r="292">
      <c r="A292" s="18" t="inlineStr">
        <is>
          <t>Payments Of Long Term Loans Receivable To Employees Inv CF</t>
        </is>
      </c>
      <c r="O292" s="20" t="n">
        <v>-3</v>
      </c>
      <c r="P292" s="20" t="n">
        <v>-4</v>
      </c>
      <c r="Q292" s="20" t="n">
        <v>-1</v>
      </c>
      <c r="R292" s="20" t="n">
        <v>-7</v>
      </c>
      <c r="S292" s="20" t="n">
        <v>0</v>
      </c>
    </row>
    <row r="293">
      <c r="A293" s="18" t="inlineStr">
        <is>
          <t>Collection Of Long Term Loans Receivable To Employees Inv CF</t>
        </is>
      </c>
      <c r="O293" s="20" t="n">
        <v>21</v>
      </c>
      <c r="P293" s="20" t="n">
        <v>9</v>
      </c>
      <c r="Q293" s="20" t="n">
        <v>8</v>
      </c>
      <c r="R293" s="20" t="n">
        <v>1</v>
      </c>
      <c r="S293" s="20" t="n">
        <v>5</v>
      </c>
    </row>
    <row r="294">
      <c r="A294" s="9" t="inlineStr">
        <is>
          <t>투자활동 현금흐름</t>
        </is>
      </c>
      <c r="O294" s="12" t="n">
        <v>-30341</v>
      </c>
      <c r="P294" s="12" t="n">
        <v>-17882</v>
      </c>
      <c r="Q294" s="12" t="n">
        <v>-16826</v>
      </c>
      <c r="R294" s="12" t="n">
        <v>18382</v>
      </c>
      <c r="S294" s="12" t="n">
        <v>-20518</v>
      </c>
    </row>
    <row r="295">
      <c r="A295" s="18" t="inlineStr">
        <is>
          <t>단기차입</t>
        </is>
      </c>
      <c r="O295" s="20" t="n">
        <v>0</v>
      </c>
      <c r="P295" s="20" t="n">
        <v>5646</v>
      </c>
      <c r="Q295" s="20" t="n">
        <v>1214</v>
      </c>
    </row>
    <row r="296">
      <c r="A296" s="18" t="inlineStr">
        <is>
          <t>단기차입금 상환</t>
        </is>
      </c>
      <c r="O296" s="20" t="n">
        <v>0</v>
      </c>
      <c r="P296" s="20" t="n">
        <v>-4701</v>
      </c>
      <c r="Q296" s="20" t="n">
        <v>-809</v>
      </c>
    </row>
    <row r="297">
      <c r="A297" s="18" t="inlineStr">
        <is>
          <t>단기차입금 순증감</t>
        </is>
      </c>
      <c r="Q297" s="20" t="n">
        <v>404</v>
      </c>
      <c r="R297" s="20" t="n">
        <v>-549</v>
      </c>
      <c r="S297" s="20" t="n">
        <v>-3946</v>
      </c>
    </row>
    <row r="298">
      <c r="A298" s="18" t="inlineStr">
        <is>
          <t>장기차입</t>
        </is>
      </c>
      <c r="O298" s="20" t="n">
        <v>0</v>
      </c>
      <c r="P298" s="20" t="n">
        <v>943</v>
      </c>
      <c r="Q298" s="20" t="n">
        <v>17500</v>
      </c>
      <c r="R298" s="20" t="n">
        <v>10000</v>
      </c>
      <c r="S298" s="20" t="n">
        <v>10000</v>
      </c>
    </row>
    <row r="299">
      <c r="A299" s="18" t="inlineStr">
        <is>
          <t>장기차입금 상환</t>
        </is>
      </c>
      <c r="O299" s="20" t="n">
        <v>-3459</v>
      </c>
      <c r="P299" s="20" t="n">
        <v>-5732</v>
      </c>
      <c r="Q299" s="20" t="n">
        <v>-23704</v>
      </c>
      <c r="R299" s="20" t="n">
        <v>-4853</v>
      </c>
      <c r="S299" s="20" t="n">
        <v>-13019</v>
      </c>
    </row>
    <row r="300">
      <c r="A300" s="18" t="inlineStr">
        <is>
          <t>Net Increase Decrease In Short Term Bonds Payable Fin CF</t>
        </is>
      </c>
      <c r="R300" s="20" t="n">
        <v>0</v>
      </c>
      <c r="S300" s="20" t="n">
        <v>4978</v>
      </c>
    </row>
    <row r="301">
      <c r="A301" s="18" t="inlineStr">
        <is>
          <t>사채 발행</t>
        </is>
      </c>
      <c r="O301" s="20" t="n">
        <v>9949</v>
      </c>
      <c r="P301" s="20" t="n">
        <v>23908</v>
      </c>
      <c r="Q301" s="20" t="n">
        <v>0</v>
      </c>
      <c r="R301" s="20" t="n">
        <v>39909</v>
      </c>
      <c r="S301" s="20" t="n">
        <v>14946</v>
      </c>
    </row>
    <row r="302">
      <c r="A302" s="18" t="inlineStr">
        <is>
          <t>사채 상환</t>
        </is>
      </c>
      <c r="O302" s="20" t="n">
        <v>-15000</v>
      </c>
      <c r="P302" s="20" t="n">
        <v>0</v>
      </c>
      <c r="Q302" s="20" t="n">
        <v>-15000</v>
      </c>
      <c r="R302" s="20" t="n">
        <v>0</v>
      </c>
      <c r="S302" s="20" t="n">
        <v>-30</v>
      </c>
    </row>
    <row r="303">
      <c r="A303" s="18" t="inlineStr">
        <is>
          <t>금융리스부채 상환</t>
        </is>
      </c>
      <c r="O303" s="20" t="n">
        <v>-38</v>
      </c>
      <c r="P303" s="20" t="n">
        <v>-319</v>
      </c>
      <c r="Q303" s="20" t="n">
        <v>-657</v>
      </c>
      <c r="R303" s="20" t="n">
        <v>-517</v>
      </c>
      <c r="S303" s="20" t="n">
        <v>-867</v>
      </c>
    </row>
    <row r="304">
      <c r="A304" s="18" t="inlineStr">
        <is>
          <t>자기주식 처분</t>
        </is>
      </c>
      <c r="O304" s="20" t="n">
        <v>3650</v>
      </c>
      <c r="P304" s="20" t="n">
        <v>5067</v>
      </c>
      <c r="Q304" s="20" t="n">
        <v>6640</v>
      </c>
      <c r="R304" s="20" t="n">
        <v>6931</v>
      </c>
      <c r="S304" s="20" t="n">
        <v>27382</v>
      </c>
    </row>
    <row r="305">
      <c r="A305" s="18" t="inlineStr">
        <is>
          <t>자기주식 취득</t>
        </is>
      </c>
      <c r="O305" s="20" t="n">
        <v>-10839</v>
      </c>
      <c r="P305" s="20" t="n">
        <v>-50675</v>
      </c>
      <c r="Q305" s="20" t="n">
        <v>-36785</v>
      </c>
      <c r="R305" s="20" t="n">
        <v>-171058</v>
      </c>
      <c r="S305" s="20" t="n">
        <v>-10002</v>
      </c>
    </row>
    <row r="306">
      <c r="A306" s="18" t="inlineStr">
        <is>
          <t>배당금 지급</t>
        </is>
      </c>
      <c r="O306" s="20" t="n">
        <v>-18273</v>
      </c>
      <c r="P306" s="20" t="n">
        <v>-20817</v>
      </c>
      <c r="Q306" s="20" t="n">
        <v>-21370</v>
      </c>
      <c r="R306" s="20" t="n">
        <v>-19597</v>
      </c>
      <c r="S306" s="20" t="n">
        <v>-20571</v>
      </c>
    </row>
    <row r="307">
      <c r="A307" s="18" t="inlineStr">
        <is>
          <t>비지배주주 배당금 지급</t>
        </is>
      </c>
      <c r="O307" s="20" t="n">
        <v>-144</v>
      </c>
      <c r="P307" s="20" t="n">
        <v>-99</v>
      </c>
      <c r="Q307" s="20" t="n">
        <v>-133</v>
      </c>
      <c r="R307" s="20" t="n">
        <v>-121</v>
      </c>
      <c r="S307" s="20" t="n">
        <v>-71</v>
      </c>
    </row>
    <row r="308">
      <c r="A308" s="18" t="inlineStr">
        <is>
          <t>연결범위 변경 없는 자회사 주식 취득</t>
        </is>
      </c>
      <c r="O308" s="20" t="n">
        <v>-172</v>
      </c>
      <c r="P308" s="20" t="n">
        <v>-50</v>
      </c>
      <c r="Q308" s="20" t="n">
        <v>0</v>
      </c>
      <c r="R308" s="20" t="n">
        <v>0</v>
      </c>
      <c r="S308" s="20" t="n">
        <v>-11324</v>
      </c>
    </row>
    <row r="309">
      <c r="A309" s="9" t="inlineStr">
        <is>
          <t>재무활동 현금흐름</t>
        </is>
      </c>
      <c r="O309" s="12" t="n">
        <v>-34327</v>
      </c>
      <c r="P309" s="12" t="n">
        <v>-46829</v>
      </c>
      <c r="Q309" s="12" t="n">
        <v>-73106</v>
      </c>
      <c r="R309" s="12" t="n">
        <v>-139857</v>
      </c>
      <c r="S309" s="12" t="n">
        <v>-2525</v>
      </c>
    </row>
    <row r="310">
      <c r="A310" s="18" t="inlineStr">
        <is>
          <t>현금성자산 환산차이</t>
        </is>
      </c>
      <c r="O310" s="20" t="n">
        <v>624</v>
      </c>
      <c r="P310" s="20" t="n">
        <v>-2529</v>
      </c>
      <c r="Q310" s="20" t="n">
        <v>-1519</v>
      </c>
      <c r="R310" s="20" t="n">
        <v>-3734</v>
      </c>
      <c r="S310" s="20" t="n">
        <v>1520</v>
      </c>
    </row>
    <row r="311">
      <c r="A311" s="18" t="inlineStr">
        <is>
          <t>현금성자산 증감</t>
        </is>
      </c>
      <c r="O311" s="20" t="n">
        <v>-2897</v>
      </c>
      <c r="P311" s="20" t="n">
        <v>6251</v>
      </c>
      <c r="Q311" s="20" t="n">
        <v>-35102</v>
      </c>
      <c r="R311" s="20" t="n">
        <v>-22421</v>
      </c>
      <c r="S311" s="20" t="n">
        <v>52408</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17"/>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4307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2026.1Q</t>
        </is>
      </c>
      <c r="D3" s="5" t="inlineStr">
        <is>
          <t>2026.2Q</t>
        </is>
      </c>
      <c r="E3" s="5" t="inlineStr">
        <is>
          <t>2026.3Q</t>
        </is>
      </c>
      <c r="F3" s="5" t="inlineStr">
        <is>
          <t>2026.4Q</t>
        </is>
      </c>
      <c r="G3" s="5" t="inlineStr">
        <is>
          <t>2027.1Q</t>
        </is>
      </c>
      <c r="H3" s="6" t="inlineStr">
        <is>
          <t>2022</t>
        </is>
      </c>
      <c r="I3" s="5" t="inlineStr">
        <is>
          <t>2023</t>
        </is>
      </c>
      <c r="J3" s="5" t="inlineStr">
        <is>
          <t>2024</t>
        </is>
      </c>
      <c r="K3" s="5" t="inlineStr">
        <is>
          <t>2025</t>
        </is>
      </c>
      <c r="L3" s="5" t="inlineStr">
        <is>
          <t>2026</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413613</v>
      </c>
      <c r="D5" s="12" t="n">
        <v>466465</v>
      </c>
      <c r="E5" s="12" t="n">
        <v>401200</v>
      </c>
      <c r="F5" s="12" t="n">
        <v>501060</v>
      </c>
      <c r="G5" s="12" t="n">
        <v>444936</v>
      </c>
      <c r="H5" s="11" t="n">
        <v>333645</v>
      </c>
      <c r="I5" s="12" t="n">
        <v>349102</v>
      </c>
      <c r="J5" s="12" t="n">
        <v>405178</v>
      </c>
      <c r="K5" s="12" t="n">
        <v>419424</v>
      </c>
      <c r="L5" s="12" t="n">
        <v>501060</v>
      </c>
    </row>
    <row r="6">
      <c r="A6" s="18" t="inlineStr">
        <is>
          <t>현금및현금성자산</t>
        </is>
      </c>
      <c r="B6" s="10" t="n"/>
      <c r="C6" s="19" t="n">
        <v>176277</v>
      </c>
      <c r="D6" s="20" t="n">
        <v>152852</v>
      </c>
      <c r="E6" s="20" t="n">
        <v>108663</v>
      </c>
      <c r="F6" s="20" t="n">
        <v>132620</v>
      </c>
      <c r="G6" s="20" t="n">
        <v>131784</v>
      </c>
      <c r="H6" s="19" t="n">
        <v>115610</v>
      </c>
      <c r="I6" s="20" t="n">
        <v>129257</v>
      </c>
      <c r="J6" s="20" t="n">
        <v>173935</v>
      </c>
      <c r="K6" s="20" t="n">
        <v>168597</v>
      </c>
      <c r="L6" s="20" t="n">
        <v>132620</v>
      </c>
    </row>
    <row r="7">
      <c r="A7" s="18" t="inlineStr">
        <is>
          <t>단기금융상품</t>
        </is>
      </c>
      <c r="B7" s="10" t="n"/>
      <c r="C7" s="19" t="n">
        <v>20058</v>
      </c>
      <c r="D7" s="20" t="n">
        <v>44412</v>
      </c>
      <c r="E7" s="20" t="n">
        <v>57966</v>
      </c>
      <c r="F7" s="20" t="n">
        <v>61975</v>
      </c>
      <c r="G7" s="20" t="n">
        <v>14964</v>
      </c>
      <c r="H7" s="19" t="n">
        <v>14015</v>
      </c>
      <c r="I7" s="20" t="n">
        <v>14201</v>
      </c>
      <c r="J7" s="20" t="n">
        <v>13982</v>
      </c>
      <c r="K7" s="20" t="n">
        <v>15622</v>
      </c>
      <c r="L7" s="20" t="n">
        <v>61975</v>
      </c>
    </row>
    <row r="8">
      <c r="A8" s="18" t="inlineStr">
        <is>
          <t>매출채권</t>
        </is>
      </c>
      <c r="B8" s="10" t="n"/>
      <c r="C8" s="19" t="n">
        <v>117324</v>
      </c>
      <c r="D8" s="20" t="n">
        <v>155666</v>
      </c>
      <c r="E8" s="20" t="n">
        <v>110112</v>
      </c>
      <c r="F8" s="20" t="n">
        <v>146189</v>
      </c>
      <c r="G8" s="20" t="n">
        <v>88879</v>
      </c>
      <c r="H8" s="19" t="n">
        <v>135678</v>
      </c>
      <c r="I8" s="20" t="n">
        <v>131592</v>
      </c>
      <c r="J8" s="20" t="n">
        <v>141870</v>
      </c>
      <c r="K8" s="20" t="n">
        <v>158295</v>
      </c>
      <c r="L8" s="20" t="n">
        <v>146189</v>
      </c>
    </row>
    <row r="9">
      <c r="A9" s="18" t="inlineStr">
        <is>
          <t>재고자산</t>
        </is>
      </c>
      <c r="B9" s="10" t="n"/>
      <c r="C9" s="19" t="n"/>
      <c r="D9" s="20" t="n"/>
      <c r="E9" s="20" t="n"/>
      <c r="F9" s="20" t="n"/>
      <c r="G9" s="20" t="n"/>
      <c r="H9" s="19" t="n"/>
      <c r="I9" s="20" t="n"/>
      <c r="J9" s="20" t="n"/>
      <c r="K9" s="20" t="n"/>
      <c r="L9" s="20" t="n"/>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512587</v>
      </c>
      <c r="D11" s="12" t="n">
        <v>528048</v>
      </c>
      <c r="E11" s="12" t="n">
        <v>547339</v>
      </c>
      <c r="F11" s="12" t="n">
        <v>458733</v>
      </c>
      <c r="G11" s="12" t="n">
        <v>461453</v>
      </c>
      <c r="H11" s="11" t="n">
        <v>456010</v>
      </c>
      <c r="I11" s="12" t="n">
        <v>489122</v>
      </c>
      <c r="J11" s="12" t="n">
        <v>517595</v>
      </c>
      <c r="K11" s="12" t="n">
        <v>509077</v>
      </c>
      <c r="L11" s="12" t="n">
        <v>458733</v>
      </c>
    </row>
    <row r="12">
      <c r="A12" s="18" t="inlineStr">
        <is>
          <t>유형자산</t>
        </is>
      </c>
      <c r="B12" s="10" t="n"/>
      <c r="C12" s="19" t="n">
        <v>37244</v>
      </c>
      <c r="D12" s="20" t="n">
        <v>36900</v>
      </c>
      <c r="E12" s="20" t="n">
        <v>38341</v>
      </c>
      <c r="F12" s="20" t="n">
        <v>46748</v>
      </c>
      <c r="G12" s="20" t="n">
        <v>45807</v>
      </c>
      <c r="H12" s="19" t="n">
        <v>37482</v>
      </c>
      <c r="I12" s="20" t="n">
        <v>42114</v>
      </c>
      <c r="J12" s="20" t="n">
        <v>40245</v>
      </c>
      <c r="K12" s="20" t="n">
        <v>38032</v>
      </c>
      <c r="L12" s="20" t="n">
        <v>46748</v>
      </c>
    </row>
    <row r="13">
      <c r="A13" s="18" t="inlineStr">
        <is>
          <t>무형자산</t>
        </is>
      </c>
      <c r="B13" s="10" t="n"/>
      <c r="C13" s="19" t="n"/>
      <c r="D13" s="20" t="n"/>
      <c r="E13" s="20" t="n"/>
      <c r="F13" s="20" t="n"/>
      <c r="G13" s="20" t="n"/>
      <c r="H13" s="19" t="n"/>
      <c r="I13" s="20" t="n"/>
      <c r="J13" s="20" t="n"/>
      <c r="K13" s="20" t="n"/>
      <c r="L13" s="20" t="n"/>
    </row>
    <row r="14">
      <c r="A14" s="18" t="inlineStr">
        <is>
          <t>투자부동산</t>
        </is>
      </c>
      <c r="B14" s="10" t="n"/>
      <c r="C14" s="19" t="n"/>
      <c r="D14" s="20" t="n"/>
      <c r="E14" s="20" t="n"/>
      <c r="F14" s="20" t="n"/>
      <c r="G14" s="20" t="n"/>
      <c r="H14" s="19" t="n"/>
      <c r="I14" s="20" t="n"/>
      <c r="J14" s="20" t="n"/>
      <c r="K14" s="20" t="n"/>
      <c r="L14" s="20" t="n"/>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926201</v>
      </c>
      <c r="D16" s="12" t="n">
        <v>994514</v>
      </c>
      <c r="E16" s="12" t="n">
        <v>948539</v>
      </c>
      <c r="F16" s="12" t="n">
        <v>959794</v>
      </c>
      <c r="G16" s="12" t="n">
        <v>906390</v>
      </c>
      <c r="H16" s="11" t="n">
        <v>789655</v>
      </c>
      <c r="I16" s="12" t="n">
        <v>838224</v>
      </c>
      <c r="J16" s="12" t="n">
        <v>922773</v>
      </c>
      <c r="K16" s="12" t="n">
        <v>928501</v>
      </c>
      <c r="L16" s="12" t="n">
        <v>959794</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224650</v>
      </c>
      <c r="D18" s="12" t="n">
        <v>270664</v>
      </c>
      <c r="E18" s="12" t="n">
        <v>192746</v>
      </c>
      <c r="F18" s="12" t="n">
        <v>273021</v>
      </c>
      <c r="G18" s="12" t="n">
        <v>275000</v>
      </c>
      <c r="H18" s="11" t="n">
        <v>298342</v>
      </c>
      <c r="I18" s="12" t="n">
        <v>198247</v>
      </c>
      <c r="J18" s="12" t="n">
        <v>214642</v>
      </c>
      <c r="K18" s="12" t="n">
        <v>239482</v>
      </c>
      <c r="L18" s="12" t="n">
        <v>273021</v>
      </c>
    </row>
    <row r="19">
      <c r="A19" s="18" t="inlineStr">
        <is>
          <t>매입채무</t>
        </is>
      </c>
      <c r="B19" s="10" t="n"/>
      <c r="C19" s="19" t="n">
        <v>63800</v>
      </c>
      <c r="D19" s="20" t="n">
        <v>79896</v>
      </c>
      <c r="E19" s="20" t="n">
        <v>53776</v>
      </c>
      <c r="F19" s="20" t="n">
        <v>36911</v>
      </c>
      <c r="G19" s="20" t="n">
        <v>30939</v>
      </c>
      <c r="H19" s="19" t="n">
        <v>53800</v>
      </c>
      <c r="I19" s="20" t="n">
        <v>52129</v>
      </c>
      <c r="J19" s="20" t="n">
        <v>53038</v>
      </c>
      <c r="K19" s="20" t="n">
        <v>58146</v>
      </c>
      <c r="L19" s="20" t="n">
        <v>36911</v>
      </c>
    </row>
    <row r="20">
      <c r="A20" s="18" t="inlineStr">
        <is>
          <t>단기차입금</t>
        </is>
      </c>
      <c r="B20" s="10" t="n"/>
      <c r="C20" s="19" t="n"/>
      <c r="D20" s="20" t="n"/>
      <c r="E20" s="20" t="n"/>
      <c r="F20" s="20" t="n"/>
      <c r="G20" s="20" t="n"/>
      <c r="H20" s="19" t="n"/>
      <c r="I20" s="20" t="n"/>
      <c r="J20" s="20" t="n"/>
      <c r="K20" s="20" t="n"/>
      <c r="L20" s="20" t="n"/>
    </row>
    <row r="21">
      <c r="A21" s="18" t="inlineStr">
        <is>
          <t>유동성장기부채</t>
        </is>
      </c>
      <c r="B21" s="10" t="n"/>
      <c r="C21" s="19" t="n"/>
      <c r="D21" s="20" t="n"/>
      <c r="E21" s="20" t="n"/>
      <c r="F21" s="20" t="n"/>
      <c r="G21" s="20" t="n"/>
      <c r="H21" s="19" t="n"/>
      <c r="I21" s="20" t="n"/>
      <c r="J21" s="20" t="n"/>
      <c r="K21" s="20" t="n"/>
      <c r="L21" s="20" t="n"/>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254324</v>
      </c>
      <c r="D23" s="12" t="n">
        <v>242710</v>
      </c>
      <c r="E23" s="12" t="n">
        <v>250227</v>
      </c>
      <c r="F23" s="12" t="n">
        <v>248770</v>
      </c>
      <c r="G23" s="12" t="n">
        <v>254189</v>
      </c>
      <c r="H23" s="11" t="n">
        <v>148826</v>
      </c>
      <c r="I23" s="12" t="n">
        <v>237570</v>
      </c>
      <c r="J23" s="12" t="n">
        <v>305109</v>
      </c>
      <c r="K23" s="12" t="n">
        <v>251059</v>
      </c>
      <c r="L23" s="12" t="n">
        <v>248770</v>
      </c>
    </row>
    <row r="24">
      <c r="A24" s="18" t="inlineStr">
        <is>
          <t>장기차입금</t>
        </is>
      </c>
      <c r="B24" s="10" t="n"/>
      <c r="C24" s="19" t="n"/>
      <c r="D24" s="20" t="n"/>
      <c r="E24" s="20" t="n"/>
      <c r="F24" s="20" t="n"/>
      <c r="G24" s="20" t="n"/>
      <c r="H24" s="19" t="n"/>
      <c r="I24" s="20" t="n"/>
      <c r="J24" s="20" t="n"/>
      <c r="K24" s="20" t="n"/>
      <c r="L24" s="20" t="n"/>
    </row>
    <row r="25">
      <c r="A25" s="18" t="inlineStr">
        <is>
          <t>사채</t>
        </is>
      </c>
      <c r="B25" s="10" t="n"/>
      <c r="C25" s="19" t="n">
        <v>208418</v>
      </c>
      <c r="D25" s="20" t="n">
        <v>190089</v>
      </c>
      <c r="E25" s="20" t="n">
        <v>191378</v>
      </c>
      <c r="F25" s="20" t="n">
        <v>192245</v>
      </c>
      <c r="G25" s="20" t="n">
        <v>192471</v>
      </c>
      <c r="H25" s="19" t="n">
        <v>91275</v>
      </c>
      <c r="I25" s="20" t="n">
        <v>182725</v>
      </c>
      <c r="J25" s="20" t="n">
        <v>253864</v>
      </c>
      <c r="K25" s="20" t="n">
        <v>208654</v>
      </c>
      <c r="L25" s="20" t="n">
        <v>192245</v>
      </c>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478974</v>
      </c>
      <c r="D27" s="12" t="n">
        <v>513374</v>
      </c>
      <c r="E27" s="12" t="n">
        <v>442974</v>
      </c>
      <c r="F27" s="12" t="n">
        <v>521791</v>
      </c>
      <c r="G27" s="12" t="n">
        <v>529189</v>
      </c>
      <c r="H27" s="11" t="n">
        <v>447168</v>
      </c>
      <c r="I27" s="12" t="n">
        <v>435817</v>
      </c>
      <c r="J27" s="12" t="n">
        <v>519752</v>
      </c>
      <c r="K27" s="12" t="n">
        <v>490542</v>
      </c>
      <c r="L27" s="12" t="n">
        <v>521791</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443603</v>
      </c>
      <c r="D31" s="12" t="n">
        <v>477384</v>
      </c>
      <c r="E31" s="12" t="n">
        <v>501656</v>
      </c>
      <c r="F31" s="12" t="n">
        <v>433905</v>
      </c>
      <c r="G31" s="12" t="n">
        <v>373424</v>
      </c>
      <c r="H31" s="11" t="n">
        <v>339360</v>
      </c>
      <c r="I31" s="12" t="n">
        <v>399006</v>
      </c>
      <c r="J31" s="12" t="n">
        <v>399532</v>
      </c>
      <c r="K31" s="12" t="n">
        <v>434040</v>
      </c>
      <c r="L31" s="12" t="n">
        <v>433905</v>
      </c>
    </row>
    <row r="32">
      <c r="A32" s="18" t="inlineStr">
        <is>
          <t>자본금</t>
        </is>
      </c>
      <c r="B32" s="10" t="n"/>
      <c r="C32" s="19" t="n">
        <v>25655</v>
      </c>
      <c r="D32" s="20" t="n">
        <v>25655</v>
      </c>
      <c r="E32" s="20" t="n">
        <v>25655</v>
      </c>
      <c r="F32" s="20" t="n">
        <v>25655</v>
      </c>
      <c r="G32" s="20" t="n">
        <v>25655</v>
      </c>
      <c r="H32" s="19" t="n">
        <v>22414</v>
      </c>
      <c r="I32" s="20" t="n">
        <v>23644</v>
      </c>
      <c r="J32" s="20" t="n">
        <v>24701</v>
      </c>
      <c r="K32" s="20" t="n">
        <v>25655</v>
      </c>
      <c r="L32" s="20" t="n">
        <v>25655</v>
      </c>
    </row>
    <row r="33">
      <c r="A33" s="18" t="inlineStr">
        <is>
          <t>이익잉여금</t>
        </is>
      </c>
      <c r="B33" s="10" t="n"/>
      <c r="C33" s="19" t="n">
        <v>385184</v>
      </c>
      <c r="D33" s="20" t="n">
        <v>412742</v>
      </c>
      <c r="E33" s="20" t="n">
        <v>422302</v>
      </c>
      <c r="F33" s="20" t="n">
        <v>354056</v>
      </c>
      <c r="G33" s="20" t="n">
        <v>265808</v>
      </c>
      <c r="H33" s="19" t="n">
        <v>328830</v>
      </c>
      <c r="I33" s="20" t="n">
        <v>321676</v>
      </c>
      <c r="J33" s="20" t="n">
        <v>320320</v>
      </c>
      <c r="K33" s="20" t="n">
        <v>378659</v>
      </c>
      <c r="L33" s="20" t="n">
        <v>354056</v>
      </c>
    </row>
    <row r="34">
      <c r="A34" s="18" t="inlineStr">
        <is>
          <t>비지배지분</t>
        </is>
      </c>
      <c r="B34" s="10" t="n"/>
      <c r="C34" s="19" t="n">
        <v>3622</v>
      </c>
      <c r="D34" s="20" t="n">
        <v>3754</v>
      </c>
      <c r="E34" s="20" t="n">
        <v>3908</v>
      </c>
      <c r="F34" s="20" t="n">
        <v>4097</v>
      </c>
      <c r="G34" s="20" t="n">
        <v>3775</v>
      </c>
      <c r="H34" s="19" t="n">
        <v>3126</v>
      </c>
      <c r="I34" s="20" t="n">
        <v>3399</v>
      </c>
      <c r="J34" s="20" t="n">
        <v>3489</v>
      </c>
      <c r="K34" s="20" t="n">
        <v>3918</v>
      </c>
      <c r="L34" s="20" t="n">
        <v>4097</v>
      </c>
    </row>
    <row r="35">
      <c r="A35" s="9" t="inlineStr">
        <is>
          <t>자본총계</t>
        </is>
      </c>
      <c r="B35" s="10" t="n"/>
      <c r="C35" s="11" t="n">
        <v>447226</v>
      </c>
      <c r="D35" s="12" t="n">
        <v>481139</v>
      </c>
      <c r="E35" s="12" t="n">
        <v>505565</v>
      </c>
      <c r="F35" s="12" t="n">
        <v>438002</v>
      </c>
      <c r="G35" s="12" t="n">
        <v>377200</v>
      </c>
      <c r="H35" s="11" t="n">
        <v>342486</v>
      </c>
      <c r="I35" s="12" t="n">
        <v>402406</v>
      </c>
      <c r="J35" s="12" t="n">
        <v>403021</v>
      </c>
      <c r="K35" s="12" t="n">
        <v>437959</v>
      </c>
      <c r="L35" s="12" t="n">
        <v>438002</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147245</v>
      </c>
      <c r="D37" s="12" t="n">
        <v>145208</v>
      </c>
      <c r="E37" s="12" t="n">
        <v>143423</v>
      </c>
      <c r="F37" s="12" t="n">
        <v>147641</v>
      </c>
      <c r="G37" s="12" t="n">
        <v>160201</v>
      </c>
      <c r="H37" s="11" t="n">
        <v>98137</v>
      </c>
      <c r="I37" s="12" t="n">
        <v>118899</v>
      </c>
      <c r="J37" s="12" t="n">
        <v>142277</v>
      </c>
      <c r="K37" s="12" t="n">
        <v>130196</v>
      </c>
      <c r="L37" s="12" t="n">
        <v>147641</v>
      </c>
    </row>
    <row r="38">
      <c r="A38" s="18" t="inlineStr">
        <is>
          <t>CAPEX (유·무형 취득)</t>
        </is>
      </c>
      <c r="B38" s="10" t="inlineStr">
        <is>
          <t>양수로 입력</t>
        </is>
      </c>
      <c r="C38" s="19" t="n">
        <v>50179</v>
      </c>
      <c r="D38" s="20" t="n">
        <v>50383</v>
      </c>
      <c r="E38" s="20" t="n">
        <v>48208</v>
      </c>
      <c r="F38" s="20" t="n">
        <v>46311</v>
      </c>
      <c r="G38" s="20" t="n">
        <v>45330</v>
      </c>
      <c r="H38" s="19" t="n">
        <v>42977</v>
      </c>
      <c r="I38" s="20" t="n">
        <v>54701</v>
      </c>
      <c r="J38" s="20" t="n">
        <v>49797</v>
      </c>
      <c r="K38" s="20" t="n">
        <v>49602</v>
      </c>
      <c r="L38" s="20" t="n">
        <v>46311</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36057</v>
      </c>
      <c r="D40" s="20" t="n">
        <v>36053</v>
      </c>
      <c r="E40" s="20" t="n">
        <v>39519</v>
      </c>
      <c r="F40" s="20" t="n">
        <v>39516</v>
      </c>
      <c r="G40" s="20" t="n">
        <v>44182</v>
      </c>
      <c r="H40" s="19" t="n">
        <v>22647</v>
      </c>
      <c r="I40" s="20" t="n">
        <v>25372</v>
      </c>
      <c r="J40" s="20" t="n">
        <v>27583</v>
      </c>
      <c r="K40" s="20" t="n">
        <v>33313</v>
      </c>
      <c r="L40" s="20" t="n">
        <v>39516</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IFERROR((IF(COUNT('연간'!H28:K28)&lt;4,"",SUM('연간'!H28:K28)))/(IF(COUNT('연간'!H50:K50)&lt;4,"",SUM('연간'!H50:K50))),"")</f>
        <v/>
      </c>
      <c r="D48" s="31">
        <f>IFERROR((IF(COUNT('연간'!I28:L28)&lt;4,"",SUM('연간'!I28:L28)))/(IF(COUNT('연간'!I50:L50)&lt;4,"",SUM('연간'!I50:L50))),"")</f>
        <v/>
      </c>
      <c r="E48" s="31">
        <f>IFERROR((IF(COUNT('연간'!J28:M28)&lt;4,"",SUM('연간'!J28:M28)))/(IF(COUNT('연간'!J50:M50)&lt;4,"",SUM('연간'!J50:M50))),"")</f>
        <v/>
      </c>
      <c r="F48" s="31">
        <f>IFERROR((IF(COUNT('연간'!K28:N28)&lt;4,"",SUM('연간'!K28:N28)))/(IF(COUNT('연간'!K50:N50)&lt;4,"",SUM('연간'!K50:N50))),"")</f>
        <v/>
      </c>
      <c r="G48" s="31" t="n"/>
      <c r="H48" s="30">
        <f>IFERROR(('연간'!T28)/('연간'!T50),"")</f>
        <v/>
      </c>
      <c r="I48" s="31">
        <f>IFERROR(('연간'!U28)/('연간'!U50),"")</f>
        <v/>
      </c>
      <c r="J48" s="31">
        <f>IFERROR(('연간'!V28)/('연간'!V50),"")</f>
        <v/>
      </c>
      <c r="K48" s="31">
        <f>IFERROR(('연간'!W28)/('연간'!W50),"")</f>
        <v/>
      </c>
      <c r="L48" s="31">
        <f>IFERROR(('연간'!X28)/('연간'!X50),"")</f>
        <v/>
      </c>
    </row>
    <row r="49">
      <c r="A49" s="45" t="inlineStr">
        <is>
          <t>차입금 상환연수</t>
        </is>
      </c>
      <c r="B49" s="10" t="inlineStr">
        <is>
          <t>4년↓ (버핏)</t>
        </is>
      </c>
      <c r="C49" s="46">
        <f>IFERROR(IF((IF(COUNT('연간'!H58:K58)&lt;4,"",SUM('연간'!H58:K58)))&lt;=0,"적자",C28/(IF(COUNT('연간'!H58:K58)&lt;4,"",SUM('연간'!H58:K58)))),"")</f>
        <v/>
      </c>
      <c r="D49" s="47">
        <f>IFERROR(IF((IF(COUNT('연간'!I58:L58)&lt;4,"",SUM('연간'!I58:L58)))&lt;=0,"적자",D28/(IF(COUNT('연간'!I58:L58)&lt;4,"",SUM('연간'!I58:L58)))),"")</f>
        <v/>
      </c>
      <c r="E49" s="47">
        <f>IFERROR(IF((IF(COUNT('연간'!J58:M58)&lt;4,"",SUM('연간'!J58:M58)))&lt;=0,"적자",E28/(IF(COUNT('연간'!J58:M58)&lt;4,"",SUM('연간'!J58:M58)))),"")</f>
        <v/>
      </c>
      <c r="F49" s="47">
        <f>IFERROR(IF((IF(COUNT('연간'!K58:N58)&lt;4,"",SUM('연간'!K58:N58)))&lt;=0,"적자",F28/(IF(COUNT('연간'!K58:N58)&lt;4,"",SUM('연간'!K58:N58)))),"")</f>
        <v/>
      </c>
      <c r="G49" s="47" t="n"/>
      <c r="H49" s="46">
        <f>IFERROR(IF(('연간'!T58)&lt;=0,"적자",H28/('연간'!T58)),"")</f>
        <v/>
      </c>
      <c r="I49" s="47">
        <f>IFERROR(IF(('연간'!U58)&lt;=0,"적자",I28/('연간'!U58)),"")</f>
        <v/>
      </c>
      <c r="J49" s="47">
        <f>IFERROR(IF(('연간'!V58)&lt;=0,"적자",J28/('연간'!V58)),"")</f>
        <v/>
      </c>
      <c r="K49" s="47">
        <f>IFERROR(IF(('연간'!W58)&lt;=0,"적자",K28/('연간'!W58)),"")</f>
        <v/>
      </c>
      <c r="L49" s="47">
        <f>IFERROR(IF(('연간'!X58)&lt;=0,"적자",L28/('연간'!X58)),"")</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IFERROR((IF(COUNT('연간'!H58:K58)&lt;4,"",SUM('연간'!H58:K58)))/C31,"")</f>
        <v/>
      </c>
      <c r="D51" s="36">
        <f>IFERROR((IF(COUNT('연간'!I58:L58)&lt;4,"",SUM('연간'!I58:L58)))/D31,"")</f>
        <v/>
      </c>
      <c r="E51" s="36">
        <f>IFERROR((IF(COUNT('연간'!J58:M58)&lt;4,"",SUM('연간'!J58:M58)))/E31,"")</f>
        <v/>
      </c>
      <c r="F51" s="36">
        <f>IFERROR((IF(COUNT('연간'!K58:N58)&lt;4,"",SUM('연간'!K58:N58)))/F31,"")</f>
        <v/>
      </c>
      <c r="G51" s="36" t="n"/>
      <c r="H51" s="35">
        <f>IFERROR(('연간'!T58)/H31,"")</f>
        <v/>
      </c>
      <c r="I51" s="36">
        <f>IFERROR(('연간'!U58)/I31,"")</f>
        <v/>
      </c>
      <c r="J51" s="36">
        <f>IFERROR(('연간'!V58)/J31,"")</f>
        <v/>
      </c>
      <c r="K51" s="36">
        <f>IFERROR(('연간'!W58)/K31,"")</f>
        <v/>
      </c>
      <c r="L51" s="36">
        <f>IFERROR(('연간'!X58)/L31,"")</f>
        <v/>
      </c>
    </row>
    <row r="52">
      <c r="A52" s="45" t="inlineStr">
        <is>
          <t>ROA</t>
        </is>
      </c>
      <c r="B52" s="10" t="inlineStr">
        <is>
          <t>5%↑</t>
        </is>
      </c>
      <c r="C52" s="35">
        <f>IFERROR((IF(COUNT('연간'!H56:K56)&lt;4,"",SUM('연간'!H56:K56)))/C16,"")</f>
        <v/>
      </c>
      <c r="D52" s="36">
        <f>IFERROR((IF(COUNT('연간'!I56:L56)&lt;4,"",SUM('연간'!I56:L56)))/D16,"")</f>
        <v/>
      </c>
      <c r="E52" s="36">
        <f>IFERROR((IF(COUNT('연간'!J56:M56)&lt;4,"",SUM('연간'!J56:M56)))/E16,"")</f>
        <v/>
      </c>
      <c r="F52" s="36">
        <f>IFERROR((IF(COUNT('연간'!K56:N56)&lt;4,"",SUM('연간'!K56:N56)))/F16,"")</f>
        <v/>
      </c>
      <c r="G52" s="36" t="n"/>
      <c r="H52" s="35">
        <f>IFERROR(('연간'!T56)/H16,"")</f>
        <v/>
      </c>
      <c r="I52" s="36">
        <f>IFERROR(('연간'!U56)/I16,"")</f>
        <v/>
      </c>
      <c r="J52" s="36">
        <f>IFERROR(('연간'!V56)/J16,"")</f>
        <v/>
      </c>
      <c r="K52" s="36">
        <f>IFERROR(('연간'!W56)/K16,"")</f>
        <v/>
      </c>
      <c r="L52" s="36">
        <f>IFERROR(('연간'!X56)/L16,"")</f>
        <v/>
      </c>
    </row>
    <row r="53">
      <c r="A53" s="45" t="inlineStr">
        <is>
          <t>ROIC</t>
        </is>
      </c>
      <c r="B53" s="10" t="inlineStr">
        <is>
          <t>10%↑ (세후영업이익 기준)</t>
        </is>
      </c>
      <c r="C53" s="35">
        <f>IFERROR((IF(COUNT('연간'!H28:K28)&lt;4,"",SUM('연간'!H28:K28)))*(1-0.3)/(C35+C29),"")</f>
        <v/>
      </c>
      <c r="D53" s="36">
        <f>IFERROR((IF(COUNT('연간'!I28:L28)&lt;4,"",SUM('연간'!I28:L28)))*(1-0.3)/(D35+D29),"")</f>
        <v/>
      </c>
      <c r="E53" s="36">
        <f>IFERROR((IF(COUNT('연간'!J28:M28)&lt;4,"",SUM('연간'!J28:M28)))*(1-0.3)/(E35+E29),"")</f>
        <v/>
      </c>
      <c r="F53" s="36">
        <f>IFERROR((IF(COUNT('연간'!K28:N28)&lt;4,"",SUM('연간'!K28:N28)))*(1-0.3)/(F35+F29),"")</f>
        <v/>
      </c>
      <c r="G53" s="36" t="n"/>
      <c r="H53" s="35">
        <f>IFERROR(('연간'!T28)*(1-0.3)/(H35+H29),"")</f>
        <v/>
      </c>
      <c r="I53" s="36">
        <f>IFERROR(('연간'!U28)*(1-0.3)/(I35+I29),"")</f>
        <v/>
      </c>
      <c r="J53" s="36">
        <f>IFERROR(('연간'!V28)*(1-0.3)/(J35+J29),"")</f>
        <v/>
      </c>
      <c r="K53" s="36">
        <f>IFERROR(('연간'!W28)*(1-0.3)/(K35+K29),"")</f>
        <v/>
      </c>
      <c r="L53" s="36">
        <f>IFERROR(('연간'!X28)*(1-0.3)/(L35+L29),"")</f>
        <v/>
      </c>
    </row>
    <row r="54">
      <c r="A54" s="45" t="inlineStr">
        <is>
          <t>매출총이익률 (GPM)</t>
        </is>
      </c>
      <c r="B54" s="10" t="inlineStr">
        <is>
          <t>40%↑ (해자 신호)</t>
        </is>
      </c>
      <c r="C54" s="35">
        <f>IFERROR((IF(COUNT('연간'!H22:K22)&lt;4,"",SUM('연간'!H22:K22)))/(IF(COUNT('연간'!H4:K4)&lt;4,"",SUM('연간'!H4:K4))),"")</f>
        <v/>
      </c>
      <c r="D54" s="36">
        <f>IFERROR((IF(COUNT('연간'!I22:L22)&lt;4,"",SUM('연간'!I22:L22)))/(IF(COUNT('연간'!I4:L4)&lt;4,"",SUM('연간'!I4:L4))),"")</f>
        <v/>
      </c>
      <c r="E54" s="36">
        <f>IFERROR((IF(COUNT('연간'!J22:M22)&lt;4,"",SUM('연간'!J22:M22)))/(IF(COUNT('연간'!J4:M4)&lt;4,"",SUM('연간'!J4:M4))),"")</f>
        <v/>
      </c>
      <c r="F54" s="36">
        <f>IFERROR((IF(COUNT('연간'!K22:N22)&lt;4,"",SUM('연간'!K22:N22)))/(IF(COUNT('연간'!K4:N4)&lt;4,"",SUM('연간'!K4:N4))),"")</f>
        <v/>
      </c>
      <c r="G54" s="36" t="n"/>
      <c r="H54" s="35">
        <f>IFERROR(('연간'!T22)/('연간'!T4),"")</f>
        <v/>
      </c>
      <c r="I54" s="36">
        <f>IFERROR(('연간'!U22)/('연간'!U4),"")</f>
        <v/>
      </c>
      <c r="J54" s="36">
        <f>IFERROR(('연간'!V22)/('연간'!V4),"")</f>
        <v/>
      </c>
      <c r="K54" s="36">
        <f>IFERROR(('연간'!W22)/('연간'!W4),"")</f>
        <v/>
      </c>
      <c r="L54" s="36">
        <f>IFERROR(('연간'!X22)/('연간'!X4),"")</f>
        <v/>
      </c>
    </row>
    <row r="55">
      <c r="A55" s="45" t="inlineStr">
        <is>
          <t>영업이익률 (OPM)</t>
        </is>
      </c>
      <c r="B55" s="10" t="inlineStr">
        <is>
          <t>15%↑</t>
        </is>
      </c>
      <c r="C55" s="35">
        <f>IFERROR((IF(COUNT('연간'!H28:K28)&lt;4,"",SUM('연간'!H28:K28)))/(IF(COUNT('연간'!H4:K4)&lt;4,"",SUM('연간'!H4:K4))),"")</f>
        <v/>
      </c>
      <c r="D55" s="36">
        <f>IFERROR((IF(COUNT('연간'!I28:L28)&lt;4,"",SUM('연간'!I28:L28)))/(IF(COUNT('연간'!I4:L4)&lt;4,"",SUM('연간'!I4:L4))),"")</f>
        <v/>
      </c>
      <c r="E55" s="36">
        <f>IFERROR((IF(COUNT('연간'!J28:M28)&lt;4,"",SUM('연간'!J28:M28)))/(IF(COUNT('연간'!J4:M4)&lt;4,"",SUM('연간'!J4:M4))),"")</f>
        <v/>
      </c>
      <c r="F55" s="36">
        <f>IFERROR((IF(COUNT('연간'!K28:N28)&lt;4,"",SUM('연간'!K28:N28)))/(IF(COUNT('연간'!K4:N4)&lt;4,"",SUM('연간'!K4:N4))),"")</f>
        <v/>
      </c>
      <c r="G55" s="36" t="n"/>
      <c r="H55" s="35">
        <f>IFERROR(('연간'!T28)/('연간'!T4),"")</f>
        <v/>
      </c>
      <c r="I55" s="36">
        <f>IFERROR(('연간'!U28)/('연간'!U4),"")</f>
        <v/>
      </c>
      <c r="J55" s="36">
        <f>IFERROR(('연간'!V28)/('연간'!V4),"")</f>
        <v/>
      </c>
      <c r="K55" s="36">
        <f>IFERROR(('연간'!W28)/('연간'!W4),"")</f>
        <v/>
      </c>
      <c r="L55" s="36">
        <f>IFERROR(('연간'!X28)/('연간'!X4),"")</f>
        <v/>
      </c>
    </row>
    <row r="56">
      <c r="A56" s="45" t="inlineStr">
        <is>
          <t>순이익률</t>
        </is>
      </c>
      <c r="B56" s="10" t="inlineStr">
        <is>
          <t>10%↑</t>
        </is>
      </c>
      <c r="C56" s="35">
        <f>IFERROR((IF(COUNT('연간'!H56:K56)&lt;4,"",SUM('연간'!H56:K56)))/(IF(COUNT('연간'!H4:K4)&lt;4,"",SUM('연간'!H4:K4))),"")</f>
        <v/>
      </c>
      <c r="D56" s="36">
        <f>IFERROR((IF(COUNT('연간'!I56:L56)&lt;4,"",SUM('연간'!I56:L56)))/(IF(COUNT('연간'!I4:L4)&lt;4,"",SUM('연간'!I4:L4))),"")</f>
        <v/>
      </c>
      <c r="E56" s="36">
        <f>IFERROR((IF(COUNT('연간'!J56:M56)&lt;4,"",SUM('연간'!J56:M56)))/(IF(COUNT('연간'!J4:M4)&lt;4,"",SUM('연간'!J4:M4))),"")</f>
        <v/>
      </c>
      <c r="F56" s="36">
        <f>IFERROR((IF(COUNT('연간'!K56:N56)&lt;4,"",SUM('연간'!K56:N56)))/(IF(COUNT('연간'!K4:N4)&lt;4,"",SUM('연간'!K4:N4))),"")</f>
        <v/>
      </c>
      <c r="G56" s="36" t="n"/>
      <c r="H56" s="35">
        <f>IFERROR(('연간'!T56)/('연간'!T4),"")</f>
        <v/>
      </c>
      <c r="I56" s="36">
        <f>IFERROR(('연간'!U56)/('연간'!U4),"")</f>
        <v/>
      </c>
      <c r="J56" s="36">
        <f>IFERROR(('연간'!V56)/('연간'!V4),"")</f>
        <v/>
      </c>
      <c r="K56" s="36">
        <f>IFERROR(('연간'!W56)/('연간'!W4),"")</f>
        <v/>
      </c>
      <c r="L56" s="36">
        <f>IFERROR(('연간'!X56)/('연간'!X4),"")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IFERROR((IF(COUNT('연간'!H4:K4)&lt;4,"",SUM('연간'!H4:K4)))/C16,"")</f>
        <v/>
      </c>
      <c r="D58" s="31">
        <f>IFERROR((IF(COUNT('연간'!I4:L4)&lt;4,"",SUM('연간'!I4:L4)))/D16,"")</f>
        <v/>
      </c>
      <c r="E58" s="31">
        <f>IFERROR((IF(COUNT('연간'!J4:M4)&lt;4,"",SUM('연간'!J4:M4)))/E16,"")</f>
        <v/>
      </c>
      <c r="F58" s="31">
        <f>IFERROR((IF(COUNT('연간'!K4:N4)&lt;4,"",SUM('연간'!K4:N4)))/F16,"")</f>
        <v/>
      </c>
      <c r="G58" s="31" t="n"/>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IFERROR(C8/(IF(COUNT('연간'!H4:K4)&lt;4,"",SUM('연간'!H4:K4)))*365,"")</f>
        <v/>
      </c>
      <c r="D59" s="49">
        <f>IFERROR(D8/(IF(COUNT('연간'!I4:L4)&lt;4,"",SUM('연간'!I4:L4)))*365,"")</f>
        <v/>
      </c>
      <c r="E59" s="49">
        <f>IFERROR(E8/(IF(COUNT('연간'!J4:M4)&lt;4,"",SUM('연간'!J4:M4)))*365,"")</f>
        <v/>
      </c>
      <c r="F59" s="49">
        <f>IFERROR(F8/(IF(COUNT('연간'!K4:N4)&lt;4,"",SUM('연간'!K4:N4)))*365,"")</f>
        <v/>
      </c>
      <c r="G59" s="49" t="n"/>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IFERROR(C9/(IF(COUNT('연간'!H20:K20)&lt;4,"",SUM('연간'!H20:K20)))*365,"")</f>
        <v/>
      </c>
      <c r="D60" s="49">
        <f>IFERROR(D9/(IF(COUNT('연간'!I20:L20)&lt;4,"",SUM('연간'!I20:L20)))*365,"")</f>
        <v/>
      </c>
      <c r="E60" s="49">
        <f>IFERROR(E9/(IF(COUNT('연간'!J20:M20)&lt;4,"",SUM('연간'!J20:M20)))*365,"")</f>
        <v/>
      </c>
      <c r="F60" s="49">
        <f>IFERROR(F9/(IF(COUNT('연간'!K20:N20)&lt;4,"",SUM('연간'!K20:N20)))*365,"")</f>
        <v/>
      </c>
      <c r="G60" s="49" t="n"/>
      <c r="H60" s="48">
        <f>IFERROR(H9/('연간'!T20)*365,"")</f>
        <v/>
      </c>
      <c r="I60" s="49">
        <f>IFERROR(I9/('연간'!U20)*365,"")</f>
        <v/>
      </c>
      <c r="J60" s="49">
        <f>IFERROR(J9/('연간'!V20)*365,"")</f>
        <v/>
      </c>
      <c r="K60" s="49">
        <f>IFERROR(K9/('연간'!W20)*365,"")</f>
        <v/>
      </c>
      <c r="L60" s="49">
        <f>IFERROR(L9/('연간'!X20)*365,"")</f>
        <v/>
      </c>
    </row>
    <row r="61">
      <c r="A61" s="45" t="inlineStr">
        <is>
          <t>매입채무회전일수</t>
        </is>
      </c>
      <c r="B61" s="10" t="inlineStr">
        <is>
          <t>길수록 유리</t>
        </is>
      </c>
      <c r="C61" s="48">
        <f>IFERROR(C19/(IF(COUNT('연간'!H20:K20)&lt;4,"",SUM('연간'!H20:K20)))*365,"")</f>
        <v/>
      </c>
      <c r="D61" s="49">
        <f>IFERROR(D19/(IF(COUNT('연간'!I20:L20)&lt;4,"",SUM('연간'!I20:L20)))*365,"")</f>
        <v/>
      </c>
      <c r="E61" s="49">
        <f>IFERROR(E19/(IF(COUNT('연간'!J20:M20)&lt;4,"",SUM('연간'!J20:M20)))*365,"")</f>
        <v/>
      </c>
      <c r="F61" s="49">
        <f>IFERROR(F19/(IF(COUNT('연간'!K20:N20)&lt;4,"",SUM('연간'!K20:N20)))*365,"")</f>
        <v/>
      </c>
      <c r="G61" s="49" t="n"/>
      <c r="H61" s="48">
        <f>IFERROR(H19/('연간'!T20)*365,"")</f>
        <v/>
      </c>
      <c r="I61" s="49">
        <f>IFERROR(I19/('연간'!U20)*365,"")</f>
        <v/>
      </c>
      <c r="J61" s="49">
        <f>IFERROR(J19/('연간'!V20)*365,"")</f>
        <v/>
      </c>
      <c r="K61" s="49">
        <f>IFERROR(K19/('연간'!W20)*365,"")</f>
        <v/>
      </c>
      <c r="L61" s="49">
        <f>IFERROR(L19/('연간'!X20)*365,"")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IF(C37="","",IFERROR(C37/(IF(COUNT('연간'!H56:K56)&lt;4,"",SUM('연간'!H56:K56))),""))</f>
        <v/>
      </c>
      <c r="D64" s="31">
        <f>IF(D37="","",IFERROR(D37/(IF(COUNT('연간'!I56:L56)&lt;4,"",SUM('연간'!I56:L56))),""))</f>
        <v/>
      </c>
      <c r="E64" s="31">
        <f>IF(E37="","",IFERROR(E37/(IF(COUNT('연간'!J56:M56)&lt;4,"",SUM('연간'!J56:M56))),""))</f>
        <v/>
      </c>
      <c r="F64" s="31">
        <f>IF(F37="","",IFERROR(F37/(IF(COUNT('연간'!K56:N56)&lt;4,"",SUM('연간'!K56:N56))),""))</f>
        <v/>
      </c>
      <c r="G64" s="31" t="n"/>
      <c r="H64" s="30">
        <f>IF(H37="","",IFERROR(H37/('연간'!T56),""))</f>
        <v/>
      </c>
      <c r="I64" s="31">
        <f>IF(I37="","",IFERROR(I37/('연간'!U56),""))</f>
        <v/>
      </c>
      <c r="J64" s="31">
        <f>IF(J37="","",IFERROR(J37/('연간'!V56),""))</f>
        <v/>
      </c>
      <c r="K64" s="31">
        <f>IF(K37="","",IFERROR(K37/('연간'!W56),""))</f>
        <v/>
      </c>
      <c r="L64" s="31">
        <f>IF(L37="","",IFERROR(L37/('연간'!X56),""))</f>
        <v/>
      </c>
    </row>
    <row r="65">
      <c r="A65" s="45" t="inlineStr">
        <is>
          <t>FCF 마진</t>
        </is>
      </c>
      <c r="B65" s="10" t="inlineStr">
        <is>
          <t>5%↑</t>
        </is>
      </c>
      <c r="C65" s="35">
        <f>IF(C39="","",IFERROR(C39/(IF(COUNT('연간'!H4:K4)&lt;4,"",SUM('연간'!H4:K4))),""))</f>
        <v/>
      </c>
      <c r="D65" s="36">
        <f>IF(D39="","",IFERROR(D39/(IF(COUNT('연간'!I4:L4)&lt;4,"",SUM('연간'!I4:L4))),""))</f>
        <v/>
      </c>
      <c r="E65" s="36">
        <f>IF(E39="","",IFERROR(E39/(IF(COUNT('연간'!J4:M4)&lt;4,"",SUM('연간'!J4:M4))),""))</f>
        <v/>
      </c>
      <c r="F65" s="36">
        <f>IF(F39="","",IFERROR(F39/(IF(COUNT('연간'!K4:N4)&lt;4,"",SUM('연간'!K4:N4))),""))</f>
        <v/>
      </c>
      <c r="G65" s="36" t="n"/>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IF(C38="","",IFERROR(C38/(IF(COUNT('연간'!H4:K4)&lt;4,"",SUM('연간'!H4:K4))),""))</f>
        <v/>
      </c>
      <c r="D66" s="36">
        <f>IF(D38="","",IFERROR(D38/(IF(COUNT('연간'!I4:L4)&lt;4,"",SUM('연간'!I4:L4))),""))</f>
        <v/>
      </c>
      <c r="E66" s="36">
        <f>IF(E38="","",IFERROR(E38/(IF(COUNT('연간'!J4:M4)&lt;4,"",SUM('연간'!J4:M4))),""))</f>
        <v/>
      </c>
      <c r="F66" s="36">
        <f>IF(F38="","",IFERROR(F38/(IF(COUNT('연간'!K4:N4)&lt;4,"",SUM('연간'!K4:N4))),""))</f>
        <v/>
      </c>
      <c r="G66" s="36" t="n"/>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IF(C40="","",IFERROR(C40/(IF(COUNT('연간'!H58:K58)&lt;4,"",SUM('연간'!H58:K58))),""))</f>
        <v/>
      </c>
      <c r="D67" s="36">
        <f>IF(D40="","",IFERROR(D40/(IF(COUNT('연간'!I58:L58)&lt;4,"",SUM('연간'!I58:L58))),""))</f>
        <v/>
      </c>
      <c r="E67" s="36">
        <f>IF(E40="","",IFERROR(E40/(IF(COUNT('연간'!J58:M58)&lt;4,"",SUM('연간'!J58:M58))),""))</f>
        <v/>
      </c>
      <c r="F67" s="36">
        <f>IF(F40="","",IFERROR(F40/(IF(COUNT('연간'!K58:N58)&lt;4,"",SUM('연간'!K58:N58))),""))</f>
        <v/>
      </c>
      <c r="G67" s="36" t="n"/>
      <c r="H67" s="35">
        <f>IF(H40="","",IFERROR(H40/('연간'!T58),""))</f>
        <v/>
      </c>
      <c r="I67" s="36">
        <f>IF(I40="","",IFERROR(I40/('연간'!U58),""))</f>
        <v/>
      </c>
      <c r="J67" s="36">
        <f>IF(J40="","",IFERROR(J40/('연간'!V58),""))</f>
        <v/>
      </c>
      <c r="K67" s="36">
        <f>IF(K40="","",IFERROR(K40/('연간'!W58),""))</f>
        <v/>
      </c>
      <c r="L67" s="36">
        <f>IF(L40="","",IFERROR(L40/('연간'!X58),""))</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2026.1Q</t>
        </is>
      </c>
      <c r="D70" s="5" t="inlineStr">
        <is>
          <t>2026.2Q</t>
        </is>
      </c>
      <c r="E70" s="5" t="inlineStr">
        <is>
          <t>2026.3Q</t>
        </is>
      </c>
      <c r="F70" s="5" t="inlineStr">
        <is>
          <t>2026.4Q</t>
        </is>
      </c>
      <c r="G70" s="5" t="inlineStr">
        <is>
          <t>2027.1Q</t>
        </is>
      </c>
      <c r="H70" s="5" t="inlineStr">
        <is>
          <t>2022</t>
        </is>
      </c>
      <c r="I70" s="5" t="inlineStr">
        <is>
          <t>2023</t>
        </is>
      </c>
      <c r="J70" s="5" t="inlineStr">
        <is>
          <t>2024</t>
        </is>
      </c>
      <c r="K70" s="5" t="inlineStr">
        <is>
          <t>2025</t>
        </is>
      </c>
      <c r="L70" s="5" t="inlineStr">
        <is>
          <t>2026</t>
        </is>
      </c>
    </row>
    <row r="71">
      <c r="A71" s="18" t="inlineStr">
        <is>
          <t>현금및현금성자산</t>
        </is>
      </c>
      <c r="C71" s="20" t="n">
        <v>176277</v>
      </c>
      <c r="D71" s="20" t="n">
        <v>152852</v>
      </c>
      <c r="E71" s="20" t="n">
        <v>108663</v>
      </c>
      <c r="F71" s="20" t="n">
        <v>132620</v>
      </c>
      <c r="G71" s="20" t="n">
        <v>131784</v>
      </c>
      <c r="H71" s="20" t="n">
        <v>115610</v>
      </c>
      <c r="I71" s="20" t="n">
        <v>129257</v>
      </c>
      <c r="J71" s="20" t="n">
        <v>173935</v>
      </c>
      <c r="K71" s="20" t="n">
        <v>168597</v>
      </c>
      <c r="L71" s="20" t="n">
        <v>132620</v>
      </c>
    </row>
    <row r="72">
      <c r="A72" s="18" t="inlineStr">
        <is>
          <t>영업채권 및 기타채권</t>
        </is>
      </c>
      <c r="C72" s="20" t="n">
        <v>117324</v>
      </c>
      <c r="D72" s="20" t="n">
        <v>155666</v>
      </c>
      <c r="E72" s="20" t="n">
        <v>110112</v>
      </c>
      <c r="F72" s="20" t="n">
        <v>146189</v>
      </c>
      <c r="G72" s="20" t="n">
        <v>88879</v>
      </c>
      <c r="H72" s="20" t="n">
        <v>135678</v>
      </c>
      <c r="I72" s="20" t="n">
        <v>131592</v>
      </c>
      <c r="J72" s="20" t="n">
        <v>141870</v>
      </c>
      <c r="K72" s="20" t="n">
        <v>158295</v>
      </c>
      <c r="L72" s="20" t="n">
        <v>146189</v>
      </c>
    </row>
    <row r="73">
      <c r="A73" s="18" t="inlineStr">
        <is>
          <t>계약자산</t>
        </is>
      </c>
      <c r="C73" s="20" t="n">
        <v>71898</v>
      </c>
      <c r="D73" s="20" t="n">
        <v>81737</v>
      </c>
      <c r="E73" s="20" t="n">
        <v>97291</v>
      </c>
      <c r="F73" s="20" t="n">
        <v>65428</v>
      </c>
      <c r="G73" s="20" t="n">
        <v>74075</v>
      </c>
      <c r="H73" s="20" t="n">
        <v>50666</v>
      </c>
      <c r="I73" s="20" t="n">
        <v>55980</v>
      </c>
      <c r="J73" s="20" t="n">
        <v>56066</v>
      </c>
      <c r="K73" s="20" t="n">
        <v>58437</v>
      </c>
      <c r="L73" s="20" t="n">
        <v>65428</v>
      </c>
    </row>
    <row r="74">
      <c r="A74" s="18" t="inlineStr">
        <is>
          <t>Assets Related To Securities Transaction CA</t>
        </is>
      </c>
      <c r="F74" s="20" t="n">
        <v>68200</v>
      </c>
      <c r="G74" s="20" t="n">
        <v>103424</v>
      </c>
      <c r="L74" s="20" t="n">
        <v>68200</v>
      </c>
    </row>
    <row r="75">
      <c r="A75" s="18" t="inlineStr">
        <is>
          <t>기타금융자산</t>
        </is>
      </c>
      <c r="C75" s="20" t="n">
        <v>20058</v>
      </c>
      <c r="D75" s="20" t="n">
        <v>44412</v>
      </c>
      <c r="E75" s="20" t="n">
        <v>57966</v>
      </c>
      <c r="F75" s="20" t="n">
        <v>61975</v>
      </c>
      <c r="G75" s="20" t="n">
        <v>14964</v>
      </c>
      <c r="H75" s="20" t="n">
        <v>14015</v>
      </c>
      <c r="I75" s="20" t="n">
        <v>14201</v>
      </c>
      <c r="J75" s="20" t="n">
        <v>13982</v>
      </c>
      <c r="K75" s="20" t="n">
        <v>15622</v>
      </c>
      <c r="L75" s="20" t="n">
        <v>61975</v>
      </c>
    </row>
    <row r="76">
      <c r="A76" s="18" t="inlineStr">
        <is>
          <t>기타유동자산</t>
        </is>
      </c>
      <c r="C76" s="20" t="n">
        <v>28054</v>
      </c>
      <c r="D76" s="20" t="n">
        <v>31797</v>
      </c>
      <c r="E76" s="20" t="n">
        <v>27165</v>
      </c>
      <c r="F76" s="20" t="n">
        <v>26646</v>
      </c>
      <c r="G76" s="20" t="n">
        <v>31808</v>
      </c>
      <c r="H76" s="20" t="n">
        <v>13246</v>
      </c>
      <c r="I76" s="20" t="n">
        <v>18070</v>
      </c>
      <c r="J76" s="20" t="n">
        <v>19323</v>
      </c>
      <c r="K76" s="20" t="n">
        <v>18471</v>
      </c>
      <c r="L76" s="20" t="n">
        <v>26646</v>
      </c>
    </row>
    <row r="77">
      <c r="A77" s="9" t="inlineStr">
        <is>
          <t>소계</t>
        </is>
      </c>
      <c r="H77" s="12" t="n">
        <v>329217</v>
      </c>
      <c r="I77" s="12" t="n">
        <v>349102</v>
      </c>
    </row>
    <row r="78">
      <c r="A78" s="18" t="inlineStr">
        <is>
          <t>매각예정 자산</t>
        </is>
      </c>
      <c r="H78" s="20" t="n">
        <v>4428</v>
      </c>
      <c r="I78" s="20" t="n">
        <v>0</v>
      </c>
    </row>
    <row r="79">
      <c r="A79" s="9" t="inlineStr">
        <is>
          <t>유동자산 합계</t>
        </is>
      </c>
      <c r="C79" s="12" t="n">
        <v>413613</v>
      </c>
      <c r="D79" s="12" t="n">
        <v>466465</v>
      </c>
      <c r="E79" s="12" t="n">
        <v>401200</v>
      </c>
      <c r="F79" s="12" t="n">
        <v>501060</v>
      </c>
      <c r="G79" s="12" t="n">
        <v>444936</v>
      </c>
      <c r="H79" s="12" t="n">
        <v>333645</v>
      </c>
      <c r="I79" s="12" t="n">
        <v>349102</v>
      </c>
      <c r="J79" s="12" t="n">
        <v>405178</v>
      </c>
      <c r="K79" s="12" t="n">
        <v>419424</v>
      </c>
      <c r="L79" s="12" t="n">
        <v>501060</v>
      </c>
    </row>
    <row r="80">
      <c r="A80" s="18" t="inlineStr">
        <is>
          <t>유형자산</t>
        </is>
      </c>
      <c r="C80" s="20" t="n">
        <v>37244</v>
      </c>
      <c r="D80" s="20" t="n">
        <v>36900</v>
      </c>
      <c r="E80" s="20" t="n">
        <v>38341</v>
      </c>
      <c r="F80" s="20" t="n">
        <v>46748</v>
      </c>
      <c r="G80" s="20" t="n">
        <v>45807</v>
      </c>
      <c r="H80" s="20" t="n">
        <v>37482</v>
      </c>
      <c r="I80" s="20" t="n">
        <v>42114</v>
      </c>
      <c r="J80" s="20" t="n">
        <v>40245</v>
      </c>
      <c r="K80" s="20" t="n">
        <v>38032</v>
      </c>
      <c r="L80" s="20" t="n">
        <v>46748</v>
      </c>
    </row>
    <row r="81">
      <c r="A81" s="18" t="inlineStr">
        <is>
          <t>사용권자산</t>
        </is>
      </c>
      <c r="C81" s="20" t="n">
        <v>20687</v>
      </c>
      <c r="D81" s="20" t="n">
        <v>31249</v>
      </c>
      <c r="E81" s="20" t="n">
        <v>30903</v>
      </c>
      <c r="F81" s="20" t="n">
        <v>28042</v>
      </c>
      <c r="G81" s="20" t="n">
        <v>27078</v>
      </c>
      <c r="H81" s="20" t="n">
        <v>38969</v>
      </c>
      <c r="I81" s="20" t="n">
        <v>31877</v>
      </c>
      <c r="J81" s="20" t="n">
        <v>28851</v>
      </c>
      <c r="K81" s="20" t="n">
        <v>22630</v>
      </c>
      <c r="L81" s="20" t="n">
        <v>28042</v>
      </c>
    </row>
    <row r="82">
      <c r="A82" s="18" t="inlineStr">
        <is>
          <t>영업권 및 무형자산</t>
        </is>
      </c>
      <c r="C82" s="20" t="n">
        <v>276137</v>
      </c>
      <c r="D82" s="20" t="n">
        <v>284103</v>
      </c>
      <c r="E82" s="20" t="n">
        <v>294246</v>
      </c>
      <c r="F82" s="20" t="n">
        <v>201988</v>
      </c>
      <c r="G82" s="20" t="n">
        <v>202545</v>
      </c>
      <c r="H82" s="20" t="n">
        <v>210744</v>
      </c>
      <c r="I82" s="20" t="n">
        <v>237283</v>
      </c>
      <c r="J82" s="20" t="n">
        <v>265334</v>
      </c>
      <c r="K82" s="20" t="n">
        <v>268232</v>
      </c>
      <c r="L82" s="20" t="n">
        <v>201988</v>
      </c>
    </row>
    <row r="83">
      <c r="A83" s="18" t="inlineStr">
        <is>
          <t>지분법 투자</t>
        </is>
      </c>
      <c r="C83" s="20" t="n">
        <v>10286</v>
      </c>
      <c r="D83" s="20" t="n">
        <v>10409</v>
      </c>
      <c r="E83" s="20" t="n">
        <v>11026</v>
      </c>
      <c r="F83" s="20" t="n">
        <v>11352</v>
      </c>
      <c r="G83" s="20" t="n">
        <v>11018</v>
      </c>
      <c r="H83" s="20" t="n">
        <v>6427</v>
      </c>
      <c r="I83" s="20" t="n">
        <v>9527</v>
      </c>
      <c r="J83" s="20" t="n">
        <v>9796</v>
      </c>
      <c r="K83" s="20" t="n">
        <v>10689</v>
      </c>
      <c r="L83" s="20" t="n">
        <v>11352</v>
      </c>
    </row>
    <row r="84">
      <c r="A84" s="18" t="inlineStr">
        <is>
          <t>퇴직급여자산</t>
        </is>
      </c>
      <c r="C84" s="20" t="n">
        <v>80491</v>
      </c>
      <c r="D84" s="20" t="n">
        <v>81583</v>
      </c>
      <c r="E84" s="20" t="n">
        <v>82620</v>
      </c>
      <c r="F84" s="20" t="n">
        <v>81902</v>
      </c>
      <c r="G84" s="20" t="n">
        <v>83381</v>
      </c>
      <c r="H84" s="20" t="n">
        <v>85383</v>
      </c>
      <c r="I84" s="20" t="n">
        <v>89710</v>
      </c>
      <c r="J84" s="20" t="n">
        <v>82553</v>
      </c>
      <c r="K84" s="20" t="n">
        <v>79405</v>
      </c>
      <c r="L84" s="20" t="n">
        <v>81902</v>
      </c>
    </row>
    <row r="85">
      <c r="A85" s="18" t="inlineStr">
        <is>
          <t>기타금융자산</t>
        </is>
      </c>
      <c r="C85" s="20" t="n">
        <v>78671</v>
      </c>
      <c r="D85" s="20" t="n">
        <v>74697</v>
      </c>
      <c r="E85" s="20" t="n">
        <v>81590</v>
      </c>
      <c r="F85" s="20" t="n">
        <v>78897</v>
      </c>
      <c r="G85" s="20" t="n">
        <v>77388</v>
      </c>
      <c r="H85" s="20" t="n">
        <v>69219</v>
      </c>
      <c r="I85" s="20" t="n">
        <v>70838</v>
      </c>
      <c r="J85" s="20" t="n">
        <v>80792</v>
      </c>
      <c r="K85" s="20" t="n">
        <v>80969</v>
      </c>
      <c r="L85" s="20" t="n">
        <v>78897</v>
      </c>
    </row>
    <row r="86">
      <c r="A86" s="18" t="inlineStr">
        <is>
          <t>이연법인세자산</t>
        </is>
      </c>
      <c r="C86" s="20" t="n">
        <v>5513</v>
      </c>
      <c r="D86" s="20" t="n">
        <v>5562</v>
      </c>
      <c r="E86" s="20" t="n">
        <v>5572</v>
      </c>
      <c r="F86" s="20" t="n">
        <v>8411</v>
      </c>
      <c r="G86" s="20" t="n">
        <v>8403</v>
      </c>
      <c r="H86" s="20" t="n">
        <v>5426</v>
      </c>
      <c r="I86" s="20" t="n">
        <v>5671</v>
      </c>
      <c r="J86" s="20" t="n">
        <v>6102</v>
      </c>
      <c r="K86" s="20" t="n">
        <v>5541</v>
      </c>
      <c r="L86" s="20" t="n">
        <v>8411</v>
      </c>
    </row>
    <row r="87">
      <c r="A87" s="18" t="inlineStr">
        <is>
          <t>기타비유동자산</t>
        </is>
      </c>
      <c r="C87" s="20" t="n">
        <v>3556</v>
      </c>
      <c r="D87" s="20" t="n">
        <v>3542</v>
      </c>
      <c r="E87" s="20" t="n">
        <v>3038</v>
      </c>
      <c r="F87" s="20" t="n">
        <v>1389</v>
      </c>
      <c r="G87" s="20" t="n">
        <v>5831</v>
      </c>
      <c r="H87" s="20" t="n">
        <v>2356</v>
      </c>
      <c r="I87" s="20" t="n">
        <v>2098</v>
      </c>
      <c r="J87" s="20" t="n">
        <v>3919</v>
      </c>
      <c r="K87" s="20" t="n">
        <v>3577</v>
      </c>
      <c r="L87" s="20" t="n">
        <v>1389</v>
      </c>
    </row>
    <row r="88">
      <c r="A88" s="18" t="inlineStr">
        <is>
          <t>비유동자산 합계</t>
        </is>
      </c>
      <c r="C88" s="20" t="n">
        <v>512587</v>
      </c>
      <c r="D88" s="20" t="n">
        <v>528048</v>
      </c>
      <c r="E88" s="20" t="n">
        <v>547339</v>
      </c>
      <c r="F88" s="20" t="n">
        <v>458733</v>
      </c>
      <c r="G88" s="20" t="n">
        <v>461453</v>
      </c>
      <c r="H88" s="20" t="n">
        <v>456010</v>
      </c>
      <c r="I88" s="20" t="n">
        <v>489122</v>
      </c>
      <c r="J88" s="20" t="n">
        <v>517595</v>
      </c>
      <c r="K88" s="20" t="n">
        <v>509077</v>
      </c>
      <c r="L88" s="20" t="n">
        <v>458733</v>
      </c>
    </row>
    <row r="89">
      <c r="A89" s="18" t="inlineStr">
        <is>
          <t>자산 합계</t>
        </is>
      </c>
      <c r="C89" s="20" t="n">
        <v>926201</v>
      </c>
      <c r="D89" s="20" t="n">
        <v>994514</v>
      </c>
      <c r="E89" s="20" t="n">
        <v>948539</v>
      </c>
      <c r="F89" s="20" t="n">
        <v>959794</v>
      </c>
      <c r="G89" s="20" t="n">
        <v>906390</v>
      </c>
      <c r="H89" s="20" t="n">
        <v>789655</v>
      </c>
      <c r="I89" s="20" t="n">
        <v>838224</v>
      </c>
      <c r="J89" s="20" t="n">
        <v>922773</v>
      </c>
      <c r="K89" s="20" t="n">
        <v>928501</v>
      </c>
      <c r="L89" s="20" t="n">
        <v>959794</v>
      </c>
    </row>
    <row r="90">
      <c r="A90" s="18" t="inlineStr">
        <is>
          <t>영업채무 및 기타채무</t>
        </is>
      </c>
      <c r="C90" s="20" t="n">
        <v>63800</v>
      </c>
      <c r="D90" s="20" t="n">
        <v>79896</v>
      </c>
      <c r="E90" s="20" t="n">
        <v>53776</v>
      </c>
      <c r="F90" s="20" t="n">
        <v>36911</v>
      </c>
      <c r="G90" s="20" t="n">
        <v>30939</v>
      </c>
      <c r="H90" s="20" t="n">
        <v>53800</v>
      </c>
      <c r="I90" s="20" t="n">
        <v>52129</v>
      </c>
      <c r="J90" s="20" t="n">
        <v>53038</v>
      </c>
      <c r="K90" s="20" t="n">
        <v>58146</v>
      </c>
      <c r="L90" s="20" t="n">
        <v>36911</v>
      </c>
    </row>
    <row r="91">
      <c r="A91" s="18" t="inlineStr">
        <is>
          <t>계약부채</t>
        </is>
      </c>
      <c r="C91" s="20" t="n">
        <v>23253</v>
      </c>
      <c r="D91" s="20" t="n">
        <v>27971</v>
      </c>
      <c r="E91" s="20" t="n">
        <v>22973</v>
      </c>
      <c r="F91" s="20" t="n">
        <v>25691</v>
      </c>
      <c r="G91" s="20" t="n">
        <v>25064</v>
      </c>
      <c r="H91" s="20" t="n">
        <v>17083</v>
      </c>
      <c r="I91" s="20" t="n">
        <v>17122</v>
      </c>
      <c r="J91" s="20" t="n">
        <v>18885</v>
      </c>
      <c r="K91" s="20" t="n">
        <v>22001</v>
      </c>
      <c r="L91" s="20" t="n">
        <v>25691</v>
      </c>
    </row>
    <row r="92">
      <c r="A92" s="18" t="inlineStr">
        <is>
          <t>사채 및 차입금</t>
        </is>
      </c>
      <c r="C92" s="20" t="n">
        <v>34006</v>
      </c>
      <c r="D92" s="20" t="n">
        <v>41974</v>
      </c>
      <c r="E92" s="20" t="n">
        <v>11811</v>
      </c>
      <c r="F92" s="20" t="n">
        <v>12147</v>
      </c>
      <c r="G92" s="20" t="n">
        <v>11576</v>
      </c>
      <c r="H92" s="20" t="n">
        <v>116941</v>
      </c>
      <c r="I92" s="20" t="n">
        <v>20235</v>
      </c>
      <c r="J92" s="20" t="n">
        <v>13215</v>
      </c>
      <c r="K92" s="20" t="n">
        <v>37289</v>
      </c>
      <c r="L92" s="20" t="n">
        <v>12147</v>
      </c>
    </row>
    <row r="93">
      <c r="A93" s="18" t="inlineStr">
        <is>
          <t>리스부채</t>
        </is>
      </c>
      <c r="C93" s="20" t="n">
        <v>10678</v>
      </c>
      <c r="D93" s="20" t="n">
        <v>10638</v>
      </c>
      <c r="E93" s="20" t="n">
        <v>10791</v>
      </c>
      <c r="F93" s="20" t="n">
        <v>10867</v>
      </c>
      <c r="G93" s="20" t="n">
        <v>10090</v>
      </c>
      <c r="H93" s="20" t="n">
        <v>12250</v>
      </c>
      <c r="I93" s="20" t="n">
        <v>9364</v>
      </c>
      <c r="J93" s="20" t="n">
        <v>11023</v>
      </c>
      <c r="K93" s="20" t="n">
        <v>11020</v>
      </c>
      <c r="L93" s="20" t="n">
        <v>10867</v>
      </c>
    </row>
    <row r="94">
      <c r="A94" s="18" t="inlineStr">
        <is>
          <t>Liabilities Related To Securities Transaction CL</t>
        </is>
      </c>
      <c r="F94" s="20" t="n">
        <v>66200</v>
      </c>
      <c r="G94" s="20" t="n">
        <v>100759</v>
      </c>
      <c r="L94" s="20" t="n">
        <v>66200</v>
      </c>
    </row>
    <row r="95">
      <c r="A95" s="18" t="inlineStr">
        <is>
          <t>기타금융부채</t>
        </is>
      </c>
      <c r="C95" s="20" t="n">
        <v>40777</v>
      </c>
      <c r="D95" s="20" t="n">
        <v>30004</v>
      </c>
      <c r="E95" s="20" t="n">
        <v>36376</v>
      </c>
      <c r="F95" s="20" t="n">
        <v>33881</v>
      </c>
      <c r="G95" s="20" t="n">
        <v>40921</v>
      </c>
      <c r="H95" s="20" t="n">
        <v>27675</v>
      </c>
      <c r="I95" s="20" t="n">
        <v>31294</v>
      </c>
      <c r="J95" s="20" t="n">
        <v>33530</v>
      </c>
      <c r="K95" s="20" t="n">
        <v>31900</v>
      </c>
      <c r="L95" s="20" t="n">
        <v>33881</v>
      </c>
    </row>
    <row r="96">
      <c r="A96" s="18" t="inlineStr">
        <is>
          <t>미지급법인세</t>
        </is>
      </c>
      <c r="C96" s="20" t="n">
        <v>7910</v>
      </c>
      <c r="D96" s="20" t="n">
        <v>24973</v>
      </c>
      <c r="E96" s="20" t="n">
        <v>11469</v>
      </c>
      <c r="F96" s="20" t="n">
        <v>26428</v>
      </c>
      <c r="G96" s="20" t="n">
        <v>9161</v>
      </c>
      <c r="H96" s="20" t="n">
        <v>20648</v>
      </c>
      <c r="I96" s="20" t="n">
        <v>13093</v>
      </c>
      <c r="J96" s="20" t="n">
        <v>23874</v>
      </c>
      <c r="K96" s="20" t="n">
        <v>23363</v>
      </c>
      <c r="L96" s="20" t="n">
        <v>26428</v>
      </c>
    </row>
    <row r="97">
      <c r="A97" s="18" t="inlineStr">
        <is>
          <t>충당금</t>
        </is>
      </c>
      <c r="C97" s="20" t="n">
        <v>459</v>
      </c>
      <c r="D97" s="20" t="n">
        <v>827</v>
      </c>
      <c r="E97" s="20" t="n">
        <v>667</v>
      </c>
      <c r="F97" s="20" t="n">
        <v>661</v>
      </c>
      <c r="G97" s="20" t="n">
        <v>717</v>
      </c>
      <c r="H97" s="20" t="n">
        <v>2646</v>
      </c>
      <c r="I97" s="20" t="n">
        <v>1027</v>
      </c>
      <c r="J97" s="20" t="n">
        <v>526</v>
      </c>
      <c r="K97" s="20" t="n">
        <v>585</v>
      </c>
      <c r="L97" s="20" t="n">
        <v>661</v>
      </c>
    </row>
    <row r="98">
      <c r="A98" s="18" t="inlineStr">
        <is>
          <t>기타유동부채</t>
        </is>
      </c>
      <c r="C98" s="20" t="n">
        <v>43763</v>
      </c>
      <c r="D98" s="20" t="n">
        <v>54378</v>
      </c>
      <c r="E98" s="20" t="n">
        <v>44879</v>
      </c>
      <c r="F98" s="20" t="n">
        <v>60231</v>
      </c>
      <c r="G98" s="20" t="n">
        <v>45769</v>
      </c>
      <c r="H98" s="20" t="n">
        <v>47294</v>
      </c>
      <c r="I98" s="20" t="n">
        <v>53979</v>
      </c>
      <c r="J98" s="20" t="n">
        <v>60546</v>
      </c>
      <c r="K98" s="20" t="n">
        <v>55173</v>
      </c>
      <c r="L98" s="20" t="n">
        <v>60231</v>
      </c>
    </row>
    <row r="99">
      <c r="A99" s="18" t="inlineStr">
        <is>
          <t>유동부채 합계</t>
        </is>
      </c>
      <c r="C99" s="20" t="n">
        <v>224650</v>
      </c>
      <c r="D99" s="20" t="n">
        <v>270664</v>
      </c>
      <c r="E99" s="20" t="n">
        <v>192746</v>
      </c>
      <c r="F99" s="20" t="n">
        <v>273021</v>
      </c>
      <c r="G99" s="20" t="n">
        <v>275000</v>
      </c>
      <c r="H99" s="20" t="n">
        <v>298342</v>
      </c>
      <c r="I99" s="20" t="n">
        <v>198247</v>
      </c>
      <c r="J99" s="20" t="n">
        <v>214642</v>
      </c>
      <c r="K99" s="20" t="n">
        <v>239482</v>
      </c>
      <c r="L99" s="20" t="n">
        <v>273021</v>
      </c>
    </row>
    <row r="100">
      <c r="A100" s="18" t="inlineStr">
        <is>
          <t>사채 및 차입금</t>
        </is>
      </c>
      <c r="C100" s="20" t="n">
        <v>208418</v>
      </c>
      <c r="D100" s="20" t="n">
        <v>190089</v>
      </c>
      <c r="E100" s="20" t="n">
        <v>191378</v>
      </c>
      <c r="F100" s="20" t="n">
        <v>192245</v>
      </c>
      <c r="G100" s="20" t="n">
        <v>192471</v>
      </c>
      <c r="H100" s="20" t="n">
        <v>91275</v>
      </c>
      <c r="I100" s="20" t="n">
        <v>182725</v>
      </c>
      <c r="J100" s="20" t="n">
        <v>253864</v>
      </c>
      <c r="K100" s="20" t="n">
        <v>208654</v>
      </c>
      <c r="L100" s="20" t="n">
        <v>192245</v>
      </c>
    </row>
    <row r="101">
      <c r="A101" s="18" t="inlineStr">
        <is>
          <t>리스부채</t>
        </is>
      </c>
      <c r="C101" s="20" t="n">
        <v>12094</v>
      </c>
      <c r="D101" s="20" t="n">
        <v>22601</v>
      </c>
      <c r="E101" s="20" t="n">
        <v>22183</v>
      </c>
      <c r="F101" s="20" t="n">
        <v>20869</v>
      </c>
      <c r="G101" s="20" t="n">
        <v>20454</v>
      </c>
      <c r="H101" s="20" t="n">
        <v>29952</v>
      </c>
      <c r="I101" s="20" t="n">
        <v>25420</v>
      </c>
      <c r="J101" s="20" t="n">
        <v>20436</v>
      </c>
      <c r="K101" s="20" t="n">
        <v>14060</v>
      </c>
      <c r="L101" s="20" t="n">
        <v>20869</v>
      </c>
    </row>
    <row r="102">
      <c r="A102" s="18" t="inlineStr">
        <is>
          <t>기타금융부채</t>
        </is>
      </c>
      <c r="C102" s="20" t="n">
        <v>1757</v>
      </c>
      <c r="D102" s="20" t="n">
        <v>983</v>
      </c>
      <c r="E102" s="20" t="n">
        <v>1347</v>
      </c>
      <c r="F102" s="20" t="n">
        <v>1513</v>
      </c>
      <c r="G102" s="20" t="n">
        <v>1487</v>
      </c>
      <c r="H102" s="20" t="n">
        <v>3313</v>
      </c>
      <c r="I102" s="20" t="n">
        <v>1615</v>
      </c>
      <c r="J102" s="20" t="n">
        <v>1253</v>
      </c>
      <c r="K102" s="20" t="n">
        <v>1303</v>
      </c>
      <c r="L102" s="20" t="n">
        <v>1513</v>
      </c>
    </row>
    <row r="103">
      <c r="A103" s="18" t="inlineStr">
        <is>
          <t>퇴직급여부채</t>
        </is>
      </c>
      <c r="C103" s="20" t="n">
        <v>5378</v>
      </c>
      <c r="D103" s="20" t="n">
        <v>5622</v>
      </c>
      <c r="E103" s="20" t="n">
        <v>5877</v>
      </c>
      <c r="F103" s="20" t="n">
        <v>4114</v>
      </c>
      <c r="G103" s="20" t="n">
        <v>4313</v>
      </c>
      <c r="H103" s="20" t="n">
        <v>7561</v>
      </c>
      <c r="I103" s="20" t="n">
        <v>7086</v>
      </c>
      <c r="J103" s="20" t="n">
        <v>6146</v>
      </c>
      <c r="K103" s="20" t="n">
        <v>5194</v>
      </c>
      <c r="L103" s="20" t="n">
        <v>4114</v>
      </c>
    </row>
    <row r="104">
      <c r="A104" s="18" t="inlineStr">
        <is>
          <t>충당금</t>
        </is>
      </c>
      <c r="C104" s="20" t="n">
        <v>4431</v>
      </c>
      <c r="D104" s="20" t="n">
        <v>3960</v>
      </c>
      <c r="E104" s="20" t="n">
        <v>4241</v>
      </c>
      <c r="F104" s="20" t="n">
        <v>11950</v>
      </c>
      <c r="G104" s="20" t="n">
        <v>12159</v>
      </c>
      <c r="H104" s="20" t="n">
        <v>3576</v>
      </c>
      <c r="I104" s="20" t="n">
        <v>4932</v>
      </c>
      <c r="J104" s="20" t="n">
        <v>4492</v>
      </c>
      <c r="K104" s="20" t="n">
        <v>4373</v>
      </c>
      <c r="L104" s="20" t="n">
        <v>11950</v>
      </c>
    </row>
    <row r="105">
      <c r="A105" s="18" t="inlineStr">
        <is>
          <t>이연법인세부채</t>
        </is>
      </c>
      <c r="C105" s="20" t="n">
        <v>20201</v>
      </c>
      <c r="D105" s="20" t="n">
        <v>17422</v>
      </c>
      <c r="E105" s="20" t="n">
        <v>23291</v>
      </c>
      <c r="F105" s="20" t="n">
        <v>16203</v>
      </c>
      <c r="G105" s="20" t="n">
        <v>21455</v>
      </c>
      <c r="H105" s="20" t="n">
        <v>10222</v>
      </c>
      <c r="I105" s="20" t="n">
        <v>14050</v>
      </c>
      <c r="J105" s="20" t="n">
        <v>15750</v>
      </c>
      <c r="K105" s="20" t="n">
        <v>15384</v>
      </c>
      <c r="L105" s="20" t="n">
        <v>16203</v>
      </c>
    </row>
    <row r="106">
      <c r="A106" s="18" t="inlineStr">
        <is>
          <t>기타비유동부채</t>
        </is>
      </c>
      <c r="C106" s="20" t="n">
        <v>2041</v>
      </c>
      <c r="D106" s="20" t="n">
        <v>2030</v>
      </c>
      <c r="E106" s="20" t="n">
        <v>1906</v>
      </c>
      <c r="F106" s="20" t="n">
        <v>1872</v>
      </c>
      <c r="G106" s="20" t="n">
        <v>1847</v>
      </c>
      <c r="H106" s="20" t="n">
        <v>2925</v>
      </c>
      <c r="I106" s="20" t="n">
        <v>1739</v>
      </c>
      <c r="J106" s="20" t="n">
        <v>3165</v>
      </c>
      <c r="K106" s="20" t="n">
        <v>2088</v>
      </c>
      <c r="L106" s="20" t="n">
        <v>1872</v>
      </c>
    </row>
    <row r="107">
      <c r="A107" s="18" t="inlineStr">
        <is>
          <t>비유동부채 합계</t>
        </is>
      </c>
      <c r="C107" s="20" t="n">
        <v>254324</v>
      </c>
      <c r="D107" s="20" t="n">
        <v>242710</v>
      </c>
      <c r="E107" s="20" t="n">
        <v>250227</v>
      </c>
      <c r="F107" s="20" t="n">
        <v>248770</v>
      </c>
      <c r="G107" s="20" t="n">
        <v>254189</v>
      </c>
      <c r="H107" s="20" t="n">
        <v>148826</v>
      </c>
      <c r="I107" s="20" t="n">
        <v>237570</v>
      </c>
      <c r="J107" s="20" t="n">
        <v>305109</v>
      </c>
      <c r="K107" s="20" t="n">
        <v>251059</v>
      </c>
      <c r="L107" s="20" t="n">
        <v>248770</v>
      </c>
    </row>
    <row r="108">
      <c r="A108" s="18" t="inlineStr">
        <is>
          <t>부채 합계</t>
        </is>
      </c>
      <c r="C108" s="20" t="n">
        <v>478974</v>
      </c>
      <c r="D108" s="20" t="n">
        <v>513374</v>
      </c>
      <c r="E108" s="20" t="n">
        <v>442974</v>
      </c>
      <c r="F108" s="20" t="n">
        <v>521791</v>
      </c>
      <c r="G108" s="20" t="n">
        <v>529189</v>
      </c>
      <c r="H108" s="20" t="n">
        <v>447168</v>
      </c>
      <c r="I108" s="20" t="n">
        <v>435817</v>
      </c>
      <c r="J108" s="20" t="n">
        <v>519752</v>
      </c>
      <c r="K108" s="20" t="n">
        <v>490542</v>
      </c>
      <c r="L108" s="20" t="n">
        <v>521791</v>
      </c>
    </row>
    <row r="109">
      <c r="A109" s="18" t="inlineStr">
        <is>
          <t>자본금</t>
        </is>
      </c>
      <c r="C109" s="20" t="n">
        <v>25655</v>
      </c>
      <c r="D109" s="20" t="n">
        <v>25655</v>
      </c>
      <c r="E109" s="20" t="n">
        <v>25655</v>
      </c>
      <c r="F109" s="20" t="n">
        <v>25655</v>
      </c>
      <c r="G109" s="20" t="n">
        <v>25655</v>
      </c>
      <c r="H109" s="20" t="n">
        <v>22414</v>
      </c>
      <c r="I109" s="20" t="n">
        <v>23644</v>
      </c>
      <c r="J109" s="20" t="n">
        <v>24701</v>
      </c>
      <c r="K109" s="20" t="n">
        <v>25655</v>
      </c>
      <c r="L109" s="20" t="n">
        <v>25655</v>
      </c>
    </row>
    <row r="110">
      <c r="A110" s="18" t="inlineStr">
        <is>
          <t>자본잉여금</t>
        </is>
      </c>
      <c r="C110" s="20" t="n">
        <v>35699</v>
      </c>
      <c r="D110" s="20" t="n">
        <v>35071</v>
      </c>
      <c r="E110" s="20" t="n">
        <v>36365</v>
      </c>
      <c r="F110" s="20" t="n">
        <v>33178</v>
      </c>
      <c r="G110" s="20" t="n">
        <v>32070</v>
      </c>
      <c r="H110" s="20" t="n">
        <v>28277</v>
      </c>
      <c r="I110" s="20" t="n">
        <v>29447</v>
      </c>
      <c r="J110" s="20" t="n">
        <v>31395</v>
      </c>
      <c r="K110" s="20" t="n">
        <v>34274</v>
      </c>
      <c r="L110" s="20" t="n">
        <v>33178</v>
      </c>
    </row>
    <row r="111">
      <c r="A111" s="18" t="inlineStr">
        <is>
          <t>이익잉여금</t>
        </is>
      </c>
      <c r="C111" s="20" t="n">
        <v>385184</v>
      </c>
      <c r="D111" s="20" t="n">
        <v>412742</v>
      </c>
      <c r="E111" s="20" t="n">
        <v>422302</v>
      </c>
      <c r="F111" s="20" t="n">
        <v>354056</v>
      </c>
      <c r="G111" s="20" t="n">
        <v>265808</v>
      </c>
      <c r="H111" s="20" t="n">
        <v>328830</v>
      </c>
      <c r="I111" s="20" t="n">
        <v>321676</v>
      </c>
      <c r="J111" s="20" t="n">
        <v>320320</v>
      </c>
      <c r="K111" s="20" t="n">
        <v>378659</v>
      </c>
      <c r="L111" s="20" t="n">
        <v>354056</v>
      </c>
    </row>
    <row r="112">
      <c r="A112" s="18" t="inlineStr">
        <is>
          <t>자기주식</t>
        </is>
      </c>
      <c r="C112" s="20" t="n">
        <v>-38399</v>
      </c>
      <c r="D112" s="20" t="n">
        <v>-35161</v>
      </c>
      <c r="E112" s="20" t="n">
        <v>-34462</v>
      </c>
      <c r="F112" s="20" t="n">
        <v>-30966</v>
      </c>
      <c r="G112" s="20" t="n">
        <v>-7039</v>
      </c>
      <c r="H112" s="20" t="n">
        <v>-68809</v>
      </c>
      <c r="I112" s="20" t="n">
        <v>-6277</v>
      </c>
      <c r="J112" s="20" t="n">
        <v>-17464</v>
      </c>
      <c r="K112" s="20" t="n">
        <v>-40096</v>
      </c>
      <c r="L112" s="20" t="n">
        <v>-30966</v>
      </c>
    </row>
    <row r="113">
      <c r="A113" s="18" t="inlineStr">
        <is>
          <t>기타자본구성요소</t>
        </is>
      </c>
      <c r="C113" s="20" t="n">
        <v>35463</v>
      </c>
      <c r="D113" s="20" t="n">
        <v>39077</v>
      </c>
      <c r="E113" s="20" t="n">
        <v>51796</v>
      </c>
      <c r="F113" s="20" t="n">
        <v>51981</v>
      </c>
      <c r="G113" s="20" t="n">
        <v>56929</v>
      </c>
      <c r="H113" s="20" t="n">
        <v>28647</v>
      </c>
      <c r="I113" s="20" t="n">
        <v>30514</v>
      </c>
      <c r="J113" s="20" t="n">
        <v>40580</v>
      </c>
      <c r="K113" s="20" t="n">
        <v>35547</v>
      </c>
      <c r="L113" s="20" t="n">
        <v>51981</v>
      </c>
    </row>
    <row r="114">
      <c r="A114" s="18" t="inlineStr">
        <is>
          <t>지배기업 소유주 귀속 지분 합계</t>
        </is>
      </c>
      <c r="C114" s="20" t="n">
        <v>443603</v>
      </c>
      <c r="D114" s="20" t="n">
        <v>477384</v>
      </c>
      <c r="E114" s="20" t="n">
        <v>501656</v>
      </c>
      <c r="F114" s="20" t="n">
        <v>433905</v>
      </c>
      <c r="G114" s="20" t="n">
        <v>373424</v>
      </c>
      <c r="H114" s="20" t="n">
        <v>339360</v>
      </c>
      <c r="I114" s="20" t="n">
        <v>399006</v>
      </c>
      <c r="J114" s="20" t="n">
        <v>399532</v>
      </c>
      <c r="K114" s="20" t="n">
        <v>434040</v>
      </c>
      <c r="L114" s="20" t="n">
        <v>433905</v>
      </c>
    </row>
    <row r="115">
      <c r="A115" s="18" t="inlineStr">
        <is>
          <t>비지배지분</t>
        </is>
      </c>
      <c r="C115" s="20" t="n">
        <v>3622</v>
      </c>
      <c r="D115" s="20" t="n">
        <v>3754</v>
      </c>
      <c r="E115" s="20" t="n">
        <v>3908</v>
      </c>
      <c r="F115" s="20" t="n">
        <v>4097</v>
      </c>
      <c r="G115" s="20" t="n">
        <v>3775</v>
      </c>
      <c r="H115" s="20" t="n">
        <v>3126</v>
      </c>
      <c r="I115" s="20" t="n">
        <v>3399</v>
      </c>
      <c r="J115" s="20" t="n">
        <v>3489</v>
      </c>
      <c r="K115" s="20" t="n">
        <v>3918</v>
      </c>
      <c r="L115" s="20" t="n">
        <v>4097</v>
      </c>
    </row>
    <row r="116">
      <c r="A116" s="18" t="inlineStr">
        <is>
          <t>자본 합계</t>
        </is>
      </c>
      <c r="C116" s="20" t="n">
        <v>447226</v>
      </c>
      <c r="D116" s="20" t="n">
        <v>481139</v>
      </c>
      <c r="E116" s="20" t="n">
        <v>505565</v>
      </c>
      <c r="F116" s="20" t="n">
        <v>438002</v>
      </c>
      <c r="G116" s="20" t="n">
        <v>377200</v>
      </c>
      <c r="H116" s="20" t="n">
        <v>342486</v>
      </c>
      <c r="I116" s="20" t="n">
        <v>402406</v>
      </c>
      <c r="J116" s="20" t="n">
        <v>403021</v>
      </c>
      <c r="K116" s="20" t="n">
        <v>437959</v>
      </c>
      <c r="L116" s="20" t="n">
        <v>438002</v>
      </c>
    </row>
    <row r="117">
      <c r="A117" s="18" t="inlineStr">
        <is>
          <t>부채및자본 합계</t>
        </is>
      </c>
      <c r="C117" s="20" t="n">
        <v>926201</v>
      </c>
      <c r="D117" s="20" t="n">
        <v>994514</v>
      </c>
      <c r="E117" s="20" t="n">
        <v>948539</v>
      </c>
      <c r="F117" s="20" t="n">
        <v>959794</v>
      </c>
      <c r="G117" s="20" t="n">
        <v>906390</v>
      </c>
      <c r="H117" s="20" t="n">
        <v>789655</v>
      </c>
      <c r="I117" s="20" t="n">
        <v>838224</v>
      </c>
      <c r="J117" s="20" t="n">
        <v>922773</v>
      </c>
      <c r="K117" s="20" t="n">
        <v>928501</v>
      </c>
      <c r="L117" s="20" t="n">
        <v>959794</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1" t="inlineStr">
        <is>
          <t>공시일</t>
        </is>
      </c>
      <c r="B3" s="51" t="inlineStr">
        <is>
          <t>문서</t>
        </is>
      </c>
      <c r="C3" s="51" t="inlineStr">
        <is>
          <t>PDF</t>
        </is>
      </c>
    </row>
    <row r="4">
      <c r="A4" t="inlineStr">
        <is>
          <t>2026-07-30</t>
        </is>
      </c>
      <c r="B4" t="inlineStr">
        <is>
          <t>2027년 3월 결산기 1분기 결산단신</t>
        </is>
      </c>
      <c r="C4" t="inlineStr">
        <is>
          <t>https://www2.jpx.co.jp/disc/43070/140120260729501398.pdf</t>
        </is>
      </c>
    </row>
    <row r="5">
      <c r="A5" t="inlineStr">
        <is>
          <t>2026-04-24</t>
        </is>
      </c>
      <c r="B5" t="inlineStr">
        <is>
          <t>2026년 3월 결산기 연간 결산단신</t>
        </is>
      </c>
      <c r="C5" t="inlineStr">
        <is>
          <t>https://www2.jpx.co.jp/disc/43070/140120260423509100.pdf</t>
        </is>
      </c>
    </row>
    <row r="6">
      <c r="A6" t="inlineStr">
        <is>
          <t>2026-01-29</t>
        </is>
      </c>
      <c r="B6" t="inlineStr">
        <is>
          <t>2026년 3월 결산기 3분기 결산단신</t>
        </is>
      </c>
      <c r="C6" t="inlineStr">
        <is>
          <t>https://www2.jpx.co.jp/disc/43070/140120260126538339.pdf</t>
        </is>
      </c>
    </row>
    <row r="7">
      <c r="A7" t="inlineStr">
        <is>
          <t>2025-10-30</t>
        </is>
      </c>
      <c r="B7" t="inlineStr">
        <is>
          <t>2026년 3월 결산기 2분기 결산단신</t>
        </is>
      </c>
      <c r="C7" t="inlineStr">
        <is>
          <t>https://www2.jpx.co.jp/disc/43070/140120251027579313.pdf</t>
        </is>
      </c>
    </row>
    <row r="8">
      <c r="A8" t="inlineStr">
        <is>
          <t>2025-07-28</t>
        </is>
      </c>
      <c r="B8" t="inlineStr">
        <is>
          <t>2026년 3월 결산기 1분기 결산단신</t>
        </is>
      </c>
      <c r="C8" t="inlineStr">
        <is>
          <t>https://www2.jpx.co.jp/disc/43070/140120250724519337.pdf</t>
        </is>
      </c>
    </row>
    <row r="9">
      <c r="A9" t="inlineStr">
        <is>
          <t>2025-04-24</t>
        </is>
      </c>
      <c r="B9" t="inlineStr">
        <is>
          <t>2025년 3월 결산기 연간 결산단신</t>
        </is>
      </c>
      <c r="C9" t="inlineStr">
        <is>
          <t>https://www2.jpx.co.jp/disc/43070/140120250422519942.pdf</t>
        </is>
      </c>
    </row>
    <row r="10">
      <c r="A10" t="inlineStr">
        <is>
          <t>2025-01-30</t>
        </is>
      </c>
      <c r="B10" t="inlineStr">
        <is>
          <t>2025년 3월 결산기 3분기 결산단신</t>
        </is>
      </c>
      <c r="C10" t="inlineStr">
        <is>
          <t>https://www2.jpx.co.jp/disc/43070/140120250127555598.pdf</t>
        </is>
      </c>
    </row>
    <row r="11">
      <c r="A11" t="inlineStr">
        <is>
          <t>2024-10-30</t>
        </is>
      </c>
      <c r="B11" t="inlineStr">
        <is>
          <t>2025년 3월 결산기 2분기 결산단신</t>
        </is>
      </c>
      <c r="C11" t="inlineStr">
        <is>
          <t>https://www2.jpx.co.jp/disc/43070/140120241028504098.pdf</t>
        </is>
      </c>
    </row>
    <row r="12">
      <c r="A12" t="inlineStr">
        <is>
          <t>2024-07-25</t>
        </is>
      </c>
      <c r="B12" t="inlineStr">
        <is>
          <t>2025년 3월 결산기 1분기 결산단신</t>
        </is>
      </c>
      <c r="C12" t="inlineStr">
        <is>
          <t>https://www2.jpx.co.jp/disc/43070/140120240723552972.pdf</t>
        </is>
      </c>
    </row>
    <row r="13">
      <c r="A13" t="inlineStr">
        <is>
          <t>2024-04-25</t>
        </is>
      </c>
      <c r="B13" t="inlineStr">
        <is>
          <t>2024년 3월 결산기 연간 결산단신</t>
        </is>
      </c>
      <c r="C13" t="inlineStr">
        <is>
          <t>https://www2.jpx.co.jp/disc/43070/140120240422573620.pdf</t>
        </is>
      </c>
    </row>
    <row r="14">
      <c r="A14" t="inlineStr">
        <is>
          <t>2024-01-31</t>
        </is>
      </c>
      <c r="B14" t="inlineStr">
        <is>
          <t>2024년 3월 결산기 3분기 결산단신</t>
        </is>
      </c>
      <c r="C14" t="inlineStr">
        <is>
          <t>https://www2.jpx.co.jp/disc/43070/140120240129520393.pdf</t>
        </is>
      </c>
    </row>
    <row r="15">
      <c r="A15" t="inlineStr">
        <is>
          <t>2023-10-26</t>
        </is>
      </c>
      <c r="B15" t="inlineStr">
        <is>
          <t>2024년 3월 결산기 2분기 결산단신</t>
        </is>
      </c>
      <c r="C15" t="inlineStr">
        <is>
          <t>https://www2.jpx.co.jp/disc/43070/140120231025570976.pdf</t>
        </is>
      </c>
    </row>
    <row r="16">
      <c r="A16" t="inlineStr">
        <is>
          <t>2023-07-27</t>
        </is>
      </c>
      <c r="B16" t="inlineStr">
        <is>
          <t>2024년 3월 결산기 1분기 결산단신</t>
        </is>
      </c>
      <c r="C16" t="inlineStr">
        <is>
          <t>https://www2.jpx.co.jp/disc/43070/140120230726527109.pdf</t>
        </is>
      </c>
    </row>
    <row r="17">
      <c r="A17" t="inlineStr">
        <is>
          <t>2023-04-27</t>
        </is>
      </c>
      <c r="B17" t="inlineStr">
        <is>
          <t>2023년 3월 결산기 연간 결산단신</t>
        </is>
      </c>
      <c r="C17" t="inlineStr">
        <is>
          <t>https://www2.jpx.co.jp/disc/43070/140120230424551670.pdf</t>
        </is>
      </c>
    </row>
    <row r="18">
      <c r="A18" t="inlineStr">
        <is>
          <t>2023-01-30</t>
        </is>
      </c>
      <c r="B18" t="inlineStr">
        <is>
          <t>2023년 3월 결산기 3분기 결산단신</t>
        </is>
      </c>
      <c r="C18" t="inlineStr">
        <is>
          <t>https://www2.jpx.co.jp/disc/43070/140120230126593907.pdf</t>
        </is>
      </c>
    </row>
    <row r="19">
      <c r="A19" t="inlineStr">
        <is>
          <t>2022-10-27</t>
        </is>
      </c>
      <c r="B19" t="inlineStr">
        <is>
          <t>2023년 3월 결산기 2분기 결산단신</t>
        </is>
      </c>
      <c r="C19" t="inlineStr">
        <is>
          <t>https://www2.jpx.co.jp/disc/43070/140120221027550356.pdf</t>
        </is>
      </c>
    </row>
    <row r="20">
      <c r="A20" t="inlineStr">
        <is>
          <t>2022-04-27</t>
        </is>
      </c>
      <c r="B20" t="inlineStr">
        <is>
          <t>2022년 3월 결산기 연간 결산단신</t>
        </is>
      </c>
      <c r="C20" t="inlineStr">
        <is>
          <t>https://www2.jpx.co.jp/disc/43070/140120220427528432.pdf</t>
        </is>
      </c>
    </row>
    <row r="21">
      <c r="A21" t="inlineStr">
        <is>
          <t>2021-04-27</t>
        </is>
      </c>
      <c r="B21" t="inlineStr">
        <is>
          <t>2021년 3월 결산기 연간 결산단신</t>
        </is>
      </c>
      <c r="C21" t="inlineStr">
        <is>
          <t>https://www2.jpx.co.jp/disc/43070/140120210427401152.pdf</t>
        </is>
      </c>
    </row>
    <row r="22">
      <c r="A22" t="inlineStr">
        <is>
          <t>2020-04-28</t>
        </is>
      </c>
      <c r="B22" t="inlineStr">
        <is>
          <t>2020년 3월 결산기 연간 결산단신</t>
        </is>
      </c>
      <c r="C22" t="inlineStr">
        <is>
          <t>https://www2.jpx.co.jp/disc/43070/140120200428401390.pdf</t>
        </is>
      </c>
    </row>
    <row r="23">
      <c r="A23" t="inlineStr">
        <is>
          <t>2019-04-25</t>
        </is>
      </c>
      <c r="B23" t="inlineStr">
        <is>
          <t>2019년 3월 결산기 연간 결산단신</t>
        </is>
      </c>
      <c r="C23" t="inlineStr">
        <is>
          <t>https://www2.jpx.co.jp/disc/43070/140120190425411069.pdf</t>
        </is>
      </c>
    </row>
    <row r="24">
      <c r="A24" t="inlineStr">
        <is>
          <t>2018-04-26</t>
        </is>
      </c>
      <c r="B24" t="inlineStr">
        <is>
          <t>연간 결산단신</t>
        </is>
      </c>
      <c r="C24" t="inlineStr">
        <is>
          <t>https://www2.jpx.co.jp/disc/43070/140120180426421152.pdf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2026-10-28T07:02:58Z</dcterms:created>
  <dcterms:modified xmlns:dcterms="http://purl.org/dc/terms/" xmlns:xsi="http://www.w3.org/2001/XMLSchema-instance" xsi:type="dcterms:W3CDTF">2026-10-28T07:02:58Z</dcterms:modified>
</cp:coreProperties>
</file>