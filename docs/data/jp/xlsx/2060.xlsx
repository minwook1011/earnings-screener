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연간" sheetId="1" state="visible" r:id="rId1"/>
    <sheet xmlns:r="http://schemas.openxmlformats.org/officeDocument/2006/relationships" name="재무상태표" sheetId="2" state="visible" r:id="rId2"/>
    <sheet xmlns:r="http://schemas.openxmlformats.org/officeDocument/2006/relationships" name="출처" sheetId="3" state="visible" r:id="rId3"/>
  </sheets>
  <definedNames>
    <definedName name="_xlnm.Print_Titles" localSheetId="0">'연간'!$3:$3</definedName>
    <definedName name="_xlnm.Print_Titles" localSheetId="1">'재무상태표'!$3:$3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0.0%;-0.0%;&quot;-&quot;"/>
    <numFmt numFmtId="165" formatCode="#,##0;(#,##0);&quot;-&quot;"/>
    <numFmt numFmtId="166" formatCode="0.0&quot;x&quot;;-0.0&quot;x&quot;;&quot;-&quot;"/>
    <numFmt numFmtId="167" formatCode="0.0&quot;년&quot;;-0.0&quot;년&quot;;&quot;-&quot;"/>
    <numFmt numFmtId="168" formatCode="0&quot;일&quot;;-0&quot;일&quot;;&quot;-&quot;"/>
  </numFmts>
  <fonts count="17">
    <font>
      <name val="Calibri"/>
      <family val="2"/>
      <color theme="1"/>
      <sz val="11"/>
      <scheme val="minor"/>
    </font>
    <font>
      <name val="맑은 고딕"/>
      <b val="1"/>
      <color rgb="00000000"/>
      <sz val="20"/>
    </font>
    <font>
      <name val="맑은 고딕"/>
      <color rgb="00FF0000"/>
      <sz val="11"/>
    </font>
    <font>
      <name val="맑은 고딕"/>
      <color rgb="00808080"/>
      <sz val="9"/>
    </font>
    <font>
      <name val="맑은 고딕"/>
      <color rgb="000000FF"/>
      <sz val="9"/>
    </font>
    <font>
      <name val="맑은 고딕"/>
      <b val="1"/>
      <color rgb="00000000"/>
      <sz val="10"/>
    </font>
    <font>
      <name val="맑은 고딕"/>
      <color rgb="00808080"/>
      <sz val="11"/>
    </font>
    <font>
      <name val="맑은 고딕"/>
      <b val="1"/>
      <color rgb="00FFFFFF"/>
      <sz val="11"/>
    </font>
    <font>
      <name val="맑은 고딕"/>
      <color rgb="00000000"/>
      <sz val="11"/>
    </font>
    <font>
      <name val="맑은 고딕"/>
      <color rgb="000000FF"/>
      <sz val="11"/>
    </font>
    <font>
      <name val="맑은 고딕"/>
      <b val="1"/>
      <color rgb="00000000"/>
      <sz val="11"/>
    </font>
    <font>
      <name val="맑은 고딕"/>
      <b val="1"/>
      <color rgb="00FF0000"/>
      <sz val="11"/>
    </font>
    <font>
      <name val="맑은 고딕"/>
      <b val="1"/>
      <color rgb="00808080"/>
      <sz val="9"/>
    </font>
    <font>
      <name val="맑은 고딕"/>
      <color rgb="00FF0000"/>
      <sz val="9"/>
    </font>
    <font>
      <name val="맑은 고딕"/>
      <b val="1"/>
      <color rgb="00FFFFFF"/>
      <sz val="9"/>
    </font>
    <font>
      <name val="맑은 고딕"/>
      <b val="1"/>
      <sz val="20"/>
    </font>
    <font>
      <name val="맑은 고딕"/>
      <b val="1"/>
      <sz val="10"/>
    </font>
  </fonts>
  <fills count="7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808080"/>
      </patternFill>
    </fill>
    <fill>
      <patternFill patternType="solid">
        <fgColor rgb="00A6A6A6"/>
      </patternFill>
    </fill>
    <fill>
      <patternFill patternType="solid">
        <fgColor rgb="00DDEBF7"/>
      </patternFill>
    </fill>
    <fill>
      <patternFill patternType="solid">
        <fgColor rgb="FFD9D9D9"/>
      </patternFill>
    </fill>
  </fills>
  <borders count="4">
    <border>
      <left/>
      <right/>
      <top/>
      <bottom/>
      <diagonal/>
    </border>
    <border>
      <top style="thin">
        <color rgb="007F7F7F"/>
      </top>
      <bottom style="thin">
        <color rgb="007F7F7F"/>
      </bottom>
    </border>
    <border>
      <left style="thin">
        <color rgb="007F7F7F"/>
      </left>
      <top style="thin">
        <color rgb="007F7F7F"/>
      </top>
      <bottom style="thin">
        <color rgb="007F7F7F"/>
      </bottom>
    </border>
    <border>
      <left style="thin">
        <color rgb="007F7F7F"/>
      </left>
      <top/>
      <bottom/>
    </border>
  </borders>
  <cellStyleXfs count="1">
    <xf numFmtId="0" fontId="0" fillId="0" borderId="0"/>
  </cellStyleXfs>
  <cellXfs count="5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5" fillId="5" borderId="2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165" fontId="10" fillId="0" borderId="3" applyAlignment="1" pivotButton="0" quotePrefix="0" xfId="0">
      <alignment horizontal="center" vertical="center"/>
    </xf>
    <xf numFmtId="165" fontId="10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center" indent="1"/>
    </xf>
    <xf numFmtId="164" fontId="6" fillId="0" borderId="3" applyAlignment="1" pivotButton="0" quotePrefix="0" xfId="0">
      <alignment horizontal="center" vertical="center"/>
    </xf>
    <xf numFmtId="164" fontId="6" fillId="0" borderId="0" applyAlignment="1" pivotButton="0" quotePrefix="0" xfId="0">
      <alignment horizontal="center" vertical="center"/>
    </xf>
    <xf numFmtId="0" fontId="7" fillId="3" borderId="0" applyAlignment="1" pivotButton="0" quotePrefix="0" xfId="0">
      <alignment horizontal="center" vertical="center"/>
    </xf>
    <xf numFmtId="0" fontId="7" fillId="3" borderId="3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165" fontId="8" fillId="0" borderId="3" applyAlignment="1" pivotButton="0" quotePrefix="0" xfId="0">
      <alignment horizontal="center" vertical="center"/>
    </xf>
    <xf numFmtId="165" fontId="8" fillId="0" borderId="0" applyAlignment="1" pivotButton="0" quotePrefix="0" xfId="0">
      <alignment horizontal="center" vertical="center"/>
    </xf>
    <xf numFmtId="165" fontId="9" fillId="0" borderId="3" applyAlignment="1" pivotButton="0" quotePrefix="0" xfId="0">
      <alignment horizontal="center" vertical="center"/>
    </xf>
    <xf numFmtId="165" fontId="9" fillId="0" borderId="0" applyAlignment="1" pivotButton="0" quotePrefix="0" xfId="0">
      <alignment horizontal="center" vertical="center"/>
    </xf>
    <xf numFmtId="0" fontId="7" fillId="4" borderId="0" applyAlignment="1" pivotButton="0" quotePrefix="0" xfId="0">
      <alignment horizontal="center" vertical="center"/>
    </xf>
    <xf numFmtId="0" fontId="7" fillId="4" borderId="3" applyAlignment="1" pivotButton="0" quotePrefix="0" xfId="0">
      <alignment horizontal="center" vertical="center"/>
    </xf>
    <xf numFmtId="164" fontId="9" fillId="0" borderId="3" applyAlignment="1" pivotButton="0" quotePrefix="0" xfId="0">
      <alignment horizontal="center" vertical="center"/>
    </xf>
    <xf numFmtId="164" fontId="9" fillId="0" borderId="0" applyAlignment="1" pivotButton="0" quotePrefix="0" xfId="0">
      <alignment horizontal="center" vertical="center"/>
    </xf>
    <xf numFmtId="3" fontId="10" fillId="0" borderId="0" applyAlignment="1" pivotButton="0" quotePrefix="0" xfId="0">
      <alignment horizontal="center" vertical="center"/>
    </xf>
    <xf numFmtId="3" fontId="8" fillId="0" borderId="3" applyAlignment="1" pivotButton="0" quotePrefix="0" xfId="0">
      <alignment horizontal="center" vertical="center"/>
    </xf>
    <xf numFmtId="3" fontId="8" fillId="0" borderId="0" applyAlignment="1" pivotButton="0" quotePrefix="0" xfId="0">
      <alignment horizontal="center" vertical="center"/>
    </xf>
    <xf numFmtId="166" fontId="8" fillId="0" borderId="3" applyAlignment="1" pivotButton="0" quotePrefix="0" xfId="0">
      <alignment horizontal="center" vertical="center"/>
    </xf>
    <xf numFmtId="166" fontId="8" fillId="0" borderId="0" applyAlignment="1" pivotButton="0" quotePrefix="0" xfId="0">
      <alignment horizontal="center" vertical="center"/>
    </xf>
    <xf numFmtId="166" fontId="9" fillId="0" borderId="3" applyAlignment="1" pivotButton="0" quotePrefix="0" xfId="0">
      <alignment horizontal="center" vertical="center"/>
    </xf>
    <xf numFmtId="166" fontId="9" fillId="0" borderId="0" applyAlignment="1" pivotButton="0" quotePrefix="0" xfId="0">
      <alignment horizontal="center" vertical="center"/>
    </xf>
    <xf numFmtId="3" fontId="10" fillId="0" borderId="3" applyAlignment="1" pivotButton="0" quotePrefix="0" xfId="0">
      <alignment horizontal="center" vertical="center"/>
    </xf>
    <xf numFmtId="164" fontId="8" fillId="0" borderId="3" applyAlignment="1" pivotButton="0" quotePrefix="0" xfId="0">
      <alignment horizontal="center" vertical="center"/>
    </xf>
    <xf numFmtId="164" fontId="8" fillId="0" borderId="0" applyAlignment="1" pivotButton="0" quotePrefix="0" xfId="0">
      <alignment horizontal="center" vertical="center"/>
    </xf>
    <xf numFmtId="164" fontId="11" fillId="0" borderId="3" applyAlignment="1" pivotButton="0" quotePrefix="0" xfId="0">
      <alignment horizontal="center" vertical="center"/>
    </xf>
    <xf numFmtId="164" fontId="11" fillId="0" borderId="0" applyAlignment="1" pivotButton="0" quotePrefix="0" xfId="0">
      <alignment horizontal="center" vertical="center"/>
    </xf>
    <xf numFmtId="0" fontId="0" fillId="0" borderId="3" pivotButton="0" quotePrefix="0" xfId="0"/>
    <xf numFmtId="0" fontId="12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14" fillId="3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13" fillId="0" borderId="0" pivotButton="0" quotePrefix="0" xfId="0"/>
    <xf numFmtId="0" fontId="8" fillId="0" borderId="0" applyAlignment="1" pivotButton="0" quotePrefix="0" xfId="0">
      <alignment horizontal="left" vertical="center" indent="1"/>
    </xf>
    <xf numFmtId="167" fontId="8" fillId="0" borderId="3" applyAlignment="1" pivotButton="0" quotePrefix="0" xfId="0">
      <alignment horizontal="center" vertical="center"/>
    </xf>
    <xf numFmtId="167" fontId="8" fillId="0" borderId="0" applyAlignment="1" pivotButton="0" quotePrefix="0" xfId="0">
      <alignment horizontal="center" vertical="center"/>
    </xf>
    <xf numFmtId="168" fontId="8" fillId="0" borderId="3" applyAlignment="1" pivotButton="0" quotePrefix="0" xfId="0">
      <alignment horizontal="center" vertical="center"/>
    </xf>
    <xf numFmtId="168" fontId="8" fillId="0" borderId="0" applyAlignment="1" pivotButton="0" quotePrefix="0" xfId="0">
      <alignment horizontal="center" vertical="center"/>
    </xf>
    <xf numFmtId="0" fontId="15" fillId="0" borderId="0" pivotButton="0" quotePrefix="0" xfId="0"/>
    <xf numFmtId="0" fontId="16" fillId="6" borderId="0" pivotButton="0" quotePrefix="0" xfId="0"/>
  </cellXfs>
  <cellStyles count="1">
    <cellStyle name="Normal" xfId="0" builtinId="0" hidden="0"/>
  </cellStyles>
  <dxfs count="1">
    <dxf>
      <font>
        <name val="맑은 고딕"/>
        <b val="1"/>
        <color rgb="00FF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C295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4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outlineLevel="1" width="11" customWidth="1" min="8" max="8"/>
    <col outlineLevel="1" width="11" customWidth="1" min="9" max="9"/>
    <col outlineLevel="1" width="11" customWidth="1" min="10" max="10"/>
    <col outlineLevel="1" width="11" customWidth="1" min="11" max="11"/>
    <col outlineLevel="1" width="11" customWidth="1" min="12" max="12"/>
    <col outlineLevel="1" width="11" customWidth="1" min="13" max="13"/>
    <col outlineLevel="1"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</cols>
  <sheetData>
    <row r="1" ht="30" customHeight="1">
      <c r="A1" s="1" t="inlineStr">
        <is>
          <t>2060 Model</t>
        </is>
      </c>
    </row>
    <row r="2">
      <c r="A2" s="2" t="inlineStr">
        <is>
          <t>모를 땐 보수적으로</t>
        </is>
      </c>
      <c r="B2" s="3" t="inlineStr">
        <is>
          <t>(단위: 백만엔)</t>
        </is>
      </c>
      <c r="C2" s="3" t="inlineStr">
        <is>
          <t>3월 결산 · 일본 기준 · 2027.1Q = 2027년 3월 결산기 1분기</t>
        </is>
      </c>
      <c r="Y2" s="4" t="inlineStr">
        <is>
          <t>(추정: 파란 글씨 = 직접 입력)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2024.2Q</t>
        </is>
      </c>
      <c r="D3" s="5" t="inlineStr">
        <is>
          <t>2024.3Q</t>
        </is>
      </c>
      <c r="E3" s="5" t="inlineStr">
        <is>
          <t>2024.4Q</t>
        </is>
      </c>
      <c r="F3" s="5" t="inlineStr">
        <is>
          <t>2025.1Q</t>
        </is>
      </c>
      <c r="G3" s="5" t="inlineStr">
        <is>
          <t>2025.2Q</t>
        </is>
      </c>
      <c r="H3" s="5" t="inlineStr">
        <is>
          <t>2025.3Q</t>
        </is>
      </c>
      <c r="I3" s="5" t="inlineStr">
        <is>
          <t>2025.4Q</t>
        </is>
      </c>
      <c r="J3" s="5" t="inlineStr">
        <is>
          <t>2026.1Q</t>
        </is>
      </c>
      <c r="K3" s="5" t="inlineStr">
        <is>
          <t>2026.2Q</t>
        </is>
      </c>
      <c r="L3" s="5" t="inlineStr">
        <is>
          <t>2026.3Q</t>
        </is>
      </c>
      <c r="M3" s="5" t="inlineStr">
        <is>
          <t>2026.4Q</t>
        </is>
      </c>
      <c r="N3" s="5" t="inlineStr">
        <is>
          <t>2027.1Q</t>
        </is>
      </c>
      <c r="O3" s="6" t="inlineStr">
        <is>
          <t>2017</t>
        </is>
      </c>
      <c r="P3" s="5" t="inlineStr">
        <is>
          <t>2018</t>
        </is>
      </c>
      <c r="Q3" s="5" t="inlineStr">
        <is>
          <t>2019</t>
        </is>
      </c>
      <c r="R3" s="5" t="inlineStr">
        <is>
          <t>2020</t>
        </is>
      </c>
      <c r="S3" s="5" t="inlineStr">
        <is>
          <t>2021</t>
        </is>
      </c>
      <c r="T3" s="5" t="inlineStr">
        <is>
          <t>2022</t>
        </is>
      </c>
      <c r="U3" s="5" t="inlineStr">
        <is>
          <t>2023</t>
        </is>
      </c>
      <c r="V3" s="5" t="inlineStr">
        <is>
          <t>2024</t>
        </is>
      </c>
      <c r="W3" s="5" t="inlineStr">
        <is>
          <t>2025</t>
        </is>
      </c>
      <c r="X3" s="5" t="inlineStr">
        <is>
          <t>2026</t>
        </is>
      </c>
      <c r="Y3" s="7" t="inlineStr">
        <is>
          <t>2027(MW)</t>
        </is>
      </c>
      <c r="Z3" s="8" t="inlineStr">
        <is>
          <t>2028(MW)</t>
        </is>
      </c>
      <c r="AA3" s="8" t="inlineStr">
        <is>
          <t>2029(MW)</t>
        </is>
      </c>
      <c r="AB3" s="8" t="inlineStr">
        <is>
          <t>2030(MW)</t>
        </is>
      </c>
      <c r="AC3" s="8" t="inlineStr">
        <is>
          <t>2031(MW)</t>
        </is>
      </c>
    </row>
    <row r="4">
      <c r="A4" s="9" t="inlineStr">
        <is>
          <t>매출액</t>
        </is>
      </c>
      <c r="B4" s="10" t="inlineStr">
        <is>
          <t>MW = 제품 합계</t>
        </is>
      </c>
      <c r="C4" s="11" t="n">
        <v>76863</v>
      </c>
      <c r="D4" s="12" t="n">
        <v>81724</v>
      </c>
      <c r="E4" s="12" t="n">
        <v>75506</v>
      </c>
      <c r="F4" s="12" t="n">
        <v>74288</v>
      </c>
      <c r="G4" s="12" t="n">
        <v>74010</v>
      </c>
      <c r="H4" s="12" t="n">
        <v>77223</v>
      </c>
      <c r="I4" s="12" t="n">
        <v>70524</v>
      </c>
      <c r="J4" s="12" t="n">
        <v>71973</v>
      </c>
      <c r="K4" s="12" t="n">
        <v>70371</v>
      </c>
      <c r="L4" s="12" t="n">
        <v>76728</v>
      </c>
      <c r="M4" s="12" t="n">
        <v>71603</v>
      </c>
      <c r="N4" s="12" t="n">
        <v>78443</v>
      </c>
      <c r="O4" s="11" t="n">
        <v>207920</v>
      </c>
      <c r="P4" s="12" t="n">
        <v>207562</v>
      </c>
      <c r="Q4" s="12" t="n">
        <v>212886</v>
      </c>
      <c r="R4" s="12" t="n">
        <v>215050</v>
      </c>
      <c r="S4" s="12" t="n">
        <v>214120</v>
      </c>
      <c r="T4" s="12" t="n">
        <v>243202</v>
      </c>
      <c r="U4" s="12" t="n">
        <v>307911</v>
      </c>
      <c r="V4" s="12" t="n">
        <v>313875</v>
      </c>
      <c r="W4" s="12" t="n">
        <v>296045</v>
      </c>
      <c r="X4" s="12" t="n">
        <v>290675</v>
      </c>
      <c r="Y4" s="11">
        <f>IF(COUNT(Y7,Y10,Y13,Y16)=0,"",SUM(Y7,Y10,Y13,Y16))</f>
        <v/>
      </c>
      <c r="Z4" s="12">
        <f>IF(COUNT(Z7,Z10,Z13,Z16)=0,"",SUM(Z7,Z10,Z13,Z16))</f>
        <v/>
      </c>
      <c r="AA4" s="12">
        <f>IF(COUNT(AA7,AA10,AA13,AA16)=0,"",SUM(AA7,AA10,AA13,AA16))</f>
        <v/>
      </c>
      <c r="AB4" s="12">
        <f>IF(COUNT(AB7,AB10,AB13,AB16)=0,"",SUM(AB7,AB10,AB13,AB16))</f>
        <v/>
      </c>
      <c r="AC4" s="12">
        <f>IF(COUNT(AC7,AC10,AC13,AC16)=0,"",SUM(AC7,AC10,AC13,AC16))</f>
        <v/>
      </c>
    </row>
    <row r="5">
      <c r="A5" s="13" t="inlineStr">
        <is>
          <t>YoY</t>
        </is>
      </c>
      <c r="B5" s="10" t="n"/>
      <c r="C5" s="14" t="n"/>
      <c r="D5" s="15" t="n"/>
      <c r="E5" s="15" t="n"/>
      <c r="F5" s="15" t="n"/>
      <c r="G5" s="15">
        <f>IF(OR(G4="",C4=""),"",IFERROR(G4/C4-1,""))</f>
        <v/>
      </c>
      <c r="H5" s="15">
        <f>IF(OR(H4="",D4=""),"",IFERROR(H4/D4-1,""))</f>
        <v/>
      </c>
      <c r="I5" s="15">
        <f>IF(OR(I4="",E4=""),"",IFERROR(I4/E4-1,""))</f>
        <v/>
      </c>
      <c r="J5" s="15">
        <f>IF(OR(J4="",F4=""),"",IFERROR(J4/F4-1,""))</f>
        <v/>
      </c>
      <c r="K5" s="15">
        <f>IF(OR(K4="",G4=""),"",IFERROR(K4/G4-1,""))</f>
        <v/>
      </c>
      <c r="L5" s="15">
        <f>IF(OR(L4="",H4=""),"",IFERROR(L4/H4-1,""))</f>
        <v/>
      </c>
      <c r="M5" s="15">
        <f>IF(OR(M4="",I4=""),"",IFERROR(M4/I4-1,""))</f>
        <v/>
      </c>
      <c r="N5" s="15">
        <f>IF(OR(N4="",J4=""),"",IFERROR(N4/J4-1,""))</f>
        <v/>
      </c>
      <c r="O5" s="14" t="n"/>
      <c r="P5" s="15">
        <f>IF(OR(P4="",O4=""),"",IFERROR(P4/O4-1,""))</f>
        <v/>
      </c>
      <c r="Q5" s="15">
        <f>IF(OR(Q4="",P4=""),"",IFERROR(Q4/P4-1,""))</f>
        <v/>
      </c>
      <c r="R5" s="15">
        <f>IF(OR(R4="",Q4=""),"",IFERROR(R4/Q4-1,""))</f>
        <v/>
      </c>
      <c r="S5" s="15">
        <f>IF(OR(S4="",R4=""),"",IFERROR(S4/R4-1,""))</f>
        <v/>
      </c>
      <c r="T5" s="15">
        <f>IF(OR(T4="",S4=""),"",IFERROR(T4/S4-1,""))</f>
        <v/>
      </c>
      <c r="U5" s="15">
        <f>IF(OR(U4="",T4=""),"",IFERROR(U4/T4-1,""))</f>
        <v/>
      </c>
      <c r="V5" s="15">
        <f>IF(OR(V4="",U4=""),"",IFERROR(V4/U4-1,""))</f>
        <v/>
      </c>
      <c r="W5" s="15">
        <f>IF(OR(W4="",V4=""),"",IFERROR(W4/V4-1,""))</f>
        <v/>
      </c>
      <c r="X5" s="15">
        <f>IF(OR(X4="",W4=""),"",IFERROR(X4/W4-1,""))</f>
        <v/>
      </c>
      <c r="Y5" s="14">
        <f>IF(OR(Y4="",X4=""),"",IFERROR(Y4/X4-1,""))</f>
        <v/>
      </c>
      <c r="Z5" s="15">
        <f>IF(OR(Z4="",Y4=""),"",IFERROR(Z4/Y4-1,""))</f>
        <v/>
      </c>
      <c r="AA5" s="15">
        <f>IF(OR(AA4="",Z4=""),"",IFERROR(AA4/Z4-1,""))</f>
        <v/>
      </c>
      <c r="AB5" s="15">
        <f>IF(OR(AB4="",AA4=""),"",IFERROR(AB4/AA4-1,""))</f>
        <v/>
      </c>
      <c r="AC5" s="15">
        <f>IF(OR(AC4="",AB4=""),"",IFERROR(AC4/AB4-1,""))</f>
        <v/>
      </c>
    </row>
    <row r="6">
      <c r="A6" s="16" t="inlineStr">
        <is>
          <t>제품별 매출 분류</t>
        </is>
      </c>
      <c r="B6" s="16" t="inlineStr">
        <is>
          <t>사업보고서 매출실적</t>
        </is>
      </c>
      <c r="C6" s="17" t="n"/>
      <c r="D6" s="16" t="n"/>
      <c r="E6" s="16" t="n"/>
      <c r="F6" s="16" t="n"/>
      <c r="G6" s="16" t="n"/>
      <c r="H6" s="16" t="n"/>
      <c r="I6" s="16" t="n"/>
      <c r="J6" s="16" t="n"/>
      <c r="K6" s="16" t="n"/>
      <c r="L6" s="16" t="n"/>
      <c r="M6" s="16" t="n"/>
      <c r="N6" s="16" t="n"/>
      <c r="O6" s="17" t="n"/>
      <c r="P6" s="16" t="n"/>
      <c r="Q6" s="16" t="n"/>
      <c r="R6" s="16" t="n"/>
      <c r="S6" s="16" t="n"/>
      <c r="T6" s="16" t="n"/>
      <c r="U6" s="16" t="n"/>
      <c r="V6" s="16" t="n"/>
      <c r="W6" s="16" t="n"/>
      <c r="X6" s="16" t="n"/>
      <c r="Y6" s="17" t="n"/>
      <c r="Z6" s="16" t="n"/>
      <c r="AA6" s="16" t="n"/>
      <c r="AB6" s="16" t="n"/>
      <c r="AC6" s="16" t="n"/>
    </row>
    <row r="7">
      <c r="A7" s="18" t="inlineStr">
        <is>
          <t>Animal Feed Business Reportable Segments</t>
        </is>
      </c>
      <c r="B7" s="10" t="n"/>
      <c r="C7" s="19" t="n">
        <v>59424</v>
      </c>
      <c r="D7" s="20" t="n">
        <v>63224</v>
      </c>
      <c r="E7" s="20" t="n">
        <v>61133</v>
      </c>
      <c r="F7" s="20" t="n">
        <v>58592</v>
      </c>
      <c r="G7" s="20" t="n">
        <v>57683</v>
      </c>
      <c r="H7" s="20" t="n">
        <v>59674</v>
      </c>
      <c r="I7" s="20" t="n">
        <v>56310</v>
      </c>
      <c r="J7" s="20" t="n">
        <v>56415</v>
      </c>
      <c r="K7" s="20" t="n">
        <v>53072</v>
      </c>
      <c r="L7" s="20" t="n">
        <v>58272</v>
      </c>
      <c r="M7" s="20" t="n">
        <v>55985</v>
      </c>
      <c r="N7" s="20" t="n">
        <v>59012</v>
      </c>
      <c r="O7" s="19" t="n"/>
      <c r="P7" s="20" t="n"/>
      <c r="Q7" s="20" t="n"/>
      <c r="R7" s="20" t="n"/>
      <c r="S7" s="20" t="n"/>
      <c r="T7" s="20" t="n"/>
      <c r="U7" s="20" t="n"/>
      <c r="V7" s="20" t="n">
        <v>247055</v>
      </c>
      <c r="W7" s="20" t="n">
        <v>232259</v>
      </c>
      <c r="X7" s="20" t="n">
        <v>223744</v>
      </c>
      <c r="Y7" s="21" t="n"/>
      <c r="Z7" s="22" t="n"/>
      <c r="AA7" s="22" t="n"/>
      <c r="AB7" s="22" t="n"/>
      <c r="AC7" s="22" t="n"/>
    </row>
    <row r="8">
      <c r="A8" s="13" t="inlineStr">
        <is>
          <t>비중</t>
        </is>
      </c>
      <c r="B8" s="10" t="n"/>
      <c r="C8" s="14">
        <f>IF(OR(C7="",C4=""),"",IFERROR(C7/C4,""))</f>
        <v/>
      </c>
      <c r="D8" s="15">
        <f>IF(OR(D7="",D4=""),"",IFERROR(D7/D4,""))</f>
        <v/>
      </c>
      <c r="E8" s="15">
        <f>IF(OR(E7="",E4=""),"",IFERROR(E7/E4,""))</f>
        <v/>
      </c>
      <c r="F8" s="15">
        <f>IF(OR(F7="",F4=""),"",IFERROR(F7/F4,""))</f>
        <v/>
      </c>
      <c r="G8" s="15">
        <f>IF(OR(G7="",G4=""),"",IFERROR(G7/G4,""))</f>
        <v/>
      </c>
      <c r="H8" s="15">
        <f>IF(OR(H7="",H4=""),"",IFERROR(H7/H4,""))</f>
        <v/>
      </c>
      <c r="I8" s="15">
        <f>IF(OR(I7="",I4=""),"",IFERROR(I7/I4,""))</f>
        <v/>
      </c>
      <c r="J8" s="15">
        <f>IF(OR(J7="",J4=""),"",IFERROR(J7/J4,""))</f>
        <v/>
      </c>
      <c r="K8" s="15">
        <f>IF(OR(K7="",K4=""),"",IFERROR(K7/K4,""))</f>
        <v/>
      </c>
      <c r="L8" s="15">
        <f>IF(OR(L7="",L4=""),"",IFERROR(L7/L4,""))</f>
        <v/>
      </c>
      <c r="M8" s="15">
        <f>IF(OR(M7="",M4=""),"",IFERROR(M7/M4,""))</f>
        <v/>
      </c>
      <c r="N8" s="15">
        <f>IF(OR(N7="",N4=""),"",IFERROR(N7/N4,""))</f>
        <v/>
      </c>
      <c r="O8" s="14">
        <f>IF(OR(O7="",O4=""),"",IFERROR(O7/O4,""))</f>
        <v/>
      </c>
      <c r="P8" s="15">
        <f>IF(OR(P7="",P4=""),"",IFERROR(P7/P4,""))</f>
        <v/>
      </c>
      <c r="Q8" s="15">
        <f>IF(OR(Q7="",Q4=""),"",IFERROR(Q7/Q4,""))</f>
        <v/>
      </c>
      <c r="R8" s="15">
        <f>IF(OR(R7="",R4=""),"",IFERROR(R7/R4,""))</f>
        <v/>
      </c>
      <c r="S8" s="15">
        <f>IF(OR(S7="",S4=""),"",IFERROR(S7/S4,""))</f>
        <v/>
      </c>
      <c r="T8" s="15">
        <f>IF(OR(T7="",T4=""),"",IFERROR(T7/T4,""))</f>
        <v/>
      </c>
      <c r="U8" s="15">
        <f>IF(OR(U7="",U4=""),"",IFERROR(U7/U4,""))</f>
        <v/>
      </c>
      <c r="V8" s="15">
        <f>IF(OR(V7="",V4=""),"",IFERROR(V7/V4,""))</f>
        <v/>
      </c>
      <c r="W8" s="15">
        <f>IF(OR(W7="",W4=""),"",IFERROR(W7/W4,""))</f>
        <v/>
      </c>
      <c r="X8" s="15">
        <f>IF(OR(X7="",X4=""),"",IFERROR(X7/X4,""))</f>
        <v/>
      </c>
      <c r="Y8" s="14">
        <f>IF(OR(Y7="",Y4=""),"",IFERROR(Y7/Y4,""))</f>
        <v/>
      </c>
      <c r="Z8" s="15">
        <f>IF(OR(Z7="",Z4=""),"",IFERROR(Z7/Z4,""))</f>
        <v/>
      </c>
      <c r="AA8" s="15">
        <f>IF(OR(AA7="",AA4=""),"",IFERROR(AA7/AA4,""))</f>
        <v/>
      </c>
      <c r="AB8" s="15">
        <f>IF(OR(AB7="",AB4=""),"",IFERROR(AB7/AB4,""))</f>
        <v/>
      </c>
      <c r="AC8" s="15">
        <f>IF(OR(AC7="",AC4=""),"",IFERROR(AC7/AC4,""))</f>
        <v/>
      </c>
    </row>
    <row r="9">
      <c r="A9" s="13" t="inlineStr">
        <is>
          <t>YoY</t>
        </is>
      </c>
      <c r="B9" s="10" t="n"/>
      <c r="C9" s="14" t="n"/>
      <c r="D9" s="15" t="n"/>
      <c r="E9" s="15" t="n"/>
      <c r="F9" s="15" t="n"/>
      <c r="G9" s="15">
        <f>IF(OR(G7="",C7=""),"",IFERROR(G7/C7-1,""))</f>
        <v/>
      </c>
      <c r="H9" s="15">
        <f>IF(OR(H7="",D7=""),"",IFERROR(H7/D7-1,""))</f>
        <v/>
      </c>
      <c r="I9" s="15">
        <f>IF(OR(I7="",E7=""),"",IFERROR(I7/E7-1,""))</f>
        <v/>
      </c>
      <c r="J9" s="15">
        <f>IF(OR(J7="",F7=""),"",IFERROR(J7/F7-1,""))</f>
        <v/>
      </c>
      <c r="K9" s="15">
        <f>IF(OR(K7="",G7=""),"",IFERROR(K7/G7-1,""))</f>
        <v/>
      </c>
      <c r="L9" s="15">
        <f>IF(OR(L7="",H7=""),"",IFERROR(L7/H7-1,""))</f>
        <v/>
      </c>
      <c r="M9" s="15">
        <f>IF(OR(M7="",I7=""),"",IFERROR(M7/I7-1,""))</f>
        <v/>
      </c>
      <c r="N9" s="15">
        <f>IF(OR(N7="",J7=""),"",IFERROR(N7/J7-1,""))</f>
        <v/>
      </c>
      <c r="O9" s="14" t="n"/>
      <c r="P9" s="15">
        <f>IF(OR(P7="",O7=""),"",IFERROR(P7/O7-1,""))</f>
        <v/>
      </c>
      <c r="Q9" s="15">
        <f>IF(OR(Q7="",P7=""),"",IFERROR(Q7/P7-1,""))</f>
        <v/>
      </c>
      <c r="R9" s="15">
        <f>IF(OR(R7="",Q7=""),"",IFERROR(R7/Q7-1,""))</f>
        <v/>
      </c>
      <c r="S9" s="15">
        <f>IF(OR(S7="",R7=""),"",IFERROR(S7/R7-1,""))</f>
        <v/>
      </c>
      <c r="T9" s="15">
        <f>IF(OR(T7="",S7=""),"",IFERROR(T7/S7-1,""))</f>
        <v/>
      </c>
      <c r="U9" s="15">
        <f>IF(OR(U7="",T7=""),"",IFERROR(U7/T7-1,""))</f>
        <v/>
      </c>
      <c r="V9" s="15">
        <f>IF(OR(V7="",U7=""),"",IFERROR(V7/U7-1,""))</f>
        <v/>
      </c>
      <c r="W9" s="15">
        <f>IF(OR(W7="",V7=""),"",IFERROR(W7/V7-1,""))</f>
        <v/>
      </c>
      <c r="X9" s="15">
        <f>IF(OR(X7="",W7=""),"",IFERROR(X7/W7-1,""))</f>
        <v/>
      </c>
      <c r="Y9" s="14">
        <f>IF(OR(Y7="",X7=""),"",IFERROR(Y7/X7-1,""))</f>
        <v/>
      </c>
      <c r="Z9" s="15">
        <f>IF(OR(Z7="",Y7=""),"",IFERROR(Z7/Y7-1,""))</f>
        <v/>
      </c>
      <c r="AA9" s="15">
        <f>IF(OR(AA7="",Z7=""),"",IFERROR(AA7/Z7-1,""))</f>
        <v/>
      </c>
      <c r="AB9" s="15">
        <f>IF(OR(AB7="",AA7=""),"",IFERROR(AB7/AA7-1,""))</f>
        <v/>
      </c>
      <c r="AC9" s="15">
        <f>IF(OR(AC7="",AB7=""),"",IFERROR(AC7/AB7-1,""))</f>
        <v/>
      </c>
    </row>
    <row r="10">
      <c r="A10" s="18" t="inlineStr">
        <is>
          <t>Aquatic Feed Business Reportable Segments</t>
        </is>
      </c>
      <c r="B10" s="10" t="n"/>
      <c r="C10" s="19" t="n">
        <v>6973</v>
      </c>
      <c r="D10" s="20" t="n">
        <v>8210</v>
      </c>
      <c r="E10" s="20" t="n">
        <v>5645</v>
      </c>
      <c r="F10" s="20" t="n">
        <v>6709</v>
      </c>
      <c r="G10" s="20" t="n">
        <v>6824</v>
      </c>
      <c r="H10" s="20" t="n">
        <v>7571</v>
      </c>
      <c r="I10" s="20" t="n">
        <v>4536</v>
      </c>
      <c r="J10" s="20" t="n">
        <v>5208</v>
      </c>
      <c r="K10" s="20" t="n">
        <v>6603</v>
      </c>
      <c r="L10" s="20" t="n">
        <v>7630</v>
      </c>
      <c r="M10" s="20" t="n">
        <v>5422</v>
      </c>
      <c r="N10" s="20" t="n">
        <v>7818</v>
      </c>
      <c r="O10" s="19" t="n"/>
      <c r="P10" s="20" t="n"/>
      <c r="Q10" s="20" t="n"/>
      <c r="R10" s="20" t="n"/>
      <c r="S10" s="20" t="n"/>
      <c r="T10" s="20" t="n"/>
      <c r="U10" s="20" t="n"/>
      <c r="V10" s="20" t="n">
        <v>26779</v>
      </c>
      <c r="W10" s="20" t="n">
        <v>25640</v>
      </c>
      <c r="X10" s="20" t="n">
        <v>24863</v>
      </c>
      <c r="Y10" s="21" t="n"/>
      <c r="Z10" s="22" t="n"/>
      <c r="AA10" s="22" t="n"/>
      <c r="AB10" s="22" t="n"/>
      <c r="AC10" s="22" t="n"/>
    </row>
    <row r="11">
      <c r="A11" s="13" t="inlineStr">
        <is>
          <t>비중</t>
        </is>
      </c>
      <c r="B11" s="10" t="n"/>
      <c r="C11" s="14">
        <f>IF(OR(C10="",C4=""),"",IFERROR(C10/C4,""))</f>
        <v/>
      </c>
      <c r="D11" s="15">
        <f>IF(OR(D10="",D4=""),"",IFERROR(D10/D4,""))</f>
        <v/>
      </c>
      <c r="E11" s="15">
        <f>IF(OR(E10="",E4=""),"",IFERROR(E10/E4,""))</f>
        <v/>
      </c>
      <c r="F11" s="15">
        <f>IF(OR(F10="",F4=""),"",IFERROR(F10/F4,""))</f>
        <v/>
      </c>
      <c r="G11" s="15">
        <f>IF(OR(G10="",G4=""),"",IFERROR(G10/G4,""))</f>
        <v/>
      </c>
      <c r="H11" s="15">
        <f>IF(OR(H10="",H4=""),"",IFERROR(H10/H4,""))</f>
        <v/>
      </c>
      <c r="I11" s="15">
        <f>IF(OR(I10="",I4=""),"",IFERROR(I10/I4,""))</f>
        <v/>
      </c>
      <c r="J11" s="15">
        <f>IF(OR(J10="",J4=""),"",IFERROR(J10/J4,""))</f>
        <v/>
      </c>
      <c r="K11" s="15">
        <f>IF(OR(K10="",K4=""),"",IFERROR(K10/K4,""))</f>
        <v/>
      </c>
      <c r="L11" s="15">
        <f>IF(OR(L10="",L4=""),"",IFERROR(L10/L4,""))</f>
        <v/>
      </c>
      <c r="M11" s="15">
        <f>IF(OR(M10="",M4=""),"",IFERROR(M10/M4,""))</f>
        <v/>
      </c>
      <c r="N11" s="15">
        <f>IF(OR(N10="",N4=""),"",IFERROR(N10/N4,""))</f>
        <v/>
      </c>
      <c r="O11" s="14">
        <f>IF(OR(O10="",O4=""),"",IFERROR(O10/O4,""))</f>
        <v/>
      </c>
      <c r="P11" s="15">
        <f>IF(OR(P10="",P4=""),"",IFERROR(P10/P4,""))</f>
        <v/>
      </c>
      <c r="Q11" s="15">
        <f>IF(OR(Q10="",Q4=""),"",IFERROR(Q10/Q4,""))</f>
        <v/>
      </c>
      <c r="R11" s="15">
        <f>IF(OR(R10="",R4=""),"",IFERROR(R10/R4,""))</f>
        <v/>
      </c>
      <c r="S11" s="15">
        <f>IF(OR(S10="",S4=""),"",IFERROR(S10/S4,""))</f>
        <v/>
      </c>
      <c r="T11" s="15">
        <f>IF(OR(T10="",T4=""),"",IFERROR(T10/T4,""))</f>
        <v/>
      </c>
      <c r="U11" s="15">
        <f>IF(OR(U10="",U4=""),"",IFERROR(U10/U4,""))</f>
        <v/>
      </c>
      <c r="V11" s="15">
        <f>IF(OR(V10="",V4=""),"",IFERROR(V10/V4,""))</f>
        <v/>
      </c>
      <c r="W11" s="15">
        <f>IF(OR(W10="",W4=""),"",IFERROR(W10/W4,""))</f>
        <v/>
      </c>
      <c r="X11" s="15">
        <f>IF(OR(X10="",X4=""),"",IFERROR(X10/X4,""))</f>
        <v/>
      </c>
      <c r="Y11" s="14">
        <f>IF(OR(Y10="",Y4=""),"",IFERROR(Y10/Y4,""))</f>
        <v/>
      </c>
      <c r="Z11" s="15">
        <f>IF(OR(Z10="",Z4=""),"",IFERROR(Z10/Z4,""))</f>
        <v/>
      </c>
      <c r="AA11" s="15">
        <f>IF(OR(AA10="",AA4=""),"",IFERROR(AA10/AA4,""))</f>
        <v/>
      </c>
      <c r="AB11" s="15">
        <f>IF(OR(AB10="",AB4=""),"",IFERROR(AB10/AB4,""))</f>
        <v/>
      </c>
      <c r="AC11" s="15">
        <f>IF(OR(AC10="",AC4=""),"",IFERROR(AC10/AC4,""))</f>
        <v/>
      </c>
    </row>
    <row r="12">
      <c r="A12" s="13" t="inlineStr">
        <is>
          <t>YoY</t>
        </is>
      </c>
      <c r="B12" s="10" t="n"/>
      <c r="C12" s="14" t="n"/>
      <c r="D12" s="15" t="n"/>
      <c r="E12" s="15" t="n"/>
      <c r="F12" s="15" t="n"/>
      <c r="G12" s="15">
        <f>IF(OR(G10="",C10=""),"",IFERROR(G10/C10-1,""))</f>
        <v/>
      </c>
      <c r="H12" s="15">
        <f>IF(OR(H10="",D10=""),"",IFERROR(H10/D10-1,""))</f>
        <v/>
      </c>
      <c r="I12" s="15">
        <f>IF(OR(I10="",E10=""),"",IFERROR(I10/E10-1,""))</f>
        <v/>
      </c>
      <c r="J12" s="15">
        <f>IF(OR(J10="",F10=""),"",IFERROR(J10/F10-1,""))</f>
        <v/>
      </c>
      <c r="K12" s="15">
        <f>IF(OR(K10="",G10=""),"",IFERROR(K10/G10-1,""))</f>
        <v/>
      </c>
      <c r="L12" s="15">
        <f>IF(OR(L10="",H10=""),"",IFERROR(L10/H10-1,""))</f>
        <v/>
      </c>
      <c r="M12" s="15">
        <f>IF(OR(M10="",I10=""),"",IFERROR(M10/I10-1,""))</f>
        <v/>
      </c>
      <c r="N12" s="15">
        <f>IF(OR(N10="",J10=""),"",IFERROR(N10/J10-1,""))</f>
        <v/>
      </c>
      <c r="O12" s="14" t="n"/>
      <c r="P12" s="15">
        <f>IF(OR(P10="",O10=""),"",IFERROR(P10/O10-1,""))</f>
        <v/>
      </c>
      <c r="Q12" s="15">
        <f>IF(OR(Q10="",P10=""),"",IFERROR(Q10/P10-1,""))</f>
        <v/>
      </c>
      <c r="R12" s="15">
        <f>IF(OR(R10="",Q10=""),"",IFERROR(R10/Q10-1,""))</f>
        <v/>
      </c>
      <c r="S12" s="15">
        <f>IF(OR(S10="",R10=""),"",IFERROR(S10/R10-1,""))</f>
        <v/>
      </c>
      <c r="T12" s="15">
        <f>IF(OR(T10="",S10=""),"",IFERROR(T10/S10-1,""))</f>
        <v/>
      </c>
      <c r="U12" s="15">
        <f>IF(OR(U10="",T10=""),"",IFERROR(U10/T10-1,""))</f>
        <v/>
      </c>
      <c r="V12" s="15">
        <f>IF(OR(V10="",U10=""),"",IFERROR(V10/U10-1,""))</f>
        <v/>
      </c>
      <c r="W12" s="15">
        <f>IF(OR(W10="",V10=""),"",IFERROR(W10/V10-1,""))</f>
        <v/>
      </c>
      <c r="X12" s="15">
        <f>IF(OR(X10="",W10=""),"",IFERROR(X10/W10-1,""))</f>
        <v/>
      </c>
      <c r="Y12" s="14">
        <f>IF(OR(Y10="",X10=""),"",IFERROR(Y10/X10-1,""))</f>
        <v/>
      </c>
      <c r="Z12" s="15">
        <f>IF(OR(Z10="",Y10=""),"",IFERROR(Z10/Y10-1,""))</f>
        <v/>
      </c>
      <c r="AA12" s="15">
        <f>IF(OR(AA10="",Z10=""),"",IFERROR(AA10/Z10-1,""))</f>
        <v/>
      </c>
      <c r="AB12" s="15">
        <f>IF(OR(AB10="",AA10=""),"",IFERROR(AB10/AA10-1,""))</f>
        <v/>
      </c>
      <c r="AC12" s="15">
        <f>IF(OR(AC10="",AB10=""),"",IFERROR(AC10/AB10-1,""))</f>
        <v/>
      </c>
    </row>
    <row r="13">
      <c r="A13" s="18" t="inlineStr">
        <is>
          <t>Food Business Reportable Segments</t>
        </is>
      </c>
      <c r="B13" s="10" t="n"/>
      <c r="C13" s="19" t="n">
        <v>10465</v>
      </c>
      <c r="D13" s="20" t="n">
        <v>10287</v>
      </c>
      <c r="E13" s="20" t="n">
        <v>8726</v>
      </c>
      <c r="F13" s="20" t="n">
        <v>8982</v>
      </c>
      <c r="G13" s="20" t="n">
        <v>9500</v>
      </c>
      <c r="H13" s="20" t="n">
        <v>9974</v>
      </c>
      <c r="I13" s="20" t="n">
        <v>9675</v>
      </c>
      <c r="J13" s="20" t="n">
        <v>10345</v>
      </c>
      <c r="K13" s="20" t="n">
        <v>10694</v>
      </c>
      <c r="L13" s="20" t="n">
        <v>10821</v>
      </c>
      <c r="M13" s="20" t="n">
        <v>10193</v>
      </c>
      <c r="N13" s="20" t="n">
        <v>11610</v>
      </c>
      <c r="O13" s="19" t="n"/>
      <c r="P13" s="20" t="n"/>
      <c r="Q13" s="20" t="n"/>
      <c r="R13" s="20" t="n"/>
      <c r="S13" s="20" t="n"/>
      <c r="T13" s="20" t="n"/>
      <c r="U13" s="20" t="n"/>
      <c r="V13" s="20" t="n">
        <v>40030</v>
      </c>
      <c r="W13" s="20" t="n">
        <v>38131</v>
      </c>
      <c r="X13" s="20" t="n">
        <v>42053</v>
      </c>
      <c r="Y13" s="21" t="n"/>
      <c r="Z13" s="22" t="n"/>
      <c r="AA13" s="22" t="n"/>
      <c r="AB13" s="22" t="n"/>
      <c r="AC13" s="22" t="n"/>
    </row>
    <row r="14">
      <c r="A14" s="13" t="inlineStr">
        <is>
          <t>비중</t>
        </is>
      </c>
      <c r="B14" s="10" t="n"/>
      <c r="C14" s="14">
        <f>IF(OR(C13="",C4=""),"",IFERROR(C13/C4,""))</f>
        <v/>
      </c>
      <c r="D14" s="15">
        <f>IF(OR(D13="",D4=""),"",IFERROR(D13/D4,""))</f>
        <v/>
      </c>
      <c r="E14" s="15">
        <f>IF(OR(E13="",E4=""),"",IFERROR(E13/E4,""))</f>
        <v/>
      </c>
      <c r="F14" s="15">
        <f>IF(OR(F13="",F4=""),"",IFERROR(F13/F4,""))</f>
        <v/>
      </c>
      <c r="G14" s="15">
        <f>IF(OR(G13="",G4=""),"",IFERROR(G13/G4,""))</f>
        <v/>
      </c>
      <c r="H14" s="15">
        <f>IF(OR(H13="",H4=""),"",IFERROR(H13/H4,""))</f>
        <v/>
      </c>
      <c r="I14" s="15">
        <f>IF(OR(I13="",I4=""),"",IFERROR(I13/I4,""))</f>
        <v/>
      </c>
      <c r="J14" s="15">
        <f>IF(OR(J13="",J4=""),"",IFERROR(J13/J4,""))</f>
        <v/>
      </c>
      <c r="K14" s="15">
        <f>IF(OR(K13="",K4=""),"",IFERROR(K13/K4,""))</f>
        <v/>
      </c>
      <c r="L14" s="15">
        <f>IF(OR(L13="",L4=""),"",IFERROR(L13/L4,""))</f>
        <v/>
      </c>
      <c r="M14" s="15">
        <f>IF(OR(M13="",M4=""),"",IFERROR(M13/M4,""))</f>
        <v/>
      </c>
      <c r="N14" s="15">
        <f>IF(OR(N13="",N4=""),"",IFERROR(N13/N4,""))</f>
        <v/>
      </c>
      <c r="O14" s="14">
        <f>IF(OR(O13="",O4=""),"",IFERROR(O13/O4,""))</f>
        <v/>
      </c>
      <c r="P14" s="15">
        <f>IF(OR(P13="",P4=""),"",IFERROR(P13/P4,""))</f>
        <v/>
      </c>
      <c r="Q14" s="15">
        <f>IF(OR(Q13="",Q4=""),"",IFERROR(Q13/Q4,""))</f>
        <v/>
      </c>
      <c r="R14" s="15">
        <f>IF(OR(R13="",R4=""),"",IFERROR(R13/R4,""))</f>
        <v/>
      </c>
      <c r="S14" s="15">
        <f>IF(OR(S13="",S4=""),"",IFERROR(S13/S4,""))</f>
        <v/>
      </c>
      <c r="T14" s="15">
        <f>IF(OR(T13="",T4=""),"",IFERROR(T13/T4,""))</f>
        <v/>
      </c>
      <c r="U14" s="15">
        <f>IF(OR(U13="",U4=""),"",IFERROR(U13/U4,""))</f>
        <v/>
      </c>
      <c r="V14" s="15">
        <f>IF(OR(V13="",V4=""),"",IFERROR(V13/V4,""))</f>
        <v/>
      </c>
      <c r="W14" s="15">
        <f>IF(OR(W13="",W4=""),"",IFERROR(W13/W4,""))</f>
        <v/>
      </c>
      <c r="X14" s="15">
        <f>IF(OR(X13="",X4=""),"",IFERROR(X13/X4,""))</f>
        <v/>
      </c>
      <c r="Y14" s="14">
        <f>IF(OR(Y13="",Y4=""),"",IFERROR(Y13/Y4,""))</f>
        <v/>
      </c>
      <c r="Z14" s="15">
        <f>IF(OR(Z13="",Z4=""),"",IFERROR(Z13/Z4,""))</f>
        <v/>
      </c>
      <c r="AA14" s="15">
        <f>IF(OR(AA13="",AA4=""),"",IFERROR(AA13/AA4,""))</f>
        <v/>
      </c>
      <c r="AB14" s="15">
        <f>IF(OR(AB13="",AB4=""),"",IFERROR(AB13/AB4,""))</f>
        <v/>
      </c>
      <c r="AC14" s="15">
        <f>IF(OR(AC13="",AC4=""),"",IFERROR(AC13/AC4,""))</f>
        <v/>
      </c>
    </row>
    <row r="15">
      <c r="A15" s="13" t="inlineStr">
        <is>
          <t>YoY</t>
        </is>
      </c>
      <c r="B15" s="10" t="n"/>
      <c r="C15" s="14" t="n"/>
      <c r="D15" s="15" t="n"/>
      <c r="E15" s="15" t="n"/>
      <c r="F15" s="15" t="n"/>
      <c r="G15" s="15">
        <f>IF(OR(G13="",C13=""),"",IFERROR(G13/C13-1,""))</f>
        <v/>
      </c>
      <c r="H15" s="15">
        <f>IF(OR(H13="",D13=""),"",IFERROR(H13/D13-1,""))</f>
        <v/>
      </c>
      <c r="I15" s="15">
        <f>IF(OR(I13="",E13=""),"",IFERROR(I13/E13-1,""))</f>
        <v/>
      </c>
      <c r="J15" s="15">
        <f>IF(OR(J13="",F13=""),"",IFERROR(J13/F13-1,""))</f>
        <v/>
      </c>
      <c r="K15" s="15">
        <f>IF(OR(K13="",G13=""),"",IFERROR(K13/G13-1,""))</f>
        <v/>
      </c>
      <c r="L15" s="15">
        <f>IF(OR(L13="",H13=""),"",IFERROR(L13/H13-1,""))</f>
        <v/>
      </c>
      <c r="M15" s="15">
        <f>IF(OR(M13="",I13=""),"",IFERROR(M13/I13-1,""))</f>
        <v/>
      </c>
      <c r="N15" s="15">
        <f>IF(OR(N13="",J13=""),"",IFERROR(N13/J13-1,""))</f>
        <v/>
      </c>
      <c r="O15" s="14" t="n"/>
      <c r="P15" s="15">
        <f>IF(OR(P13="",O13=""),"",IFERROR(P13/O13-1,""))</f>
        <v/>
      </c>
      <c r="Q15" s="15">
        <f>IF(OR(Q13="",P13=""),"",IFERROR(Q13/P13-1,""))</f>
        <v/>
      </c>
      <c r="R15" s="15">
        <f>IF(OR(R13="",Q13=""),"",IFERROR(R13/Q13-1,""))</f>
        <v/>
      </c>
      <c r="S15" s="15">
        <f>IF(OR(S13="",R13=""),"",IFERROR(S13/R13-1,""))</f>
        <v/>
      </c>
      <c r="T15" s="15">
        <f>IF(OR(T13="",S13=""),"",IFERROR(T13/S13-1,""))</f>
        <v/>
      </c>
      <c r="U15" s="15">
        <f>IF(OR(U13="",T13=""),"",IFERROR(U13/T13-1,""))</f>
        <v/>
      </c>
      <c r="V15" s="15">
        <f>IF(OR(V13="",U13=""),"",IFERROR(V13/U13-1,""))</f>
        <v/>
      </c>
      <c r="W15" s="15">
        <f>IF(OR(W13="",V13=""),"",IFERROR(W13/V13-1,""))</f>
        <v/>
      </c>
      <c r="X15" s="15">
        <f>IF(OR(X13="",W13=""),"",IFERROR(X13/W13-1,""))</f>
        <v/>
      </c>
      <c r="Y15" s="14">
        <f>IF(OR(Y13="",X13=""),"",IFERROR(Y13/X13-1,""))</f>
        <v/>
      </c>
      <c r="Z15" s="15">
        <f>IF(OR(Z13="",Y13=""),"",IFERROR(Z13/Y13-1,""))</f>
        <v/>
      </c>
      <c r="AA15" s="15">
        <f>IF(OR(AA13="",Z13=""),"",IFERROR(AA13/Z13-1,""))</f>
        <v/>
      </c>
      <c r="AB15" s="15">
        <f>IF(OR(AB13="",AA13=""),"",IFERROR(AB13/AA13-1,""))</f>
        <v/>
      </c>
      <c r="AC15" s="15">
        <f>IF(OR(AC13="",AB13=""),"",IFERROR(AC13/AB13-1,""))</f>
        <v/>
      </c>
    </row>
    <row r="16">
      <c r="A16" s="18" t="inlineStr">
        <is>
          <t>기타</t>
        </is>
      </c>
      <c r="B16" s="10" t="n"/>
      <c r="C16" s="19" t="n">
        <v>2</v>
      </c>
      <c r="D16" s="20" t="n">
        <v>3</v>
      </c>
      <c r="E16" s="20" t="n">
        <v>3</v>
      </c>
      <c r="F16" s="20" t="n">
        <v>3</v>
      </c>
      <c r="G16" s="20" t="n">
        <v>3</v>
      </c>
      <c r="H16" s="20" t="n">
        <v>5</v>
      </c>
      <c r="I16" s="20" t="n">
        <v>3</v>
      </c>
      <c r="J16" s="20" t="n">
        <v>3</v>
      </c>
      <c r="K16" s="20" t="n">
        <v>3</v>
      </c>
      <c r="L16" s="20" t="n">
        <v>4</v>
      </c>
      <c r="M16" s="20" t="n">
        <v>3</v>
      </c>
      <c r="N16" s="20" t="n">
        <v>1</v>
      </c>
      <c r="O16" s="19" t="n"/>
      <c r="P16" s="20" t="n"/>
      <c r="Q16" s="20" t="n"/>
      <c r="R16" s="20" t="n"/>
      <c r="S16" s="20" t="n"/>
      <c r="T16" s="20" t="n"/>
      <c r="U16" s="20" t="n"/>
      <c r="V16" s="20" t="n">
        <v>10</v>
      </c>
      <c r="W16" s="20" t="n">
        <v>14</v>
      </c>
      <c r="X16" s="20" t="n">
        <v>13</v>
      </c>
      <c r="Y16" s="21" t="n"/>
      <c r="Z16" s="22" t="n"/>
      <c r="AA16" s="22" t="n"/>
      <c r="AB16" s="22" t="n"/>
      <c r="AC16" s="22" t="n"/>
    </row>
    <row r="17">
      <c r="A17" s="13" t="inlineStr">
        <is>
          <t>비중</t>
        </is>
      </c>
      <c r="B17" s="10" t="n"/>
      <c r="C17" s="14">
        <f>IF(OR(C16="",C4=""),"",IFERROR(C16/C4,""))</f>
        <v/>
      </c>
      <c r="D17" s="15">
        <f>IF(OR(D16="",D4=""),"",IFERROR(D16/D4,""))</f>
        <v/>
      </c>
      <c r="E17" s="15">
        <f>IF(OR(E16="",E4=""),"",IFERROR(E16/E4,""))</f>
        <v/>
      </c>
      <c r="F17" s="15">
        <f>IF(OR(F16="",F4=""),"",IFERROR(F16/F4,""))</f>
        <v/>
      </c>
      <c r="G17" s="15">
        <f>IF(OR(G16="",G4=""),"",IFERROR(G16/G4,""))</f>
        <v/>
      </c>
      <c r="H17" s="15">
        <f>IF(OR(H16="",H4=""),"",IFERROR(H16/H4,""))</f>
        <v/>
      </c>
      <c r="I17" s="15">
        <f>IF(OR(I16="",I4=""),"",IFERROR(I16/I4,""))</f>
        <v/>
      </c>
      <c r="J17" s="15">
        <f>IF(OR(J16="",J4=""),"",IFERROR(J16/J4,""))</f>
        <v/>
      </c>
      <c r="K17" s="15">
        <f>IF(OR(K16="",K4=""),"",IFERROR(K16/K4,""))</f>
        <v/>
      </c>
      <c r="L17" s="15">
        <f>IF(OR(L16="",L4=""),"",IFERROR(L16/L4,""))</f>
        <v/>
      </c>
      <c r="M17" s="15">
        <f>IF(OR(M16="",M4=""),"",IFERROR(M16/M4,""))</f>
        <v/>
      </c>
      <c r="N17" s="15">
        <f>IF(OR(N16="",N4=""),"",IFERROR(N16/N4,""))</f>
        <v/>
      </c>
      <c r="O17" s="14">
        <f>IF(OR(O16="",O4=""),"",IFERROR(O16/O4,""))</f>
        <v/>
      </c>
      <c r="P17" s="15">
        <f>IF(OR(P16="",P4=""),"",IFERROR(P16/P4,""))</f>
        <v/>
      </c>
      <c r="Q17" s="15">
        <f>IF(OR(Q16="",Q4=""),"",IFERROR(Q16/Q4,""))</f>
        <v/>
      </c>
      <c r="R17" s="15">
        <f>IF(OR(R16="",R4=""),"",IFERROR(R16/R4,""))</f>
        <v/>
      </c>
      <c r="S17" s="15">
        <f>IF(OR(S16="",S4=""),"",IFERROR(S16/S4,""))</f>
        <v/>
      </c>
      <c r="T17" s="15">
        <f>IF(OR(T16="",T4=""),"",IFERROR(T16/T4,""))</f>
        <v/>
      </c>
      <c r="U17" s="15">
        <f>IF(OR(U16="",U4=""),"",IFERROR(U16/U4,""))</f>
        <v/>
      </c>
      <c r="V17" s="15">
        <f>IF(OR(V16="",V4=""),"",IFERROR(V16/V4,""))</f>
        <v/>
      </c>
      <c r="W17" s="15">
        <f>IF(OR(W16="",W4=""),"",IFERROR(W16/W4,""))</f>
        <v/>
      </c>
      <c r="X17" s="15">
        <f>IF(OR(X16="",X4=""),"",IFERROR(X16/X4,""))</f>
        <v/>
      </c>
      <c r="Y17" s="14">
        <f>IF(OR(Y16="",Y4=""),"",IFERROR(Y16/Y4,""))</f>
        <v/>
      </c>
      <c r="Z17" s="15">
        <f>IF(OR(Z16="",Z4=""),"",IFERROR(Z16/Z4,""))</f>
        <v/>
      </c>
      <c r="AA17" s="15">
        <f>IF(OR(AA16="",AA4=""),"",IFERROR(AA16/AA4,""))</f>
        <v/>
      </c>
      <c r="AB17" s="15">
        <f>IF(OR(AB16="",AB4=""),"",IFERROR(AB16/AB4,""))</f>
        <v/>
      </c>
      <c r="AC17" s="15">
        <f>IF(OR(AC16="",AC4=""),"",IFERROR(AC16/AC4,""))</f>
        <v/>
      </c>
    </row>
    <row r="18">
      <c r="A18" s="13" t="inlineStr">
        <is>
          <t>YoY</t>
        </is>
      </c>
      <c r="B18" s="10" t="n"/>
      <c r="C18" s="14" t="n"/>
      <c r="D18" s="15" t="n"/>
      <c r="E18" s="15" t="n"/>
      <c r="F18" s="15" t="n"/>
      <c r="G18" s="15">
        <f>IF(OR(G16="",C16=""),"",IFERROR(G16/C16-1,""))</f>
        <v/>
      </c>
      <c r="H18" s="15">
        <f>IF(OR(H16="",D16=""),"",IFERROR(H16/D16-1,""))</f>
        <v/>
      </c>
      <c r="I18" s="15">
        <f>IF(OR(I16="",E16=""),"",IFERROR(I16/E16-1,""))</f>
        <v/>
      </c>
      <c r="J18" s="15">
        <f>IF(OR(J16="",F16=""),"",IFERROR(J16/F16-1,""))</f>
        <v/>
      </c>
      <c r="K18" s="15">
        <f>IF(OR(K16="",G16=""),"",IFERROR(K16/G16-1,""))</f>
        <v/>
      </c>
      <c r="L18" s="15">
        <f>IF(OR(L16="",H16=""),"",IFERROR(L16/H16-1,""))</f>
        <v/>
      </c>
      <c r="M18" s="15">
        <f>IF(OR(M16="",I16=""),"",IFERROR(M16/I16-1,""))</f>
        <v/>
      </c>
      <c r="N18" s="15">
        <f>IF(OR(N16="",J16=""),"",IFERROR(N16/J16-1,""))</f>
        <v/>
      </c>
      <c r="O18" s="14" t="n"/>
      <c r="P18" s="15">
        <f>IF(OR(P16="",O16=""),"",IFERROR(P16/O16-1,""))</f>
        <v/>
      </c>
      <c r="Q18" s="15">
        <f>IF(OR(Q16="",P16=""),"",IFERROR(Q16/P16-1,""))</f>
        <v/>
      </c>
      <c r="R18" s="15">
        <f>IF(OR(R16="",Q16=""),"",IFERROR(R16/Q16-1,""))</f>
        <v/>
      </c>
      <c r="S18" s="15">
        <f>IF(OR(S16="",R16=""),"",IFERROR(S16/R16-1,""))</f>
        <v/>
      </c>
      <c r="T18" s="15">
        <f>IF(OR(T16="",S16=""),"",IFERROR(T16/S16-1,""))</f>
        <v/>
      </c>
      <c r="U18" s="15">
        <f>IF(OR(U16="",T16=""),"",IFERROR(U16/T16-1,""))</f>
        <v/>
      </c>
      <c r="V18" s="15">
        <f>IF(OR(V16="",U16=""),"",IFERROR(V16/U16-1,""))</f>
        <v/>
      </c>
      <c r="W18" s="15">
        <f>IF(OR(W16="",V16=""),"",IFERROR(W16/V16-1,""))</f>
        <v/>
      </c>
      <c r="X18" s="15">
        <f>IF(OR(X16="",W16=""),"",IFERROR(X16/W16-1,""))</f>
        <v/>
      </c>
      <c r="Y18" s="14">
        <f>IF(OR(Y16="",X16=""),"",IFERROR(Y16/X16-1,""))</f>
        <v/>
      </c>
      <c r="Z18" s="15">
        <f>IF(OR(Z16="",Y16=""),"",IFERROR(Z16/Y16-1,""))</f>
        <v/>
      </c>
      <c r="AA18" s="15">
        <f>IF(OR(AA16="",Z16=""),"",IFERROR(AA16/Z16-1,""))</f>
        <v/>
      </c>
      <c r="AB18" s="15">
        <f>IF(OR(AB16="",AA16=""),"",IFERROR(AB16/AA16-1,""))</f>
        <v/>
      </c>
      <c r="AC18" s="15">
        <f>IF(OR(AC16="",AB16=""),"",IFERROR(AC16/AB16-1,""))</f>
        <v/>
      </c>
    </row>
    <row r="19">
      <c r="A19" s="16" t="inlineStr">
        <is>
          <t>매출원가</t>
        </is>
      </c>
      <c r="B19" s="16" t="n"/>
      <c r="C19" s="17" t="n"/>
      <c r="D19" s="16" t="n"/>
      <c r="E19" s="16" t="n"/>
      <c r="F19" s="16" t="n"/>
      <c r="G19" s="16" t="n"/>
      <c r="H19" s="16" t="n"/>
      <c r="I19" s="16" t="n"/>
      <c r="J19" s="16" t="n"/>
      <c r="K19" s="16" t="n"/>
      <c r="L19" s="16" t="n"/>
      <c r="M19" s="16" t="n"/>
      <c r="N19" s="16" t="n"/>
      <c r="O19" s="17" t="n"/>
      <c r="P19" s="16" t="n"/>
      <c r="Q19" s="16" t="n"/>
      <c r="R19" s="16" t="n"/>
      <c r="S19" s="16" t="n"/>
      <c r="T19" s="16" t="n"/>
      <c r="U19" s="16" t="n"/>
      <c r="V19" s="16" t="n"/>
      <c r="W19" s="16" t="n"/>
      <c r="X19" s="16" t="n"/>
      <c r="Y19" s="17" t="n"/>
      <c r="Z19" s="16" t="n"/>
      <c r="AA19" s="16" t="n"/>
      <c r="AB19" s="16" t="n"/>
      <c r="AC19" s="16" t="n"/>
    </row>
    <row r="20">
      <c r="A20" s="18" t="inlineStr">
        <is>
          <t>전체 매출원가</t>
        </is>
      </c>
      <c r="B20" s="10" t="n"/>
      <c r="C20" s="19" t="n">
        <v>69719</v>
      </c>
      <c r="D20" s="20" t="n">
        <v>73546</v>
      </c>
      <c r="E20" s="20" t="n">
        <v>66786</v>
      </c>
      <c r="F20" s="20" t="n">
        <v>66483</v>
      </c>
      <c r="G20" s="20" t="n">
        <v>65671</v>
      </c>
      <c r="H20" s="20" t="n">
        <v>69650</v>
      </c>
      <c r="I20" s="20" t="n">
        <v>62367</v>
      </c>
      <c r="J20" s="20" t="n">
        <v>64111</v>
      </c>
      <c r="K20" s="20" t="n">
        <v>62246</v>
      </c>
      <c r="L20" s="20" t="n">
        <v>67575</v>
      </c>
      <c r="M20" s="20" t="n">
        <v>62896</v>
      </c>
      <c r="N20" s="20" t="n">
        <v>69818</v>
      </c>
      <c r="O20" s="19" t="n">
        <v>182917</v>
      </c>
      <c r="P20" s="20" t="n">
        <v>183629</v>
      </c>
      <c r="Q20" s="20" t="n">
        <v>189757</v>
      </c>
      <c r="R20" s="20" t="n">
        <v>191401</v>
      </c>
      <c r="S20" s="20" t="n">
        <v>192163</v>
      </c>
      <c r="T20" s="20" t="n">
        <v>220490</v>
      </c>
      <c r="U20" s="20" t="n">
        <v>285218</v>
      </c>
      <c r="V20" s="20" t="n">
        <v>283153</v>
      </c>
      <c r="W20" s="20" t="n">
        <v>264171</v>
      </c>
      <c r="X20" s="20" t="n">
        <v>256828</v>
      </c>
      <c r="Y20" s="19" t="n"/>
      <c r="Z20" s="20" t="n"/>
      <c r="AA20" s="20" t="n"/>
      <c r="AB20" s="20" t="n"/>
      <c r="AC20" s="20" t="n"/>
    </row>
    <row r="21">
      <c r="A21" s="18" t="inlineStr">
        <is>
          <t>매출총이익</t>
        </is>
      </c>
      <c r="B21" s="10" t="n"/>
      <c r="C21" s="19">
        <f>IF(OR(C4="",C20=""),"",IFERROR(C4-C20,""))</f>
        <v/>
      </c>
      <c r="D21" s="20">
        <f>IF(OR(D4="",D20=""),"",IFERROR(D4-D20,""))</f>
        <v/>
      </c>
      <c r="E21" s="20">
        <f>IF(OR(E4="",E20=""),"",IFERROR(E4-E20,""))</f>
        <v/>
      </c>
      <c r="F21" s="20">
        <f>IF(OR(F4="",F20=""),"",IFERROR(F4-F20,""))</f>
        <v/>
      </c>
      <c r="G21" s="20">
        <f>IF(OR(G4="",G20=""),"",IFERROR(G4-G20,""))</f>
        <v/>
      </c>
      <c r="H21" s="20">
        <f>IF(OR(H4="",H20=""),"",IFERROR(H4-H20,""))</f>
        <v/>
      </c>
      <c r="I21" s="20">
        <f>IF(OR(I4="",I20=""),"",IFERROR(I4-I20,""))</f>
        <v/>
      </c>
      <c r="J21" s="20">
        <f>IF(OR(J4="",J20=""),"",IFERROR(J4-J20,""))</f>
        <v/>
      </c>
      <c r="K21" s="20">
        <f>IF(OR(K4="",K20=""),"",IFERROR(K4-K20,""))</f>
        <v/>
      </c>
      <c r="L21" s="20">
        <f>IF(OR(L4="",L20=""),"",IFERROR(L4-L20,""))</f>
        <v/>
      </c>
      <c r="M21" s="20">
        <f>IF(OR(M4="",M20=""),"",IFERROR(M4-M20,""))</f>
        <v/>
      </c>
      <c r="N21" s="20">
        <f>IF(OR(N4="",N20=""),"",IFERROR(N4-N20,""))</f>
        <v/>
      </c>
      <c r="O21" s="19">
        <f>IF(OR(O4="",O20=""),"",IFERROR(O4-O20,""))</f>
        <v/>
      </c>
      <c r="P21" s="20">
        <f>IF(OR(P4="",P20=""),"",IFERROR(P4-P20,""))</f>
        <v/>
      </c>
      <c r="Q21" s="20">
        <f>IF(OR(Q4="",Q20=""),"",IFERROR(Q4-Q20,""))</f>
        <v/>
      </c>
      <c r="R21" s="20">
        <f>IF(OR(R4="",R20=""),"",IFERROR(R4-R20,""))</f>
        <v/>
      </c>
      <c r="S21" s="20">
        <f>IF(OR(S4="",S20=""),"",IFERROR(S4-S20,""))</f>
        <v/>
      </c>
      <c r="T21" s="20">
        <f>IF(OR(T4="",T20=""),"",IFERROR(T4-T20,""))</f>
        <v/>
      </c>
      <c r="U21" s="20">
        <f>IF(OR(U4="",U20=""),"",IFERROR(U4-U20,""))</f>
        <v/>
      </c>
      <c r="V21" s="20">
        <f>IF(OR(V4="",V20=""),"",IFERROR(V4-V20,""))</f>
        <v/>
      </c>
      <c r="W21" s="20">
        <f>IF(OR(W4="",W20=""),"",IFERROR(W4-W20,""))</f>
        <v/>
      </c>
      <c r="X21" s="20">
        <f>IF(OR(X4="",X20=""),"",IFERROR(X4-X20,""))</f>
        <v/>
      </c>
      <c r="Y21" s="19" t="n"/>
      <c r="Z21" s="20" t="n"/>
      <c r="AA21" s="20" t="n"/>
      <c r="AB21" s="20" t="n"/>
      <c r="AC21" s="20" t="n"/>
    </row>
    <row r="22">
      <c r="A22" s="13" t="inlineStr">
        <is>
          <t>GPM</t>
        </is>
      </c>
      <c r="B22" s="10" t="n"/>
      <c r="C22" s="14">
        <f>IF(OR(C21="",C4=""),"",IFERROR(C21/C4,""))</f>
        <v/>
      </c>
      <c r="D22" s="15">
        <f>IF(OR(D21="",D4=""),"",IFERROR(D21/D4,""))</f>
        <v/>
      </c>
      <c r="E22" s="15">
        <f>IF(OR(E21="",E4=""),"",IFERROR(E21/E4,""))</f>
        <v/>
      </c>
      <c r="F22" s="15">
        <f>IF(OR(F21="",F4=""),"",IFERROR(F21/F4,""))</f>
        <v/>
      </c>
      <c r="G22" s="15">
        <f>IF(OR(G21="",G4=""),"",IFERROR(G21/G4,""))</f>
        <v/>
      </c>
      <c r="H22" s="15">
        <f>IF(OR(H21="",H4=""),"",IFERROR(H21/H4,""))</f>
        <v/>
      </c>
      <c r="I22" s="15">
        <f>IF(OR(I21="",I4=""),"",IFERROR(I21/I4,""))</f>
        <v/>
      </c>
      <c r="J22" s="15">
        <f>IF(OR(J21="",J4=""),"",IFERROR(J21/J4,""))</f>
        <v/>
      </c>
      <c r="K22" s="15">
        <f>IF(OR(K21="",K4=""),"",IFERROR(K21/K4,""))</f>
        <v/>
      </c>
      <c r="L22" s="15">
        <f>IF(OR(L21="",L4=""),"",IFERROR(L21/L4,""))</f>
        <v/>
      </c>
      <c r="M22" s="15">
        <f>IF(OR(M21="",M4=""),"",IFERROR(M21/M4,""))</f>
        <v/>
      </c>
      <c r="N22" s="15">
        <f>IF(OR(N21="",N4=""),"",IFERROR(N21/N4,""))</f>
        <v/>
      </c>
      <c r="O22" s="14">
        <f>IF(OR(O21="",O4=""),"",IFERROR(O21/O4,""))</f>
        <v/>
      </c>
      <c r="P22" s="15">
        <f>IF(OR(P21="",P4=""),"",IFERROR(P21/P4,""))</f>
        <v/>
      </c>
      <c r="Q22" s="15">
        <f>IF(OR(Q21="",Q4=""),"",IFERROR(Q21/Q4,""))</f>
        <v/>
      </c>
      <c r="R22" s="15">
        <f>IF(OR(R21="",R4=""),"",IFERROR(R21/R4,""))</f>
        <v/>
      </c>
      <c r="S22" s="15">
        <f>IF(OR(S21="",S4=""),"",IFERROR(S21/S4,""))</f>
        <v/>
      </c>
      <c r="T22" s="15">
        <f>IF(OR(T21="",T4=""),"",IFERROR(T21/T4,""))</f>
        <v/>
      </c>
      <c r="U22" s="15">
        <f>IF(OR(U21="",U4=""),"",IFERROR(U21/U4,""))</f>
        <v/>
      </c>
      <c r="V22" s="15">
        <f>IF(OR(V21="",V4=""),"",IFERROR(V21/V4,""))</f>
        <v/>
      </c>
      <c r="W22" s="15">
        <f>IF(OR(W21="",W4=""),"",IFERROR(W21/W4,""))</f>
        <v/>
      </c>
      <c r="X22" s="15">
        <f>IF(OR(X21="",X4=""),"",IFERROR(X21/X4,""))</f>
        <v/>
      </c>
      <c r="Y22" s="14">
        <f>IF(OR(Y21="",Y4=""),"",IFERROR(Y21/Y4,""))</f>
        <v/>
      </c>
      <c r="Z22" s="15">
        <f>IF(OR(Z21="",Z4=""),"",IFERROR(Z21/Z4,""))</f>
        <v/>
      </c>
      <c r="AA22" s="15">
        <f>IF(OR(AA21="",AA4=""),"",IFERROR(AA21/AA4,""))</f>
        <v/>
      </c>
      <c r="AB22" s="15">
        <f>IF(OR(AB21="",AB4=""),"",IFERROR(AB21/AB4,""))</f>
        <v/>
      </c>
      <c r="AC22" s="15">
        <f>IF(OR(AC21="",AC4=""),"",IFERROR(AC21/AC4,""))</f>
        <v/>
      </c>
    </row>
    <row r="23">
      <c r="A23" s="23" t="inlineStr">
        <is>
          <t>판매관리비</t>
        </is>
      </c>
      <c r="B23" s="23" t="n"/>
      <c r="C23" s="24" t="n"/>
      <c r="D23" s="23" t="n"/>
      <c r="E23" s="23" t="n"/>
      <c r="F23" s="23" t="n"/>
      <c r="G23" s="23" t="n"/>
      <c r="H23" s="23" t="n"/>
      <c r="I23" s="23" t="n"/>
      <c r="J23" s="23" t="n"/>
      <c r="K23" s="23" t="n"/>
      <c r="L23" s="23" t="n"/>
      <c r="M23" s="23" t="n"/>
      <c r="N23" s="23" t="n"/>
      <c r="O23" s="24" t="n"/>
      <c r="P23" s="23" t="n"/>
      <c r="Q23" s="23" t="n"/>
      <c r="R23" s="23" t="n"/>
      <c r="S23" s="23" t="n"/>
      <c r="T23" s="23" t="n"/>
      <c r="U23" s="23" t="n"/>
      <c r="V23" s="23" t="n"/>
      <c r="W23" s="23" t="n"/>
      <c r="X23" s="23" t="n"/>
      <c r="Y23" s="24" t="n"/>
      <c r="Z23" s="23" t="n"/>
      <c r="AA23" s="23" t="n"/>
      <c r="AB23" s="23" t="n"/>
      <c r="AC23" s="23" t="n"/>
    </row>
    <row r="24">
      <c r="A24" s="18" t="inlineStr">
        <is>
          <t>전체 판관비</t>
        </is>
      </c>
      <c r="B24" s="10" t="n"/>
      <c r="C24" s="19" t="n">
        <v>5487</v>
      </c>
      <c r="D24" s="20" t="n">
        <v>5958</v>
      </c>
      <c r="E24" s="20" t="n">
        <v>6034</v>
      </c>
      <c r="F24" s="20" t="n">
        <v>6507</v>
      </c>
      <c r="G24" s="20" t="n">
        <v>6280</v>
      </c>
      <c r="H24" s="20" t="n">
        <v>6657</v>
      </c>
      <c r="I24" s="20" t="n">
        <v>6087</v>
      </c>
      <c r="J24" s="20" t="n">
        <v>6385</v>
      </c>
      <c r="K24" s="20" t="n">
        <v>6345</v>
      </c>
      <c r="L24" s="20" t="n">
        <v>6777</v>
      </c>
      <c r="M24" s="20" t="n">
        <v>6248</v>
      </c>
      <c r="N24" s="20" t="n">
        <v>6484</v>
      </c>
      <c r="O24" s="19" t="n">
        <v>20171</v>
      </c>
      <c r="P24" s="20" t="n">
        <v>20225</v>
      </c>
      <c r="Q24" s="20" t="n">
        <v>19005</v>
      </c>
      <c r="R24" s="20" t="n">
        <v>18234</v>
      </c>
      <c r="S24" s="20" t="n">
        <v>16284</v>
      </c>
      <c r="T24" s="20" t="n">
        <v>18418</v>
      </c>
      <c r="U24" s="20" t="n">
        <v>21270</v>
      </c>
      <c r="V24" s="20" t="n">
        <v>22972</v>
      </c>
      <c r="W24" s="20" t="n">
        <v>25531</v>
      </c>
      <c r="X24" s="20" t="n">
        <v>25755</v>
      </c>
      <c r="Y24" s="19" t="n"/>
      <c r="Z24" s="20" t="n"/>
      <c r="AA24" s="20" t="n"/>
      <c r="AB24" s="20" t="n"/>
      <c r="AC24" s="20" t="n"/>
    </row>
    <row r="25">
      <c r="A25" s="9" t="inlineStr">
        <is>
          <t>영업이익</t>
        </is>
      </c>
      <c r="B25" s="10" t="inlineStr">
        <is>
          <t>MW = 매출 × OPM</t>
        </is>
      </c>
      <c r="C25" s="11" t="n">
        <v>1658</v>
      </c>
      <c r="D25" s="12" t="n">
        <v>2219</v>
      </c>
      <c r="E25" s="12" t="n">
        <v>2685</v>
      </c>
      <c r="F25" s="12" t="n">
        <v>1297</v>
      </c>
      <c r="G25" s="12" t="n">
        <v>2058</v>
      </c>
      <c r="H25" s="12" t="n">
        <v>916</v>
      </c>
      <c r="I25" s="12" t="n">
        <v>2072</v>
      </c>
      <c r="J25" s="12" t="n">
        <v>1476</v>
      </c>
      <c r="K25" s="12" t="n">
        <v>1781</v>
      </c>
      <c r="L25" s="12" t="n">
        <v>2375</v>
      </c>
      <c r="M25" s="12" t="n">
        <v>2459</v>
      </c>
      <c r="N25" s="12" t="n">
        <v>2140</v>
      </c>
      <c r="O25" s="11" t="n">
        <v>4831</v>
      </c>
      <c r="P25" s="12" t="n">
        <v>3706</v>
      </c>
      <c r="Q25" s="12" t="n">
        <v>4123</v>
      </c>
      <c r="R25" s="12" t="n">
        <v>5414</v>
      </c>
      <c r="S25" s="12" t="n">
        <v>5672</v>
      </c>
      <c r="T25" s="12" t="n">
        <v>4293</v>
      </c>
      <c r="U25" s="12" t="n">
        <v>1422</v>
      </c>
      <c r="V25" s="12" t="n">
        <v>7748</v>
      </c>
      <c r="W25" s="12" t="n">
        <v>6343</v>
      </c>
      <c r="X25" s="12" t="n">
        <v>8091</v>
      </c>
      <c r="Y25" s="11">
        <f>IF(OR(Y4="",Y26=""),"",IFERROR(Y4*Y26,""))</f>
        <v/>
      </c>
      <c r="Z25" s="12">
        <f>IF(OR(Z4="",Z26=""),"",IFERROR(Z4*Z26,""))</f>
        <v/>
      </c>
      <c r="AA25" s="12">
        <f>IF(OR(AA4="",AA26=""),"",IFERROR(AA4*AA26,""))</f>
        <v/>
      </c>
      <c r="AB25" s="12">
        <f>IF(OR(AB4="",AB26=""),"",IFERROR(AB4*AB26,""))</f>
        <v/>
      </c>
      <c r="AC25" s="12">
        <f>IF(OR(AC4="",AC26=""),"",IFERROR(AC4*AC26,""))</f>
        <v/>
      </c>
    </row>
    <row r="26">
      <c r="A26" s="13" t="inlineStr">
        <is>
          <t>OPM</t>
        </is>
      </c>
      <c r="B26" s="10" t="inlineStr">
        <is>
          <t>MW 입력</t>
        </is>
      </c>
      <c r="C26" s="14">
        <f>IF(OR(C25="",C4=""),"",IFERROR(C25/C4,""))</f>
        <v/>
      </c>
      <c r="D26" s="15">
        <f>IF(OR(D25="",D4=""),"",IFERROR(D25/D4,""))</f>
        <v/>
      </c>
      <c r="E26" s="15">
        <f>IF(OR(E25="",E4=""),"",IFERROR(E25/E4,""))</f>
        <v/>
      </c>
      <c r="F26" s="15">
        <f>IF(OR(F25="",F4=""),"",IFERROR(F25/F4,""))</f>
        <v/>
      </c>
      <c r="G26" s="15">
        <f>IF(OR(G25="",G4=""),"",IFERROR(G25/G4,""))</f>
        <v/>
      </c>
      <c r="H26" s="15">
        <f>IF(OR(H25="",H4=""),"",IFERROR(H25/H4,""))</f>
        <v/>
      </c>
      <c r="I26" s="15">
        <f>IF(OR(I25="",I4=""),"",IFERROR(I25/I4,""))</f>
        <v/>
      </c>
      <c r="J26" s="15">
        <f>IF(OR(J25="",J4=""),"",IFERROR(J25/J4,""))</f>
        <v/>
      </c>
      <c r="K26" s="15">
        <f>IF(OR(K25="",K4=""),"",IFERROR(K25/K4,""))</f>
        <v/>
      </c>
      <c r="L26" s="15">
        <f>IF(OR(L25="",L4=""),"",IFERROR(L25/L4,""))</f>
        <v/>
      </c>
      <c r="M26" s="15">
        <f>IF(OR(M25="",M4=""),"",IFERROR(M25/M4,""))</f>
        <v/>
      </c>
      <c r="N26" s="15">
        <f>IF(OR(N25="",N4=""),"",IFERROR(N25/N4,""))</f>
        <v/>
      </c>
      <c r="O26" s="14">
        <f>IF(OR(O25="",O4=""),"",IFERROR(O25/O4,""))</f>
        <v/>
      </c>
      <c r="P26" s="15">
        <f>IF(OR(P25="",P4=""),"",IFERROR(P25/P4,""))</f>
        <v/>
      </c>
      <c r="Q26" s="15">
        <f>IF(OR(Q25="",Q4=""),"",IFERROR(Q25/Q4,""))</f>
        <v/>
      </c>
      <c r="R26" s="15">
        <f>IF(OR(R25="",R4=""),"",IFERROR(R25/R4,""))</f>
        <v/>
      </c>
      <c r="S26" s="15">
        <f>IF(OR(S25="",S4=""),"",IFERROR(S25/S4,""))</f>
        <v/>
      </c>
      <c r="T26" s="15">
        <f>IF(OR(T25="",T4=""),"",IFERROR(T25/T4,""))</f>
        <v/>
      </c>
      <c r="U26" s="15">
        <f>IF(OR(U25="",U4=""),"",IFERROR(U25/U4,""))</f>
        <v/>
      </c>
      <c r="V26" s="15">
        <f>IF(OR(V25="",V4=""),"",IFERROR(V25/V4,""))</f>
        <v/>
      </c>
      <c r="W26" s="15">
        <f>IF(OR(W25="",W4=""),"",IFERROR(W25/W4,""))</f>
        <v/>
      </c>
      <c r="X26" s="15">
        <f>IF(OR(X25="",X4=""),"",IFERROR(X25/X4,""))</f>
        <v/>
      </c>
      <c r="Y26" s="25" t="n"/>
      <c r="Z26" s="26" t="n"/>
      <c r="AA26" s="26" t="n"/>
      <c r="AB26" s="26" t="n"/>
      <c r="AC26" s="26" t="n"/>
    </row>
    <row r="27">
      <c r="A27" s="13" t="inlineStr">
        <is>
          <t>증가율</t>
        </is>
      </c>
      <c r="B27" s="10" t="n"/>
      <c r="C27" s="14" t="n"/>
      <c r="D27" s="15" t="n"/>
      <c r="E27" s="15" t="n"/>
      <c r="F27" s="15" t="n"/>
      <c r="G27" s="15">
        <f>IF(OR(G25="",C25=""),"",IFERROR(G25/C25-1,""))</f>
        <v/>
      </c>
      <c r="H27" s="15">
        <f>IF(OR(H25="",D25=""),"",IFERROR(H25/D25-1,""))</f>
        <v/>
      </c>
      <c r="I27" s="15">
        <f>IF(OR(I25="",E25=""),"",IFERROR(I25/E25-1,""))</f>
        <v/>
      </c>
      <c r="J27" s="15">
        <f>IF(OR(J25="",F25=""),"",IFERROR(J25/F25-1,""))</f>
        <v/>
      </c>
      <c r="K27" s="15">
        <f>IF(OR(K25="",G25=""),"",IFERROR(K25/G25-1,""))</f>
        <v/>
      </c>
      <c r="L27" s="15">
        <f>IF(OR(L25="",H25=""),"",IFERROR(L25/H25-1,""))</f>
        <v/>
      </c>
      <c r="M27" s="15">
        <f>IF(OR(M25="",I25=""),"",IFERROR(M25/I25-1,""))</f>
        <v/>
      </c>
      <c r="N27" s="15">
        <f>IF(OR(N25="",J25=""),"",IFERROR(N25/J25-1,""))</f>
        <v/>
      </c>
      <c r="O27" s="14" t="n"/>
      <c r="P27" s="15">
        <f>IF(OR(P25="",O25=""),"",IFERROR(P25/O25-1,""))</f>
        <v/>
      </c>
      <c r="Q27" s="15">
        <f>IF(OR(Q25="",P25=""),"",IFERROR(Q25/P25-1,""))</f>
        <v/>
      </c>
      <c r="R27" s="15">
        <f>IF(OR(R25="",Q25=""),"",IFERROR(R25/Q25-1,""))</f>
        <v/>
      </c>
      <c r="S27" s="15">
        <f>IF(OR(S25="",R25=""),"",IFERROR(S25/R25-1,""))</f>
        <v/>
      </c>
      <c r="T27" s="15">
        <f>IF(OR(T25="",S25=""),"",IFERROR(T25/S25-1,""))</f>
        <v/>
      </c>
      <c r="U27" s="15">
        <f>IF(OR(U25="",T25=""),"",IFERROR(U25/T25-1,""))</f>
        <v/>
      </c>
      <c r="V27" s="15">
        <f>IF(OR(V25="",U25=""),"",IFERROR(V25/U25-1,""))</f>
        <v/>
      </c>
      <c r="W27" s="15">
        <f>IF(OR(W25="",V25=""),"",IFERROR(W25/V25-1,""))</f>
        <v/>
      </c>
      <c r="X27" s="15">
        <f>IF(OR(X25="",W25=""),"",IFERROR(X25/W25-1,""))</f>
        <v/>
      </c>
      <c r="Y27" s="14">
        <f>IF(OR(Y25="",X25=""),"",IFERROR(Y25/X25-1,""))</f>
        <v/>
      </c>
      <c r="Z27" s="15">
        <f>IF(OR(Z25="",Y25=""),"",IFERROR(Z25/Y25-1,""))</f>
        <v/>
      </c>
      <c r="AA27" s="15">
        <f>IF(OR(AA25="",Z25=""),"",IFERROR(AA25/Z25-1,""))</f>
        <v/>
      </c>
      <c r="AB27" s="15">
        <f>IF(OR(AB25="",AA25=""),"",IFERROR(AB25/AA25-1,""))</f>
        <v/>
      </c>
      <c r="AC27" s="15">
        <f>IF(OR(AC25="",AB25=""),"",IFERROR(AC25/AB25-1,""))</f>
        <v/>
      </c>
    </row>
    <row r="28">
      <c r="A28" s="16" t="inlineStr">
        <is>
          <t>비용의 성격별 분류</t>
        </is>
      </c>
      <c r="B28" s="16" t="inlineStr">
        <is>
          <t>참고 데이터</t>
        </is>
      </c>
      <c r="C28" s="17" t="n"/>
      <c r="D28" s="16" t="n"/>
      <c r="E28" s="16" t="n"/>
      <c r="F28" s="16" t="n"/>
      <c r="G28" s="16" t="n"/>
      <c r="H28" s="16" t="n"/>
      <c r="I28" s="16" t="n"/>
      <c r="J28" s="16" t="n"/>
      <c r="K28" s="16" t="n"/>
      <c r="L28" s="16" t="n"/>
      <c r="M28" s="16" t="n"/>
      <c r="N28" s="16" t="n"/>
      <c r="O28" s="17" t="n"/>
      <c r="P28" s="16" t="n"/>
      <c r="Q28" s="16" t="n"/>
      <c r="R28" s="16" t="n"/>
      <c r="S28" s="16" t="n"/>
      <c r="T28" s="16" t="n"/>
      <c r="U28" s="16" t="n"/>
      <c r="V28" s="16" t="n"/>
      <c r="W28" s="16" t="n"/>
      <c r="X28" s="16" t="n"/>
      <c r="Y28" s="17" t="n"/>
      <c r="Z28" s="16" t="n"/>
      <c r="AA28" s="16" t="n"/>
      <c r="AB28" s="16" t="n"/>
      <c r="AC28" s="16" t="n"/>
    </row>
    <row r="29">
      <c r="A29" s="9" t="inlineStr">
        <is>
          <t>총 판관비</t>
        </is>
      </c>
      <c r="B29" s="10" t="n"/>
      <c r="C29" s="11" t="n"/>
      <c r="D29" s="12" t="n"/>
      <c r="E29" s="12" t="n"/>
      <c r="F29" s="12" t="n"/>
      <c r="G29" s="12" t="n"/>
      <c r="H29" s="12" t="n"/>
      <c r="I29" s="12" t="n"/>
      <c r="J29" s="12" t="n"/>
      <c r="K29" s="12" t="n"/>
      <c r="L29" s="12" t="n"/>
      <c r="M29" s="12" t="n"/>
      <c r="N29" s="12" t="n"/>
      <c r="O29" s="11">
        <f>IF(O24="","",O24)</f>
        <v/>
      </c>
      <c r="P29" s="12">
        <f>IF(P24="","",P24)</f>
        <v/>
      </c>
      <c r="Q29" s="12">
        <f>IF(Q24="","",Q24)</f>
        <v/>
      </c>
      <c r="R29" s="12">
        <f>IF(R24="","",R24)</f>
        <v/>
      </c>
      <c r="S29" s="12">
        <f>IF(S24="","",S24)</f>
        <v/>
      </c>
      <c r="T29" s="12">
        <f>IF(T24="","",T24)</f>
        <v/>
      </c>
      <c r="U29" s="12">
        <f>IF(U24="","",U24)</f>
        <v/>
      </c>
      <c r="V29" s="12">
        <f>IF(V24="","",V24)</f>
        <v/>
      </c>
      <c r="W29" s="12">
        <f>IF(W24="","",W24)</f>
        <v/>
      </c>
      <c r="X29" s="12">
        <f>IF(X24="","",X24)</f>
        <v/>
      </c>
      <c r="Y29" s="11" t="n"/>
      <c r="Z29" s="12" t="n"/>
      <c r="AA29" s="12" t="n"/>
      <c r="AB29" s="12" t="n"/>
      <c r="AC29" s="12" t="n"/>
    </row>
    <row r="30">
      <c r="A30" s="18" t="inlineStr">
        <is>
          <t>급여</t>
        </is>
      </c>
      <c r="B30" s="10" t="inlineStr">
        <is>
          <t>고정비</t>
        </is>
      </c>
      <c r="C30" s="19" t="n"/>
      <c r="D30" s="20" t="n"/>
      <c r="E30" s="20" t="n"/>
      <c r="F30" s="20" t="n"/>
      <c r="G30" s="20" t="n"/>
      <c r="H30" s="20" t="n"/>
      <c r="I30" s="20" t="n"/>
      <c r="J30" s="20" t="n"/>
      <c r="K30" s="20" t="n"/>
      <c r="L30" s="20" t="n"/>
      <c r="M30" s="20" t="n"/>
      <c r="N30" s="20" t="n"/>
      <c r="O30" s="19" t="n"/>
      <c r="P30" s="20" t="n"/>
      <c r="Q30" s="20" t="n"/>
      <c r="R30" s="20" t="n"/>
      <c r="S30" s="20" t="n"/>
      <c r="T30" s="20" t="n"/>
      <c r="U30" s="20" t="n"/>
      <c r="V30" s="20" t="n"/>
      <c r="W30" s="20" t="n"/>
      <c r="X30" s="20" t="n"/>
      <c r="Y30" s="19" t="n"/>
      <c r="Z30" s="20" t="n"/>
      <c r="AA30" s="20" t="n"/>
      <c r="AB30" s="20" t="n"/>
      <c r="AC30" s="20" t="n"/>
    </row>
    <row r="31">
      <c r="A31" s="13" t="inlineStr">
        <is>
          <t>% of Sales</t>
        </is>
      </c>
      <c r="B31" s="10" t="n"/>
      <c r="C31" s="14" t="n"/>
      <c r="D31" s="15" t="n"/>
      <c r="E31" s="15" t="n"/>
      <c r="F31" s="15" t="n"/>
      <c r="G31" s="15" t="n"/>
      <c r="H31" s="15" t="n"/>
      <c r="I31" s="15" t="n"/>
      <c r="J31" s="15" t="n"/>
      <c r="K31" s="15" t="n"/>
      <c r="L31" s="15" t="n"/>
      <c r="M31" s="15" t="n"/>
      <c r="N31" s="15" t="n"/>
      <c r="O31" s="14">
        <f>IF(OR(O30="",O4=""),"",IFERROR(O30/O4,""))</f>
        <v/>
      </c>
      <c r="P31" s="15">
        <f>IF(OR(P30="",P4=""),"",IFERROR(P30/P4,""))</f>
        <v/>
      </c>
      <c r="Q31" s="15">
        <f>IF(OR(Q30="",Q4=""),"",IFERROR(Q30/Q4,""))</f>
        <v/>
      </c>
      <c r="R31" s="15">
        <f>IF(OR(R30="",R4=""),"",IFERROR(R30/R4,""))</f>
        <v/>
      </c>
      <c r="S31" s="15">
        <f>IF(OR(S30="",S4=""),"",IFERROR(S30/S4,""))</f>
        <v/>
      </c>
      <c r="T31" s="15">
        <f>IF(OR(T30="",T4=""),"",IFERROR(T30/T4,""))</f>
        <v/>
      </c>
      <c r="U31" s="15">
        <f>IF(OR(U30="",U4=""),"",IFERROR(U30/U4,""))</f>
        <v/>
      </c>
      <c r="V31" s="15">
        <f>IF(OR(V30="",V4=""),"",IFERROR(V30/V4,""))</f>
        <v/>
      </c>
      <c r="W31" s="15">
        <f>IF(OR(W30="",W4=""),"",IFERROR(W30/W4,""))</f>
        <v/>
      </c>
      <c r="X31" s="15">
        <f>IF(OR(X30="",X4=""),"",IFERROR(X30/X4,""))</f>
        <v/>
      </c>
      <c r="Y31" s="14" t="n"/>
      <c r="Z31" s="15" t="n"/>
      <c r="AA31" s="15" t="n"/>
      <c r="AB31" s="15" t="n"/>
      <c r="AC31" s="15" t="n"/>
    </row>
    <row r="32">
      <c r="A32" s="18" t="inlineStr">
        <is>
          <t>감가상각비</t>
        </is>
      </c>
      <c r="B32" s="10" t="inlineStr">
        <is>
          <t>고정비</t>
        </is>
      </c>
      <c r="C32" s="19" t="n"/>
      <c r="D32" s="20" t="n"/>
      <c r="E32" s="20" t="n"/>
      <c r="F32" s="20" t="n"/>
      <c r="G32" s="20" t="n"/>
      <c r="H32" s="20" t="n"/>
      <c r="I32" s="20" t="n"/>
      <c r="J32" s="20" t="n"/>
      <c r="K32" s="20" t="n"/>
      <c r="L32" s="20" t="n"/>
      <c r="M32" s="20" t="n"/>
      <c r="N32" s="20" t="n"/>
      <c r="O32" s="19" t="n"/>
      <c r="P32" s="20" t="n"/>
      <c r="Q32" s="20" t="n"/>
      <c r="R32" s="20" t="n"/>
      <c r="S32" s="20" t="n"/>
      <c r="T32" s="20" t="n"/>
      <c r="U32" s="20" t="n"/>
      <c r="V32" s="20" t="n"/>
      <c r="W32" s="20" t="n"/>
      <c r="X32" s="20" t="n"/>
      <c r="Y32" s="19" t="n"/>
      <c r="Z32" s="20" t="n"/>
      <c r="AA32" s="20" t="n"/>
      <c r="AB32" s="20" t="n"/>
      <c r="AC32" s="20" t="n"/>
    </row>
    <row r="33">
      <c r="A33" s="13" t="inlineStr">
        <is>
          <t>% of Sales</t>
        </is>
      </c>
      <c r="B33" s="10" t="n"/>
      <c r="C33" s="14" t="n"/>
      <c r="D33" s="15" t="n"/>
      <c r="E33" s="15" t="n"/>
      <c r="F33" s="15" t="n"/>
      <c r="G33" s="15" t="n"/>
      <c r="H33" s="15" t="n"/>
      <c r="I33" s="15" t="n"/>
      <c r="J33" s="15" t="n"/>
      <c r="K33" s="15" t="n"/>
      <c r="L33" s="15" t="n"/>
      <c r="M33" s="15" t="n"/>
      <c r="N33" s="15" t="n"/>
      <c r="O33" s="14">
        <f>IF(OR(O32="",O4=""),"",IFERROR(O32/O4,""))</f>
        <v/>
      </c>
      <c r="P33" s="15">
        <f>IF(OR(P32="",P4=""),"",IFERROR(P32/P4,""))</f>
        <v/>
      </c>
      <c r="Q33" s="15">
        <f>IF(OR(Q32="",Q4=""),"",IFERROR(Q32/Q4,""))</f>
        <v/>
      </c>
      <c r="R33" s="15">
        <f>IF(OR(R32="",R4=""),"",IFERROR(R32/R4,""))</f>
        <v/>
      </c>
      <c r="S33" s="15">
        <f>IF(OR(S32="",S4=""),"",IFERROR(S32/S4,""))</f>
        <v/>
      </c>
      <c r="T33" s="15">
        <f>IF(OR(T32="",T4=""),"",IFERROR(T32/T4,""))</f>
        <v/>
      </c>
      <c r="U33" s="15">
        <f>IF(OR(U32="",U4=""),"",IFERROR(U32/U4,""))</f>
        <v/>
      </c>
      <c r="V33" s="15">
        <f>IF(OR(V32="",V4=""),"",IFERROR(V32/V4,""))</f>
        <v/>
      </c>
      <c r="W33" s="15">
        <f>IF(OR(W32="",W4=""),"",IFERROR(W32/W4,""))</f>
        <v/>
      </c>
      <c r="X33" s="15">
        <f>IF(OR(X32="",X4=""),"",IFERROR(X32/X4,""))</f>
        <v/>
      </c>
      <c r="Y33" s="14" t="n"/>
      <c r="Z33" s="15" t="n"/>
      <c r="AA33" s="15" t="n"/>
      <c r="AB33" s="15" t="n"/>
      <c r="AC33" s="15" t="n"/>
    </row>
    <row r="34">
      <c r="A34" s="18" t="inlineStr">
        <is>
          <t>지급수수료</t>
        </is>
      </c>
      <c r="B34" s="10" t="inlineStr">
        <is>
          <t>고정비</t>
        </is>
      </c>
      <c r="C34" s="19" t="n"/>
      <c r="D34" s="20" t="n"/>
      <c r="E34" s="20" t="n"/>
      <c r="F34" s="20" t="n"/>
      <c r="G34" s="20" t="n"/>
      <c r="H34" s="20" t="n"/>
      <c r="I34" s="20" t="n"/>
      <c r="J34" s="20" t="n"/>
      <c r="K34" s="20" t="n"/>
      <c r="L34" s="20" t="n"/>
      <c r="M34" s="20" t="n"/>
      <c r="N34" s="20" t="n"/>
      <c r="O34" s="19" t="n"/>
      <c r="P34" s="20" t="n"/>
      <c r="Q34" s="20" t="n"/>
      <c r="R34" s="20" t="n"/>
      <c r="S34" s="20" t="n"/>
      <c r="T34" s="20" t="n"/>
      <c r="U34" s="20" t="n"/>
      <c r="V34" s="20" t="n"/>
      <c r="W34" s="20" t="n"/>
      <c r="X34" s="20" t="n"/>
      <c r="Y34" s="19" t="n"/>
      <c r="Z34" s="20" t="n"/>
      <c r="AA34" s="20" t="n"/>
      <c r="AB34" s="20" t="n"/>
      <c r="AC34" s="20" t="n"/>
    </row>
    <row r="35">
      <c r="A35" s="13" t="inlineStr">
        <is>
          <t>% of Sales</t>
        </is>
      </c>
      <c r="B35" s="10" t="n"/>
      <c r="C35" s="14" t="n"/>
      <c r="D35" s="15" t="n"/>
      <c r="E35" s="15" t="n"/>
      <c r="F35" s="15" t="n"/>
      <c r="G35" s="15" t="n"/>
      <c r="H35" s="15" t="n"/>
      <c r="I35" s="15" t="n"/>
      <c r="J35" s="15" t="n"/>
      <c r="K35" s="15" t="n"/>
      <c r="L35" s="15" t="n"/>
      <c r="M35" s="15" t="n"/>
      <c r="N35" s="15" t="n"/>
      <c r="O35" s="14">
        <f>IF(OR(O34="",O4=""),"",IFERROR(O34/O4,""))</f>
        <v/>
      </c>
      <c r="P35" s="15">
        <f>IF(OR(P34="",P4=""),"",IFERROR(P34/P4,""))</f>
        <v/>
      </c>
      <c r="Q35" s="15">
        <f>IF(OR(Q34="",Q4=""),"",IFERROR(Q34/Q4,""))</f>
        <v/>
      </c>
      <c r="R35" s="15">
        <f>IF(OR(R34="",R4=""),"",IFERROR(R34/R4,""))</f>
        <v/>
      </c>
      <c r="S35" s="15">
        <f>IF(OR(S34="",S4=""),"",IFERROR(S34/S4,""))</f>
        <v/>
      </c>
      <c r="T35" s="15">
        <f>IF(OR(T34="",T4=""),"",IFERROR(T34/T4,""))</f>
        <v/>
      </c>
      <c r="U35" s="15">
        <f>IF(OR(U34="",U4=""),"",IFERROR(U34/U4,""))</f>
        <v/>
      </c>
      <c r="V35" s="15">
        <f>IF(OR(V34="",V4=""),"",IFERROR(V34/V4,""))</f>
        <v/>
      </c>
      <c r="W35" s="15">
        <f>IF(OR(W34="",W4=""),"",IFERROR(W34/W4,""))</f>
        <v/>
      </c>
      <c r="X35" s="15">
        <f>IF(OR(X34="",X4=""),"",IFERROR(X34/X4,""))</f>
        <v/>
      </c>
      <c r="Y35" s="14" t="n"/>
      <c r="Z35" s="15" t="n"/>
      <c r="AA35" s="15" t="n"/>
      <c r="AB35" s="15" t="n"/>
      <c r="AC35" s="15" t="n"/>
    </row>
    <row r="36">
      <c r="A36" s="18" t="inlineStr">
        <is>
          <t>연구개발비</t>
        </is>
      </c>
      <c r="B36" s="10" t="inlineStr">
        <is>
          <t>변동비</t>
        </is>
      </c>
      <c r="C36" s="19" t="n"/>
      <c r="D36" s="20" t="n"/>
      <c r="E36" s="20" t="n"/>
      <c r="F36" s="20" t="n"/>
      <c r="G36" s="20" t="n"/>
      <c r="H36" s="20" t="n"/>
      <c r="I36" s="20" t="n"/>
      <c r="J36" s="20" t="n"/>
      <c r="K36" s="20" t="n"/>
      <c r="L36" s="20" t="n"/>
      <c r="M36" s="20" t="n"/>
      <c r="N36" s="20" t="n"/>
      <c r="O36" s="19" t="n"/>
      <c r="P36" s="20" t="n"/>
      <c r="Q36" s="20" t="n"/>
      <c r="R36" s="20" t="n"/>
      <c r="S36" s="20" t="n"/>
      <c r="T36" s="20" t="n"/>
      <c r="U36" s="20" t="n"/>
      <c r="V36" s="20" t="n"/>
      <c r="W36" s="20" t="n"/>
      <c r="X36" s="20" t="n"/>
      <c r="Y36" s="19" t="n"/>
      <c r="Z36" s="20" t="n"/>
      <c r="AA36" s="20" t="n"/>
      <c r="AB36" s="20" t="n"/>
      <c r="AC36" s="20" t="n"/>
    </row>
    <row r="37">
      <c r="A37" s="13" t="inlineStr">
        <is>
          <t>% of Sales</t>
        </is>
      </c>
      <c r="B37" s="10" t="n"/>
      <c r="C37" s="14" t="n"/>
      <c r="D37" s="15" t="n"/>
      <c r="E37" s="15" t="n"/>
      <c r="F37" s="15" t="n"/>
      <c r="G37" s="15" t="n"/>
      <c r="H37" s="15" t="n"/>
      <c r="I37" s="15" t="n"/>
      <c r="J37" s="15" t="n"/>
      <c r="K37" s="15" t="n"/>
      <c r="L37" s="15" t="n"/>
      <c r="M37" s="15" t="n"/>
      <c r="N37" s="15" t="n"/>
      <c r="O37" s="14">
        <f>IF(OR(O36="",O4=""),"",IFERROR(O36/O4,""))</f>
        <v/>
      </c>
      <c r="P37" s="15">
        <f>IF(OR(P36="",P4=""),"",IFERROR(P36/P4,""))</f>
        <v/>
      </c>
      <c r="Q37" s="15">
        <f>IF(OR(Q36="",Q4=""),"",IFERROR(Q36/Q4,""))</f>
        <v/>
      </c>
      <c r="R37" s="15">
        <f>IF(OR(R36="",R4=""),"",IFERROR(R36/R4,""))</f>
        <v/>
      </c>
      <c r="S37" s="15">
        <f>IF(OR(S36="",S4=""),"",IFERROR(S36/S4,""))</f>
        <v/>
      </c>
      <c r="T37" s="15">
        <f>IF(OR(T36="",T4=""),"",IFERROR(T36/T4,""))</f>
        <v/>
      </c>
      <c r="U37" s="15">
        <f>IF(OR(U36="",U4=""),"",IFERROR(U36/U4,""))</f>
        <v/>
      </c>
      <c r="V37" s="15">
        <f>IF(OR(V36="",V4=""),"",IFERROR(V36/V4,""))</f>
        <v/>
      </c>
      <c r="W37" s="15">
        <f>IF(OR(W36="",W4=""),"",IFERROR(W36/W4,""))</f>
        <v/>
      </c>
      <c r="X37" s="15">
        <f>IF(OR(X36="",X4=""),"",IFERROR(X36/X4,""))</f>
        <v/>
      </c>
      <c r="Y37" s="14" t="n"/>
      <c r="Z37" s="15" t="n"/>
      <c r="AA37" s="15" t="n"/>
      <c r="AB37" s="15" t="n"/>
      <c r="AC37" s="15" t="n"/>
    </row>
    <row r="38">
      <c r="A38" s="18" t="inlineStr">
        <is>
          <t>기타비용</t>
        </is>
      </c>
      <c r="B38" s="10" t="inlineStr">
        <is>
          <t>변동비</t>
        </is>
      </c>
      <c r="C38" s="19" t="n"/>
      <c r="D38" s="20" t="n"/>
      <c r="E38" s="20" t="n"/>
      <c r="F38" s="20" t="n"/>
      <c r="G38" s="20" t="n"/>
      <c r="H38" s="20" t="n"/>
      <c r="I38" s="20" t="n"/>
      <c r="J38" s="20" t="n"/>
      <c r="K38" s="20" t="n"/>
      <c r="L38" s="20" t="n"/>
      <c r="M38" s="20" t="n"/>
      <c r="N38" s="20" t="n"/>
      <c r="O38" s="19">
        <f>IF(OR(O29="",O30="",O32="",O34="",O36=""),"",IFERROR(O29-O30-O32-O34-O36,""))</f>
        <v/>
      </c>
      <c r="P38" s="20">
        <f>IF(OR(P29="",P30="",P32="",P34="",P36=""),"",IFERROR(P29-P30-P32-P34-P36,""))</f>
        <v/>
      </c>
      <c r="Q38" s="20">
        <f>IF(OR(Q29="",Q30="",Q32="",Q34="",Q36=""),"",IFERROR(Q29-Q30-Q32-Q34-Q36,""))</f>
        <v/>
      </c>
      <c r="R38" s="20">
        <f>IF(OR(R29="",R30="",R32="",R34="",R36=""),"",IFERROR(R29-R30-R32-R34-R36,""))</f>
        <v/>
      </c>
      <c r="S38" s="20">
        <f>IF(OR(S29="",S30="",S32="",S34="",S36=""),"",IFERROR(S29-S30-S32-S34-S36,""))</f>
        <v/>
      </c>
      <c r="T38" s="20">
        <f>IF(OR(T29="",T30="",T32="",T34="",T36=""),"",IFERROR(T29-T30-T32-T34-T36,""))</f>
        <v/>
      </c>
      <c r="U38" s="20">
        <f>IF(OR(U29="",U30="",U32="",U34="",U36=""),"",IFERROR(U29-U30-U32-U34-U36,""))</f>
        <v/>
      </c>
      <c r="V38" s="20">
        <f>IF(OR(V29="",V30="",V32="",V34="",V36=""),"",IFERROR(V29-V30-V32-V34-V36,""))</f>
        <v/>
      </c>
      <c r="W38" s="20">
        <f>IF(OR(W29="",W30="",W32="",W34="",W36=""),"",IFERROR(W29-W30-W32-W34-W36,""))</f>
        <v/>
      </c>
      <c r="X38" s="20">
        <f>IF(OR(X29="",X30="",X32="",X34="",X36=""),"",IFERROR(X29-X30-X32-X34-X36,""))</f>
        <v/>
      </c>
      <c r="Y38" s="19" t="n"/>
      <c r="Z38" s="20" t="n"/>
      <c r="AA38" s="20" t="n"/>
      <c r="AB38" s="20" t="n"/>
      <c r="AC38" s="20" t="n"/>
    </row>
    <row r="39">
      <c r="A39" s="13" t="inlineStr">
        <is>
          <t>% of Sales</t>
        </is>
      </c>
      <c r="B39" s="10" t="n"/>
      <c r="C39" s="14" t="n"/>
      <c r="D39" s="15" t="n"/>
      <c r="E39" s="15" t="n"/>
      <c r="F39" s="15" t="n"/>
      <c r="G39" s="15" t="n"/>
      <c r="H39" s="15" t="n"/>
      <c r="I39" s="15" t="n"/>
      <c r="J39" s="15" t="n"/>
      <c r="K39" s="15" t="n"/>
      <c r="L39" s="15" t="n"/>
      <c r="M39" s="15" t="n"/>
      <c r="N39" s="15" t="n"/>
      <c r="O39" s="14">
        <f>IF(OR(O38="",O4=""),"",IFERROR(O38/O4,""))</f>
        <v/>
      </c>
      <c r="P39" s="15">
        <f>IF(OR(P38="",P4=""),"",IFERROR(P38/P4,""))</f>
        <v/>
      </c>
      <c r="Q39" s="15">
        <f>IF(OR(Q38="",Q4=""),"",IFERROR(Q38/Q4,""))</f>
        <v/>
      </c>
      <c r="R39" s="15">
        <f>IF(OR(R38="",R4=""),"",IFERROR(R38/R4,""))</f>
        <v/>
      </c>
      <c r="S39" s="15">
        <f>IF(OR(S38="",S4=""),"",IFERROR(S38/S4,""))</f>
        <v/>
      </c>
      <c r="T39" s="15">
        <f>IF(OR(T38="",T4=""),"",IFERROR(T38/T4,""))</f>
        <v/>
      </c>
      <c r="U39" s="15">
        <f>IF(OR(U38="",U4=""),"",IFERROR(U38/U4,""))</f>
        <v/>
      </c>
      <c r="V39" s="15">
        <f>IF(OR(V38="",V4=""),"",IFERROR(V38/V4,""))</f>
        <v/>
      </c>
      <c r="W39" s="15">
        <f>IF(OR(W38="",W4=""),"",IFERROR(W38/W4,""))</f>
        <v/>
      </c>
      <c r="X39" s="15">
        <f>IF(OR(X38="",X4=""),"",IFERROR(X38/X4,""))</f>
        <v/>
      </c>
      <c r="Y39" s="14" t="n"/>
      <c r="Z39" s="15" t="n"/>
      <c r="AA39" s="15" t="n"/>
      <c r="AB39" s="15" t="n"/>
      <c r="AC39" s="15" t="n"/>
    </row>
    <row r="40">
      <c r="A40" s="16" t="inlineStr">
        <is>
          <t>당기순이익 추정</t>
        </is>
      </c>
      <c r="B40" s="16" t="n"/>
      <c r="C40" s="17" t="n"/>
      <c r="D40" s="16" t="n"/>
      <c r="E40" s="16" t="n"/>
      <c r="F40" s="16" t="n"/>
      <c r="G40" s="16" t="n"/>
      <c r="H40" s="16" t="n"/>
      <c r="I40" s="16" t="n"/>
      <c r="J40" s="16" t="n"/>
      <c r="K40" s="16" t="n"/>
      <c r="L40" s="16" t="n"/>
      <c r="M40" s="16" t="n"/>
      <c r="N40" s="16" t="n"/>
      <c r="O40" s="17" t="n"/>
      <c r="P40" s="16" t="n"/>
      <c r="Q40" s="16" t="n"/>
      <c r="R40" s="16" t="n"/>
      <c r="S40" s="16" t="n"/>
      <c r="T40" s="16" t="n"/>
      <c r="U40" s="16" t="n"/>
      <c r="V40" s="16" t="n"/>
      <c r="W40" s="16" t="n"/>
      <c r="X40" s="16" t="n"/>
      <c r="Y40" s="17" t="n"/>
      <c r="Z40" s="16" t="n"/>
      <c r="AA40" s="16" t="n"/>
      <c r="AB40" s="16" t="n"/>
      <c r="AC40" s="16" t="n"/>
    </row>
    <row r="41">
      <c r="A41" s="18" t="inlineStr">
        <is>
          <t>특별이익</t>
        </is>
      </c>
      <c r="B41" s="10" t="n"/>
      <c r="C41" s="19" t="n">
        <v>3</v>
      </c>
      <c r="D41" s="20" t="n">
        <v>81</v>
      </c>
      <c r="E41" s="20" t="n">
        <v>134</v>
      </c>
      <c r="F41" s="20" t="n">
        <v>341</v>
      </c>
      <c r="G41" s="20" t="n">
        <v>4</v>
      </c>
      <c r="H41" s="20" t="n">
        <v>12</v>
      </c>
      <c r="I41" s="20" t="n">
        <v>21</v>
      </c>
      <c r="J41" s="20" t="n">
        <v>91</v>
      </c>
      <c r="K41" s="20" t="n">
        <v>9</v>
      </c>
      <c r="L41" s="20" t="n">
        <v>2</v>
      </c>
      <c r="M41" s="20" t="n">
        <v>1</v>
      </c>
      <c r="N41" s="20" t="n">
        <v>219</v>
      </c>
      <c r="O41" s="19" t="n">
        <v>1049</v>
      </c>
      <c r="P41" s="20" t="n">
        <v>442</v>
      </c>
      <c r="Q41" s="20" t="n">
        <v>2355</v>
      </c>
      <c r="R41" s="20" t="n">
        <v>137</v>
      </c>
      <c r="S41" s="20" t="n">
        <v>706</v>
      </c>
      <c r="T41" s="20" t="n">
        <v>266</v>
      </c>
      <c r="U41" s="20" t="n">
        <v>404</v>
      </c>
      <c r="V41" s="20" t="n">
        <v>221</v>
      </c>
      <c r="W41" s="20" t="n">
        <v>378</v>
      </c>
      <c r="X41" s="20" t="n">
        <v>103</v>
      </c>
      <c r="Y41" s="19">
        <f>IF(OR(Y4="",Y42=""),"",IFERROR(Y4*Y42,""))</f>
        <v/>
      </c>
      <c r="Z41" s="20">
        <f>IF(OR(Z4="",Z42=""),"",IFERROR(Z4*Z42,""))</f>
        <v/>
      </c>
      <c r="AA41" s="20">
        <f>IF(OR(AA4="",AA42=""),"",IFERROR(AA4*AA42,""))</f>
        <v/>
      </c>
      <c r="AB41" s="20">
        <f>IF(OR(AB4="",AB42=""),"",IFERROR(AB4*AB42,""))</f>
        <v/>
      </c>
      <c r="AC41" s="20">
        <f>IF(OR(AC4="",AC42=""),"",IFERROR(AC4*AC42,""))</f>
        <v/>
      </c>
    </row>
    <row r="42">
      <c r="A42" s="13" t="inlineStr">
        <is>
          <t>% of Sales</t>
        </is>
      </c>
      <c r="B42" s="10" t="inlineStr">
        <is>
          <t>MW = 최근 3년 평균</t>
        </is>
      </c>
      <c r="C42" s="14">
        <f>IF(OR(C41="",C4=""),"",IFERROR(C41/C4,""))</f>
        <v/>
      </c>
      <c r="D42" s="15">
        <f>IF(OR(D41="",D4=""),"",IFERROR(D41/D4,""))</f>
        <v/>
      </c>
      <c r="E42" s="15">
        <f>IF(OR(E41="",E4=""),"",IFERROR(E41/E4,""))</f>
        <v/>
      </c>
      <c r="F42" s="15">
        <f>IF(OR(F41="",F4=""),"",IFERROR(F41/F4,""))</f>
        <v/>
      </c>
      <c r="G42" s="15">
        <f>IF(OR(G41="",G4=""),"",IFERROR(G41/G4,""))</f>
        <v/>
      </c>
      <c r="H42" s="15">
        <f>IF(OR(H41="",H4=""),"",IFERROR(H41/H4,""))</f>
        <v/>
      </c>
      <c r="I42" s="15">
        <f>IF(OR(I41="",I4=""),"",IFERROR(I41/I4,""))</f>
        <v/>
      </c>
      <c r="J42" s="15">
        <f>IF(OR(J41="",J4=""),"",IFERROR(J41/J4,""))</f>
        <v/>
      </c>
      <c r="K42" s="15">
        <f>IF(OR(K41="",K4=""),"",IFERROR(K41/K4,""))</f>
        <v/>
      </c>
      <c r="L42" s="15">
        <f>IF(OR(L41="",L4=""),"",IFERROR(L41/L4,""))</f>
        <v/>
      </c>
      <c r="M42" s="15">
        <f>IF(OR(M41="",M4=""),"",IFERROR(M41/M4,""))</f>
        <v/>
      </c>
      <c r="N42" s="15">
        <f>IF(OR(N41="",N4=""),"",IFERROR(N41/N4,""))</f>
        <v/>
      </c>
      <c r="O42" s="14">
        <f>IF(OR(O41="",O4=""),"",IFERROR(O41/O4,""))</f>
        <v/>
      </c>
      <c r="P42" s="15">
        <f>IF(OR(P41="",P4=""),"",IFERROR(P41/P4,""))</f>
        <v/>
      </c>
      <c r="Q42" s="15">
        <f>IF(OR(Q41="",Q4=""),"",IFERROR(Q41/Q4,""))</f>
        <v/>
      </c>
      <c r="R42" s="15">
        <f>IF(OR(R41="",R4=""),"",IFERROR(R41/R4,""))</f>
        <v/>
      </c>
      <c r="S42" s="15">
        <f>IF(OR(S41="",S4=""),"",IFERROR(S41/S4,""))</f>
        <v/>
      </c>
      <c r="T42" s="15">
        <f>IF(OR(T41="",T4=""),"",IFERROR(T41/T4,""))</f>
        <v/>
      </c>
      <c r="U42" s="15">
        <f>IF(OR(U41="",U4=""),"",IFERROR(U41/U4,""))</f>
        <v/>
      </c>
      <c r="V42" s="15">
        <f>IF(OR(V41="",V4=""),"",IFERROR(V41/V4,""))</f>
        <v/>
      </c>
      <c r="W42" s="15">
        <f>IF(OR(W41="",W4=""),"",IFERROR(W41/W4,""))</f>
        <v/>
      </c>
      <c r="X42" s="15">
        <f>IF(OR(X41="",X4=""),"",IFERROR(X41/X4,""))</f>
        <v/>
      </c>
      <c r="Y42" s="25">
        <f>IFERROR(AVERAGE(V42,W42,X42),"")</f>
        <v/>
      </c>
      <c r="Z42" s="26">
        <f>Y42</f>
        <v/>
      </c>
      <c r="AA42" s="26">
        <f>Z42</f>
        <v/>
      </c>
      <c r="AB42" s="26">
        <f>AA42</f>
        <v/>
      </c>
      <c r="AC42" s="26">
        <f>AB42</f>
        <v/>
      </c>
    </row>
    <row r="43">
      <c r="A43" s="18" t="inlineStr">
        <is>
          <t>특별손실</t>
        </is>
      </c>
      <c r="B43" s="10" t="n"/>
      <c r="C43" s="19" t="n">
        <v>27</v>
      </c>
      <c r="D43" s="20" t="n">
        <v>98</v>
      </c>
      <c r="E43" s="20" t="n">
        <v>154</v>
      </c>
      <c r="F43" s="20" t="n">
        <v>180</v>
      </c>
      <c r="G43" s="20" t="n">
        <v>91</v>
      </c>
      <c r="H43" s="20" t="n">
        <v>16</v>
      </c>
      <c r="I43" s="20" t="n">
        <v>106</v>
      </c>
      <c r="J43" s="20" t="n">
        <v>44</v>
      </c>
      <c r="K43" s="20" t="n">
        <v>12</v>
      </c>
      <c r="L43" s="20" t="n">
        <v>7</v>
      </c>
      <c r="M43" s="20" t="n">
        <v>49</v>
      </c>
      <c r="N43" s="20" t="n">
        <v>4</v>
      </c>
      <c r="O43" s="19" t="n">
        <v>926</v>
      </c>
      <c r="P43" s="20" t="n">
        <v>339</v>
      </c>
      <c r="Q43" s="20" t="n">
        <v>628</v>
      </c>
      <c r="R43" s="20" t="n">
        <v>168</v>
      </c>
      <c r="S43" s="20" t="n">
        <v>315</v>
      </c>
      <c r="T43" s="20" t="n">
        <v>243</v>
      </c>
      <c r="U43" s="20" t="n">
        <v>476</v>
      </c>
      <c r="V43" s="20" t="n">
        <v>434</v>
      </c>
      <c r="W43" s="20" t="n">
        <v>393</v>
      </c>
      <c r="X43" s="20" t="n">
        <v>112</v>
      </c>
      <c r="Y43" s="19">
        <f>IF(OR(Y4="",Y44=""),"",IFERROR(Y4*Y44,""))</f>
        <v/>
      </c>
      <c r="Z43" s="20">
        <f>IF(OR(Z4="",Z44=""),"",IFERROR(Z4*Z44,""))</f>
        <v/>
      </c>
      <c r="AA43" s="20">
        <f>IF(OR(AA4="",AA44=""),"",IFERROR(AA4*AA44,""))</f>
        <v/>
      </c>
      <c r="AB43" s="20">
        <f>IF(OR(AB4="",AB44=""),"",IFERROR(AB4*AB44,""))</f>
        <v/>
      </c>
      <c r="AC43" s="20">
        <f>IF(OR(AC4="",AC44=""),"",IFERROR(AC4*AC44,""))</f>
        <v/>
      </c>
    </row>
    <row r="44">
      <c r="A44" s="13" t="inlineStr">
        <is>
          <t>% of Sales</t>
        </is>
      </c>
      <c r="B44" s="10" t="n"/>
      <c r="C44" s="14">
        <f>IF(OR(C43="",C4=""),"",IFERROR(C43/C4,""))</f>
        <v/>
      </c>
      <c r="D44" s="15">
        <f>IF(OR(D43="",D4=""),"",IFERROR(D43/D4,""))</f>
        <v/>
      </c>
      <c r="E44" s="15">
        <f>IF(OR(E43="",E4=""),"",IFERROR(E43/E4,""))</f>
        <v/>
      </c>
      <c r="F44" s="15">
        <f>IF(OR(F43="",F4=""),"",IFERROR(F43/F4,""))</f>
        <v/>
      </c>
      <c r="G44" s="15">
        <f>IF(OR(G43="",G4=""),"",IFERROR(G43/G4,""))</f>
        <v/>
      </c>
      <c r="H44" s="15">
        <f>IF(OR(H43="",H4=""),"",IFERROR(H43/H4,""))</f>
        <v/>
      </c>
      <c r="I44" s="15">
        <f>IF(OR(I43="",I4=""),"",IFERROR(I43/I4,""))</f>
        <v/>
      </c>
      <c r="J44" s="15">
        <f>IF(OR(J43="",J4=""),"",IFERROR(J43/J4,""))</f>
        <v/>
      </c>
      <c r="K44" s="15">
        <f>IF(OR(K43="",K4=""),"",IFERROR(K43/K4,""))</f>
        <v/>
      </c>
      <c r="L44" s="15">
        <f>IF(OR(L43="",L4=""),"",IFERROR(L43/L4,""))</f>
        <v/>
      </c>
      <c r="M44" s="15">
        <f>IF(OR(M43="",M4=""),"",IFERROR(M43/M4,""))</f>
        <v/>
      </c>
      <c r="N44" s="15">
        <f>IF(OR(N43="",N4=""),"",IFERROR(N43/N4,""))</f>
        <v/>
      </c>
      <c r="O44" s="14">
        <f>IF(OR(O43="",O4=""),"",IFERROR(O43/O4,""))</f>
        <v/>
      </c>
      <c r="P44" s="15">
        <f>IF(OR(P43="",P4=""),"",IFERROR(P43/P4,""))</f>
        <v/>
      </c>
      <c r="Q44" s="15">
        <f>IF(OR(Q43="",Q4=""),"",IFERROR(Q43/Q4,""))</f>
        <v/>
      </c>
      <c r="R44" s="15">
        <f>IF(OR(R43="",R4=""),"",IFERROR(R43/R4,""))</f>
        <v/>
      </c>
      <c r="S44" s="15">
        <f>IF(OR(S43="",S4=""),"",IFERROR(S43/S4,""))</f>
        <v/>
      </c>
      <c r="T44" s="15">
        <f>IF(OR(T43="",T4=""),"",IFERROR(T43/T4,""))</f>
        <v/>
      </c>
      <c r="U44" s="15">
        <f>IF(OR(U43="",U4=""),"",IFERROR(U43/U4,""))</f>
        <v/>
      </c>
      <c r="V44" s="15">
        <f>IF(OR(V43="",V4=""),"",IFERROR(V43/V4,""))</f>
        <v/>
      </c>
      <c r="W44" s="15">
        <f>IF(OR(W43="",W4=""),"",IFERROR(W43/W4,""))</f>
        <v/>
      </c>
      <c r="X44" s="15">
        <f>IF(OR(X43="",X4=""),"",IFERROR(X43/X4,""))</f>
        <v/>
      </c>
      <c r="Y44" s="25">
        <f>IFERROR(AVERAGE(V44,W44,X44),"")</f>
        <v/>
      </c>
      <c r="Z44" s="26">
        <f>Y44</f>
        <v/>
      </c>
      <c r="AA44" s="26">
        <f>Z44</f>
        <v/>
      </c>
      <c r="AB44" s="26">
        <f>AA44</f>
        <v/>
      </c>
      <c r="AC44" s="26">
        <f>AB44</f>
        <v/>
      </c>
    </row>
    <row r="45">
      <c r="A45" s="18" t="inlineStr">
        <is>
          <t>영업외수익</t>
        </is>
      </c>
      <c r="B45" s="10" t="n"/>
      <c r="C45" s="19" t="n">
        <v>117</v>
      </c>
      <c r="D45" s="20" t="n">
        <v>0</v>
      </c>
      <c r="E45" s="20" t="n">
        <v>90</v>
      </c>
      <c r="F45" s="20" t="n">
        <v>373</v>
      </c>
      <c r="G45" s="20" t="n">
        <v>206</v>
      </c>
      <c r="H45" s="20" t="n">
        <v>72</v>
      </c>
      <c r="I45" s="20" t="n">
        <v>79</v>
      </c>
      <c r="J45" s="20" t="n">
        <v>513</v>
      </c>
      <c r="K45" s="20" t="n">
        <v>152</v>
      </c>
      <c r="L45" s="20" t="n">
        <v>149</v>
      </c>
      <c r="M45" s="20" t="n">
        <v>104</v>
      </c>
      <c r="N45" s="20" t="n">
        <v>302</v>
      </c>
      <c r="O45" s="19" t="n">
        <v>614</v>
      </c>
      <c r="P45" s="20" t="n">
        <v>738</v>
      </c>
      <c r="Q45" s="20" t="n">
        <v>667</v>
      </c>
      <c r="R45" s="20" t="n">
        <v>565</v>
      </c>
      <c r="S45" s="20" t="n">
        <v>685</v>
      </c>
      <c r="T45" s="20" t="n">
        <v>969</v>
      </c>
      <c r="U45" s="20" t="n">
        <v>670</v>
      </c>
      <c r="V45" s="20" t="n">
        <v>535</v>
      </c>
      <c r="W45" s="20" t="n">
        <v>730</v>
      </c>
      <c r="X45" s="20" t="n">
        <v>918</v>
      </c>
      <c r="Y45" s="19">
        <f>IF(OR(Y4="",Y46=""),"",IFERROR(Y4*Y46,""))</f>
        <v/>
      </c>
      <c r="Z45" s="20">
        <f>IF(OR(Z4="",Z46=""),"",IFERROR(Z4*Z46,""))</f>
        <v/>
      </c>
      <c r="AA45" s="20">
        <f>IF(OR(AA4="",AA46=""),"",IFERROR(AA4*AA46,""))</f>
        <v/>
      </c>
      <c r="AB45" s="20">
        <f>IF(OR(AB4="",AB46=""),"",IFERROR(AB4*AB46,""))</f>
        <v/>
      </c>
      <c r="AC45" s="20">
        <f>IF(OR(AC4="",AC46=""),"",IFERROR(AC4*AC46,""))</f>
        <v/>
      </c>
    </row>
    <row r="46">
      <c r="A46" s="13" t="inlineStr">
        <is>
          <t>% of Sales</t>
        </is>
      </c>
      <c r="B46" s="10" t="n"/>
      <c r="C46" s="14">
        <f>IF(OR(C45="",C4=""),"",IFERROR(C45/C4,""))</f>
        <v/>
      </c>
      <c r="D46" s="15">
        <f>IF(OR(D45="",D4=""),"",IFERROR(D45/D4,""))</f>
        <v/>
      </c>
      <c r="E46" s="15">
        <f>IF(OR(E45="",E4=""),"",IFERROR(E45/E4,""))</f>
        <v/>
      </c>
      <c r="F46" s="15">
        <f>IF(OR(F45="",F4=""),"",IFERROR(F45/F4,""))</f>
        <v/>
      </c>
      <c r="G46" s="15">
        <f>IF(OR(G45="",G4=""),"",IFERROR(G45/G4,""))</f>
        <v/>
      </c>
      <c r="H46" s="15">
        <f>IF(OR(H45="",H4=""),"",IFERROR(H45/H4,""))</f>
        <v/>
      </c>
      <c r="I46" s="15">
        <f>IF(OR(I45="",I4=""),"",IFERROR(I45/I4,""))</f>
        <v/>
      </c>
      <c r="J46" s="15">
        <f>IF(OR(J45="",J4=""),"",IFERROR(J45/J4,""))</f>
        <v/>
      </c>
      <c r="K46" s="15">
        <f>IF(OR(K45="",K4=""),"",IFERROR(K45/K4,""))</f>
        <v/>
      </c>
      <c r="L46" s="15">
        <f>IF(OR(L45="",L4=""),"",IFERROR(L45/L4,""))</f>
        <v/>
      </c>
      <c r="M46" s="15">
        <f>IF(OR(M45="",M4=""),"",IFERROR(M45/M4,""))</f>
        <v/>
      </c>
      <c r="N46" s="15">
        <f>IF(OR(N45="",N4=""),"",IFERROR(N45/N4,""))</f>
        <v/>
      </c>
      <c r="O46" s="14">
        <f>IF(OR(O45="",O4=""),"",IFERROR(O45/O4,""))</f>
        <v/>
      </c>
      <c r="P46" s="15">
        <f>IF(OR(P45="",P4=""),"",IFERROR(P45/P4,""))</f>
        <v/>
      </c>
      <c r="Q46" s="15">
        <f>IF(OR(Q45="",Q4=""),"",IFERROR(Q45/Q4,""))</f>
        <v/>
      </c>
      <c r="R46" s="15">
        <f>IF(OR(R45="",R4=""),"",IFERROR(R45/R4,""))</f>
        <v/>
      </c>
      <c r="S46" s="15">
        <f>IF(OR(S45="",S4=""),"",IFERROR(S45/S4,""))</f>
        <v/>
      </c>
      <c r="T46" s="15">
        <f>IF(OR(T45="",T4=""),"",IFERROR(T45/T4,""))</f>
        <v/>
      </c>
      <c r="U46" s="15">
        <f>IF(OR(U45="",U4=""),"",IFERROR(U45/U4,""))</f>
        <v/>
      </c>
      <c r="V46" s="15">
        <f>IF(OR(V45="",V4=""),"",IFERROR(V45/V4,""))</f>
        <v/>
      </c>
      <c r="W46" s="15">
        <f>IF(OR(W45="",W4=""),"",IFERROR(W45/W4,""))</f>
        <v/>
      </c>
      <c r="X46" s="15">
        <f>IF(OR(X45="",X4=""),"",IFERROR(X45/X4,""))</f>
        <v/>
      </c>
      <c r="Y46" s="25">
        <f>IFERROR(AVERAGE(V46,W46,X46),"")</f>
        <v/>
      </c>
      <c r="Z46" s="26">
        <f>Y46</f>
        <v/>
      </c>
      <c r="AA46" s="26">
        <f>Z46</f>
        <v/>
      </c>
      <c r="AB46" s="26">
        <f>AA46</f>
        <v/>
      </c>
      <c r="AC46" s="26">
        <f>AB46</f>
        <v/>
      </c>
    </row>
    <row r="47">
      <c r="A47" s="18" t="inlineStr">
        <is>
          <t>영업외비용</t>
        </is>
      </c>
      <c r="B47" s="10" t="n"/>
      <c r="C47" s="19" t="n">
        <v>60</v>
      </c>
      <c r="D47" s="20" t="n">
        <v>242</v>
      </c>
      <c r="E47" s="20" t="n">
        <v>185</v>
      </c>
      <c r="F47" s="20" t="n">
        <v>47</v>
      </c>
      <c r="G47" s="20" t="n">
        <v>82</v>
      </c>
      <c r="H47" s="20" t="n">
        <v>66</v>
      </c>
      <c r="I47" s="20" t="n">
        <v>88</v>
      </c>
      <c r="J47" s="20" t="n">
        <v>127</v>
      </c>
      <c r="K47" s="20" t="n">
        <v>81</v>
      </c>
      <c r="L47" s="20" t="n">
        <v>88</v>
      </c>
      <c r="M47" s="20" t="n">
        <v>100</v>
      </c>
      <c r="N47" s="20" t="n">
        <v>82</v>
      </c>
      <c r="O47" s="19" t="n">
        <v>314</v>
      </c>
      <c r="P47" s="20" t="n">
        <v>342</v>
      </c>
      <c r="Q47" s="20" t="n">
        <v>324</v>
      </c>
      <c r="R47" s="20" t="n">
        <v>242</v>
      </c>
      <c r="S47" s="20" t="n">
        <v>276</v>
      </c>
      <c r="T47" s="20" t="n">
        <v>195</v>
      </c>
      <c r="U47" s="20" t="n">
        <v>382</v>
      </c>
      <c r="V47" s="20" t="n">
        <v>545</v>
      </c>
      <c r="W47" s="20" t="n">
        <v>283</v>
      </c>
      <c r="X47" s="20" t="n">
        <v>396</v>
      </c>
      <c r="Y47" s="19">
        <f>IF(OR(Y4="",Y48=""),"",IFERROR(Y4*Y48,""))</f>
        <v/>
      </c>
      <c r="Z47" s="20">
        <f>IF(OR(Z4="",Z48=""),"",IFERROR(Z4*Z48,""))</f>
        <v/>
      </c>
      <c r="AA47" s="20">
        <f>IF(OR(AA4="",AA48=""),"",IFERROR(AA4*AA48,""))</f>
        <v/>
      </c>
      <c r="AB47" s="20">
        <f>IF(OR(AB4="",AB48=""),"",IFERROR(AB4*AB48,""))</f>
        <v/>
      </c>
      <c r="AC47" s="20">
        <f>IF(OR(AC4="",AC48=""),"",IFERROR(AC4*AC48,""))</f>
        <v/>
      </c>
    </row>
    <row r="48">
      <c r="A48" s="13" t="inlineStr">
        <is>
          <t>% of Sales</t>
        </is>
      </c>
      <c r="B48" s="10" t="n"/>
      <c r="C48" s="14">
        <f>IF(OR(C47="",C4=""),"",IFERROR(C47/C4,""))</f>
        <v/>
      </c>
      <c r="D48" s="15">
        <f>IF(OR(D47="",D4=""),"",IFERROR(D47/D4,""))</f>
        <v/>
      </c>
      <c r="E48" s="15">
        <f>IF(OR(E47="",E4=""),"",IFERROR(E47/E4,""))</f>
        <v/>
      </c>
      <c r="F48" s="15">
        <f>IF(OR(F47="",F4=""),"",IFERROR(F47/F4,""))</f>
        <v/>
      </c>
      <c r="G48" s="15">
        <f>IF(OR(G47="",G4=""),"",IFERROR(G47/G4,""))</f>
        <v/>
      </c>
      <c r="H48" s="15">
        <f>IF(OR(H47="",H4=""),"",IFERROR(H47/H4,""))</f>
        <v/>
      </c>
      <c r="I48" s="15">
        <f>IF(OR(I47="",I4=""),"",IFERROR(I47/I4,""))</f>
        <v/>
      </c>
      <c r="J48" s="15">
        <f>IF(OR(J47="",J4=""),"",IFERROR(J47/J4,""))</f>
        <v/>
      </c>
      <c r="K48" s="15">
        <f>IF(OR(K47="",K4=""),"",IFERROR(K47/K4,""))</f>
        <v/>
      </c>
      <c r="L48" s="15">
        <f>IF(OR(L47="",L4=""),"",IFERROR(L47/L4,""))</f>
        <v/>
      </c>
      <c r="M48" s="15">
        <f>IF(OR(M47="",M4=""),"",IFERROR(M47/M4,""))</f>
        <v/>
      </c>
      <c r="N48" s="15">
        <f>IF(OR(N47="",N4=""),"",IFERROR(N47/N4,""))</f>
        <v/>
      </c>
      <c r="O48" s="14">
        <f>IF(OR(O47="",O4=""),"",IFERROR(O47/O4,""))</f>
        <v/>
      </c>
      <c r="P48" s="15">
        <f>IF(OR(P47="",P4=""),"",IFERROR(P47/P4,""))</f>
        <v/>
      </c>
      <c r="Q48" s="15">
        <f>IF(OR(Q47="",Q4=""),"",IFERROR(Q47/Q4,""))</f>
        <v/>
      </c>
      <c r="R48" s="15">
        <f>IF(OR(R47="",R4=""),"",IFERROR(R47/R4,""))</f>
        <v/>
      </c>
      <c r="S48" s="15">
        <f>IF(OR(S47="",S4=""),"",IFERROR(S47/S4,""))</f>
        <v/>
      </c>
      <c r="T48" s="15">
        <f>IF(OR(T47="",T4=""),"",IFERROR(T47/T4,""))</f>
        <v/>
      </c>
      <c r="U48" s="15">
        <f>IF(OR(U47="",U4=""),"",IFERROR(U47/U4,""))</f>
        <v/>
      </c>
      <c r="V48" s="15">
        <f>IF(OR(V47="",V4=""),"",IFERROR(V47/V4,""))</f>
        <v/>
      </c>
      <c r="W48" s="15">
        <f>IF(OR(W47="",W4=""),"",IFERROR(W47/W4,""))</f>
        <v/>
      </c>
      <c r="X48" s="15">
        <f>IF(OR(X47="",X4=""),"",IFERROR(X47/X4,""))</f>
        <v/>
      </c>
      <c r="Y48" s="25">
        <f>IFERROR(AVERAGE(V48,W48,X48),"")</f>
        <v/>
      </c>
      <c r="Z48" s="26">
        <f>Y48</f>
        <v/>
      </c>
      <c r="AA48" s="26">
        <f>Z48</f>
        <v/>
      </c>
      <c r="AB48" s="26">
        <f>AA48</f>
        <v/>
      </c>
      <c r="AC48" s="26">
        <f>AB48</f>
        <v/>
      </c>
    </row>
    <row r="49">
      <c r="A49" s="9" t="inlineStr">
        <is>
          <t>법인세비용차감전순이익(손실)</t>
        </is>
      </c>
      <c r="B49" s="10" t="n"/>
      <c r="C49" s="11" t="n">
        <v>1692</v>
      </c>
      <c r="D49" s="12" t="n">
        <v>1959</v>
      </c>
      <c r="E49" s="12" t="n">
        <v>2569</v>
      </c>
      <c r="F49" s="12" t="n">
        <v>1783</v>
      </c>
      <c r="G49" s="12" t="n">
        <v>2096</v>
      </c>
      <c r="H49" s="12" t="n">
        <v>919</v>
      </c>
      <c r="I49" s="12" t="n">
        <v>1976</v>
      </c>
      <c r="J49" s="12" t="n">
        <v>1909</v>
      </c>
      <c r="K49" s="12" t="n">
        <v>1848</v>
      </c>
      <c r="L49" s="12" t="n">
        <v>2432</v>
      </c>
      <c r="M49" s="12" t="n">
        <v>2414</v>
      </c>
      <c r="N49" s="12" t="n">
        <v>2575</v>
      </c>
      <c r="O49" s="11" t="n">
        <v>5254</v>
      </c>
      <c r="P49" s="12" t="n">
        <v>4205</v>
      </c>
      <c r="Q49" s="12" t="n">
        <v>6193</v>
      </c>
      <c r="R49" s="12" t="n">
        <v>5706</v>
      </c>
      <c r="S49" s="12" t="n">
        <v>6472</v>
      </c>
      <c r="T49" s="12" t="n">
        <v>5090</v>
      </c>
      <c r="U49" s="12" t="n">
        <v>1639</v>
      </c>
      <c r="V49" s="12" t="n">
        <v>7524</v>
      </c>
      <c r="W49" s="12" t="n">
        <v>6774</v>
      </c>
      <c r="X49" s="12" t="n">
        <v>8603</v>
      </c>
      <c r="Y49" s="11">
        <f>IF(OR(Y25=""),"",IFERROR(Y25+N(Y41)-N(Y43)+N(Y45)-N(Y47),""))</f>
        <v/>
      </c>
      <c r="Z49" s="12">
        <f>IF(OR(Z25=""),"",IFERROR(Z25+N(Z41)-N(Z43)+N(Z45)-N(Z47),""))</f>
        <v/>
      </c>
      <c r="AA49" s="12">
        <f>IF(OR(AA25=""),"",IFERROR(AA25+N(AA41)-N(AA43)+N(AA45)-N(AA47),""))</f>
        <v/>
      </c>
      <c r="AB49" s="12">
        <f>IF(OR(AB25=""),"",IFERROR(AB25+N(AB41)-N(AB43)+N(AB45)-N(AB47),""))</f>
        <v/>
      </c>
      <c r="AC49" s="12">
        <f>IF(OR(AC25=""),"",IFERROR(AC25+N(AC41)-N(AC43)+N(AC45)-N(AC47),""))</f>
        <v/>
      </c>
    </row>
    <row r="50">
      <c r="A50" s="18" t="inlineStr">
        <is>
          <t>법인세비용(수익)</t>
        </is>
      </c>
      <c r="B50" s="10" t="n"/>
      <c r="C50" s="19" t="n">
        <v>593</v>
      </c>
      <c r="D50" s="20" t="n">
        <v>697</v>
      </c>
      <c r="E50" s="20" t="n">
        <v>746</v>
      </c>
      <c r="F50" s="20" t="n">
        <v>446</v>
      </c>
      <c r="G50" s="20" t="n">
        <v>260</v>
      </c>
      <c r="H50" s="20" t="n">
        <v>287</v>
      </c>
      <c r="I50" s="20" t="n">
        <v>292</v>
      </c>
      <c r="J50" s="20" t="n">
        <v>263</v>
      </c>
      <c r="K50" s="20" t="n">
        <v>571</v>
      </c>
      <c r="L50" s="20" t="n">
        <v>724</v>
      </c>
      <c r="M50" s="20" t="n">
        <v>632</v>
      </c>
      <c r="N50" s="20" t="n">
        <v>795</v>
      </c>
      <c r="O50" s="19" t="n">
        <v>1265</v>
      </c>
      <c r="P50" s="20" t="n">
        <v>1197</v>
      </c>
      <c r="Q50" s="20" t="n">
        <v>1538</v>
      </c>
      <c r="R50" s="20" t="n">
        <v>1866</v>
      </c>
      <c r="S50" s="20" t="n">
        <v>1972</v>
      </c>
      <c r="T50" s="20" t="n">
        <v>1401</v>
      </c>
      <c r="U50" s="20" t="n">
        <v>596</v>
      </c>
      <c r="V50" s="20" t="n">
        <v>2410</v>
      </c>
      <c r="W50" s="20" t="n">
        <v>1285</v>
      </c>
      <c r="X50" s="20" t="n">
        <v>2190</v>
      </c>
      <c r="Y50" s="19">
        <f>IF(OR(Y49="",Y51=""),"",IFERROR(MAX(Y49,0)*Y51,""))</f>
        <v/>
      </c>
      <c r="Z50" s="20">
        <f>IF(OR(Z49="",Z51=""),"",IFERROR(MAX(Z49,0)*Z51,""))</f>
        <v/>
      </c>
      <c r="AA50" s="20">
        <f>IF(OR(AA49="",AA51=""),"",IFERROR(MAX(AA49,0)*AA51,""))</f>
        <v/>
      </c>
      <c r="AB50" s="20">
        <f>IF(OR(AB49="",AB51=""),"",IFERROR(MAX(AB49,0)*AB51,""))</f>
        <v/>
      </c>
      <c r="AC50" s="20">
        <f>IF(OR(AC49="",AC51=""),"",IFERROR(MAX(AC49,0)*AC51,""))</f>
        <v/>
      </c>
    </row>
    <row r="51">
      <c r="A51" s="13" t="inlineStr">
        <is>
          <t>법인세율</t>
        </is>
      </c>
      <c r="B51" s="10" t="inlineStr">
        <is>
          <t>MW 기본 30%</t>
        </is>
      </c>
      <c r="C51" s="14">
        <f>IF(OR(C50="",C49=""),"",IFERROR(C50/C49,""))</f>
        <v/>
      </c>
      <c r="D51" s="15">
        <f>IF(OR(D50="",D49=""),"",IFERROR(D50/D49,""))</f>
        <v/>
      </c>
      <c r="E51" s="15">
        <f>IF(OR(E50="",E49=""),"",IFERROR(E50/E49,""))</f>
        <v/>
      </c>
      <c r="F51" s="15">
        <f>IF(OR(F50="",F49=""),"",IFERROR(F50/F49,""))</f>
        <v/>
      </c>
      <c r="G51" s="15">
        <f>IF(OR(G50="",G49=""),"",IFERROR(G50/G49,""))</f>
        <v/>
      </c>
      <c r="H51" s="15">
        <f>IF(OR(H50="",H49=""),"",IFERROR(H50/H49,""))</f>
        <v/>
      </c>
      <c r="I51" s="15">
        <f>IF(OR(I50="",I49=""),"",IFERROR(I50/I49,""))</f>
        <v/>
      </c>
      <c r="J51" s="15">
        <f>IF(OR(J50="",J49=""),"",IFERROR(J50/J49,""))</f>
        <v/>
      </c>
      <c r="K51" s="15">
        <f>IF(OR(K50="",K49=""),"",IFERROR(K50/K49,""))</f>
        <v/>
      </c>
      <c r="L51" s="15">
        <f>IF(OR(L50="",L49=""),"",IFERROR(L50/L49,""))</f>
        <v/>
      </c>
      <c r="M51" s="15">
        <f>IF(OR(M50="",M49=""),"",IFERROR(M50/M49,""))</f>
        <v/>
      </c>
      <c r="N51" s="15">
        <f>IF(OR(N50="",N49=""),"",IFERROR(N50/N49,""))</f>
        <v/>
      </c>
      <c r="O51" s="14">
        <f>IF(OR(O50="",O49=""),"",IFERROR(O50/O49,""))</f>
        <v/>
      </c>
      <c r="P51" s="15">
        <f>IF(OR(P50="",P49=""),"",IFERROR(P50/P49,""))</f>
        <v/>
      </c>
      <c r="Q51" s="15">
        <f>IF(OR(Q50="",Q49=""),"",IFERROR(Q50/Q49,""))</f>
        <v/>
      </c>
      <c r="R51" s="15">
        <f>IF(OR(R50="",R49=""),"",IFERROR(R50/R49,""))</f>
        <v/>
      </c>
      <c r="S51" s="15">
        <f>IF(OR(S50="",S49=""),"",IFERROR(S50/S49,""))</f>
        <v/>
      </c>
      <c r="T51" s="15">
        <f>IF(OR(T50="",T49=""),"",IFERROR(T50/T49,""))</f>
        <v/>
      </c>
      <c r="U51" s="15">
        <f>IF(OR(U50="",U49=""),"",IFERROR(U50/U49,""))</f>
        <v/>
      </c>
      <c r="V51" s="15">
        <f>IF(OR(V50="",V49=""),"",IFERROR(V50/V49,""))</f>
        <v/>
      </c>
      <c r="W51" s="15">
        <f>IF(OR(W50="",W49=""),"",IFERROR(W50/W49,""))</f>
        <v/>
      </c>
      <c r="X51" s="15">
        <f>IF(OR(X50="",X49=""),"",IFERROR(X50/X49,""))</f>
        <v/>
      </c>
      <c r="Y51" s="25" t="n">
        <v>0.3</v>
      </c>
      <c r="Z51" s="26" t="n">
        <v>0.3</v>
      </c>
      <c r="AA51" s="26" t="n">
        <v>0.3</v>
      </c>
      <c r="AB51" s="26" t="n">
        <v>0.3</v>
      </c>
      <c r="AC51" s="26" t="n">
        <v>0.3</v>
      </c>
    </row>
    <row r="52">
      <c r="A52" s="9" t="inlineStr">
        <is>
          <t>당기순이익(손실)</t>
        </is>
      </c>
      <c r="B52" s="10" t="n"/>
      <c r="C52" s="11" t="n">
        <v>1099</v>
      </c>
      <c r="D52" s="12" t="n">
        <v>1262</v>
      </c>
      <c r="E52" s="12" t="n">
        <v>1823</v>
      </c>
      <c r="F52" s="12" t="n">
        <v>1337</v>
      </c>
      <c r="G52" s="12" t="n">
        <v>1835</v>
      </c>
      <c r="H52" s="12" t="n">
        <v>633</v>
      </c>
      <c r="I52" s="12" t="n">
        <v>1683</v>
      </c>
      <c r="J52" s="12" t="n">
        <v>1645</v>
      </c>
      <c r="K52" s="12" t="n">
        <v>1278</v>
      </c>
      <c r="L52" s="12" t="n">
        <v>1707</v>
      </c>
      <c r="M52" s="12" t="n">
        <v>1782</v>
      </c>
      <c r="N52" s="12" t="n">
        <v>1779</v>
      </c>
      <c r="O52" s="11" t="n">
        <v>3989</v>
      </c>
      <c r="P52" s="12" t="n">
        <v>3008</v>
      </c>
      <c r="Q52" s="12" t="n">
        <v>4654</v>
      </c>
      <c r="R52" s="12" t="n">
        <v>3840</v>
      </c>
      <c r="S52" s="12" t="n">
        <v>4500</v>
      </c>
      <c r="T52" s="12" t="n">
        <v>3689</v>
      </c>
      <c r="U52" s="12" t="n">
        <v>1042</v>
      </c>
      <c r="V52" s="12" t="n">
        <v>5113</v>
      </c>
      <c r="W52" s="12" t="n">
        <v>5488</v>
      </c>
      <c r="X52" s="12" t="n">
        <v>6412</v>
      </c>
      <c r="Y52" s="11">
        <f>IF(OR(Y49=""),"",IFERROR(Y49-Y50,""))</f>
        <v/>
      </c>
      <c r="Z52" s="12">
        <f>IF(OR(Z49=""),"",IFERROR(Z49-Z50,""))</f>
        <v/>
      </c>
      <c r="AA52" s="12">
        <f>IF(OR(AA49=""),"",IFERROR(AA49-AA50,""))</f>
        <v/>
      </c>
      <c r="AB52" s="12">
        <f>IF(OR(AB49=""),"",IFERROR(AB49-AB50,""))</f>
        <v/>
      </c>
      <c r="AC52" s="12">
        <f>IF(OR(AC49=""),"",IFERROR(AC49-AC50,""))</f>
        <v/>
      </c>
    </row>
    <row r="53">
      <c r="A53" s="9" t="inlineStr">
        <is>
          <t>지배주주 순이익</t>
        </is>
      </c>
      <c r="B53" s="10" t="n"/>
      <c r="C53" s="11" t="n">
        <v>1068</v>
      </c>
      <c r="D53" s="12" t="n">
        <v>1268</v>
      </c>
      <c r="E53" s="12" t="n">
        <v>1827</v>
      </c>
      <c r="F53" s="12" t="n">
        <v>1304</v>
      </c>
      <c r="G53" s="12" t="n">
        <v>1788</v>
      </c>
      <c r="H53" s="12" t="n">
        <v>619</v>
      </c>
      <c r="I53" s="12" t="n">
        <v>1676</v>
      </c>
      <c r="J53" s="12" t="n">
        <v>1637</v>
      </c>
      <c r="K53" s="12" t="n">
        <v>1236</v>
      </c>
      <c r="L53" s="12" t="n">
        <v>1712</v>
      </c>
      <c r="M53" s="12" t="n">
        <v>1792</v>
      </c>
      <c r="N53" s="12" t="n">
        <v>1761</v>
      </c>
      <c r="O53" s="11" t="n">
        <v>3937</v>
      </c>
      <c r="P53" s="12" t="n">
        <v>2971</v>
      </c>
      <c r="Q53" s="12" t="n">
        <v>4657</v>
      </c>
      <c r="R53" s="12" t="n">
        <v>3842</v>
      </c>
      <c r="S53" s="12" t="n">
        <v>4438</v>
      </c>
      <c r="T53" s="12" t="n">
        <v>3659</v>
      </c>
      <c r="U53" s="12" t="n">
        <v>1030</v>
      </c>
      <c r="V53" s="12" t="n">
        <v>5084</v>
      </c>
      <c r="W53" s="12" t="n">
        <v>5387</v>
      </c>
      <c r="X53" s="12" t="n">
        <v>6377</v>
      </c>
      <c r="Y53" s="11">
        <f>IF(OR(Y52="",Y54=""),"",IFERROR(Y52*Y54,""))</f>
        <v/>
      </c>
      <c r="Z53" s="12">
        <f>IF(OR(Z52="",Z54=""),"",IFERROR(Z52*Z54,""))</f>
        <v/>
      </c>
      <c r="AA53" s="12">
        <f>IF(OR(AA52="",AA54=""),"",IFERROR(AA52*AA54,""))</f>
        <v/>
      </c>
      <c r="AB53" s="12">
        <f>IF(OR(AB52="",AB54=""),"",IFERROR(AB52*AB54,""))</f>
        <v/>
      </c>
      <c r="AC53" s="12">
        <f>IF(OR(AC52="",AC54=""),"",IFERROR(AC52*AC54,""))</f>
        <v/>
      </c>
    </row>
    <row r="54">
      <c r="A54" s="13" t="inlineStr">
        <is>
          <t>지배주주 순이익률</t>
        </is>
      </c>
      <c r="B54" s="10" t="inlineStr">
        <is>
          <t>MW 기본 100%</t>
        </is>
      </c>
      <c r="C54" s="14">
        <f>IF(OR(C53="",C52=""),"",IFERROR(C53/C52,""))</f>
        <v/>
      </c>
      <c r="D54" s="15">
        <f>IF(OR(D53="",D52=""),"",IFERROR(D53/D52,""))</f>
        <v/>
      </c>
      <c r="E54" s="15">
        <f>IF(OR(E53="",E52=""),"",IFERROR(E53/E52,""))</f>
        <v/>
      </c>
      <c r="F54" s="15">
        <f>IF(OR(F53="",F52=""),"",IFERROR(F53/F52,""))</f>
        <v/>
      </c>
      <c r="G54" s="15">
        <f>IF(OR(G53="",G52=""),"",IFERROR(G53/G52,""))</f>
        <v/>
      </c>
      <c r="H54" s="15">
        <f>IF(OR(H53="",H52=""),"",IFERROR(H53/H52,""))</f>
        <v/>
      </c>
      <c r="I54" s="15">
        <f>IF(OR(I53="",I52=""),"",IFERROR(I53/I52,""))</f>
        <v/>
      </c>
      <c r="J54" s="15">
        <f>IF(OR(J53="",J52=""),"",IFERROR(J53/J52,""))</f>
        <v/>
      </c>
      <c r="K54" s="15">
        <f>IF(OR(K53="",K52=""),"",IFERROR(K53/K52,""))</f>
        <v/>
      </c>
      <c r="L54" s="15">
        <f>IF(OR(L53="",L52=""),"",IFERROR(L53/L52,""))</f>
        <v/>
      </c>
      <c r="M54" s="15">
        <f>IF(OR(M53="",M52=""),"",IFERROR(M53/M52,""))</f>
        <v/>
      </c>
      <c r="N54" s="15">
        <f>IF(OR(N53="",N52=""),"",IFERROR(N53/N52,""))</f>
        <v/>
      </c>
      <c r="O54" s="14">
        <f>IF(OR(O53="",O52=""),"",IFERROR(O53/O52,""))</f>
        <v/>
      </c>
      <c r="P54" s="15">
        <f>IF(OR(P53="",P52=""),"",IFERROR(P53/P52,""))</f>
        <v/>
      </c>
      <c r="Q54" s="15">
        <f>IF(OR(Q53="",Q52=""),"",IFERROR(Q53/Q52,""))</f>
        <v/>
      </c>
      <c r="R54" s="15">
        <f>IF(OR(R53="",R52=""),"",IFERROR(R53/R52,""))</f>
        <v/>
      </c>
      <c r="S54" s="15">
        <f>IF(OR(S53="",S52=""),"",IFERROR(S53/S52,""))</f>
        <v/>
      </c>
      <c r="T54" s="15">
        <f>IF(OR(T53="",T52=""),"",IFERROR(T53/T52,""))</f>
        <v/>
      </c>
      <c r="U54" s="15">
        <f>IF(OR(U53="",U52=""),"",IFERROR(U53/U52,""))</f>
        <v/>
      </c>
      <c r="V54" s="15">
        <f>IF(OR(V53="",V52=""),"",IFERROR(V53/V52,""))</f>
        <v/>
      </c>
      <c r="W54" s="15">
        <f>IF(OR(W53="",W52=""),"",IFERROR(W53/W52,""))</f>
        <v/>
      </c>
      <c r="X54" s="15">
        <f>IF(OR(X53="",X52=""),"",IFERROR(X53/X52,""))</f>
        <v/>
      </c>
      <c r="Y54" s="25" t="n">
        <v>1</v>
      </c>
      <c r="Z54" s="26" t="n">
        <v>1</v>
      </c>
      <c r="AA54" s="26" t="n">
        <v>1</v>
      </c>
      <c r="AB54" s="26" t="n">
        <v>1</v>
      </c>
      <c r="AC54" s="26" t="n">
        <v>1</v>
      </c>
    </row>
    <row r="55">
      <c r="A55" s="16" t="inlineStr">
        <is>
          <t>목표주가 산출</t>
        </is>
      </c>
      <c r="B55" s="16" t="n"/>
      <c r="C55" s="17" t="n"/>
      <c r="D55" s="16" t="n"/>
      <c r="E55" s="16" t="n"/>
      <c r="F55" s="16" t="n"/>
      <c r="G55" s="16" t="n"/>
      <c r="H55" s="16" t="n"/>
      <c r="I55" s="16" t="n"/>
      <c r="J55" s="16" t="n"/>
      <c r="K55" s="16" t="n"/>
      <c r="L55" s="16" t="n"/>
      <c r="M55" s="16" t="n"/>
      <c r="N55" s="16" t="n"/>
      <c r="O55" s="17" t="n"/>
      <c r="P55" s="16" t="n"/>
      <c r="Q55" s="16" t="n"/>
      <c r="R55" s="16" t="n"/>
      <c r="S55" s="16" t="n"/>
      <c r="T55" s="16" t="n"/>
      <c r="U55" s="16" t="n"/>
      <c r="V55" s="16" t="n"/>
      <c r="W55" s="16" t="n"/>
      <c r="X55" s="16" t="n"/>
      <c r="Y55" s="17" t="n"/>
      <c r="Z55" s="16" t="n"/>
      <c r="AA55" s="16" t="n"/>
      <c r="AB55" s="16" t="n"/>
      <c r="AC55" s="16" t="n"/>
    </row>
    <row r="56">
      <c r="A56" s="18" t="inlineStr">
        <is>
          <t>현재 주가 (2026.10.26)</t>
        </is>
      </c>
      <c r="B56" s="27" t="n">
        <v>1447</v>
      </c>
      <c r="C56" s="28" t="n"/>
      <c r="D56" s="29" t="n"/>
      <c r="E56" s="29" t="n"/>
      <c r="F56" s="29" t="n"/>
      <c r="G56" s="29" t="n"/>
      <c r="H56" s="29" t="n"/>
      <c r="I56" s="29" t="n"/>
      <c r="J56" s="29" t="n"/>
      <c r="K56" s="29" t="n"/>
      <c r="L56" s="29" t="n"/>
      <c r="M56" s="29" t="n"/>
      <c r="N56" s="29" t="n"/>
      <c r="O56" s="28" t="n"/>
      <c r="P56" s="29" t="n"/>
      <c r="Q56" s="29" t="n"/>
      <c r="R56" s="29" t="n"/>
      <c r="S56" s="29" t="n"/>
      <c r="T56" s="29" t="n"/>
      <c r="U56" s="29" t="n"/>
      <c r="V56" s="29" t="n"/>
      <c r="W56" s="29" t="n"/>
      <c r="X56" s="29" t="n"/>
      <c r="Y56" s="28" t="n"/>
      <c r="Z56" s="29" t="n"/>
      <c r="AA56" s="29" t="n"/>
      <c r="AB56" s="29" t="n"/>
      <c r="AC56" s="29" t="n"/>
    </row>
    <row r="57">
      <c r="A57" s="18" t="inlineStr">
        <is>
          <t>발행주식수 (보통주)</t>
        </is>
      </c>
      <c r="B57" s="27" t="n">
        <v>38477128</v>
      </c>
      <c r="C57" s="28" t="n"/>
      <c r="D57" s="29" t="n"/>
      <c r="E57" s="29" t="n"/>
      <c r="F57" s="29" t="n"/>
      <c r="G57" s="29" t="n"/>
      <c r="H57" s="29" t="n"/>
      <c r="I57" s="29" t="n"/>
      <c r="J57" s="29" t="n"/>
      <c r="K57" s="29" t="n"/>
      <c r="L57" s="29" t="n"/>
      <c r="M57" s="29" t="n"/>
      <c r="N57" s="29" t="n"/>
      <c r="O57" s="28" t="n"/>
      <c r="P57" s="29" t="n"/>
      <c r="Q57" s="29" t="n"/>
      <c r="R57" s="29" t="n"/>
      <c r="S57" s="29" t="n"/>
      <c r="T57" s="29" t="n"/>
      <c r="U57" s="29" t="n"/>
      <c r="V57" s="29" t="n"/>
      <c r="W57" s="29" t="n"/>
      <c r="X57" s="29" t="n"/>
      <c r="Y57" s="28" t="n"/>
      <c r="Z57" s="29" t="n"/>
      <c r="AA57" s="29" t="n"/>
      <c r="AB57" s="29" t="n"/>
      <c r="AC57" s="29" t="n"/>
    </row>
    <row r="58">
      <c r="A58" s="18" t="inlineStr">
        <is>
          <t>시가총액 (백만엔)</t>
        </is>
      </c>
      <c r="B58" s="12">
        <f>IF(OR(B56="",B57=""),"",B56*B57/1000000.0)</f>
        <v/>
      </c>
      <c r="C58" s="19" t="n"/>
      <c r="D58" s="20" t="n"/>
      <c r="E58" s="20" t="n"/>
      <c r="F58" s="20" t="n"/>
      <c r="G58" s="20" t="n"/>
      <c r="H58" s="20" t="n"/>
      <c r="I58" s="20" t="n"/>
      <c r="J58" s="20" t="n"/>
      <c r="K58" s="20" t="n"/>
      <c r="L58" s="20" t="n"/>
      <c r="M58" s="20" t="n"/>
      <c r="N58" s="20" t="n"/>
      <c r="O58" s="19" t="n"/>
      <c r="P58" s="20" t="n"/>
      <c r="Q58" s="20" t="n"/>
      <c r="R58" s="20" t="n"/>
      <c r="S58" s="20" t="n"/>
      <c r="T58" s="20" t="n"/>
      <c r="U58" s="20" t="n"/>
      <c r="V58" s="20" t="n"/>
      <c r="W58" s="20" t="n"/>
      <c r="X58" s="20" t="n"/>
      <c r="Y58" s="19" t="n"/>
      <c r="Z58" s="20" t="n"/>
      <c r="AA58" s="20" t="n"/>
      <c r="AB58" s="20" t="n"/>
      <c r="AC58" s="20" t="n"/>
    </row>
    <row r="59">
      <c r="A59" s="13" t="inlineStr">
        <is>
          <t>OPM</t>
        </is>
      </c>
      <c r="B59" s="10" t="n"/>
      <c r="C59" s="14" t="n"/>
      <c r="D59" s="15" t="n"/>
      <c r="E59" s="15" t="n"/>
      <c r="F59" s="15" t="n"/>
      <c r="G59" s="15" t="n"/>
      <c r="H59" s="15" t="n"/>
      <c r="I59" s="15" t="n"/>
      <c r="J59" s="15" t="n"/>
      <c r="K59" s="15" t="n"/>
      <c r="L59" s="15" t="n"/>
      <c r="M59" s="15" t="n"/>
      <c r="N59" s="15" t="n"/>
      <c r="O59" s="14">
        <f>IF(O26="","",O26)</f>
        <v/>
      </c>
      <c r="P59" s="15">
        <f>IF(P26="","",P26)</f>
        <v/>
      </c>
      <c r="Q59" s="15">
        <f>IF(Q26="","",Q26)</f>
        <v/>
      </c>
      <c r="R59" s="15">
        <f>IF(R26="","",R26)</f>
        <v/>
      </c>
      <c r="S59" s="15">
        <f>IF(S26="","",S26)</f>
        <v/>
      </c>
      <c r="T59" s="15">
        <f>IF(T26="","",T26)</f>
        <v/>
      </c>
      <c r="U59" s="15">
        <f>IF(U26="","",U26)</f>
        <v/>
      </c>
      <c r="V59" s="15">
        <f>IF(V26="","",V26)</f>
        <v/>
      </c>
      <c r="W59" s="15">
        <f>IF(W26="","",W26)</f>
        <v/>
      </c>
      <c r="X59" s="15">
        <f>IF(X26="","",X26)</f>
        <v/>
      </c>
      <c r="Y59" s="14">
        <f>IF(Y26="","",Y26)</f>
        <v/>
      </c>
      <c r="Z59" s="15">
        <f>IF(Z26="","",Z26)</f>
        <v/>
      </c>
      <c r="AA59" s="15">
        <f>IF(AA26="","",AA26)</f>
        <v/>
      </c>
      <c r="AB59" s="15">
        <f>IF(AB26="","",AB26)</f>
        <v/>
      </c>
      <c r="AC59" s="15">
        <f>IF(AC26="","",AC26)</f>
        <v/>
      </c>
    </row>
    <row r="60">
      <c r="A60" s="13" t="inlineStr">
        <is>
          <t>지배주주 순이익 증가율</t>
        </is>
      </c>
      <c r="B60" s="10" t="n"/>
      <c r="C60" s="14" t="n"/>
      <c r="D60" s="15" t="n"/>
      <c r="E60" s="15" t="n"/>
      <c r="F60" s="15" t="n"/>
      <c r="G60" s="15" t="n"/>
      <c r="H60" s="15" t="n"/>
      <c r="I60" s="15" t="n"/>
      <c r="J60" s="15" t="n"/>
      <c r="K60" s="15" t="n"/>
      <c r="L60" s="15" t="n"/>
      <c r="M60" s="15" t="n"/>
      <c r="N60" s="15" t="n"/>
      <c r="O60" s="14" t="n"/>
      <c r="P60" s="15">
        <f>IF(OR(P53="",O53=""),"",IFERROR(P53/O53-1,""))</f>
        <v/>
      </c>
      <c r="Q60" s="15">
        <f>IF(OR(Q53="",P53=""),"",IFERROR(Q53/P53-1,""))</f>
        <v/>
      </c>
      <c r="R60" s="15">
        <f>IF(OR(R53="",Q53=""),"",IFERROR(R53/Q53-1,""))</f>
        <v/>
      </c>
      <c r="S60" s="15">
        <f>IF(OR(S53="",R53=""),"",IFERROR(S53/R53-1,""))</f>
        <v/>
      </c>
      <c r="T60" s="15">
        <f>IF(OR(T53="",S53=""),"",IFERROR(T53/S53-1,""))</f>
        <v/>
      </c>
      <c r="U60" s="15">
        <f>IF(OR(U53="",T53=""),"",IFERROR(U53/T53-1,""))</f>
        <v/>
      </c>
      <c r="V60" s="15">
        <f>IF(OR(V53="",U53=""),"",IFERROR(V53/U53-1,""))</f>
        <v/>
      </c>
      <c r="W60" s="15">
        <f>IF(OR(W53="",V53=""),"",IFERROR(W53/V53-1,""))</f>
        <v/>
      </c>
      <c r="X60" s="15">
        <f>IF(OR(X53="",W53=""),"",IFERROR(X53/W53-1,""))</f>
        <v/>
      </c>
      <c r="Y60" s="14">
        <f>IF(OR(Y53="",X53=""),"",IFERROR(Y53/X53-1,""))</f>
        <v/>
      </c>
      <c r="Z60" s="15">
        <f>IF(OR(Z53="",Y53=""),"",IFERROR(Z53/Y53-1,""))</f>
        <v/>
      </c>
      <c r="AA60" s="15">
        <f>IF(OR(AA53="",Z53=""),"",IFERROR(AA53/Z53-1,""))</f>
        <v/>
      </c>
      <c r="AB60" s="15">
        <f>IF(OR(AB53="",AA53=""),"",IFERROR(AB53/AA53-1,""))</f>
        <v/>
      </c>
      <c r="AC60" s="15">
        <f>IF(OR(AC53="",AB53=""),"",IFERROR(AC53/AB53-1,""))</f>
        <v/>
      </c>
    </row>
    <row r="61">
      <c r="A61" s="18" t="inlineStr">
        <is>
          <t>P/E (현재 주가)</t>
        </is>
      </c>
      <c r="B61" s="10" t="inlineStr">
        <is>
          <t>시총 ÷ 지배순이익</t>
        </is>
      </c>
      <c r="C61" s="30" t="n"/>
      <c r="D61" s="31" t="n"/>
      <c r="E61" s="31" t="n"/>
      <c r="F61" s="31" t="n"/>
      <c r="G61" s="31" t="n"/>
      <c r="H61" s="31" t="n"/>
      <c r="I61" s="31" t="n"/>
      <c r="J61" s="31" t="n"/>
      <c r="K61" s="31" t="n"/>
      <c r="L61" s="31" t="n"/>
      <c r="M61" s="31" t="n"/>
      <c r="N61" s="31" t="n"/>
      <c r="O61" s="30" t="n"/>
      <c r="P61" s="31" t="n"/>
      <c r="Q61" s="31" t="n"/>
      <c r="R61" s="31" t="n"/>
      <c r="S61" s="31" t="n"/>
      <c r="T61" s="31" t="n"/>
      <c r="U61" s="31" t="n"/>
      <c r="V61" s="31" t="n"/>
      <c r="W61" s="31" t="n"/>
      <c r="X61" s="31">
        <f>IF(OR($B$58="",X53=""),"",IFERROR($B$58/X53,""))</f>
        <v/>
      </c>
      <c r="Y61" s="30">
        <f>IF(OR($B$58="",Y53=""),"",IFERROR($B$58/Y53,""))</f>
        <v/>
      </c>
      <c r="Z61" s="31">
        <f>IF(OR($B$58="",Z53=""),"",IFERROR($B$58/Z53,""))</f>
        <v/>
      </c>
      <c r="AA61" s="31">
        <f>IF(OR($B$58="",AA53=""),"",IFERROR($B$58/AA53,""))</f>
        <v/>
      </c>
      <c r="AB61" s="31">
        <f>IF(OR($B$58="",AB53=""),"",IFERROR($B$58/AB53,""))</f>
        <v/>
      </c>
      <c r="AC61" s="31">
        <f>IF(OR($B$58="",AC53=""),"",IFERROR($B$58/AC53,""))</f>
        <v/>
      </c>
    </row>
    <row r="62">
      <c r="A62" s="18" t="inlineStr">
        <is>
          <t>Target P/E</t>
        </is>
      </c>
      <c r="B62" s="10" t="inlineStr">
        <is>
          <t>직접 입력</t>
        </is>
      </c>
      <c r="C62" s="30" t="n"/>
      <c r="D62" s="31" t="n"/>
      <c r="E62" s="31" t="n"/>
      <c r="F62" s="31" t="n"/>
      <c r="G62" s="31" t="n"/>
      <c r="H62" s="31" t="n"/>
      <c r="I62" s="31" t="n"/>
      <c r="J62" s="31" t="n"/>
      <c r="K62" s="31" t="n"/>
      <c r="L62" s="31" t="n"/>
      <c r="M62" s="31" t="n"/>
      <c r="N62" s="31" t="n"/>
      <c r="O62" s="30" t="n"/>
      <c r="P62" s="31" t="n"/>
      <c r="Q62" s="31" t="n"/>
      <c r="R62" s="31" t="n"/>
      <c r="S62" s="31" t="n"/>
      <c r="T62" s="31" t="n"/>
      <c r="U62" s="31" t="n"/>
      <c r="V62" s="31" t="n"/>
      <c r="W62" s="31" t="n"/>
      <c r="X62" s="31" t="n"/>
      <c r="Y62" s="32" t="n"/>
      <c r="Z62" s="33" t="n"/>
      <c r="AA62" s="33" t="n"/>
      <c r="AB62" s="33" t="n"/>
      <c r="AC62" s="33" t="n"/>
    </row>
    <row r="63">
      <c r="A63" s="18" t="inlineStr">
        <is>
          <t>EPS</t>
        </is>
      </c>
      <c r="B63" s="10" t="inlineStr">
        <is>
          <t>지배순이익 ÷ 주식수</t>
        </is>
      </c>
      <c r="C63" s="28" t="n"/>
      <c r="D63" s="29" t="n"/>
      <c r="E63" s="29" t="n"/>
      <c r="F63" s="29" t="n"/>
      <c r="G63" s="29" t="n"/>
      <c r="H63" s="29" t="n"/>
      <c r="I63" s="29" t="n"/>
      <c r="J63" s="29" t="n"/>
      <c r="K63" s="29" t="n"/>
      <c r="L63" s="29" t="n"/>
      <c r="M63" s="29" t="n"/>
      <c r="N63" s="29" t="n"/>
      <c r="O63" s="28">
        <f>IF(OR(O53="",$B$57=""),"",IFERROR(O53*1000000.0/$B$57,""))</f>
        <v/>
      </c>
      <c r="P63" s="29">
        <f>IF(OR(P53="",$B$57=""),"",IFERROR(P53*1000000.0/$B$57,""))</f>
        <v/>
      </c>
      <c r="Q63" s="29">
        <f>IF(OR(Q53="",$B$57=""),"",IFERROR(Q53*1000000.0/$B$57,""))</f>
        <v/>
      </c>
      <c r="R63" s="29">
        <f>IF(OR(R53="",$B$57=""),"",IFERROR(R53*1000000.0/$B$57,""))</f>
        <v/>
      </c>
      <c r="S63" s="29">
        <f>IF(OR(S53="",$B$57=""),"",IFERROR(S53*1000000.0/$B$57,""))</f>
        <v/>
      </c>
      <c r="T63" s="29">
        <f>IF(OR(T53="",$B$57=""),"",IFERROR(T53*1000000.0/$B$57,""))</f>
        <v/>
      </c>
      <c r="U63" s="29">
        <f>IF(OR(U53="",$B$57=""),"",IFERROR(U53*1000000.0/$B$57,""))</f>
        <v/>
      </c>
      <c r="V63" s="29">
        <f>IF(OR(V53="",$B$57=""),"",IFERROR(V53*1000000.0/$B$57,""))</f>
        <v/>
      </c>
      <c r="W63" s="29">
        <f>IF(OR(W53="",$B$57=""),"",IFERROR(W53*1000000.0/$B$57,""))</f>
        <v/>
      </c>
      <c r="X63" s="29">
        <f>IF(OR(X53="",$B$57=""),"",IFERROR(X53*1000000.0/$B$57,""))</f>
        <v/>
      </c>
      <c r="Y63" s="28">
        <f>IF(OR(Y53="",$B$57=""),"",IFERROR(Y53*1000000.0/$B$57,""))</f>
        <v/>
      </c>
      <c r="Z63" s="29">
        <f>IF(OR(Z53="",$B$57=""),"",IFERROR(Z53*1000000.0/$B$57,""))</f>
        <v/>
      </c>
      <c r="AA63" s="29">
        <f>IF(OR(AA53="",$B$57=""),"",IFERROR(AA53*1000000.0/$B$57,""))</f>
        <v/>
      </c>
      <c r="AB63" s="29">
        <f>IF(OR(AB53="",$B$57=""),"",IFERROR(AB53*1000000.0/$B$57,""))</f>
        <v/>
      </c>
      <c r="AC63" s="29">
        <f>IF(OR(AC53="",$B$57=""),"",IFERROR(AC53*1000000.0/$B$57,""))</f>
        <v/>
      </c>
    </row>
    <row r="64">
      <c r="A64" s="9" t="inlineStr">
        <is>
          <t>목표주가</t>
        </is>
      </c>
      <c r="B64" s="10" t="n"/>
      <c r="C64" s="34" t="n"/>
      <c r="D64" s="27" t="n"/>
      <c r="E64" s="27" t="n"/>
      <c r="F64" s="27" t="n"/>
      <c r="G64" s="27" t="n"/>
      <c r="H64" s="27" t="n"/>
      <c r="I64" s="27" t="n"/>
      <c r="J64" s="27" t="n"/>
      <c r="K64" s="27" t="n"/>
      <c r="L64" s="27" t="n"/>
      <c r="M64" s="27" t="n"/>
      <c r="N64" s="27" t="n"/>
      <c r="O64" s="34" t="n"/>
      <c r="P64" s="27" t="n"/>
      <c r="Q64" s="27" t="n"/>
      <c r="R64" s="27" t="n"/>
      <c r="S64" s="27" t="n"/>
      <c r="T64" s="27" t="n"/>
      <c r="U64" s="27" t="n"/>
      <c r="V64" s="27" t="n"/>
      <c r="W64" s="27" t="n"/>
      <c r="X64" s="27" t="n"/>
      <c r="Y64" s="34">
        <f>IF(OR(Y63="",Y62=""),"",IFERROR(Y63*Y62,""))</f>
        <v/>
      </c>
      <c r="Z64" s="27">
        <f>IF(OR(Z63="",Z62=""),"",IFERROR(Z63*Z62,""))</f>
        <v/>
      </c>
      <c r="AA64" s="27">
        <f>IF(OR(AA63="",AA62=""),"",IFERROR(AA63*AA62,""))</f>
        <v/>
      </c>
      <c r="AB64" s="27">
        <f>IF(OR(AB63="",AB62=""),"",IFERROR(AB63*AB62,""))</f>
        <v/>
      </c>
      <c r="AC64" s="27">
        <f>IF(OR(AC63="",AC62=""),"",IFERROR(AC63*AC62,""))</f>
        <v/>
      </c>
    </row>
    <row r="65">
      <c r="A65" s="18" t="inlineStr">
        <is>
          <t>상승여력</t>
        </is>
      </c>
      <c r="B65" s="10" t="n"/>
      <c r="C65" s="35" t="n"/>
      <c r="D65" s="36" t="n"/>
      <c r="E65" s="36" t="n"/>
      <c r="F65" s="36" t="n"/>
      <c r="G65" s="36" t="n"/>
      <c r="H65" s="36" t="n"/>
      <c r="I65" s="36" t="n"/>
      <c r="J65" s="36" t="n"/>
      <c r="K65" s="36" t="n"/>
      <c r="L65" s="36" t="n"/>
      <c r="M65" s="36" t="n"/>
      <c r="N65" s="36" t="n"/>
      <c r="O65" s="35" t="n"/>
      <c r="P65" s="36" t="n"/>
      <c r="Q65" s="36" t="n"/>
      <c r="R65" s="36" t="n"/>
      <c r="S65" s="36" t="n"/>
      <c r="T65" s="36" t="n"/>
      <c r="U65" s="36" t="n"/>
      <c r="V65" s="36" t="n"/>
      <c r="W65" s="36" t="n"/>
      <c r="X65" s="36" t="n"/>
      <c r="Y65" s="37">
        <f>IF(OR(Y64="",$B$56=""),"",IFERROR(Y64/$B$56-1,""))</f>
        <v/>
      </c>
      <c r="Z65" s="38">
        <f>IF(OR(Z64="",$B$56=""),"",IFERROR(Z64/$B$56-1,""))</f>
        <v/>
      </c>
      <c r="AA65" s="38">
        <f>IF(OR(AA64="",$B$56=""),"",IFERROR(AA64/$B$56-1,""))</f>
        <v/>
      </c>
      <c r="AB65" s="38">
        <f>IF(OR(AB64="",$B$56=""),"",IFERROR(AB64/$B$56-1,""))</f>
        <v/>
      </c>
      <c r="AC65" s="38">
        <f>IF(OR(AC64="",$B$56=""),"",IFERROR(AC64/$B$56-1,""))</f>
        <v/>
      </c>
    </row>
    <row r="66">
      <c r="A66" s="16" t="inlineStr">
        <is>
          <t>자산가치 산출</t>
        </is>
      </c>
      <c r="B66" s="16" t="inlineStr">
        <is>
          <t>최신 분기 BS</t>
        </is>
      </c>
      <c r="C66" s="17" t="n"/>
      <c r="D66" s="16" t="n"/>
      <c r="E66" s="16" t="n"/>
      <c r="F66" s="16" t="n"/>
      <c r="G66" s="16" t="n"/>
      <c r="H66" s="16" t="n"/>
      <c r="I66" s="16" t="n"/>
      <c r="J66" s="16" t="n"/>
      <c r="K66" s="16" t="n"/>
      <c r="L66" s="16" t="n"/>
      <c r="M66" s="16" t="n"/>
      <c r="N66" s="16" t="n"/>
      <c r="O66" s="17" t="n"/>
      <c r="P66" s="16" t="n"/>
      <c r="Q66" s="16" t="n"/>
      <c r="R66" s="16" t="n"/>
      <c r="S66" s="16" t="n"/>
      <c r="T66" s="16" t="n"/>
      <c r="U66" s="16" t="n"/>
      <c r="V66" s="16" t="n"/>
      <c r="W66" s="16" t="n"/>
      <c r="X66" s="16" t="n"/>
      <c r="Y66" s="17" t="n"/>
      <c r="Z66" s="16" t="n"/>
      <c r="AA66" s="16" t="n"/>
      <c r="AB66" s="16" t="n"/>
      <c r="AC66" s="16" t="n"/>
    </row>
    <row r="67">
      <c r="A67" s="18" t="inlineStr">
        <is>
          <t>현금및현금성자산</t>
        </is>
      </c>
      <c r="B67" s="10" t="n"/>
      <c r="C67" s="19" t="n"/>
      <c r="D67" s="20" t="n"/>
      <c r="E67" s="20" t="n"/>
      <c r="F67" s="20" t="n"/>
      <c r="G67" s="20" t="n"/>
      <c r="H67" s="20" t="n"/>
      <c r="I67" s="20" t="n"/>
      <c r="J67" s="20" t="n"/>
      <c r="K67" s="20" t="n"/>
      <c r="L67" s="20" t="n"/>
      <c r="M67" s="20" t="n"/>
      <c r="N67" s="20" t="n"/>
      <c r="O67" s="19" t="n"/>
      <c r="P67" s="20" t="n"/>
      <c r="Q67" s="20" t="n"/>
      <c r="R67" s="20" t="n"/>
      <c r="S67" s="20" t="n"/>
      <c r="T67" s="20" t="n"/>
      <c r="U67" s="20" t="n"/>
      <c r="V67" s="20" t="n"/>
      <c r="W67" s="20" t="n"/>
      <c r="X67" s="20">
        <f>'재무상태표'!G6</f>
        <v/>
      </c>
      <c r="Y67" s="19">
        <f>'재무상태표'!G6</f>
        <v/>
      </c>
      <c r="Z67" s="20">
        <f>'재무상태표'!G6</f>
        <v/>
      </c>
      <c r="AA67" s="20">
        <f>'재무상태표'!G6</f>
        <v/>
      </c>
      <c r="AB67" s="20">
        <f>'재무상태표'!G6</f>
        <v/>
      </c>
      <c r="AC67" s="20">
        <f>'재무상태표'!G6</f>
        <v/>
      </c>
    </row>
    <row r="68">
      <c r="A68" s="18" t="inlineStr">
        <is>
          <t>단기금융상품</t>
        </is>
      </c>
      <c r="B68" s="10" t="n"/>
      <c r="C68" s="19" t="n"/>
      <c r="D68" s="20" t="n"/>
      <c r="E68" s="20" t="n"/>
      <c r="F68" s="20" t="n"/>
      <c r="G68" s="20" t="n"/>
      <c r="H68" s="20" t="n"/>
      <c r="I68" s="20" t="n"/>
      <c r="J68" s="20" t="n"/>
      <c r="K68" s="20" t="n"/>
      <c r="L68" s="20" t="n"/>
      <c r="M68" s="20" t="n"/>
      <c r="N68" s="20" t="n"/>
      <c r="O68" s="19" t="n"/>
      <c r="P68" s="20" t="n"/>
      <c r="Q68" s="20" t="n"/>
      <c r="R68" s="20" t="n"/>
      <c r="S68" s="20" t="n"/>
      <c r="T68" s="20" t="n"/>
      <c r="U68" s="20" t="n"/>
      <c r="V68" s="20" t="n"/>
      <c r="W68" s="20" t="n"/>
      <c r="X68" s="20">
        <f>'재무상태표'!G7</f>
        <v/>
      </c>
      <c r="Y68" s="19">
        <f>'재무상태표'!G7</f>
        <v/>
      </c>
      <c r="Z68" s="20">
        <f>'재무상태표'!G7</f>
        <v/>
      </c>
      <c r="AA68" s="20">
        <f>'재무상태표'!G7</f>
        <v/>
      </c>
      <c r="AB68" s="20">
        <f>'재무상태표'!G7</f>
        <v/>
      </c>
      <c r="AC68" s="20">
        <f>'재무상태표'!G7</f>
        <v/>
      </c>
    </row>
    <row r="69">
      <c r="A69" s="18" t="inlineStr">
        <is>
          <t>투자부동산</t>
        </is>
      </c>
      <c r="B69" s="10" t="n"/>
      <c r="C69" s="19" t="n"/>
      <c r="D69" s="20" t="n"/>
      <c r="E69" s="20" t="n"/>
      <c r="F69" s="20" t="n"/>
      <c r="G69" s="20" t="n"/>
      <c r="H69" s="20" t="n"/>
      <c r="I69" s="20" t="n"/>
      <c r="J69" s="20" t="n"/>
      <c r="K69" s="20" t="n"/>
      <c r="L69" s="20" t="n"/>
      <c r="M69" s="20" t="n"/>
      <c r="N69" s="20" t="n"/>
      <c r="O69" s="19" t="n"/>
      <c r="P69" s="20" t="n"/>
      <c r="Q69" s="20" t="n"/>
      <c r="R69" s="20" t="n"/>
      <c r="S69" s="20" t="n"/>
      <c r="T69" s="20" t="n"/>
      <c r="U69" s="20" t="n"/>
      <c r="V69" s="20" t="n"/>
      <c r="W69" s="20" t="n"/>
      <c r="X69" s="20">
        <f>'재무상태표'!G14</f>
        <v/>
      </c>
      <c r="Y69" s="19">
        <f>'재무상태표'!G14</f>
        <v/>
      </c>
      <c r="Z69" s="20">
        <f>'재무상태표'!G14</f>
        <v/>
      </c>
      <c r="AA69" s="20">
        <f>'재무상태표'!G14</f>
        <v/>
      </c>
      <c r="AB69" s="20">
        <f>'재무상태표'!G14</f>
        <v/>
      </c>
      <c r="AC69" s="20">
        <f>'재무상태표'!G14</f>
        <v/>
      </c>
    </row>
    <row r="70">
      <c r="A70" s="18" t="inlineStr">
        <is>
          <t>지배자본</t>
        </is>
      </c>
      <c r="B70" s="10" t="n"/>
      <c r="C70" s="19" t="n"/>
      <c r="D70" s="20" t="n"/>
      <c r="E70" s="20" t="n"/>
      <c r="F70" s="20" t="n"/>
      <c r="G70" s="20" t="n"/>
      <c r="H70" s="20" t="n"/>
      <c r="I70" s="20" t="n"/>
      <c r="J70" s="20" t="n"/>
      <c r="K70" s="20" t="n"/>
      <c r="L70" s="20" t="n"/>
      <c r="M70" s="20" t="n"/>
      <c r="N70" s="20" t="n"/>
      <c r="O70" s="19" t="n"/>
      <c r="P70" s="20" t="n"/>
      <c r="Q70" s="20" t="n"/>
      <c r="R70" s="20" t="n"/>
      <c r="S70" s="20" t="n"/>
      <c r="T70" s="20" t="n"/>
      <c r="U70" s="20" t="n"/>
      <c r="V70" s="20" t="n"/>
      <c r="W70" s="20" t="n"/>
      <c r="X70" s="20">
        <f>'재무상태표'!G31</f>
        <v/>
      </c>
      <c r="Y70" s="19">
        <f>'재무상태표'!G31</f>
        <v/>
      </c>
      <c r="Z70" s="20">
        <f>'재무상태표'!G31</f>
        <v/>
      </c>
      <c r="AA70" s="20">
        <f>'재무상태표'!G31</f>
        <v/>
      </c>
      <c r="AB70" s="20">
        <f>'재무상태표'!G31</f>
        <v/>
      </c>
      <c r="AC70" s="20">
        <f>'재무상태표'!G31</f>
        <v/>
      </c>
    </row>
    <row r="71">
      <c r="A71" s="18" t="inlineStr">
        <is>
          <t>부채</t>
        </is>
      </c>
      <c r="B71" s="10" t="n"/>
      <c r="C71" s="19" t="n"/>
      <c r="D71" s="20" t="n"/>
      <c r="E71" s="20" t="n"/>
      <c r="F71" s="20" t="n"/>
      <c r="G71" s="20" t="n"/>
      <c r="H71" s="20" t="n"/>
      <c r="I71" s="20" t="n"/>
      <c r="J71" s="20" t="n"/>
      <c r="K71" s="20" t="n"/>
      <c r="L71" s="20" t="n"/>
      <c r="M71" s="20" t="n"/>
      <c r="N71" s="20" t="n"/>
      <c r="O71" s="19" t="n"/>
      <c r="P71" s="20" t="n"/>
      <c r="Q71" s="20" t="n"/>
      <c r="R71" s="20" t="n"/>
      <c r="S71" s="20" t="n"/>
      <c r="T71" s="20" t="n"/>
      <c r="U71" s="20" t="n"/>
      <c r="V71" s="20" t="n"/>
      <c r="W71" s="20" t="n"/>
      <c r="X71" s="20">
        <f>'재무상태표'!G27</f>
        <v/>
      </c>
      <c r="Y71" s="19">
        <f>'재무상태표'!G27</f>
        <v/>
      </c>
      <c r="Z71" s="20">
        <f>'재무상태표'!G27</f>
        <v/>
      </c>
      <c r="AA71" s="20">
        <f>'재무상태표'!G27</f>
        <v/>
      </c>
      <c r="AB71" s="20">
        <f>'재무상태표'!G27</f>
        <v/>
      </c>
      <c r="AC71" s="20">
        <f>'재무상태표'!G27</f>
        <v/>
      </c>
    </row>
    <row r="72">
      <c r="A72" s="13" t="inlineStr">
        <is>
          <t>부채비율</t>
        </is>
      </c>
      <c r="B72" s="10" t="n"/>
      <c r="C72" s="14" t="n"/>
      <c r="D72" s="15" t="n"/>
      <c r="E72" s="15" t="n"/>
      <c r="F72" s="15" t="n"/>
      <c r="G72" s="15" t="n"/>
      <c r="H72" s="15" t="n"/>
      <c r="I72" s="15" t="n"/>
      <c r="J72" s="15" t="n"/>
      <c r="K72" s="15" t="n"/>
      <c r="L72" s="15" t="n"/>
      <c r="M72" s="15" t="n"/>
      <c r="N72" s="15" t="n"/>
      <c r="O72" s="14" t="n"/>
      <c r="P72" s="15" t="n"/>
      <c r="Q72" s="15" t="n"/>
      <c r="R72" s="15" t="n"/>
      <c r="S72" s="15" t="n"/>
      <c r="T72" s="15" t="n"/>
      <c r="U72" s="15" t="n"/>
      <c r="V72" s="15" t="n"/>
      <c r="W72" s="15" t="n"/>
      <c r="X72" s="15">
        <f>IF(OR(X71="",X70=""),"",IFERROR(X71/X70,""))</f>
        <v/>
      </c>
      <c r="Y72" s="14">
        <f>IF(OR(Y71="",Y70=""),"",IFERROR(Y71/Y70,""))</f>
        <v/>
      </c>
      <c r="Z72" s="15">
        <f>IF(OR(Z71="",Z70=""),"",IFERROR(Z71/Z70,""))</f>
        <v/>
      </c>
      <c r="AA72" s="15">
        <f>IF(OR(AA71="",AA70=""),"",IFERROR(AA71/AA70,""))</f>
        <v/>
      </c>
      <c r="AB72" s="15">
        <f>IF(OR(AB71="",AB70=""),"",IFERROR(AB71/AB70,""))</f>
        <v/>
      </c>
      <c r="AC72" s="15">
        <f>IF(OR(AC71="",AC70=""),"",IFERROR(AC71/AC70,""))</f>
        <v/>
      </c>
    </row>
    <row r="73">
      <c r="A73" s="9" t="inlineStr">
        <is>
          <t>자산가치</t>
        </is>
      </c>
      <c r="B73" s="10" t="inlineStr">
        <is>
          <t>현금+단기금융+투자부동산</t>
        </is>
      </c>
      <c r="C73" s="11" t="n"/>
      <c r="D73" s="12" t="n"/>
      <c r="E73" s="12" t="n"/>
      <c r="F73" s="12" t="n"/>
      <c r="G73" s="12" t="n"/>
      <c r="H73" s="12" t="n"/>
      <c r="I73" s="12" t="n"/>
      <c r="J73" s="12" t="n"/>
      <c r="K73" s="12" t="n"/>
      <c r="L73" s="12" t="n"/>
      <c r="M73" s="12" t="n"/>
      <c r="N73" s="12" t="n"/>
      <c r="O73" s="11" t="n"/>
      <c r="P73" s="12" t="n"/>
      <c r="Q73" s="12" t="n"/>
      <c r="R73" s="12" t="n"/>
      <c r="S73" s="12" t="n"/>
      <c r="T73" s="12" t="n"/>
      <c r="U73" s="12" t="n"/>
      <c r="V73" s="12" t="n"/>
      <c r="W73" s="12" t="n"/>
      <c r="X73" s="12">
        <f>SUM(X67,X68,X69)</f>
        <v/>
      </c>
      <c r="Y73" s="11">
        <f>SUM(Y67,Y68,Y69)</f>
        <v/>
      </c>
      <c r="Z73" s="12">
        <f>SUM(Z67,Z68,Z69)</f>
        <v/>
      </c>
      <c r="AA73" s="12">
        <f>SUM(AA67,AA68,AA69)</f>
        <v/>
      </c>
      <c r="AB73" s="12">
        <f>SUM(AB67,AB68,AB69)</f>
        <v/>
      </c>
      <c r="AC73" s="12">
        <f>SUM(AC67,AC68,AC69)</f>
        <v/>
      </c>
    </row>
    <row r="74">
      <c r="A74" s="16" t="inlineStr">
        <is>
          <t>기업가치 산출</t>
        </is>
      </c>
      <c r="B74" s="16" t="n"/>
      <c r="C74" s="17" t="n"/>
      <c r="D74" s="16" t="n"/>
      <c r="E74" s="16" t="n"/>
      <c r="F74" s="16" t="n"/>
      <c r="G74" s="16" t="n"/>
      <c r="H74" s="16" t="n"/>
      <c r="I74" s="16" t="n"/>
      <c r="J74" s="16" t="n"/>
      <c r="K74" s="16" t="n"/>
      <c r="L74" s="16" t="n"/>
      <c r="M74" s="16" t="n"/>
      <c r="N74" s="16" t="n"/>
      <c r="O74" s="17" t="n"/>
      <c r="P74" s="16" t="n"/>
      <c r="Q74" s="16" t="n"/>
      <c r="R74" s="16" t="n"/>
      <c r="S74" s="16" t="n"/>
      <c r="T74" s="16" t="n"/>
      <c r="U74" s="16" t="n"/>
      <c r="V74" s="16" t="n"/>
      <c r="W74" s="16" t="n"/>
      <c r="X74" s="16" t="n"/>
      <c r="Y74" s="17" t="n"/>
      <c r="Z74" s="16" t="n"/>
      <c r="AA74" s="16" t="n"/>
      <c r="AB74" s="16" t="n"/>
      <c r="AC74" s="16" t="n"/>
    </row>
    <row r="75">
      <c r="A75" s="18" t="inlineStr">
        <is>
          <t>목표 시가총액 (P/E)</t>
        </is>
      </c>
      <c r="B75" s="10" t="inlineStr">
        <is>
          <t>지배순이익 × Target P/E</t>
        </is>
      </c>
      <c r="C75" s="19" t="n"/>
      <c r="D75" s="20" t="n"/>
      <c r="E75" s="20" t="n"/>
      <c r="F75" s="20" t="n"/>
      <c r="G75" s="20" t="n"/>
      <c r="H75" s="20" t="n"/>
      <c r="I75" s="20" t="n"/>
      <c r="J75" s="20" t="n"/>
      <c r="K75" s="20" t="n"/>
      <c r="L75" s="20" t="n"/>
      <c r="M75" s="20" t="n"/>
      <c r="N75" s="20" t="n"/>
      <c r="O75" s="19" t="n"/>
      <c r="P75" s="20" t="n"/>
      <c r="Q75" s="20" t="n"/>
      <c r="R75" s="20" t="n"/>
      <c r="S75" s="20" t="n"/>
      <c r="T75" s="20" t="n"/>
      <c r="U75" s="20" t="n"/>
      <c r="V75" s="20" t="n"/>
      <c r="W75" s="20" t="n"/>
      <c r="X75" s="20" t="n"/>
      <c r="Y75" s="19">
        <f>IF(OR(Y53="",Y62=""),"",IFERROR(Y53*Y62,""))</f>
        <v/>
      </c>
      <c r="Z75" s="20">
        <f>IF(OR(Z53="",Z62=""),"",IFERROR(Z53*Z62,""))</f>
        <v/>
      </c>
      <c r="AA75" s="20">
        <f>IF(OR(AA53="",AA62=""),"",IFERROR(AA53*AA62,""))</f>
        <v/>
      </c>
      <c r="AB75" s="20">
        <f>IF(OR(AB53="",AB62=""),"",IFERROR(AB53*AB62,""))</f>
        <v/>
      </c>
      <c r="AC75" s="20">
        <f>IF(OR(AC53="",AC62=""),"",IFERROR(AC53*AC62,""))</f>
        <v/>
      </c>
    </row>
    <row r="76">
      <c r="A76" s="9" t="inlineStr">
        <is>
          <t>기업가치</t>
        </is>
      </c>
      <c r="B76" s="10" t="inlineStr">
        <is>
          <t>목표시총 + 자산가치</t>
        </is>
      </c>
      <c r="C76" s="11" t="n"/>
      <c r="D76" s="12" t="n"/>
      <c r="E76" s="12" t="n"/>
      <c r="F76" s="12" t="n"/>
      <c r="G76" s="12" t="n"/>
      <c r="H76" s="12" t="n"/>
      <c r="I76" s="12" t="n"/>
      <c r="J76" s="12" t="n"/>
      <c r="K76" s="12" t="n"/>
      <c r="L76" s="12" t="n"/>
      <c r="M76" s="12" t="n"/>
      <c r="N76" s="12" t="n"/>
      <c r="O76" s="11" t="n"/>
      <c r="P76" s="12" t="n"/>
      <c r="Q76" s="12" t="n"/>
      <c r="R76" s="12" t="n"/>
      <c r="S76" s="12" t="n"/>
      <c r="T76" s="12" t="n"/>
      <c r="U76" s="12" t="n"/>
      <c r="V76" s="12" t="n"/>
      <c r="W76" s="12" t="n"/>
      <c r="X76" s="12" t="n"/>
      <c r="Y76" s="11">
        <f>IF(OR(Y75=""),"",IFERROR(Y75+Y73,""))</f>
        <v/>
      </c>
      <c r="Z76" s="12">
        <f>IF(OR(Z75=""),"",IFERROR(Z75+Z73,""))</f>
        <v/>
      </c>
      <c r="AA76" s="12">
        <f>IF(OR(AA75=""),"",IFERROR(AA75+AA73,""))</f>
        <v/>
      </c>
      <c r="AB76" s="12">
        <f>IF(OR(AB75=""),"",IFERROR(AB75+AB73,""))</f>
        <v/>
      </c>
      <c r="AC76" s="12">
        <f>IF(OR(AC75=""),"",IFERROR(AC75+AC73,""))</f>
        <v/>
      </c>
    </row>
    <row r="77">
      <c r="A77" s="18" t="inlineStr">
        <is>
          <t>현재 시가총액</t>
        </is>
      </c>
      <c r="B77" s="10" t="n"/>
      <c r="C77" s="19" t="n"/>
      <c r="D77" s="20" t="n"/>
      <c r="E77" s="20" t="n"/>
      <c r="F77" s="20" t="n"/>
      <c r="G77" s="20" t="n"/>
      <c r="H77" s="20" t="n"/>
      <c r="I77" s="20" t="n"/>
      <c r="J77" s="20" t="n"/>
      <c r="K77" s="20" t="n"/>
      <c r="L77" s="20" t="n"/>
      <c r="M77" s="20" t="n"/>
      <c r="N77" s="20" t="n"/>
      <c r="O77" s="19" t="n"/>
      <c r="P77" s="20" t="n"/>
      <c r="Q77" s="20" t="n"/>
      <c r="R77" s="20" t="n"/>
      <c r="S77" s="20" t="n"/>
      <c r="T77" s="20" t="n"/>
      <c r="U77" s="20" t="n"/>
      <c r="V77" s="20" t="n"/>
      <c r="W77" s="20" t="n"/>
      <c r="X77" s="20" t="n"/>
      <c r="Y77" s="19">
        <f>$B$58</f>
        <v/>
      </c>
      <c r="Z77" s="20">
        <f>$B$58</f>
        <v/>
      </c>
      <c r="AA77" s="20">
        <f>$B$58</f>
        <v/>
      </c>
      <c r="AB77" s="20">
        <f>$B$58</f>
        <v/>
      </c>
      <c r="AC77" s="20">
        <f>$B$58</f>
        <v/>
      </c>
    </row>
    <row r="78">
      <c r="A78" s="18" t="inlineStr">
        <is>
          <t>상승여력</t>
        </is>
      </c>
      <c r="B78" s="10" t="n"/>
      <c r="C78" s="35" t="n"/>
      <c r="D78" s="36" t="n"/>
      <c r="E78" s="36" t="n"/>
      <c r="F78" s="36" t="n"/>
      <c r="G78" s="36" t="n"/>
      <c r="H78" s="36" t="n"/>
      <c r="I78" s="36" t="n"/>
      <c r="J78" s="36" t="n"/>
      <c r="K78" s="36" t="n"/>
      <c r="L78" s="36" t="n"/>
      <c r="M78" s="36" t="n"/>
      <c r="N78" s="36" t="n"/>
      <c r="O78" s="35" t="n"/>
      <c r="P78" s="36" t="n"/>
      <c r="Q78" s="36" t="n"/>
      <c r="R78" s="36" t="n"/>
      <c r="S78" s="36" t="n"/>
      <c r="T78" s="36" t="n"/>
      <c r="U78" s="36" t="n"/>
      <c r="V78" s="36" t="n"/>
      <c r="W78" s="36" t="n"/>
      <c r="X78" s="36" t="n"/>
      <c r="Y78" s="37">
        <f>IF(OR(Y76="",Y77=""),"",IFERROR(Y76/Y77-1,""))</f>
        <v/>
      </c>
      <c r="Z78" s="38">
        <f>IF(OR(Z76="",Z77=""),"",IFERROR(Z76/Z77-1,""))</f>
        <v/>
      </c>
      <c r="AA78" s="38">
        <f>IF(OR(AA76="",AA77=""),"",IFERROR(AA76/AA77-1,""))</f>
        <v/>
      </c>
      <c r="AB78" s="38">
        <f>IF(OR(AB76="",AB77=""),"",IFERROR(AB76/AB77-1,""))</f>
        <v/>
      </c>
      <c r="AC78" s="38">
        <f>IF(OR(AC76="",AC77=""),"",IFERROR(AC76/AC77-1,""))</f>
        <v/>
      </c>
    </row>
    <row r="79">
      <c r="C79" s="39" t="n"/>
      <c r="O79" s="39" t="n"/>
      <c r="Y79" s="39" t="n"/>
    </row>
    <row r="80">
      <c r="A80" s="40" t="inlineStr">
        <is>
          <t>출처</t>
        </is>
      </c>
      <c r="C80" s="39" t="n"/>
      <c r="O80" s="39" t="n"/>
      <c r="Y80" s="39" t="n"/>
    </row>
    <row r="81">
      <c r="A81" s="41" t="inlineStr">
        <is>
          <t>결산단신 XBRL(TDnet·JPX 보관소) — 쓴 문서는 '출처' 시트</t>
        </is>
      </c>
      <c r="C81" s="39" t="n"/>
      <c r="O81" s="39" t="n"/>
      <c r="Y81" s="39" t="n"/>
    </row>
    <row r="82">
      <c r="A82" s="41" t="inlineStr">
        <is>
          <t>분기 = 누계에서 앞 분기를 뺀 3개월 값</t>
        </is>
      </c>
      <c r="C82" s="39" t="n"/>
      <c r="O82" s="39" t="n"/>
      <c r="Y82" s="39" t="n"/>
    </row>
    <row r="83">
      <c r="A83" s="41" t="inlineStr">
        <is>
          <t>주가: 야후 파이낸스 일봉 2026.10.26</t>
        </is>
      </c>
      <c r="C83" s="39" t="n"/>
      <c r="O83" s="39" t="n"/>
      <c r="Y83" s="39" t="n"/>
    </row>
    <row r="85">
      <c r="A85" s="16" t="inlineStr">
        <is>
          <t>손익계산서 · 전 항목</t>
        </is>
      </c>
      <c r="B85" s="42" t="inlineStr">
        <is>
          <t>분기 = 3개월 단독</t>
        </is>
      </c>
      <c r="C85" s="16" t="n"/>
      <c r="D85" s="16" t="n"/>
      <c r="E85" s="16" t="n"/>
      <c r="F85" s="16" t="n"/>
      <c r="G85" s="16" t="n"/>
      <c r="H85" s="16" t="n"/>
      <c r="I85" s="16" t="n"/>
      <c r="J85" s="16" t="n"/>
      <c r="K85" s="16" t="n"/>
      <c r="L85" s="16" t="n"/>
      <c r="M85" s="16" t="n"/>
      <c r="N85" s="16" t="n"/>
      <c r="O85" s="16" t="n"/>
      <c r="P85" s="16" t="n"/>
      <c r="Q85" s="16" t="n"/>
      <c r="R85" s="16" t="n"/>
      <c r="S85" s="16" t="n"/>
      <c r="T85" s="16" t="n"/>
      <c r="U85" s="16" t="n"/>
      <c r="V85" s="16" t="n"/>
      <c r="W85" s="16" t="n"/>
      <c r="X85" s="16" t="n"/>
      <c r="Y85" s="16" t="n"/>
      <c r="Z85" s="16" t="n"/>
      <c r="AA85" s="16" t="n"/>
      <c r="AB85" s="16" t="n"/>
      <c r="AC85" s="16" t="n"/>
    </row>
    <row r="86">
      <c r="A86" s="5" t="inlineStr">
        <is>
          <t>항목</t>
        </is>
      </c>
      <c r="B86" s="5" t="inlineStr">
        <is>
          <t>참고</t>
        </is>
      </c>
      <c r="C86" s="5" t="inlineStr">
        <is>
          <t>2024.2Q</t>
        </is>
      </c>
      <c r="D86" s="5" t="inlineStr">
        <is>
          <t>2024.3Q</t>
        </is>
      </c>
      <c r="E86" s="5" t="inlineStr">
        <is>
          <t>2024.4Q</t>
        </is>
      </c>
      <c r="F86" s="5" t="inlineStr">
        <is>
          <t>2025.1Q</t>
        </is>
      </c>
      <c r="G86" s="5" t="inlineStr">
        <is>
          <t>2025.2Q</t>
        </is>
      </c>
      <c r="H86" s="5" t="inlineStr">
        <is>
          <t>2025.3Q</t>
        </is>
      </c>
      <c r="I86" s="5" t="inlineStr">
        <is>
          <t>2025.4Q</t>
        </is>
      </c>
      <c r="J86" s="5" t="inlineStr">
        <is>
          <t>2026.1Q</t>
        </is>
      </c>
      <c r="K86" s="5" t="inlineStr">
        <is>
          <t>2026.2Q</t>
        </is>
      </c>
      <c r="L86" s="5" t="inlineStr">
        <is>
          <t>2026.3Q</t>
        </is>
      </c>
      <c r="M86" s="5" t="inlineStr">
        <is>
          <t>2026.4Q</t>
        </is>
      </c>
      <c r="N86" s="5" t="inlineStr">
        <is>
          <t>2027.1Q</t>
        </is>
      </c>
      <c r="O86" s="5" t="inlineStr">
        <is>
          <t>2017</t>
        </is>
      </c>
      <c r="P86" s="5" t="inlineStr">
        <is>
          <t>2018</t>
        </is>
      </c>
      <c r="Q86" s="5" t="inlineStr">
        <is>
          <t>2019</t>
        </is>
      </c>
      <c r="R86" s="5" t="inlineStr">
        <is>
          <t>2020</t>
        </is>
      </c>
      <c r="S86" s="5" t="inlineStr">
        <is>
          <t>2021</t>
        </is>
      </c>
      <c r="T86" s="5" t="inlineStr">
        <is>
          <t>2022</t>
        </is>
      </c>
      <c r="U86" s="5" t="inlineStr">
        <is>
          <t>2023</t>
        </is>
      </c>
      <c r="V86" s="5" t="inlineStr">
        <is>
          <t>2024</t>
        </is>
      </c>
      <c r="W86" s="5" t="inlineStr">
        <is>
          <t>2025</t>
        </is>
      </c>
      <c r="X86" s="5" t="inlineStr">
        <is>
          <t>2026</t>
        </is>
      </c>
      <c r="Y86" s="5" t="inlineStr">
        <is>
          <t>2027(MW)</t>
        </is>
      </c>
      <c r="Z86" s="5" t="inlineStr">
        <is>
          <t>2028(MW)</t>
        </is>
      </c>
      <c r="AA86" s="5" t="inlineStr">
        <is>
          <t>2029(MW)</t>
        </is>
      </c>
      <c r="AB86" s="5" t="inlineStr">
        <is>
          <t>2030(MW)</t>
        </is>
      </c>
      <c r="AC86" s="5" t="inlineStr">
        <is>
          <t>2031(MW)</t>
        </is>
      </c>
    </row>
    <row r="87">
      <c r="A87" s="9" t="inlineStr">
        <is>
          <t>매출액</t>
        </is>
      </c>
      <c r="C87" s="12" t="n">
        <v>76863</v>
      </c>
      <c r="D87" s="12" t="n">
        <v>81724</v>
      </c>
      <c r="E87" s="12" t="n">
        <v>75506</v>
      </c>
      <c r="F87" s="12" t="n">
        <v>74288</v>
      </c>
      <c r="G87" s="12" t="n">
        <v>74010</v>
      </c>
      <c r="H87" s="12" t="n">
        <v>77223</v>
      </c>
      <c r="I87" s="12" t="n">
        <v>70524</v>
      </c>
      <c r="J87" s="12" t="n">
        <v>71973</v>
      </c>
      <c r="K87" s="12" t="n">
        <v>70371</v>
      </c>
      <c r="L87" s="12" t="n">
        <v>76728</v>
      </c>
      <c r="M87" s="12" t="n">
        <v>71603</v>
      </c>
      <c r="N87" s="12" t="n">
        <v>78443</v>
      </c>
      <c r="T87" s="12" t="n">
        <v>60445</v>
      </c>
      <c r="U87" s="12" t="n">
        <v>79165</v>
      </c>
      <c r="V87" s="12" t="n">
        <v>75506</v>
      </c>
      <c r="W87" s="12" t="n">
        <v>70524</v>
      </c>
      <c r="X87" s="12" t="n">
        <v>71603</v>
      </c>
    </row>
    <row r="88">
      <c r="A88" s="43" t="inlineStr">
        <is>
          <t>YoY</t>
        </is>
      </c>
      <c r="B88" s="3" t="inlineStr">
        <is>
          <t>전년 같은 분기·전년 대비</t>
        </is>
      </c>
      <c r="G88" s="15">
        <f>IF(OR(G87="",C87=""),"",IF(C87&lt;=0,"",IFERROR(G87/C87-1,"")))</f>
        <v/>
      </c>
      <c r="H88" s="15">
        <f>IF(OR(H87="",D87=""),"",IF(D87&lt;=0,"",IFERROR(H87/D87-1,"")))</f>
        <v/>
      </c>
      <c r="I88" s="15">
        <f>IF(OR(I87="",E87=""),"",IF(E87&lt;=0,"",IFERROR(I87/E87-1,"")))</f>
        <v/>
      </c>
      <c r="J88" s="15">
        <f>IF(OR(J87="",F87=""),"",IF(F87&lt;=0,"",IFERROR(J87/F87-1,"")))</f>
        <v/>
      </c>
      <c r="K88" s="15">
        <f>IF(OR(K87="",G87=""),"",IF(G87&lt;=0,"",IFERROR(K87/G87-1,"")))</f>
        <v/>
      </c>
      <c r="L88" s="15">
        <f>IF(OR(L87="",H87=""),"",IF(H87&lt;=0,"",IFERROR(L87/H87-1,"")))</f>
        <v/>
      </c>
      <c r="M88" s="15">
        <f>IF(OR(M87="",I87=""),"",IF(I87&lt;=0,"",IFERROR(M87/I87-1,"")))</f>
        <v/>
      </c>
      <c r="N88" s="15">
        <f>IF(OR(N87="",J87=""),"",IF(J87&lt;=0,"",IFERROR(N87/J87-1,"")))</f>
        <v/>
      </c>
      <c r="T88" s="15">
        <f>IF(OR(T87="",S87=""),"",IF(S87&lt;=0,"",IFERROR(T87/S87-1,"")))</f>
        <v/>
      </c>
      <c r="U88" s="15">
        <f>IF(OR(U87="",T87=""),"",IF(T87&lt;=0,"",IFERROR(U87/T87-1,"")))</f>
        <v/>
      </c>
      <c r="V88" s="15">
        <f>IF(OR(V87="",U87=""),"",IF(U87&lt;=0,"",IFERROR(V87/U87-1,"")))</f>
        <v/>
      </c>
      <c r="W88" s="15">
        <f>IF(OR(W87="",V87=""),"",IF(V87&lt;=0,"",IFERROR(W87/V87-1,"")))</f>
        <v/>
      </c>
      <c r="X88" s="15">
        <f>IF(OR(X87="",W87=""),"",IF(W87&lt;=0,"",IFERROR(X87/W87-1,"")))</f>
        <v/>
      </c>
    </row>
    <row r="89">
      <c r="A89" s="18" t="inlineStr">
        <is>
          <t>매출원가</t>
        </is>
      </c>
      <c r="C89" s="20" t="n">
        <v>69719</v>
      </c>
      <c r="D89" s="20" t="n">
        <v>73546</v>
      </c>
      <c r="E89" s="20" t="n">
        <v>66786</v>
      </c>
      <c r="F89" s="20" t="n">
        <v>66483</v>
      </c>
      <c r="G89" s="20" t="n">
        <v>65671</v>
      </c>
      <c r="H89" s="20" t="n">
        <v>69650</v>
      </c>
      <c r="I89" s="20" t="n">
        <v>62367</v>
      </c>
      <c r="J89" s="20" t="n">
        <v>64111</v>
      </c>
      <c r="K89" s="20" t="n">
        <v>62246</v>
      </c>
      <c r="L89" s="20" t="n">
        <v>67575</v>
      </c>
      <c r="M89" s="20" t="n">
        <v>62896</v>
      </c>
      <c r="N89" s="20" t="n">
        <v>69818</v>
      </c>
      <c r="T89" s="20" t="n">
        <v>55588</v>
      </c>
      <c r="U89" s="20" t="n">
        <v>73225</v>
      </c>
      <c r="V89" s="20" t="n">
        <v>66786</v>
      </c>
      <c r="W89" s="20" t="n">
        <v>62367</v>
      </c>
      <c r="X89" s="20" t="n">
        <v>62896</v>
      </c>
    </row>
    <row r="90">
      <c r="A90" s="9" t="inlineStr">
        <is>
          <t>매출총이익</t>
        </is>
      </c>
      <c r="C90" s="12" t="n">
        <v>7145</v>
      </c>
      <c r="D90" s="12" t="n">
        <v>8177</v>
      </c>
      <c r="E90" s="12" t="n">
        <v>8720</v>
      </c>
      <c r="F90" s="12" t="n">
        <v>7804</v>
      </c>
      <c r="G90" s="12" t="n">
        <v>8339</v>
      </c>
      <c r="H90" s="12" t="n">
        <v>7573</v>
      </c>
      <c r="I90" s="12" t="n">
        <v>8158</v>
      </c>
      <c r="J90" s="12" t="n">
        <v>7861</v>
      </c>
      <c r="K90" s="12" t="n">
        <v>8126</v>
      </c>
      <c r="L90" s="12" t="n">
        <v>9152</v>
      </c>
      <c r="M90" s="12" t="n">
        <v>8708</v>
      </c>
      <c r="N90" s="12" t="n">
        <v>8625</v>
      </c>
      <c r="T90" s="12" t="n">
        <v>4858</v>
      </c>
      <c r="U90" s="12" t="n">
        <v>5941</v>
      </c>
      <c r="V90" s="12" t="n">
        <v>8720</v>
      </c>
      <c r="W90" s="12" t="n">
        <v>8158</v>
      </c>
      <c r="X90" s="12" t="n">
        <v>8708</v>
      </c>
    </row>
    <row r="91">
      <c r="A91" s="43" t="inlineStr">
        <is>
          <t>YoY</t>
        </is>
      </c>
      <c r="B91" s="3" t="inlineStr">
        <is>
          <t>전년 같은 분기·전년 대비</t>
        </is>
      </c>
      <c r="G91" s="15">
        <f>IF(OR(G90="",C90=""),"",IF(C90&lt;=0,"",IFERROR(G90/C90-1,"")))</f>
        <v/>
      </c>
      <c r="H91" s="15">
        <f>IF(OR(H90="",D90=""),"",IF(D90&lt;=0,"",IFERROR(H90/D90-1,"")))</f>
        <v/>
      </c>
      <c r="I91" s="15">
        <f>IF(OR(I90="",E90=""),"",IF(E90&lt;=0,"",IFERROR(I90/E90-1,"")))</f>
        <v/>
      </c>
      <c r="J91" s="15">
        <f>IF(OR(J90="",F90=""),"",IF(F90&lt;=0,"",IFERROR(J90/F90-1,"")))</f>
        <v/>
      </c>
      <c r="K91" s="15">
        <f>IF(OR(K90="",G90=""),"",IF(G90&lt;=0,"",IFERROR(K90/G90-1,"")))</f>
        <v/>
      </c>
      <c r="L91" s="15">
        <f>IF(OR(L90="",H90=""),"",IF(H90&lt;=0,"",IFERROR(L90/H90-1,"")))</f>
        <v/>
      </c>
      <c r="M91" s="15">
        <f>IF(OR(M90="",I90=""),"",IF(I90&lt;=0,"",IFERROR(M90/I90-1,"")))</f>
        <v/>
      </c>
      <c r="N91" s="15">
        <f>IF(OR(N90="",J90=""),"",IF(J90&lt;=0,"",IFERROR(N90/J90-1,"")))</f>
        <v/>
      </c>
      <c r="T91" s="15">
        <f>IF(OR(T90="",S90=""),"",IF(S90&lt;=0,"",IFERROR(T90/S90-1,"")))</f>
        <v/>
      </c>
      <c r="U91" s="15">
        <f>IF(OR(U90="",T90=""),"",IF(T90&lt;=0,"",IFERROR(U90/T90-1,"")))</f>
        <v/>
      </c>
      <c r="V91" s="15">
        <f>IF(OR(V90="",U90=""),"",IF(U90&lt;=0,"",IFERROR(V90/U90-1,"")))</f>
        <v/>
      </c>
      <c r="W91" s="15">
        <f>IF(OR(W90="",V90=""),"",IF(V90&lt;=0,"",IFERROR(W90/V90-1,"")))</f>
        <v/>
      </c>
      <c r="X91" s="15">
        <f>IF(OR(X90="",W90=""),"",IF(W90&lt;=0,"",IFERROR(X90/W90-1,"")))</f>
        <v/>
      </c>
    </row>
    <row r="92">
      <c r="A92" s="18" t="inlineStr">
        <is>
          <t>판매비와 관리비</t>
        </is>
      </c>
      <c r="C92" s="20" t="n">
        <v>5487</v>
      </c>
      <c r="D92" s="20" t="n">
        <v>5958</v>
      </c>
      <c r="E92" s="20" t="n">
        <v>6034</v>
      </c>
      <c r="F92" s="20" t="n">
        <v>6507</v>
      </c>
      <c r="G92" s="20" t="n">
        <v>6280</v>
      </c>
      <c r="H92" s="20" t="n">
        <v>6657</v>
      </c>
      <c r="I92" s="20" t="n">
        <v>6087</v>
      </c>
      <c r="J92" s="20" t="n">
        <v>6385</v>
      </c>
      <c r="K92" s="20" t="n">
        <v>6345</v>
      </c>
      <c r="L92" s="20" t="n">
        <v>6777</v>
      </c>
      <c r="M92" s="20" t="n">
        <v>6248</v>
      </c>
      <c r="N92" s="20" t="n">
        <v>6484</v>
      </c>
      <c r="T92" s="20" t="n">
        <v>4649</v>
      </c>
      <c r="U92" s="20" t="n">
        <v>5274</v>
      </c>
      <c r="V92" s="20" t="n">
        <v>6034</v>
      </c>
      <c r="W92" s="20" t="n">
        <v>6087</v>
      </c>
      <c r="X92" s="20" t="n">
        <v>6248</v>
      </c>
    </row>
    <row r="93">
      <c r="A93" s="9" t="inlineStr">
        <is>
          <t>영업이익</t>
        </is>
      </c>
      <c r="C93" s="12" t="n">
        <v>1658</v>
      </c>
      <c r="D93" s="12" t="n">
        <v>2219</v>
      </c>
      <c r="E93" s="12" t="n">
        <v>2685</v>
      </c>
      <c r="F93" s="12" t="n">
        <v>1297</v>
      </c>
      <c r="G93" s="12" t="n">
        <v>2058</v>
      </c>
      <c r="H93" s="12" t="n">
        <v>916</v>
      </c>
      <c r="I93" s="12" t="n">
        <v>2072</v>
      </c>
      <c r="J93" s="12" t="n">
        <v>1476</v>
      </c>
      <c r="K93" s="12" t="n">
        <v>1781</v>
      </c>
      <c r="L93" s="12" t="n">
        <v>2375</v>
      </c>
      <c r="M93" s="12" t="n">
        <v>2459</v>
      </c>
      <c r="N93" s="12" t="n">
        <v>2140</v>
      </c>
      <c r="T93" s="12" t="n">
        <v>208</v>
      </c>
      <c r="U93" s="12" t="n">
        <v>666</v>
      </c>
      <c r="V93" s="12" t="n">
        <v>2685</v>
      </c>
      <c r="W93" s="12" t="n">
        <v>2072</v>
      </c>
      <c r="X93" s="12" t="n">
        <v>2459</v>
      </c>
    </row>
    <row r="94">
      <c r="A94" s="43" t="inlineStr">
        <is>
          <t>OPM</t>
        </is>
      </c>
      <c r="B94" s="3" t="inlineStr">
        <is>
          <t>영업이익 ÷ 매출</t>
        </is>
      </c>
      <c r="C94" s="15">
        <f>IF(OR(C93="",C87=""),"",IF(C87&lt;=0,"",IFERROR(C93/C87,"")))</f>
        <v/>
      </c>
      <c r="D94" s="15">
        <f>IF(OR(D93="",D87=""),"",IF(D87&lt;=0,"",IFERROR(D93/D87,"")))</f>
        <v/>
      </c>
      <c r="E94" s="15">
        <f>IF(OR(E93="",E87=""),"",IF(E87&lt;=0,"",IFERROR(E93/E87,"")))</f>
        <v/>
      </c>
      <c r="F94" s="15">
        <f>IF(OR(F93="",F87=""),"",IF(F87&lt;=0,"",IFERROR(F93/F87,"")))</f>
        <v/>
      </c>
      <c r="G94" s="15">
        <f>IF(OR(G93="",G87=""),"",IF(G87&lt;=0,"",IFERROR(G93/G87,"")))</f>
        <v/>
      </c>
      <c r="H94" s="15">
        <f>IF(OR(H93="",H87=""),"",IF(H87&lt;=0,"",IFERROR(H93/H87,"")))</f>
        <v/>
      </c>
      <c r="I94" s="15">
        <f>IF(OR(I93="",I87=""),"",IF(I87&lt;=0,"",IFERROR(I93/I87,"")))</f>
        <v/>
      </c>
      <c r="J94" s="15">
        <f>IF(OR(J93="",J87=""),"",IF(J87&lt;=0,"",IFERROR(J93/J87,"")))</f>
        <v/>
      </c>
      <c r="K94" s="15">
        <f>IF(OR(K93="",K87=""),"",IF(K87&lt;=0,"",IFERROR(K93/K87,"")))</f>
        <v/>
      </c>
      <c r="L94" s="15">
        <f>IF(OR(L93="",L87=""),"",IF(L87&lt;=0,"",IFERROR(L93/L87,"")))</f>
        <v/>
      </c>
      <c r="M94" s="15">
        <f>IF(OR(M93="",M87=""),"",IF(M87&lt;=0,"",IFERROR(M93/M87,"")))</f>
        <v/>
      </c>
      <c r="N94" s="15">
        <f>IF(OR(N93="",N87=""),"",IF(N87&lt;=0,"",IFERROR(N93/N87,"")))</f>
        <v/>
      </c>
      <c r="T94" s="15">
        <f>IF(OR(T93="",T87=""),"",IF(T87&lt;=0,"",IFERROR(T93/T87,"")))</f>
        <v/>
      </c>
      <c r="U94" s="15">
        <f>IF(OR(U93="",U87=""),"",IF(U87&lt;=0,"",IFERROR(U93/U87,"")))</f>
        <v/>
      </c>
      <c r="V94" s="15">
        <f>IF(OR(V93="",V87=""),"",IF(V87&lt;=0,"",IFERROR(V93/V87,"")))</f>
        <v/>
      </c>
      <c r="W94" s="15">
        <f>IF(OR(W93="",W87=""),"",IF(W87&lt;=0,"",IFERROR(W93/W87,"")))</f>
        <v/>
      </c>
      <c r="X94" s="15">
        <f>IF(OR(X93="",X87=""),"",IF(X87&lt;=0,"",IFERROR(X93/X87,"")))</f>
        <v/>
      </c>
    </row>
    <row r="95">
      <c r="A95" s="43" t="inlineStr">
        <is>
          <t>YoY</t>
        </is>
      </c>
      <c r="B95" s="3" t="inlineStr">
        <is>
          <t>전년 같은 분기·전년 대비</t>
        </is>
      </c>
      <c r="G95" s="15">
        <f>IF(OR(G93="",C93=""),"",IF(C93&lt;=0,"",IFERROR(G93/C93-1,"")))</f>
        <v/>
      </c>
      <c r="H95" s="15">
        <f>IF(OR(H93="",D93=""),"",IF(D93&lt;=0,"",IFERROR(H93/D93-1,"")))</f>
        <v/>
      </c>
      <c r="I95" s="15">
        <f>IF(OR(I93="",E93=""),"",IF(E93&lt;=0,"",IFERROR(I93/E93-1,"")))</f>
        <v/>
      </c>
      <c r="J95" s="15">
        <f>IF(OR(J93="",F93=""),"",IF(F93&lt;=0,"",IFERROR(J93/F93-1,"")))</f>
        <v/>
      </c>
      <c r="K95" s="15">
        <f>IF(OR(K93="",G93=""),"",IF(G93&lt;=0,"",IFERROR(K93/G93-1,"")))</f>
        <v/>
      </c>
      <c r="L95" s="15">
        <f>IF(OR(L93="",H93=""),"",IF(H93&lt;=0,"",IFERROR(L93/H93-1,"")))</f>
        <v/>
      </c>
      <c r="M95" s="15">
        <f>IF(OR(M93="",I93=""),"",IF(I93&lt;=0,"",IFERROR(M93/I93-1,"")))</f>
        <v/>
      </c>
      <c r="N95" s="15">
        <f>IF(OR(N93="",J93=""),"",IF(J93&lt;=0,"",IFERROR(N93/J93-1,"")))</f>
        <v/>
      </c>
      <c r="T95" s="15">
        <f>IF(OR(T93="",S93=""),"",IF(S93&lt;=0,"",IFERROR(T93/S93-1,"")))</f>
        <v/>
      </c>
      <c r="U95" s="15">
        <f>IF(OR(U93="",T93=""),"",IF(T93&lt;=0,"",IFERROR(U93/T93-1,"")))</f>
        <v/>
      </c>
      <c r="V95" s="15">
        <f>IF(OR(V93="",U93=""),"",IF(U93&lt;=0,"",IFERROR(V93/U93-1,"")))</f>
        <v/>
      </c>
      <c r="W95" s="15">
        <f>IF(OR(W93="",V93=""),"",IF(V93&lt;=0,"",IFERROR(W93/V93-1,"")))</f>
        <v/>
      </c>
      <c r="X95" s="15">
        <f>IF(OR(X93="",W93=""),"",IF(W93&lt;=0,"",IFERROR(X93/W93-1,"")))</f>
        <v/>
      </c>
    </row>
    <row r="96">
      <c r="A96" s="18" t="inlineStr">
        <is>
          <t>이자수익</t>
        </is>
      </c>
      <c r="C96" s="20" t="n">
        <v>3</v>
      </c>
      <c r="D96" s="20" t="n">
        <v>2</v>
      </c>
      <c r="E96" s="20" t="n">
        <v>1</v>
      </c>
      <c r="F96" s="20" t="n">
        <v>0</v>
      </c>
      <c r="G96" s="20" t="n">
        <v>2</v>
      </c>
      <c r="H96" s="20" t="n">
        <v>0</v>
      </c>
      <c r="I96" s="20" t="n">
        <v>4</v>
      </c>
      <c r="J96" s="20" t="n">
        <v>0</v>
      </c>
      <c r="K96" s="20" t="n">
        <v>7</v>
      </c>
      <c r="L96" s="20" t="n">
        <v>1</v>
      </c>
      <c r="M96" s="20" t="n">
        <v>8</v>
      </c>
      <c r="N96" s="20" t="n">
        <v>0</v>
      </c>
      <c r="T96" s="20" t="n">
        <v>3</v>
      </c>
      <c r="U96" s="20" t="n">
        <v>2</v>
      </c>
      <c r="V96" s="20" t="n">
        <v>1</v>
      </c>
      <c r="W96" s="20" t="n">
        <v>4</v>
      </c>
      <c r="X96" s="20" t="n">
        <v>8</v>
      </c>
    </row>
    <row r="97">
      <c r="A97" s="18" t="inlineStr">
        <is>
          <t>배당금수익</t>
        </is>
      </c>
      <c r="C97" s="20" t="n">
        <v>1</v>
      </c>
      <c r="D97" s="20" t="n">
        <v>44</v>
      </c>
      <c r="E97" s="20" t="n">
        <v>0</v>
      </c>
      <c r="F97" s="20" t="n">
        <v>116</v>
      </c>
      <c r="G97" s="20" t="n">
        <v>1</v>
      </c>
      <c r="H97" s="20" t="n">
        <v>33</v>
      </c>
      <c r="I97" s="20" t="n">
        <v>14</v>
      </c>
      <c r="J97" s="20" t="n">
        <v>129</v>
      </c>
      <c r="K97" s="20" t="n">
        <v>13</v>
      </c>
      <c r="L97" s="20" t="n">
        <v>56</v>
      </c>
      <c r="M97" s="20" t="n">
        <v>0</v>
      </c>
      <c r="N97" s="20" t="n">
        <v>172</v>
      </c>
      <c r="T97" s="20" t="n">
        <v>0</v>
      </c>
      <c r="U97" s="20" t="n">
        <v>0</v>
      </c>
      <c r="V97" s="20" t="n">
        <v>0</v>
      </c>
      <c r="W97" s="20" t="n">
        <v>14</v>
      </c>
      <c r="X97" s="20" t="n">
        <v>0</v>
      </c>
    </row>
    <row r="98">
      <c r="A98" s="18" t="inlineStr">
        <is>
          <t>지분법이익</t>
        </is>
      </c>
      <c r="C98" s="20" t="n">
        <v>12</v>
      </c>
      <c r="D98" s="20" t="n">
        <v>-130</v>
      </c>
      <c r="E98" s="20" t="n">
        <v>0</v>
      </c>
      <c r="F98" s="20" t="n">
        <v>143</v>
      </c>
      <c r="G98" s="20" t="n">
        <v>95</v>
      </c>
      <c r="H98" s="20" t="n">
        <v>-37</v>
      </c>
      <c r="I98" s="20" t="n">
        <v>-72</v>
      </c>
      <c r="J98" s="20" t="n">
        <v>288</v>
      </c>
      <c r="K98" s="20" t="n">
        <v>28</v>
      </c>
      <c r="L98" s="20" t="n">
        <v>14</v>
      </c>
      <c r="M98" s="20" t="n">
        <v>9</v>
      </c>
      <c r="N98" s="20" t="n">
        <v>51</v>
      </c>
      <c r="T98" s="20" t="n">
        <v>9</v>
      </c>
      <c r="U98" s="20" t="n">
        <v>-25</v>
      </c>
      <c r="V98" s="20" t="n">
        <v>0</v>
      </c>
      <c r="W98" s="20" t="n">
        <v>-72</v>
      </c>
      <c r="X98" s="20" t="n">
        <v>9</v>
      </c>
    </row>
    <row r="99">
      <c r="A99" s="18" t="inlineStr">
        <is>
          <t>Stockpile Storage Revenue NOI</t>
        </is>
      </c>
      <c r="C99" s="20" t="n">
        <v>35</v>
      </c>
      <c r="D99" s="20" t="n">
        <v>33</v>
      </c>
      <c r="E99" s="20" t="n">
        <v>34</v>
      </c>
      <c r="F99" s="20" t="n">
        <v>36</v>
      </c>
      <c r="G99" s="20" t="n">
        <v>35</v>
      </c>
      <c r="H99" s="20" t="n">
        <v>36</v>
      </c>
      <c r="I99" s="20" t="n">
        <v>35</v>
      </c>
      <c r="J99" s="20" t="n">
        <v>34</v>
      </c>
      <c r="K99" s="20" t="n">
        <v>36</v>
      </c>
      <c r="L99" s="20" t="n">
        <v>36</v>
      </c>
      <c r="M99" s="20" t="n">
        <v>34</v>
      </c>
      <c r="N99" s="20" t="n">
        <v>36</v>
      </c>
      <c r="T99" s="20" t="n">
        <v>32</v>
      </c>
      <c r="U99" s="20" t="n">
        <v>36</v>
      </c>
      <c r="V99" s="20" t="n">
        <v>34</v>
      </c>
      <c r="W99" s="20" t="n">
        <v>35</v>
      </c>
      <c r="X99" s="20" t="n">
        <v>34</v>
      </c>
    </row>
    <row r="100">
      <c r="A100" s="18" t="inlineStr">
        <is>
          <t>보조금 수입</t>
        </is>
      </c>
      <c r="T100" s="20" t="n">
        <v>27</v>
      </c>
      <c r="U100" s="20" t="n">
        <v>21</v>
      </c>
    </row>
    <row r="101">
      <c r="A101" s="18" t="inlineStr">
        <is>
          <t>기타</t>
        </is>
      </c>
      <c r="C101" s="20" t="n">
        <v>66</v>
      </c>
      <c r="D101" s="20" t="n">
        <v>50</v>
      </c>
      <c r="E101" s="20" t="n">
        <v>55</v>
      </c>
      <c r="F101" s="20" t="n">
        <v>77</v>
      </c>
      <c r="G101" s="20" t="n">
        <v>73</v>
      </c>
      <c r="H101" s="20" t="n">
        <v>39</v>
      </c>
      <c r="I101" s="20" t="n">
        <v>97</v>
      </c>
      <c r="J101" s="20" t="n">
        <v>60</v>
      </c>
      <c r="K101" s="20" t="n">
        <v>69</v>
      </c>
      <c r="L101" s="20" t="n">
        <v>42</v>
      </c>
      <c r="M101" s="20" t="n">
        <v>52</v>
      </c>
      <c r="N101" s="20" t="n">
        <v>41</v>
      </c>
      <c r="T101" s="20" t="n">
        <v>66</v>
      </c>
      <c r="U101" s="20" t="n">
        <v>90</v>
      </c>
      <c r="V101" s="20" t="n">
        <v>55</v>
      </c>
      <c r="W101" s="20" t="n">
        <v>97</v>
      </c>
      <c r="X101" s="20" t="n">
        <v>52</v>
      </c>
    </row>
    <row r="102">
      <c r="A102" s="18" t="inlineStr">
        <is>
          <t>영업외수익 합계</t>
        </is>
      </c>
      <c r="C102" s="20" t="n">
        <v>117</v>
      </c>
      <c r="D102" s="20" t="n">
        <v>0</v>
      </c>
      <c r="E102" s="20" t="n">
        <v>90</v>
      </c>
      <c r="F102" s="20" t="n">
        <v>373</v>
      </c>
      <c r="G102" s="20" t="n">
        <v>206</v>
      </c>
      <c r="H102" s="20" t="n">
        <v>72</v>
      </c>
      <c r="I102" s="20" t="n">
        <v>79</v>
      </c>
      <c r="J102" s="20" t="n">
        <v>513</v>
      </c>
      <c r="K102" s="20" t="n">
        <v>152</v>
      </c>
      <c r="L102" s="20" t="n">
        <v>149</v>
      </c>
      <c r="M102" s="20" t="n">
        <v>104</v>
      </c>
      <c r="N102" s="20" t="n">
        <v>302</v>
      </c>
      <c r="T102" s="20" t="n">
        <v>138</v>
      </c>
      <c r="U102" s="20" t="n">
        <v>102</v>
      </c>
      <c r="V102" s="20" t="n">
        <v>90</v>
      </c>
      <c r="W102" s="20" t="n">
        <v>79</v>
      </c>
      <c r="X102" s="20" t="n">
        <v>104</v>
      </c>
    </row>
    <row r="103">
      <c r="A103" s="18" t="inlineStr">
        <is>
          <t>이자비용</t>
        </is>
      </c>
      <c r="C103" s="20" t="n">
        <v>46</v>
      </c>
      <c r="D103" s="20" t="n">
        <v>46</v>
      </c>
      <c r="E103" s="20" t="n">
        <v>43</v>
      </c>
      <c r="F103" s="20" t="n">
        <v>37</v>
      </c>
      <c r="G103" s="20" t="n">
        <v>46</v>
      </c>
      <c r="H103" s="20" t="n">
        <v>48</v>
      </c>
      <c r="I103" s="20" t="n">
        <v>59</v>
      </c>
      <c r="J103" s="20" t="n">
        <v>56</v>
      </c>
      <c r="K103" s="20" t="n">
        <v>65</v>
      </c>
      <c r="L103" s="20" t="n">
        <v>61</v>
      </c>
      <c r="M103" s="20" t="n">
        <v>68</v>
      </c>
      <c r="N103" s="20" t="n">
        <v>67</v>
      </c>
      <c r="T103" s="20" t="n">
        <v>15</v>
      </c>
      <c r="U103" s="20" t="n">
        <v>51</v>
      </c>
      <c r="V103" s="20" t="n">
        <v>43</v>
      </c>
      <c r="W103" s="20" t="n">
        <v>59</v>
      </c>
      <c r="X103" s="20" t="n">
        <v>68</v>
      </c>
    </row>
    <row r="104">
      <c r="A104" s="18" t="inlineStr">
        <is>
          <t>지분법손실</t>
        </is>
      </c>
      <c r="E104" s="20" t="n">
        <v>125</v>
      </c>
      <c r="I104" s="20" t="n">
        <v>0</v>
      </c>
      <c r="U104" s="20" t="n">
        <v>42</v>
      </c>
      <c r="V104" s="20" t="n">
        <v>125</v>
      </c>
      <c r="W104" s="20" t="n">
        <v>0</v>
      </c>
    </row>
    <row r="105">
      <c r="A105" s="18" t="inlineStr">
        <is>
          <t>지급수수료</t>
        </is>
      </c>
      <c r="D105" s="20" t="n">
        <v>4</v>
      </c>
      <c r="E105" s="20" t="n">
        <v>4</v>
      </c>
      <c r="F105" s="20" t="n">
        <v>3</v>
      </c>
      <c r="G105" s="20" t="n">
        <v>24</v>
      </c>
      <c r="H105" s="20" t="n">
        <v>4</v>
      </c>
      <c r="I105" s="20" t="n">
        <v>3</v>
      </c>
      <c r="J105" s="20" t="n">
        <v>53</v>
      </c>
      <c r="K105" s="20" t="n">
        <v>4</v>
      </c>
      <c r="L105" s="20" t="n">
        <v>4</v>
      </c>
      <c r="M105" s="20" t="n">
        <v>2</v>
      </c>
      <c r="T105" s="20" t="n">
        <v>1</v>
      </c>
      <c r="U105" s="20" t="n">
        <v>3</v>
      </c>
      <c r="V105" s="20" t="n">
        <v>4</v>
      </c>
      <c r="W105" s="20" t="n">
        <v>3</v>
      </c>
      <c r="X105" s="20" t="n">
        <v>2</v>
      </c>
    </row>
    <row r="106">
      <c r="A106" s="18" t="inlineStr">
        <is>
          <t>기타</t>
        </is>
      </c>
      <c r="C106" s="20" t="n">
        <v>7</v>
      </c>
      <c r="D106" s="20" t="n">
        <v>5</v>
      </c>
      <c r="E106" s="20" t="n">
        <v>13</v>
      </c>
      <c r="F106" s="20" t="n">
        <v>6</v>
      </c>
      <c r="G106" s="20" t="n">
        <v>12</v>
      </c>
      <c r="H106" s="20" t="n">
        <v>14</v>
      </c>
      <c r="I106" s="20" t="n">
        <v>26</v>
      </c>
      <c r="J106" s="20" t="n">
        <v>71</v>
      </c>
      <c r="K106" s="20" t="n">
        <v>-42</v>
      </c>
      <c r="L106" s="20" t="n">
        <v>24</v>
      </c>
      <c r="M106" s="20" t="n">
        <v>29</v>
      </c>
      <c r="N106" s="20" t="n">
        <v>15</v>
      </c>
      <c r="T106" s="20" t="n">
        <v>-7</v>
      </c>
      <c r="U106" s="20" t="n">
        <v>4</v>
      </c>
      <c r="V106" s="20" t="n">
        <v>13</v>
      </c>
      <c r="W106" s="20" t="n">
        <v>26</v>
      </c>
      <c r="X106" s="20" t="n">
        <v>29</v>
      </c>
    </row>
    <row r="107">
      <c r="A107" s="18" t="inlineStr">
        <is>
          <t>영업외비용 합계</t>
        </is>
      </c>
      <c r="C107" s="20" t="n">
        <v>60</v>
      </c>
      <c r="D107" s="20" t="n">
        <v>242</v>
      </c>
      <c r="E107" s="20" t="n">
        <v>185</v>
      </c>
      <c r="F107" s="20" t="n">
        <v>47</v>
      </c>
      <c r="G107" s="20" t="n">
        <v>82</v>
      </c>
      <c r="H107" s="20" t="n">
        <v>66</v>
      </c>
      <c r="I107" s="20" t="n">
        <v>88</v>
      </c>
      <c r="J107" s="20" t="n">
        <v>127</v>
      </c>
      <c r="K107" s="20" t="n">
        <v>81</v>
      </c>
      <c r="L107" s="20" t="n">
        <v>88</v>
      </c>
      <c r="M107" s="20" t="n">
        <v>100</v>
      </c>
      <c r="N107" s="20" t="n">
        <v>82</v>
      </c>
      <c r="T107" s="20" t="n">
        <v>42</v>
      </c>
      <c r="U107" s="20" t="n">
        <v>98</v>
      </c>
      <c r="V107" s="20" t="n">
        <v>185</v>
      </c>
      <c r="W107" s="20" t="n">
        <v>88</v>
      </c>
      <c r="X107" s="20" t="n">
        <v>100</v>
      </c>
    </row>
    <row r="108">
      <c r="A108" s="9" t="inlineStr">
        <is>
          <t>경상이익</t>
        </is>
      </c>
      <c r="C108" s="12" t="n">
        <v>1715</v>
      </c>
      <c r="D108" s="12" t="n">
        <v>1977</v>
      </c>
      <c r="E108" s="12" t="n">
        <v>2589</v>
      </c>
      <c r="F108" s="12" t="n">
        <v>1623</v>
      </c>
      <c r="G108" s="12" t="n">
        <v>2182</v>
      </c>
      <c r="H108" s="12" t="n">
        <v>923</v>
      </c>
      <c r="I108" s="12" t="n">
        <v>2061</v>
      </c>
      <c r="J108" s="12" t="n">
        <v>1862</v>
      </c>
      <c r="K108" s="12" t="n">
        <v>1852</v>
      </c>
      <c r="L108" s="12" t="n">
        <v>2435</v>
      </c>
      <c r="M108" s="12" t="n">
        <v>2463</v>
      </c>
      <c r="N108" s="12" t="n">
        <v>2360</v>
      </c>
      <c r="T108" s="12" t="n">
        <v>304</v>
      </c>
      <c r="U108" s="12" t="n">
        <v>672</v>
      </c>
      <c r="V108" s="12" t="n">
        <v>2589</v>
      </c>
      <c r="W108" s="12" t="n">
        <v>2061</v>
      </c>
      <c r="X108" s="12" t="n">
        <v>2463</v>
      </c>
    </row>
    <row r="109">
      <c r="A109" s="43" t="inlineStr">
        <is>
          <t>YoY</t>
        </is>
      </c>
      <c r="B109" s="3" t="inlineStr">
        <is>
          <t>전년 같은 분기·전년 대비</t>
        </is>
      </c>
      <c r="G109" s="15">
        <f>IF(OR(G108="",C108=""),"",IF(C108&lt;=0,"",IFERROR(G108/C108-1,"")))</f>
        <v/>
      </c>
      <c r="H109" s="15">
        <f>IF(OR(H108="",D108=""),"",IF(D108&lt;=0,"",IFERROR(H108/D108-1,"")))</f>
        <v/>
      </c>
      <c r="I109" s="15">
        <f>IF(OR(I108="",E108=""),"",IF(E108&lt;=0,"",IFERROR(I108/E108-1,"")))</f>
        <v/>
      </c>
      <c r="J109" s="15">
        <f>IF(OR(J108="",F108=""),"",IF(F108&lt;=0,"",IFERROR(J108/F108-1,"")))</f>
        <v/>
      </c>
      <c r="K109" s="15">
        <f>IF(OR(K108="",G108=""),"",IF(G108&lt;=0,"",IFERROR(K108/G108-1,"")))</f>
        <v/>
      </c>
      <c r="L109" s="15">
        <f>IF(OR(L108="",H108=""),"",IF(H108&lt;=0,"",IFERROR(L108/H108-1,"")))</f>
        <v/>
      </c>
      <c r="M109" s="15">
        <f>IF(OR(M108="",I108=""),"",IF(I108&lt;=0,"",IFERROR(M108/I108-1,"")))</f>
        <v/>
      </c>
      <c r="N109" s="15">
        <f>IF(OR(N108="",J108=""),"",IF(J108&lt;=0,"",IFERROR(N108/J108-1,"")))</f>
        <v/>
      </c>
      <c r="T109" s="15">
        <f>IF(OR(T108="",S108=""),"",IF(S108&lt;=0,"",IFERROR(T108/S108-1,"")))</f>
        <v/>
      </c>
      <c r="U109" s="15">
        <f>IF(OR(U108="",T108=""),"",IF(T108&lt;=0,"",IFERROR(U108/T108-1,"")))</f>
        <v/>
      </c>
      <c r="V109" s="15">
        <f>IF(OR(V108="",U108=""),"",IF(U108&lt;=0,"",IFERROR(V108/U108-1,"")))</f>
        <v/>
      </c>
      <c r="W109" s="15">
        <f>IF(OR(W108="",V108=""),"",IF(V108&lt;=0,"",IFERROR(W108/V108-1,"")))</f>
        <v/>
      </c>
      <c r="X109" s="15">
        <f>IF(OR(X108="",W108=""),"",IF(W108&lt;=0,"",IFERROR(X108/W108-1,"")))</f>
        <v/>
      </c>
    </row>
    <row r="110">
      <c r="A110" s="18" t="inlineStr">
        <is>
          <t>고정자산 매각이익</t>
        </is>
      </c>
      <c r="C110" s="20" t="n">
        <v>3</v>
      </c>
      <c r="D110" s="20" t="n">
        <v>6</v>
      </c>
      <c r="E110" s="20" t="n">
        <v>3</v>
      </c>
      <c r="F110" s="20" t="n">
        <v>3</v>
      </c>
      <c r="G110" s="20" t="n">
        <v>4</v>
      </c>
      <c r="H110" s="20" t="n">
        <v>2</v>
      </c>
      <c r="I110" s="20" t="n">
        <v>2</v>
      </c>
      <c r="J110" s="20" t="n">
        <v>91</v>
      </c>
      <c r="K110" s="20" t="n">
        <v>9</v>
      </c>
      <c r="L110" s="20" t="n">
        <v>2</v>
      </c>
      <c r="M110" s="20" t="n">
        <v>1</v>
      </c>
      <c r="N110" s="20" t="n">
        <v>3</v>
      </c>
      <c r="T110" s="20" t="n">
        <v>2</v>
      </c>
      <c r="U110" s="20" t="n">
        <v>2</v>
      </c>
      <c r="V110" s="20" t="n">
        <v>3</v>
      </c>
      <c r="W110" s="20" t="n">
        <v>2</v>
      </c>
      <c r="X110" s="20" t="n">
        <v>1</v>
      </c>
    </row>
    <row r="111">
      <c r="A111" s="18" t="inlineStr">
        <is>
          <t>사업 양도 이익</t>
        </is>
      </c>
      <c r="E111" s="20" t="n">
        <v>0</v>
      </c>
      <c r="I111" s="20" t="n">
        <v>0</v>
      </c>
      <c r="M111" s="20" t="n">
        <v>0</v>
      </c>
      <c r="V111" s="20" t="n">
        <v>0</v>
      </c>
      <c r="W111" s="20" t="n">
        <v>0</v>
      </c>
      <c r="X111" s="20" t="n">
        <v>0</v>
      </c>
    </row>
    <row r="112">
      <c r="A112" s="18" t="inlineStr">
        <is>
          <t>보험금 수익</t>
        </is>
      </c>
      <c r="T112" s="20" t="n">
        <v>0</v>
      </c>
      <c r="U112" s="20" t="n">
        <v>0</v>
      </c>
    </row>
    <row r="113">
      <c r="A113" s="18" t="inlineStr">
        <is>
          <t>부의 영업권 발생이익</t>
        </is>
      </c>
      <c r="C113" s="20" t="n">
        <v>0</v>
      </c>
      <c r="D113" s="20" t="n">
        <v>0</v>
      </c>
      <c r="E113" s="20" t="n">
        <v>0</v>
      </c>
      <c r="F113" s="20" t="n">
        <v>338</v>
      </c>
      <c r="G113" s="20" t="n">
        <v>0</v>
      </c>
      <c r="H113" s="20" t="n">
        <v>0</v>
      </c>
      <c r="I113" s="20" t="n">
        <v>0</v>
      </c>
      <c r="J113" s="20" t="n">
        <v>0</v>
      </c>
      <c r="K113" s="20" t="n">
        <v>0</v>
      </c>
      <c r="L113" s="20" t="n">
        <v>0</v>
      </c>
      <c r="M113" s="20" t="n">
        <v>0</v>
      </c>
      <c r="V113" s="20" t="n">
        <v>0</v>
      </c>
      <c r="W113" s="20" t="n">
        <v>0</v>
      </c>
      <c r="X113" s="20" t="n">
        <v>0</v>
      </c>
    </row>
    <row r="114">
      <c r="A114" s="18" t="inlineStr">
        <is>
          <t>투자유가증권 매각이익</t>
        </is>
      </c>
      <c r="E114" s="20" t="n">
        <v>132</v>
      </c>
      <c r="I114" s="20" t="n">
        <v>0</v>
      </c>
      <c r="J114" s="20" t="n">
        <v>0</v>
      </c>
      <c r="N114" s="20" t="n">
        <v>216</v>
      </c>
      <c r="T114" s="20" t="n">
        <v>0</v>
      </c>
      <c r="U114" s="20" t="n">
        <v>101</v>
      </c>
      <c r="V114" s="20" t="n">
        <v>132</v>
      </c>
      <c r="W114" s="20" t="n">
        <v>0</v>
      </c>
    </row>
    <row r="115">
      <c r="A115" s="18" t="inlineStr">
        <is>
          <t>보조금 수입</t>
        </is>
      </c>
      <c r="E115" s="20" t="n">
        <v>0</v>
      </c>
      <c r="T115" s="20" t="n">
        <v>0</v>
      </c>
      <c r="U115" s="20" t="n">
        <v>60</v>
      </c>
      <c r="V115" s="20" t="n">
        <v>0</v>
      </c>
    </row>
    <row r="116">
      <c r="A116" s="18" t="inlineStr">
        <is>
          <t>특별이익 합계</t>
        </is>
      </c>
      <c r="C116" s="20" t="n">
        <v>3</v>
      </c>
      <c r="D116" s="20" t="n">
        <v>81</v>
      </c>
      <c r="E116" s="20" t="n">
        <v>134</v>
      </c>
      <c r="F116" s="20" t="n">
        <v>341</v>
      </c>
      <c r="G116" s="20" t="n">
        <v>4</v>
      </c>
      <c r="H116" s="20" t="n">
        <v>12</v>
      </c>
      <c r="I116" s="20" t="n">
        <v>21</v>
      </c>
      <c r="J116" s="20" t="n">
        <v>91</v>
      </c>
      <c r="K116" s="20" t="n">
        <v>9</v>
      </c>
      <c r="L116" s="20" t="n">
        <v>2</v>
      </c>
      <c r="M116" s="20" t="n">
        <v>1</v>
      </c>
      <c r="N116" s="20" t="n">
        <v>219</v>
      </c>
      <c r="T116" s="20" t="n">
        <v>2</v>
      </c>
      <c r="U116" s="20" t="n">
        <v>163</v>
      </c>
      <c r="V116" s="20" t="n">
        <v>134</v>
      </c>
      <c r="W116" s="20" t="n">
        <v>21</v>
      </c>
      <c r="X116" s="20" t="n">
        <v>1</v>
      </c>
    </row>
    <row r="117">
      <c r="A117" s="18" t="inlineStr">
        <is>
          <t>고정자산 매각손실</t>
        </is>
      </c>
      <c r="C117" s="20" t="n">
        <v>4</v>
      </c>
      <c r="D117" s="20" t="n">
        <v>2</v>
      </c>
      <c r="E117" s="20" t="n">
        <v>11</v>
      </c>
      <c r="F117" s="20" t="n">
        <v>1</v>
      </c>
      <c r="G117" s="20" t="n">
        <v>2</v>
      </c>
      <c r="H117" s="20" t="n">
        <v>3</v>
      </c>
      <c r="I117" s="20" t="n">
        <v>25</v>
      </c>
      <c r="J117" s="20" t="n">
        <v>41</v>
      </c>
      <c r="K117" s="20" t="n">
        <v>2</v>
      </c>
      <c r="L117" s="20" t="n">
        <v>2</v>
      </c>
      <c r="M117" s="20" t="n">
        <v>4</v>
      </c>
      <c r="N117" s="20" t="n">
        <v>1</v>
      </c>
      <c r="T117" s="20" t="n">
        <v>4</v>
      </c>
      <c r="U117" s="20" t="n">
        <v>6</v>
      </c>
      <c r="V117" s="20" t="n">
        <v>11</v>
      </c>
      <c r="W117" s="20" t="n">
        <v>25</v>
      </c>
      <c r="X117" s="20" t="n">
        <v>4</v>
      </c>
    </row>
    <row r="118">
      <c r="A118" s="18" t="inlineStr">
        <is>
          <t>고정자산 제각손실</t>
        </is>
      </c>
      <c r="C118" s="20" t="n">
        <v>16</v>
      </c>
      <c r="D118" s="20" t="n">
        <v>6</v>
      </c>
      <c r="E118" s="20" t="n">
        <v>19</v>
      </c>
      <c r="F118" s="20" t="n">
        <v>12</v>
      </c>
      <c r="G118" s="20" t="n">
        <v>12</v>
      </c>
      <c r="H118" s="20" t="n">
        <v>9</v>
      </c>
      <c r="I118" s="20" t="n">
        <v>32</v>
      </c>
      <c r="J118" s="20" t="n">
        <v>3</v>
      </c>
      <c r="K118" s="20" t="n">
        <v>5</v>
      </c>
      <c r="L118" s="20" t="n">
        <v>5</v>
      </c>
      <c r="M118" s="20" t="n">
        <v>45</v>
      </c>
      <c r="N118" s="20" t="n">
        <v>2</v>
      </c>
      <c r="T118" s="20" t="n">
        <v>20</v>
      </c>
      <c r="U118" s="20" t="n">
        <v>13</v>
      </c>
      <c r="V118" s="20" t="n">
        <v>19</v>
      </c>
      <c r="W118" s="20" t="n">
        <v>32</v>
      </c>
      <c r="X118" s="20" t="n">
        <v>45</v>
      </c>
    </row>
    <row r="119">
      <c r="A119" s="18" t="inlineStr">
        <is>
          <t>고정자산 압축손실</t>
        </is>
      </c>
      <c r="T119" s="20" t="n">
        <v>0</v>
      </c>
      <c r="U119" s="20" t="n">
        <v>0</v>
      </c>
    </row>
    <row r="120">
      <c r="A120" s="18" t="inlineStr">
        <is>
          <t>손상차손</t>
        </is>
      </c>
      <c r="C120" s="20" t="n">
        <v>6</v>
      </c>
      <c r="D120" s="20" t="n">
        <v>88</v>
      </c>
      <c r="E120" s="20" t="n">
        <v>110</v>
      </c>
      <c r="H120" s="20" t="n">
        <v>0</v>
      </c>
      <c r="I120" s="20" t="n">
        <v>41</v>
      </c>
      <c r="L120" s="20" t="n">
        <v>0</v>
      </c>
      <c r="M120" s="20" t="n">
        <v>0</v>
      </c>
      <c r="T120" s="20" t="n">
        <v>0</v>
      </c>
      <c r="U120" s="20" t="n">
        <v>0</v>
      </c>
      <c r="V120" s="20" t="n">
        <v>110</v>
      </c>
      <c r="W120" s="20" t="n">
        <v>41</v>
      </c>
      <c r="X120" s="20" t="n">
        <v>0</v>
      </c>
    </row>
    <row r="121">
      <c r="A121" s="18" t="inlineStr">
        <is>
          <t>리스해약 손실</t>
        </is>
      </c>
      <c r="D121" s="20" t="n">
        <v>0</v>
      </c>
      <c r="E121" s="20" t="n">
        <v>0</v>
      </c>
      <c r="H121" s="20" t="n">
        <v>0</v>
      </c>
      <c r="I121" s="20" t="n">
        <v>0</v>
      </c>
      <c r="U121" s="20" t="n">
        <v>0</v>
      </c>
      <c r="V121" s="20" t="n">
        <v>0</v>
      </c>
      <c r="W121" s="20" t="n">
        <v>0</v>
      </c>
    </row>
    <row r="122">
      <c r="A122" s="18" t="inlineStr">
        <is>
          <t>자회사 정리손실</t>
        </is>
      </c>
      <c r="C122" s="20" t="n">
        <v>0</v>
      </c>
      <c r="D122" s="20" t="n">
        <v>0</v>
      </c>
      <c r="E122" s="20" t="n">
        <v>0</v>
      </c>
      <c r="T122" s="20" t="n">
        <v>0</v>
      </c>
      <c r="U122" s="20" t="n">
        <v>0</v>
      </c>
      <c r="V122" s="20" t="n">
        <v>0</v>
      </c>
    </row>
    <row r="123">
      <c r="A123" s="18" t="inlineStr">
        <is>
          <t>투자유가증권 평가손실</t>
        </is>
      </c>
      <c r="C123" s="20" t="n">
        <v>0</v>
      </c>
      <c r="D123" s="20" t="n">
        <v>0</v>
      </c>
      <c r="E123" s="20" t="n">
        <v>0</v>
      </c>
      <c r="F123" s="20" t="n">
        <v>0</v>
      </c>
      <c r="G123" s="20" t="n">
        <v>0</v>
      </c>
      <c r="H123" s="20" t="n">
        <v>0</v>
      </c>
      <c r="I123" s="20" t="n">
        <v>0</v>
      </c>
      <c r="U123" s="20" t="n">
        <v>0</v>
      </c>
      <c r="V123" s="20" t="n">
        <v>0</v>
      </c>
      <c r="W123" s="20" t="n">
        <v>0</v>
      </c>
    </row>
    <row r="124">
      <c r="A124" s="18" t="inlineStr">
        <is>
          <t>관계회사 주식 매각손실</t>
        </is>
      </c>
      <c r="D124" s="20" t="n">
        <v>0</v>
      </c>
      <c r="E124" s="20" t="n">
        <v>0</v>
      </c>
      <c r="H124" s="20" t="n">
        <v>0</v>
      </c>
      <c r="I124" s="20" t="n">
        <v>0</v>
      </c>
      <c r="L124" s="20" t="n">
        <v>0</v>
      </c>
      <c r="M124" s="20" t="n">
        <v>0</v>
      </c>
      <c r="V124" s="20" t="n">
        <v>0</v>
      </c>
      <c r="W124" s="20" t="n">
        <v>0</v>
      </c>
      <c r="X124" s="20" t="n">
        <v>0</v>
      </c>
    </row>
    <row r="125">
      <c r="A125" s="18" t="inlineStr">
        <is>
          <t>Loss On Closing Of Factory EL</t>
        </is>
      </c>
      <c r="C125" s="20" t="n">
        <v>1</v>
      </c>
      <c r="D125" s="20" t="n">
        <v>1</v>
      </c>
      <c r="E125" s="20" t="n">
        <v>4</v>
      </c>
      <c r="F125" s="20" t="n">
        <v>0</v>
      </c>
      <c r="G125" s="20" t="n">
        <v>0</v>
      </c>
      <c r="H125" s="20" t="n">
        <v>0</v>
      </c>
      <c r="I125" s="20" t="n">
        <v>0</v>
      </c>
      <c r="U125" s="20" t="n">
        <v>211</v>
      </c>
      <c r="V125" s="20" t="n">
        <v>4</v>
      </c>
      <c r="W125" s="20" t="n">
        <v>0</v>
      </c>
    </row>
    <row r="126">
      <c r="A126" s="18" t="inlineStr">
        <is>
          <t>단계적 취득 차손</t>
        </is>
      </c>
      <c r="C126" s="20" t="n">
        <v>0</v>
      </c>
      <c r="D126" s="20" t="n">
        <v>0</v>
      </c>
      <c r="E126" s="20" t="n">
        <v>0</v>
      </c>
      <c r="F126" s="20" t="n">
        <v>158</v>
      </c>
      <c r="G126" s="20" t="n">
        <v>0</v>
      </c>
      <c r="H126" s="20" t="n">
        <v>0</v>
      </c>
      <c r="I126" s="20" t="n">
        <v>0</v>
      </c>
      <c r="J126" s="20" t="n">
        <v>0</v>
      </c>
      <c r="K126" s="20" t="n">
        <v>0</v>
      </c>
      <c r="L126" s="20" t="n">
        <v>0</v>
      </c>
      <c r="M126" s="20" t="n">
        <v>0</v>
      </c>
      <c r="V126" s="20" t="n">
        <v>0</v>
      </c>
      <c r="W126" s="20" t="n">
        <v>0</v>
      </c>
      <c r="X126" s="20" t="n">
        <v>0</v>
      </c>
    </row>
    <row r="127">
      <c r="A127" s="18" t="inlineStr">
        <is>
          <t>Head Office Transfer Cost EL</t>
        </is>
      </c>
      <c r="C127" s="20" t="n">
        <v>0</v>
      </c>
      <c r="D127" s="20" t="n">
        <v>0</v>
      </c>
      <c r="E127" s="20" t="n">
        <v>0</v>
      </c>
      <c r="F127" s="20" t="n">
        <v>8</v>
      </c>
      <c r="G127" s="20" t="n">
        <v>21</v>
      </c>
      <c r="H127" s="20" t="n">
        <v>3</v>
      </c>
      <c r="I127" s="20" t="n">
        <v>0</v>
      </c>
      <c r="J127" s="20" t="n">
        <v>0</v>
      </c>
      <c r="K127" s="20" t="n">
        <v>0</v>
      </c>
      <c r="L127" s="20" t="n">
        <v>0</v>
      </c>
      <c r="M127" s="20" t="n">
        <v>0</v>
      </c>
      <c r="V127" s="20" t="n">
        <v>0</v>
      </c>
      <c r="W127" s="20" t="n">
        <v>0</v>
      </c>
      <c r="X127" s="20" t="n">
        <v>0</v>
      </c>
    </row>
    <row r="128">
      <c r="A128" s="18" t="inlineStr">
        <is>
          <t>특별손실 합계</t>
        </is>
      </c>
      <c r="C128" s="20" t="n">
        <v>27</v>
      </c>
      <c r="D128" s="20" t="n">
        <v>98</v>
      </c>
      <c r="E128" s="20" t="n">
        <v>154</v>
      </c>
      <c r="F128" s="20" t="n">
        <v>180</v>
      </c>
      <c r="G128" s="20" t="n">
        <v>91</v>
      </c>
      <c r="H128" s="20" t="n">
        <v>16</v>
      </c>
      <c r="I128" s="20" t="n">
        <v>106</v>
      </c>
      <c r="J128" s="20" t="n">
        <v>44</v>
      </c>
      <c r="K128" s="20" t="n">
        <v>12</v>
      </c>
      <c r="L128" s="20" t="n">
        <v>7</v>
      </c>
      <c r="M128" s="20" t="n">
        <v>49</v>
      </c>
      <c r="N128" s="20" t="n">
        <v>4</v>
      </c>
      <c r="T128" s="20" t="n">
        <v>26</v>
      </c>
      <c r="U128" s="20" t="n">
        <v>230</v>
      </c>
      <c r="V128" s="20" t="n">
        <v>154</v>
      </c>
      <c r="W128" s="20" t="n">
        <v>106</v>
      </c>
      <c r="X128" s="20" t="n">
        <v>49</v>
      </c>
    </row>
    <row r="129">
      <c r="A129" s="9" t="inlineStr">
        <is>
          <t>법인세차감전 순이익</t>
        </is>
      </c>
      <c r="C129" s="12" t="n">
        <v>1692</v>
      </c>
      <c r="D129" s="12" t="n">
        <v>1959</v>
      </c>
      <c r="E129" s="12" t="n">
        <v>2569</v>
      </c>
      <c r="F129" s="12" t="n">
        <v>1783</v>
      </c>
      <c r="G129" s="12" t="n">
        <v>2096</v>
      </c>
      <c r="H129" s="12" t="n">
        <v>919</v>
      </c>
      <c r="I129" s="12" t="n">
        <v>1976</v>
      </c>
      <c r="J129" s="12" t="n">
        <v>1909</v>
      </c>
      <c r="K129" s="12" t="n">
        <v>1848</v>
      </c>
      <c r="L129" s="12" t="n">
        <v>2432</v>
      </c>
      <c r="M129" s="12" t="n">
        <v>2414</v>
      </c>
      <c r="N129" s="12" t="n">
        <v>2575</v>
      </c>
      <c r="T129" s="12" t="n">
        <v>280</v>
      </c>
      <c r="U129" s="12" t="n">
        <v>604</v>
      </c>
      <c r="V129" s="12" t="n">
        <v>2569</v>
      </c>
      <c r="W129" s="12" t="n">
        <v>1976</v>
      </c>
      <c r="X129" s="12" t="n">
        <v>2414</v>
      </c>
    </row>
    <row r="130">
      <c r="A130" s="18" t="inlineStr">
        <is>
          <t>법인세·주민세·사업세</t>
        </is>
      </c>
      <c r="C130" s="20" t="n">
        <v>429</v>
      </c>
      <c r="D130" s="20" t="n">
        <v>622</v>
      </c>
      <c r="E130" s="20" t="n">
        <v>898</v>
      </c>
      <c r="F130" s="20" t="n">
        <v>483</v>
      </c>
      <c r="G130" s="20" t="n">
        <v>532</v>
      </c>
      <c r="H130" s="20" t="n">
        <v>-333</v>
      </c>
      <c r="I130" s="20" t="n">
        <v>565</v>
      </c>
      <c r="J130" s="20" t="n">
        <v>483</v>
      </c>
      <c r="K130" s="20" t="n">
        <v>377</v>
      </c>
      <c r="L130" s="20" t="n">
        <v>607</v>
      </c>
      <c r="M130" s="20" t="n">
        <v>999</v>
      </c>
      <c r="N130" s="20" t="n">
        <v>852</v>
      </c>
      <c r="T130" s="20" t="n">
        <v>133</v>
      </c>
      <c r="U130" s="20" t="n">
        <v>278</v>
      </c>
      <c r="V130" s="20" t="n">
        <v>898</v>
      </c>
      <c r="W130" s="20" t="n">
        <v>565</v>
      </c>
      <c r="X130" s="20" t="n">
        <v>999</v>
      </c>
    </row>
    <row r="131">
      <c r="A131" s="18" t="inlineStr">
        <is>
          <t>법인세 조정액</t>
        </is>
      </c>
      <c r="C131" s="20" t="n">
        <v>162</v>
      </c>
      <c r="D131" s="20" t="n">
        <v>76</v>
      </c>
      <c r="E131" s="20" t="n">
        <v>-153</v>
      </c>
      <c r="F131" s="20" t="n">
        <v>-36</v>
      </c>
      <c r="G131" s="20" t="n">
        <v>-272</v>
      </c>
      <c r="H131" s="20" t="n">
        <v>618</v>
      </c>
      <c r="I131" s="20" t="n">
        <v>-272</v>
      </c>
      <c r="J131" s="20" t="n">
        <v>-219</v>
      </c>
      <c r="K131" s="20" t="n">
        <v>194</v>
      </c>
      <c r="L131" s="20" t="n">
        <v>115</v>
      </c>
      <c r="M131" s="20" t="n">
        <v>-365</v>
      </c>
      <c r="N131" s="20" t="n">
        <v>-56</v>
      </c>
      <c r="T131" s="20" t="n">
        <v>-197</v>
      </c>
      <c r="U131" s="20" t="n">
        <v>-61</v>
      </c>
      <c r="V131" s="20" t="n">
        <v>-153</v>
      </c>
      <c r="W131" s="20" t="n">
        <v>-272</v>
      </c>
      <c r="X131" s="20" t="n">
        <v>-365</v>
      </c>
    </row>
    <row r="132">
      <c r="A132" s="18" t="inlineStr">
        <is>
          <t>법인세 등 합계</t>
        </is>
      </c>
      <c r="C132" s="20" t="n">
        <v>593</v>
      </c>
      <c r="D132" s="20" t="n">
        <v>697</v>
      </c>
      <c r="E132" s="20" t="n">
        <v>746</v>
      </c>
      <c r="F132" s="20" t="n">
        <v>446</v>
      </c>
      <c r="G132" s="20" t="n">
        <v>260</v>
      </c>
      <c r="H132" s="20" t="n">
        <v>287</v>
      </c>
      <c r="I132" s="20" t="n">
        <v>292</v>
      </c>
      <c r="J132" s="20" t="n">
        <v>263</v>
      </c>
      <c r="K132" s="20" t="n">
        <v>571</v>
      </c>
      <c r="L132" s="20" t="n">
        <v>724</v>
      </c>
      <c r="M132" s="20" t="n">
        <v>632</v>
      </c>
      <c r="N132" s="20" t="n">
        <v>795</v>
      </c>
      <c r="T132" s="20" t="n">
        <v>-63</v>
      </c>
      <c r="U132" s="20" t="n">
        <v>217</v>
      </c>
      <c r="V132" s="20" t="n">
        <v>746</v>
      </c>
      <c r="W132" s="20" t="n">
        <v>292</v>
      </c>
      <c r="X132" s="20" t="n">
        <v>632</v>
      </c>
    </row>
    <row r="133">
      <c r="A133" s="9" t="inlineStr">
        <is>
          <t>순이익</t>
        </is>
      </c>
      <c r="C133" s="12" t="n">
        <v>1099</v>
      </c>
      <c r="D133" s="12" t="n">
        <v>1262</v>
      </c>
      <c r="E133" s="12" t="n">
        <v>1823</v>
      </c>
      <c r="F133" s="12" t="n">
        <v>1337</v>
      </c>
      <c r="G133" s="12" t="n">
        <v>1835</v>
      </c>
      <c r="H133" s="12" t="n">
        <v>633</v>
      </c>
      <c r="I133" s="12" t="n">
        <v>1683</v>
      </c>
      <c r="J133" s="12" t="n">
        <v>1645</v>
      </c>
      <c r="K133" s="12" t="n">
        <v>1278</v>
      </c>
      <c r="L133" s="12" t="n">
        <v>1707</v>
      </c>
      <c r="M133" s="12" t="n">
        <v>1782</v>
      </c>
      <c r="N133" s="12" t="n">
        <v>1779</v>
      </c>
      <c r="T133" s="12" t="n">
        <v>344</v>
      </c>
      <c r="U133" s="12" t="n">
        <v>386</v>
      </c>
      <c r="V133" s="12" t="n">
        <v>1823</v>
      </c>
      <c r="W133" s="12" t="n">
        <v>1683</v>
      </c>
      <c r="X133" s="12" t="n">
        <v>1782</v>
      </c>
    </row>
    <row r="134">
      <c r="A134" s="43" t="inlineStr">
        <is>
          <t>YoY</t>
        </is>
      </c>
      <c r="B134" s="3" t="inlineStr">
        <is>
          <t>전년 같은 분기·전년 대비</t>
        </is>
      </c>
      <c r="G134" s="15">
        <f>IF(OR(G133="",C133=""),"",IF(C133&lt;=0,"",IFERROR(G133/C133-1,"")))</f>
        <v/>
      </c>
      <c r="H134" s="15">
        <f>IF(OR(H133="",D133=""),"",IF(D133&lt;=0,"",IFERROR(H133/D133-1,"")))</f>
        <v/>
      </c>
      <c r="I134" s="15">
        <f>IF(OR(I133="",E133=""),"",IF(E133&lt;=0,"",IFERROR(I133/E133-1,"")))</f>
        <v/>
      </c>
      <c r="J134" s="15">
        <f>IF(OR(J133="",F133=""),"",IF(F133&lt;=0,"",IFERROR(J133/F133-1,"")))</f>
        <v/>
      </c>
      <c r="K134" s="15">
        <f>IF(OR(K133="",G133=""),"",IF(G133&lt;=0,"",IFERROR(K133/G133-1,"")))</f>
        <v/>
      </c>
      <c r="L134" s="15">
        <f>IF(OR(L133="",H133=""),"",IF(H133&lt;=0,"",IFERROR(L133/H133-1,"")))</f>
        <v/>
      </c>
      <c r="M134" s="15">
        <f>IF(OR(M133="",I133=""),"",IF(I133&lt;=0,"",IFERROR(M133/I133-1,"")))</f>
        <v/>
      </c>
      <c r="N134" s="15">
        <f>IF(OR(N133="",J133=""),"",IF(J133&lt;=0,"",IFERROR(N133/J133-1,"")))</f>
        <v/>
      </c>
      <c r="T134" s="15">
        <f>IF(OR(T133="",S133=""),"",IF(S133&lt;=0,"",IFERROR(T133/S133-1,"")))</f>
        <v/>
      </c>
      <c r="U134" s="15">
        <f>IF(OR(U133="",T133=""),"",IF(T133&lt;=0,"",IFERROR(U133/T133-1,"")))</f>
        <v/>
      </c>
      <c r="V134" s="15">
        <f>IF(OR(V133="",U133=""),"",IF(U133&lt;=0,"",IFERROR(V133/U133-1,"")))</f>
        <v/>
      </c>
      <c r="W134" s="15">
        <f>IF(OR(W133="",V133=""),"",IF(V133&lt;=0,"",IFERROR(W133/V133-1,"")))</f>
        <v/>
      </c>
      <c r="X134" s="15">
        <f>IF(OR(X133="",W133=""),"",IF(W133&lt;=0,"",IFERROR(X133/W133-1,"")))</f>
        <v/>
      </c>
    </row>
    <row r="135">
      <c r="A135" s="9" t="inlineStr">
        <is>
          <t>비지배주주 순이익</t>
        </is>
      </c>
      <c r="C135" s="12" t="n">
        <v>30</v>
      </c>
      <c r="D135" s="12" t="n">
        <v>-6</v>
      </c>
      <c r="E135" s="12" t="n">
        <v>-3</v>
      </c>
      <c r="F135" s="12" t="n">
        <v>32</v>
      </c>
      <c r="G135" s="12" t="n">
        <v>48</v>
      </c>
      <c r="H135" s="12" t="n">
        <v>13</v>
      </c>
      <c r="I135" s="12" t="n">
        <v>8</v>
      </c>
      <c r="J135" s="12" t="n">
        <v>7</v>
      </c>
      <c r="K135" s="12" t="n">
        <v>42</v>
      </c>
      <c r="L135" s="12" t="n">
        <v>-5</v>
      </c>
      <c r="M135" s="12" t="n">
        <v>-9</v>
      </c>
      <c r="N135" s="12" t="n">
        <v>18</v>
      </c>
      <c r="T135" s="12" t="n">
        <v>-7</v>
      </c>
      <c r="U135" s="12" t="n">
        <v>-7</v>
      </c>
      <c r="V135" s="12" t="n">
        <v>-3</v>
      </c>
      <c r="W135" s="12" t="n">
        <v>8</v>
      </c>
      <c r="X135" s="12" t="n">
        <v>-9</v>
      </c>
    </row>
    <row r="136">
      <c r="A136" s="9" t="inlineStr">
        <is>
          <t>지배주주 순이익</t>
        </is>
      </c>
      <c r="C136" s="12" t="n">
        <v>1068</v>
      </c>
      <c r="D136" s="12" t="n">
        <v>1268</v>
      </c>
      <c r="E136" s="12" t="n">
        <v>1827</v>
      </c>
      <c r="F136" s="12" t="n">
        <v>1304</v>
      </c>
      <c r="G136" s="12" t="n">
        <v>1788</v>
      </c>
      <c r="H136" s="12" t="n">
        <v>619</v>
      </c>
      <c r="I136" s="12" t="n">
        <v>1676</v>
      </c>
      <c r="J136" s="12" t="n">
        <v>1637</v>
      </c>
      <c r="K136" s="12" t="n">
        <v>1236</v>
      </c>
      <c r="L136" s="12" t="n">
        <v>1712</v>
      </c>
      <c r="M136" s="12" t="n">
        <v>1792</v>
      </c>
      <c r="N136" s="12" t="n">
        <v>1761</v>
      </c>
      <c r="T136" s="12" t="n">
        <v>350</v>
      </c>
      <c r="U136" s="12" t="n">
        <v>394</v>
      </c>
      <c r="V136" s="12" t="n">
        <v>1827</v>
      </c>
      <c r="W136" s="12" t="n">
        <v>1676</v>
      </c>
      <c r="X136" s="12" t="n">
        <v>1792</v>
      </c>
    </row>
    <row r="137">
      <c r="A137" s="43" t="inlineStr">
        <is>
          <t>YoY</t>
        </is>
      </c>
      <c r="B137" s="3" t="inlineStr">
        <is>
          <t>전년 같은 분기·전년 대비</t>
        </is>
      </c>
      <c r="G137" s="15">
        <f>IF(OR(G136="",C136=""),"",IF(C136&lt;=0,"",IFERROR(G136/C136-1,"")))</f>
        <v/>
      </c>
      <c r="H137" s="15">
        <f>IF(OR(H136="",D136=""),"",IF(D136&lt;=0,"",IFERROR(H136/D136-1,"")))</f>
        <v/>
      </c>
      <c r="I137" s="15">
        <f>IF(OR(I136="",E136=""),"",IF(E136&lt;=0,"",IFERROR(I136/E136-1,"")))</f>
        <v/>
      </c>
      <c r="J137" s="15">
        <f>IF(OR(J136="",F136=""),"",IF(F136&lt;=0,"",IFERROR(J136/F136-1,"")))</f>
        <v/>
      </c>
      <c r="K137" s="15">
        <f>IF(OR(K136="",G136=""),"",IF(G136&lt;=0,"",IFERROR(K136/G136-1,"")))</f>
        <v/>
      </c>
      <c r="L137" s="15">
        <f>IF(OR(L136="",H136=""),"",IF(H136&lt;=0,"",IFERROR(L136/H136-1,"")))</f>
        <v/>
      </c>
      <c r="M137" s="15">
        <f>IF(OR(M136="",I136=""),"",IF(I136&lt;=0,"",IFERROR(M136/I136-1,"")))</f>
        <v/>
      </c>
      <c r="N137" s="15">
        <f>IF(OR(N136="",J136=""),"",IF(J136&lt;=0,"",IFERROR(N136/J136-1,"")))</f>
        <v/>
      </c>
      <c r="T137" s="15">
        <f>IF(OR(T136="",S136=""),"",IF(S136&lt;=0,"",IFERROR(T136/S136-1,"")))</f>
        <v/>
      </c>
      <c r="U137" s="15">
        <f>IF(OR(U136="",T136=""),"",IF(T136&lt;=0,"",IFERROR(U136/T136-1,"")))</f>
        <v/>
      </c>
      <c r="V137" s="15">
        <f>IF(OR(V136="",U136=""),"",IF(U136&lt;=0,"",IFERROR(V136/U136-1,"")))</f>
        <v/>
      </c>
      <c r="W137" s="15">
        <f>IF(OR(W136="",V136=""),"",IF(V136&lt;=0,"",IFERROR(W136/V136-1,"")))</f>
        <v/>
      </c>
      <c r="X137" s="15">
        <f>IF(OR(X136="",W136=""),"",IF(W136&lt;=0,"",IFERROR(X136/W136-1,"")))</f>
        <v/>
      </c>
    </row>
    <row r="139">
      <c r="A139" s="16" t="inlineStr">
        <is>
          <t>포괄손익 · 전 항목</t>
        </is>
      </c>
      <c r="B139" s="42" t="inlineStr">
        <is>
          <t>분기 = 3개월 단독</t>
        </is>
      </c>
      <c r="C139" s="16" t="n"/>
      <c r="D139" s="16" t="n"/>
      <c r="E139" s="16" t="n"/>
      <c r="F139" s="16" t="n"/>
      <c r="G139" s="16" t="n"/>
      <c r="H139" s="16" t="n"/>
      <c r="I139" s="16" t="n"/>
      <c r="J139" s="16" t="n"/>
      <c r="K139" s="16" t="n"/>
      <c r="L139" s="16" t="n"/>
      <c r="M139" s="16" t="n"/>
      <c r="N139" s="16" t="n"/>
      <c r="O139" s="16" t="n"/>
      <c r="P139" s="16" t="n"/>
      <c r="Q139" s="16" t="n"/>
      <c r="R139" s="16" t="n"/>
      <c r="S139" s="16" t="n"/>
      <c r="T139" s="16" t="n"/>
      <c r="U139" s="16" t="n"/>
      <c r="V139" s="16" t="n"/>
      <c r="W139" s="16" t="n"/>
      <c r="X139" s="16" t="n"/>
      <c r="Y139" s="16" t="n"/>
      <c r="Z139" s="16" t="n"/>
      <c r="AA139" s="16" t="n"/>
      <c r="AB139" s="16" t="n"/>
      <c r="AC139" s="16" t="n"/>
    </row>
    <row r="140">
      <c r="A140" s="5" t="inlineStr">
        <is>
          <t>항목</t>
        </is>
      </c>
      <c r="B140" s="5" t="inlineStr">
        <is>
          <t>참고</t>
        </is>
      </c>
      <c r="C140" s="5" t="inlineStr">
        <is>
          <t>2024.2Q</t>
        </is>
      </c>
      <c r="D140" s="5" t="inlineStr">
        <is>
          <t>2024.3Q</t>
        </is>
      </c>
      <c r="E140" s="5" t="inlineStr">
        <is>
          <t>2024.4Q</t>
        </is>
      </c>
      <c r="F140" s="5" t="inlineStr">
        <is>
          <t>2025.1Q</t>
        </is>
      </c>
      <c r="G140" s="5" t="inlineStr">
        <is>
          <t>2025.2Q</t>
        </is>
      </c>
      <c r="H140" s="5" t="inlineStr">
        <is>
          <t>2025.3Q</t>
        </is>
      </c>
      <c r="I140" s="5" t="inlineStr">
        <is>
          <t>2025.4Q</t>
        </is>
      </c>
      <c r="J140" s="5" t="inlineStr">
        <is>
          <t>2026.1Q</t>
        </is>
      </c>
      <c r="K140" s="5" t="inlineStr">
        <is>
          <t>2026.2Q</t>
        </is>
      </c>
      <c r="L140" s="5" t="inlineStr">
        <is>
          <t>2026.3Q</t>
        </is>
      </c>
      <c r="M140" s="5" t="inlineStr">
        <is>
          <t>2026.4Q</t>
        </is>
      </c>
      <c r="N140" s="5" t="inlineStr">
        <is>
          <t>2027.1Q</t>
        </is>
      </c>
      <c r="O140" s="5" t="inlineStr">
        <is>
          <t>2017</t>
        </is>
      </c>
      <c r="P140" s="5" t="inlineStr">
        <is>
          <t>2018</t>
        </is>
      </c>
      <c r="Q140" s="5" t="inlineStr">
        <is>
          <t>2019</t>
        </is>
      </c>
      <c r="R140" s="5" t="inlineStr">
        <is>
          <t>2020</t>
        </is>
      </c>
      <c r="S140" s="5" t="inlineStr">
        <is>
          <t>2021</t>
        </is>
      </c>
      <c r="T140" s="5" t="inlineStr">
        <is>
          <t>2022</t>
        </is>
      </c>
      <c r="U140" s="5" t="inlineStr">
        <is>
          <t>2023</t>
        </is>
      </c>
      <c r="V140" s="5" t="inlineStr">
        <is>
          <t>2024</t>
        </is>
      </c>
      <c r="W140" s="5" t="inlineStr">
        <is>
          <t>2025</t>
        </is>
      </c>
      <c r="X140" s="5" t="inlineStr">
        <is>
          <t>2026</t>
        </is>
      </c>
      <c r="Y140" s="5" t="inlineStr">
        <is>
          <t>2027(MW)</t>
        </is>
      </c>
      <c r="Z140" s="5" t="inlineStr">
        <is>
          <t>2028(MW)</t>
        </is>
      </c>
      <c r="AA140" s="5" t="inlineStr">
        <is>
          <t>2029(MW)</t>
        </is>
      </c>
      <c r="AB140" s="5" t="inlineStr">
        <is>
          <t>2030(MW)</t>
        </is>
      </c>
      <c r="AC140" s="5" t="inlineStr">
        <is>
          <t>2031(MW)</t>
        </is>
      </c>
    </row>
    <row r="141">
      <c r="A141" s="9" t="inlineStr">
        <is>
          <t>순이익</t>
        </is>
      </c>
      <c r="C141" s="12" t="n">
        <v>1099</v>
      </c>
      <c r="D141" s="12" t="n">
        <v>1262</v>
      </c>
      <c r="E141" s="12" t="n">
        <v>1823</v>
      </c>
      <c r="F141" s="12" t="n">
        <v>1337</v>
      </c>
      <c r="G141" s="12" t="n">
        <v>1835</v>
      </c>
      <c r="H141" s="12" t="n">
        <v>633</v>
      </c>
      <c r="I141" s="12" t="n">
        <v>1683</v>
      </c>
      <c r="J141" s="12" t="n">
        <v>1645</v>
      </c>
      <c r="K141" s="12" t="n">
        <v>1278</v>
      </c>
      <c r="L141" s="12" t="n">
        <v>1707</v>
      </c>
      <c r="M141" s="12" t="n">
        <v>1782</v>
      </c>
      <c r="N141" s="12" t="n">
        <v>1779</v>
      </c>
      <c r="T141" s="12" t="n">
        <v>344</v>
      </c>
      <c r="U141" s="12" t="n">
        <v>386</v>
      </c>
      <c r="V141" s="12" t="n">
        <v>1823</v>
      </c>
      <c r="W141" s="12" t="n">
        <v>1683</v>
      </c>
      <c r="X141" s="12" t="n">
        <v>1782</v>
      </c>
    </row>
    <row r="142">
      <c r="A142" s="18" t="inlineStr">
        <is>
          <t>기타유가증권 평가차액</t>
        </is>
      </c>
      <c r="C142" s="20" t="n">
        <v>312</v>
      </c>
      <c r="D142" s="20" t="n">
        <v>-97</v>
      </c>
      <c r="E142" s="20" t="n">
        <v>392</v>
      </c>
      <c r="F142" s="20" t="n">
        <v>295</v>
      </c>
      <c r="G142" s="20" t="n">
        <v>-234</v>
      </c>
      <c r="H142" s="20" t="n">
        <v>252</v>
      </c>
      <c r="I142" s="20" t="n">
        <v>30</v>
      </c>
      <c r="J142" s="20" t="n">
        <v>292</v>
      </c>
      <c r="K142" s="20" t="n">
        <v>657</v>
      </c>
      <c r="L142" s="20" t="n">
        <v>559</v>
      </c>
      <c r="M142" s="20" t="n">
        <v>265</v>
      </c>
      <c r="N142" s="20" t="n">
        <v>-17</v>
      </c>
      <c r="T142" s="20" t="n">
        <v>164</v>
      </c>
      <c r="U142" s="20" t="n">
        <v>4</v>
      </c>
      <c r="V142" s="20" t="n">
        <v>392</v>
      </c>
      <c r="W142" s="20" t="n">
        <v>30</v>
      </c>
      <c r="X142" s="20" t="n">
        <v>265</v>
      </c>
    </row>
    <row r="143">
      <c r="A143" s="18" t="inlineStr">
        <is>
          <t>이연헤지손익</t>
        </is>
      </c>
      <c r="C143" s="20" t="n">
        <v>-247</v>
      </c>
      <c r="D143" s="20" t="n">
        <v>-399</v>
      </c>
      <c r="E143" s="20" t="n">
        <v>372</v>
      </c>
      <c r="F143" s="20" t="n">
        <v>93</v>
      </c>
      <c r="G143" s="20" t="n">
        <v>-351</v>
      </c>
      <c r="H143" s="20" t="n">
        <v>347</v>
      </c>
      <c r="I143" s="20" t="n">
        <v>-261</v>
      </c>
      <c r="J143" s="20" t="n">
        <v>68</v>
      </c>
      <c r="K143" s="20" t="n">
        <v>36</v>
      </c>
      <c r="L143" s="20" t="n">
        <v>-47</v>
      </c>
      <c r="M143" s="20" t="n">
        <v>91</v>
      </c>
      <c r="N143" s="20" t="n">
        <v>36</v>
      </c>
      <c r="T143" s="20" t="n">
        <v>43</v>
      </c>
      <c r="U143" s="20" t="n">
        <v>366</v>
      </c>
      <c r="V143" s="20" t="n">
        <v>372</v>
      </c>
      <c r="W143" s="20" t="n">
        <v>-261</v>
      </c>
      <c r="X143" s="20" t="n">
        <v>91</v>
      </c>
    </row>
    <row r="144">
      <c r="A144" s="18" t="inlineStr">
        <is>
          <t>퇴직급여 조정액</t>
        </is>
      </c>
      <c r="C144" s="20" t="n">
        <v>1</v>
      </c>
      <c r="D144" s="20" t="n">
        <v>1</v>
      </c>
      <c r="E144" s="20" t="n">
        <v>-29</v>
      </c>
      <c r="F144" s="20" t="n">
        <v>2</v>
      </c>
      <c r="G144" s="20" t="n">
        <v>2</v>
      </c>
      <c r="H144" s="20" t="n">
        <v>2</v>
      </c>
      <c r="I144" s="20" t="n">
        <v>-5</v>
      </c>
      <c r="J144" s="20" t="n">
        <v>1</v>
      </c>
      <c r="K144" s="20" t="n">
        <v>2</v>
      </c>
      <c r="L144" s="20" t="n">
        <v>2</v>
      </c>
      <c r="M144" s="20" t="n">
        <v>194</v>
      </c>
      <c r="N144" s="20" t="n">
        <v>-3</v>
      </c>
      <c r="T144" s="20" t="n">
        <v>-20</v>
      </c>
      <c r="U144" s="20" t="n">
        <v>52</v>
      </c>
      <c r="V144" s="20" t="n">
        <v>-29</v>
      </c>
      <c r="W144" s="20" t="n">
        <v>-5</v>
      </c>
      <c r="X144" s="20" t="n">
        <v>194</v>
      </c>
    </row>
    <row r="145">
      <c r="A145" s="18" t="inlineStr">
        <is>
          <t>지분법 적용회사 지분 해당액</t>
        </is>
      </c>
      <c r="C145" s="20" t="n">
        <v>29</v>
      </c>
      <c r="D145" s="20" t="n">
        <v>-67</v>
      </c>
      <c r="E145" s="20" t="n">
        <v>86</v>
      </c>
      <c r="F145" s="20" t="n">
        <v>76</v>
      </c>
      <c r="G145" s="20" t="n">
        <v>-169</v>
      </c>
      <c r="H145" s="20" t="n">
        <v>143</v>
      </c>
      <c r="I145" s="20" t="n">
        <v>-123</v>
      </c>
      <c r="J145" s="20" t="n">
        <v>-62</v>
      </c>
      <c r="K145" s="20" t="n">
        <v>38</v>
      </c>
      <c r="L145" s="20" t="n">
        <v>86</v>
      </c>
      <c r="M145" s="20" t="n">
        <v>45</v>
      </c>
      <c r="N145" s="20" t="n">
        <v>21</v>
      </c>
      <c r="T145" s="20" t="n">
        <v>68</v>
      </c>
      <c r="U145" s="20" t="n">
        <v>10</v>
      </c>
      <c r="V145" s="20" t="n">
        <v>86</v>
      </c>
      <c r="W145" s="20" t="n">
        <v>-123</v>
      </c>
      <c r="X145" s="20" t="n">
        <v>45</v>
      </c>
    </row>
    <row r="146">
      <c r="A146" s="18" t="inlineStr">
        <is>
          <t>기타포괄손익 합계</t>
        </is>
      </c>
      <c r="C146" s="20" t="n">
        <v>94</v>
      </c>
      <c r="D146" s="20" t="n">
        <v>-564</v>
      </c>
      <c r="E146" s="20" t="n">
        <v>821</v>
      </c>
      <c r="F146" s="20" t="n">
        <v>467</v>
      </c>
      <c r="G146" s="20" t="n">
        <v>-753</v>
      </c>
      <c r="H146" s="20" t="n">
        <v>745</v>
      </c>
      <c r="I146" s="20" t="n">
        <v>-361</v>
      </c>
      <c r="J146" s="20" t="n">
        <v>300</v>
      </c>
      <c r="K146" s="20" t="n">
        <v>734</v>
      </c>
      <c r="L146" s="20" t="n">
        <v>599</v>
      </c>
      <c r="M146" s="20" t="n">
        <v>596</v>
      </c>
      <c r="N146" s="20" t="n">
        <v>37</v>
      </c>
      <c r="T146" s="20" t="n">
        <v>255</v>
      </c>
      <c r="U146" s="20" t="n">
        <v>431</v>
      </c>
      <c r="V146" s="20" t="n">
        <v>821</v>
      </c>
      <c r="W146" s="20" t="n">
        <v>-361</v>
      </c>
      <c r="X146" s="20" t="n">
        <v>596</v>
      </c>
    </row>
    <row r="147">
      <c r="A147" s="9" t="inlineStr">
        <is>
          <t>포괄이익</t>
        </is>
      </c>
      <c r="C147" s="12" t="n">
        <v>1193</v>
      </c>
      <c r="D147" s="12" t="n">
        <v>699</v>
      </c>
      <c r="E147" s="12" t="n">
        <v>2644</v>
      </c>
      <c r="F147" s="12" t="n">
        <v>1805</v>
      </c>
      <c r="G147" s="12" t="n">
        <v>1081</v>
      </c>
      <c r="H147" s="12" t="n">
        <v>1378</v>
      </c>
      <c r="I147" s="12" t="n">
        <v>1323</v>
      </c>
      <c r="J147" s="12" t="n">
        <v>1946</v>
      </c>
      <c r="K147" s="12" t="n">
        <v>2011</v>
      </c>
      <c r="L147" s="12" t="n">
        <v>2307</v>
      </c>
      <c r="M147" s="12" t="n">
        <v>2378</v>
      </c>
      <c r="N147" s="12" t="n">
        <v>1816</v>
      </c>
      <c r="T147" s="12" t="n">
        <v>599</v>
      </c>
      <c r="U147" s="12" t="n">
        <v>819</v>
      </c>
      <c r="V147" s="12" t="n">
        <v>2644</v>
      </c>
      <c r="W147" s="12" t="n">
        <v>1323</v>
      </c>
      <c r="X147" s="12" t="n">
        <v>2378</v>
      </c>
    </row>
    <row r="148">
      <c r="A148" s="9" t="inlineStr">
        <is>
          <t>지배주주 포괄이익</t>
        </is>
      </c>
      <c r="C148" s="12" t="n">
        <v>1162</v>
      </c>
      <c r="D148" s="12" t="n">
        <v>705</v>
      </c>
      <c r="E148" s="12" t="n">
        <v>2647</v>
      </c>
      <c r="F148" s="12" t="n">
        <v>1772</v>
      </c>
      <c r="G148" s="12" t="n">
        <v>1033</v>
      </c>
      <c r="H148" s="12" t="n">
        <v>1365</v>
      </c>
      <c r="I148" s="12" t="n">
        <v>1315</v>
      </c>
      <c r="J148" s="12" t="n">
        <v>1938</v>
      </c>
      <c r="K148" s="12" t="n">
        <v>1969</v>
      </c>
      <c r="L148" s="12" t="n">
        <v>2312</v>
      </c>
      <c r="M148" s="12" t="n">
        <v>2387</v>
      </c>
      <c r="N148" s="12" t="n">
        <v>1798</v>
      </c>
      <c r="T148" s="12" t="n">
        <v>605</v>
      </c>
      <c r="U148" s="12" t="n">
        <v>826</v>
      </c>
      <c r="V148" s="12" t="n">
        <v>2647</v>
      </c>
      <c r="W148" s="12" t="n">
        <v>1315</v>
      </c>
      <c r="X148" s="12" t="n">
        <v>2387</v>
      </c>
    </row>
    <row r="149">
      <c r="A149" s="9" t="inlineStr">
        <is>
          <t>비지배주주 포괄이익</t>
        </is>
      </c>
      <c r="C149" s="12" t="n">
        <v>30</v>
      </c>
      <c r="D149" s="12" t="n">
        <v>-6</v>
      </c>
      <c r="E149" s="12" t="n">
        <v>-3</v>
      </c>
      <c r="F149" s="12" t="n">
        <v>32</v>
      </c>
      <c r="G149" s="12" t="n">
        <v>48</v>
      </c>
      <c r="H149" s="12" t="n">
        <v>13</v>
      </c>
      <c r="I149" s="12" t="n">
        <v>8</v>
      </c>
      <c r="J149" s="12" t="n">
        <v>7</v>
      </c>
      <c r="K149" s="12" t="n">
        <v>42</v>
      </c>
      <c r="L149" s="12" t="n">
        <v>-5</v>
      </c>
      <c r="M149" s="12" t="n">
        <v>-9</v>
      </c>
      <c r="N149" s="12" t="n">
        <v>18</v>
      </c>
      <c r="T149" s="12" t="n">
        <v>-7</v>
      </c>
      <c r="U149" s="12" t="n">
        <v>-7</v>
      </c>
      <c r="V149" s="12" t="n">
        <v>-3</v>
      </c>
      <c r="W149" s="12" t="n">
        <v>8</v>
      </c>
      <c r="X149" s="12" t="n">
        <v>-9</v>
      </c>
    </row>
    <row r="151">
      <c r="A151" s="16" t="inlineStr">
        <is>
          <t>부문 · 전 항목</t>
        </is>
      </c>
      <c r="B151" s="42" t="inlineStr">
        <is>
          <t>부문 · 항목</t>
        </is>
      </c>
      <c r="C151" s="16" t="n"/>
      <c r="D151" s="16" t="n"/>
      <c r="E151" s="16" t="n"/>
      <c r="F151" s="16" t="n"/>
      <c r="G151" s="16" t="n"/>
      <c r="H151" s="16" t="n"/>
      <c r="I151" s="16" t="n"/>
      <c r="J151" s="16" t="n"/>
      <c r="K151" s="16" t="n"/>
      <c r="L151" s="16" t="n"/>
      <c r="M151" s="16" t="n"/>
      <c r="N151" s="16" t="n"/>
      <c r="O151" s="16" t="n"/>
      <c r="P151" s="16" t="n"/>
      <c r="Q151" s="16" t="n"/>
      <c r="R151" s="16" t="n"/>
      <c r="S151" s="16" t="n"/>
      <c r="T151" s="16" t="n"/>
      <c r="U151" s="16" t="n"/>
      <c r="V151" s="16" t="n"/>
      <c r="W151" s="16" t="n"/>
      <c r="X151" s="16" t="n"/>
      <c r="Y151" s="16" t="n"/>
      <c r="Z151" s="16" t="n"/>
      <c r="AA151" s="16" t="n"/>
      <c r="AB151" s="16" t="n"/>
      <c r="AC151" s="16" t="n"/>
    </row>
    <row r="152">
      <c r="A152" s="5" t="inlineStr">
        <is>
          <t>항목</t>
        </is>
      </c>
      <c r="B152" s="5" t="inlineStr">
        <is>
          <t>참고</t>
        </is>
      </c>
      <c r="C152" s="5" t="inlineStr">
        <is>
          <t>2024.2Q</t>
        </is>
      </c>
      <c r="D152" s="5" t="inlineStr">
        <is>
          <t>2024.3Q</t>
        </is>
      </c>
      <c r="E152" s="5" t="inlineStr">
        <is>
          <t>2024.4Q</t>
        </is>
      </c>
      <c r="F152" s="5" t="inlineStr">
        <is>
          <t>2025.1Q</t>
        </is>
      </c>
      <c r="G152" s="5" t="inlineStr">
        <is>
          <t>2025.2Q</t>
        </is>
      </c>
      <c r="H152" s="5" t="inlineStr">
        <is>
          <t>2025.3Q</t>
        </is>
      </c>
      <c r="I152" s="5" t="inlineStr">
        <is>
          <t>2025.4Q</t>
        </is>
      </c>
      <c r="J152" s="5" t="inlineStr">
        <is>
          <t>2026.1Q</t>
        </is>
      </c>
      <c r="K152" s="5" t="inlineStr">
        <is>
          <t>2026.2Q</t>
        </is>
      </c>
      <c r="L152" s="5" t="inlineStr">
        <is>
          <t>2026.3Q</t>
        </is>
      </c>
      <c r="M152" s="5" t="inlineStr">
        <is>
          <t>2026.4Q</t>
        </is>
      </c>
      <c r="N152" s="5" t="inlineStr">
        <is>
          <t>2027.1Q</t>
        </is>
      </c>
      <c r="O152" s="5" t="inlineStr">
        <is>
          <t>2017</t>
        </is>
      </c>
      <c r="P152" s="5" t="inlineStr">
        <is>
          <t>2018</t>
        </is>
      </c>
      <c r="Q152" s="5" t="inlineStr">
        <is>
          <t>2019</t>
        </is>
      </c>
      <c r="R152" s="5" t="inlineStr">
        <is>
          <t>2020</t>
        </is>
      </c>
      <c r="S152" s="5" t="inlineStr">
        <is>
          <t>2021</t>
        </is>
      </c>
      <c r="T152" s="5" t="inlineStr">
        <is>
          <t>2022</t>
        </is>
      </c>
      <c r="U152" s="5" t="inlineStr">
        <is>
          <t>2023</t>
        </is>
      </c>
      <c r="V152" s="5" t="inlineStr">
        <is>
          <t>2024</t>
        </is>
      </c>
      <c r="W152" s="5" t="inlineStr">
        <is>
          <t>2025</t>
        </is>
      </c>
      <c r="X152" s="5" t="inlineStr">
        <is>
          <t>2026</t>
        </is>
      </c>
      <c r="Y152" s="5" t="inlineStr">
        <is>
          <t>2027(MW)</t>
        </is>
      </c>
      <c r="Z152" s="5" t="inlineStr">
        <is>
          <t>2028(MW)</t>
        </is>
      </c>
      <c r="AA152" s="5" t="inlineStr">
        <is>
          <t>2029(MW)</t>
        </is>
      </c>
      <c r="AB152" s="5" t="inlineStr">
        <is>
          <t>2030(MW)</t>
        </is>
      </c>
      <c r="AC152" s="5" t="inlineStr">
        <is>
          <t>2031(MW)</t>
        </is>
      </c>
    </row>
    <row r="153">
      <c r="A153" s="18" t="inlineStr">
        <is>
          <t>부문 · Revenues From External Customers</t>
        </is>
      </c>
      <c r="C153" s="20" t="n">
        <v>59424</v>
      </c>
      <c r="D153" s="20" t="n">
        <v>63224</v>
      </c>
      <c r="E153" s="20" t="n">
        <v>61133</v>
      </c>
      <c r="F153" s="20" t="n">
        <v>58592</v>
      </c>
      <c r="G153" s="20" t="n">
        <v>57683</v>
      </c>
      <c r="H153" s="20" t="n">
        <v>59674</v>
      </c>
      <c r="I153" s="20" t="n">
        <v>56310</v>
      </c>
      <c r="J153" s="20" t="n">
        <v>56415</v>
      </c>
      <c r="K153" s="20" t="n">
        <v>53072</v>
      </c>
      <c r="L153" s="20" t="n">
        <v>58272</v>
      </c>
      <c r="M153" s="20" t="n">
        <v>55985</v>
      </c>
      <c r="N153" s="20" t="n">
        <v>59012</v>
      </c>
      <c r="V153" s="20" t="n">
        <v>61133</v>
      </c>
      <c r="W153" s="20" t="n">
        <v>56310</v>
      </c>
      <c r="X153" s="20" t="n">
        <v>55985</v>
      </c>
    </row>
    <row r="154">
      <c r="A154" s="43" t="inlineStr">
        <is>
          <t>YoY</t>
        </is>
      </c>
      <c r="B154" s="3" t="inlineStr">
        <is>
          <t>전년 같은 분기·전년 대비</t>
        </is>
      </c>
      <c r="G154" s="15">
        <f>IF(OR(G153="",C153=""),"",IF(C153&lt;=0,"",IFERROR(G153/C153-1,"")))</f>
        <v/>
      </c>
      <c r="H154" s="15">
        <f>IF(OR(H153="",D153=""),"",IF(D153&lt;=0,"",IFERROR(H153/D153-1,"")))</f>
        <v/>
      </c>
      <c r="I154" s="15">
        <f>IF(OR(I153="",E153=""),"",IF(E153&lt;=0,"",IFERROR(I153/E153-1,"")))</f>
        <v/>
      </c>
      <c r="J154" s="15">
        <f>IF(OR(J153="",F153=""),"",IF(F153&lt;=0,"",IFERROR(J153/F153-1,"")))</f>
        <v/>
      </c>
      <c r="K154" s="15">
        <f>IF(OR(K153="",G153=""),"",IF(G153&lt;=0,"",IFERROR(K153/G153-1,"")))</f>
        <v/>
      </c>
      <c r="L154" s="15">
        <f>IF(OR(L153="",H153=""),"",IF(H153&lt;=0,"",IFERROR(L153/H153-1,"")))</f>
        <v/>
      </c>
      <c r="M154" s="15">
        <f>IF(OR(M153="",I153=""),"",IF(I153&lt;=0,"",IFERROR(M153/I153-1,"")))</f>
        <v/>
      </c>
      <c r="N154" s="15">
        <f>IF(OR(N153="",J153=""),"",IF(J153&lt;=0,"",IFERROR(N153/J153-1,"")))</f>
        <v/>
      </c>
      <c r="V154" s="15">
        <f>IF(OR(V153="",U153=""),"",IF(U153&lt;=0,"",IFERROR(V153/U153-1,"")))</f>
        <v/>
      </c>
      <c r="W154" s="15">
        <f>IF(OR(W153="",V153=""),"",IF(V153&lt;=0,"",IFERROR(W153/V153-1,"")))</f>
        <v/>
      </c>
      <c r="X154" s="15">
        <f>IF(OR(X153="",W153=""),"",IF(W153&lt;=0,"",IFERROR(X153/W153-1,"")))</f>
        <v/>
      </c>
    </row>
    <row r="155">
      <c r="A155" s="18" t="inlineStr">
        <is>
          <t>부문 · Revenues From External Customers</t>
        </is>
      </c>
      <c r="C155" s="20" t="n">
        <v>6973</v>
      </c>
      <c r="D155" s="20" t="n">
        <v>8210</v>
      </c>
      <c r="E155" s="20" t="n">
        <v>5645</v>
      </c>
      <c r="F155" s="20" t="n">
        <v>6709</v>
      </c>
      <c r="G155" s="20" t="n">
        <v>6824</v>
      </c>
      <c r="H155" s="20" t="n">
        <v>7571</v>
      </c>
      <c r="I155" s="20" t="n">
        <v>4536</v>
      </c>
      <c r="J155" s="20" t="n">
        <v>5208</v>
      </c>
      <c r="K155" s="20" t="n">
        <v>6603</v>
      </c>
      <c r="L155" s="20" t="n">
        <v>7630</v>
      </c>
      <c r="M155" s="20" t="n">
        <v>5422</v>
      </c>
      <c r="N155" s="20" t="n">
        <v>7818</v>
      </c>
      <c r="V155" s="20" t="n">
        <v>5645</v>
      </c>
      <c r="W155" s="20" t="n">
        <v>4536</v>
      </c>
      <c r="X155" s="20" t="n">
        <v>5422</v>
      </c>
    </row>
    <row r="156">
      <c r="A156" s="43" t="inlineStr">
        <is>
          <t>YoY</t>
        </is>
      </c>
      <c r="B156" s="3" t="inlineStr">
        <is>
          <t>전년 같은 분기·전년 대비</t>
        </is>
      </c>
      <c r="G156" s="15">
        <f>IF(OR(G155="",C155=""),"",IF(C155&lt;=0,"",IFERROR(G155/C155-1,"")))</f>
        <v/>
      </c>
      <c r="H156" s="15">
        <f>IF(OR(H155="",D155=""),"",IF(D155&lt;=0,"",IFERROR(H155/D155-1,"")))</f>
        <v/>
      </c>
      <c r="I156" s="15">
        <f>IF(OR(I155="",E155=""),"",IF(E155&lt;=0,"",IFERROR(I155/E155-1,"")))</f>
        <v/>
      </c>
      <c r="J156" s="15">
        <f>IF(OR(J155="",F155=""),"",IF(F155&lt;=0,"",IFERROR(J155/F155-1,"")))</f>
        <v/>
      </c>
      <c r="K156" s="15">
        <f>IF(OR(K155="",G155=""),"",IF(G155&lt;=0,"",IFERROR(K155/G155-1,"")))</f>
        <v/>
      </c>
      <c r="L156" s="15">
        <f>IF(OR(L155="",H155=""),"",IF(H155&lt;=0,"",IFERROR(L155/H155-1,"")))</f>
        <v/>
      </c>
      <c r="M156" s="15">
        <f>IF(OR(M155="",I155=""),"",IF(I155&lt;=0,"",IFERROR(M155/I155-1,"")))</f>
        <v/>
      </c>
      <c r="N156" s="15">
        <f>IF(OR(N155="",J155=""),"",IF(J155&lt;=0,"",IFERROR(N155/J155-1,"")))</f>
        <v/>
      </c>
      <c r="V156" s="15">
        <f>IF(OR(V155="",U155=""),"",IF(U155&lt;=0,"",IFERROR(V155/U155-1,"")))</f>
        <v/>
      </c>
      <c r="W156" s="15">
        <f>IF(OR(W155="",V155=""),"",IF(V155&lt;=0,"",IFERROR(W155/V155-1,"")))</f>
        <v/>
      </c>
      <c r="X156" s="15">
        <f>IF(OR(X155="",W155=""),"",IF(W155&lt;=0,"",IFERROR(X155/W155-1,"")))</f>
        <v/>
      </c>
    </row>
    <row r="157">
      <c r="A157" s="18" t="inlineStr">
        <is>
          <t>부문 · Revenues From External Customers</t>
        </is>
      </c>
      <c r="C157" s="20" t="n">
        <v>10465</v>
      </c>
      <c r="D157" s="20" t="n">
        <v>10287</v>
      </c>
      <c r="E157" s="20" t="n">
        <v>8726</v>
      </c>
      <c r="F157" s="20" t="n">
        <v>8982</v>
      </c>
      <c r="G157" s="20" t="n">
        <v>9500</v>
      </c>
      <c r="H157" s="20" t="n">
        <v>9974</v>
      </c>
      <c r="I157" s="20" t="n">
        <v>9675</v>
      </c>
      <c r="J157" s="20" t="n">
        <v>10345</v>
      </c>
      <c r="K157" s="20" t="n">
        <v>10694</v>
      </c>
      <c r="L157" s="20" t="n">
        <v>10821</v>
      </c>
      <c r="M157" s="20" t="n">
        <v>10193</v>
      </c>
      <c r="N157" s="20" t="n">
        <v>11610</v>
      </c>
      <c r="V157" s="20" t="n">
        <v>8726</v>
      </c>
      <c r="W157" s="20" t="n">
        <v>9675</v>
      </c>
      <c r="X157" s="20" t="n">
        <v>10193</v>
      </c>
    </row>
    <row r="158">
      <c r="A158" s="43" t="inlineStr">
        <is>
          <t>YoY</t>
        </is>
      </c>
      <c r="B158" s="3" t="inlineStr">
        <is>
          <t>전년 같은 분기·전년 대비</t>
        </is>
      </c>
      <c r="G158" s="15">
        <f>IF(OR(G157="",C157=""),"",IF(C157&lt;=0,"",IFERROR(G157/C157-1,"")))</f>
        <v/>
      </c>
      <c r="H158" s="15">
        <f>IF(OR(H157="",D157=""),"",IF(D157&lt;=0,"",IFERROR(H157/D157-1,"")))</f>
        <v/>
      </c>
      <c r="I158" s="15">
        <f>IF(OR(I157="",E157=""),"",IF(E157&lt;=0,"",IFERROR(I157/E157-1,"")))</f>
        <v/>
      </c>
      <c r="J158" s="15">
        <f>IF(OR(J157="",F157=""),"",IF(F157&lt;=0,"",IFERROR(J157/F157-1,"")))</f>
        <v/>
      </c>
      <c r="K158" s="15">
        <f>IF(OR(K157="",G157=""),"",IF(G157&lt;=0,"",IFERROR(K157/G157-1,"")))</f>
        <v/>
      </c>
      <c r="L158" s="15">
        <f>IF(OR(L157="",H157=""),"",IF(H157&lt;=0,"",IFERROR(L157/H157-1,"")))</f>
        <v/>
      </c>
      <c r="M158" s="15">
        <f>IF(OR(M157="",I157=""),"",IF(I157&lt;=0,"",IFERROR(M157/I157-1,"")))</f>
        <v/>
      </c>
      <c r="N158" s="15">
        <f>IF(OR(N157="",J157=""),"",IF(J157&lt;=0,"",IFERROR(N157/J157-1,"")))</f>
        <v/>
      </c>
      <c r="V158" s="15">
        <f>IF(OR(V157="",U157=""),"",IF(U157&lt;=0,"",IFERROR(V157/U157-1,"")))</f>
        <v/>
      </c>
      <c r="W158" s="15">
        <f>IF(OR(W157="",V157=""),"",IF(V157&lt;=0,"",IFERROR(W157/V157-1,"")))</f>
        <v/>
      </c>
      <c r="X158" s="15">
        <f>IF(OR(X157="",W157=""),"",IF(W157&lt;=0,"",IFERROR(X157/W157-1,"")))</f>
        <v/>
      </c>
    </row>
    <row r="159">
      <c r="A159" s="18" t="inlineStr">
        <is>
          <t>보고부문 합계 · Revenues From External Customers</t>
        </is>
      </c>
      <c r="C159" s="20" t="n">
        <v>76862</v>
      </c>
      <c r="D159" s="20" t="n">
        <v>81720</v>
      </c>
      <c r="E159" s="20" t="n">
        <v>75503</v>
      </c>
      <c r="F159" s="20" t="n">
        <v>74284</v>
      </c>
      <c r="G159" s="20" t="n">
        <v>74007</v>
      </c>
      <c r="H159" s="20" t="n">
        <v>77218</v>
      </c>
      <c r="I159" s="20" t="n">
        <v>70521</v>
      </c>
      <c r="J159" s="20" t="n">
        <v>71969</v>
      </c>
      <c r="K159" s="20" t="n">
        <v>70369</v>
      </c>
      <c r="L159" s="20" t="n">
        <v>76723</v>
      </c>
      <c r="M159" s="20" t="n">
        <v>71600</v>
      </c>
      <c r="N159" s="20" t="n">
        <v>78441</v>
      </c>
      <c r="V159" s="20" t="n">
        <v>75503</v>
      </c>
      <c r="W159" s="20" t="n">
        <v>70521</v>
      </c>
      <c r="X159" s="20" t="n">
        <v>71600</v>
      </c>
    </row>
    <row r="160">
      <c r="A160" s="43" t="inlineStr">
        <is>
          <t>YoY</t>
        </is>
      </c>
      <c r="B160" s="3" t="inlineStr">
        <is>
          <t>전년 같은 분기·전년 대비</t>
        </is>
      </c>
      <c r="G160" s="15">
        <f>IF(OR(G159="",C159=""),"",IF(C159&lt;=0,"",IFERROR(G159/C159-1,"")))</f>
        <v/>
      </c>
      <c r="H160" s="15">
        <f>IF(OR(H159="",D159=""),"",IF(D159&lt;=0,"",IFERROR(H159/D159-1,"")))</f>
        <v/>
      </c>
      <c r="I160" s="15">
        <f>IF(OR(I159="",E159=""),"",IF(E159&lt;=0,"",IFERROR(I159/E159-1,"")))</f>
        <v/>
      </c>
      <c r="J160" s="15">
        <f>IF(OR(J159="",F159=""),"",IF(F159&lt;=0,"",IFERROR(J159/F159-1,"")))</f>
        <v/>
      </c>
      <c r="K160" s="15">
        <f>IF(OR(K159="",G159=""),"",IF(G159&lt;=0,"",IFERROR(K159/G159-1,"")))</f>
        <v/>
      </c>
      <c r="L160" s="15">
        <f>IF(OR(L159="",H159=""),"",IF(H159&lt;=0,"",IFERROR(L159/H159-1,"")))</f>
        <v/>
      </c>
      <c r="M160" s="15">
        <f>IF(OR(M159="",I159=""),"",IF(I159&lt;=0,"",IFERROR(M159/I159-1,"")))</f>
        <v/>
      </c>
      <c r="N160" s="15">
        <f>IF(OR(N159="",J159=""),"",IF(J159&lt;=0,"",IFERROR(N159/J159-1,"")))</f>
        <v/>
      </c>
      <c r="V160" s="15">
        <f>IF(OR(V159="",U159=""),"",IF(U159&lt;=0,"",IFERROR(V159/U159-1,"")))</f>
        <v/>
      </c>
      <c r="W160" s="15">
        <f>IF(OR(W159="",V159=""),"",IF(V159&lt;=0,"",IFERROR(W159/V159-1,"")))</f>
        <v/>
      </c>
      <c r="X160" s="15">
        <f>IF(OR(X159="",W159=""),"",IF(W159&lt;=0,"",IFERROR(X159/W159-1,"")))</f>
        <v/>
      </c>
    </row>
    <row r="161">
      <c r="A161" s="18" t="inlineStr">
        <is>
          <t>기타 · Revenues From External Customers</t>
        </is>
      </c>
      <c r="C161" s="20" t="n">
        <v>2</v>
      </c>
      <c r="D161" s="20" t="n">
        <v>3</v>
      </c>
      <c r="E161" s="20" t="n">
        <v>3</v>
      </c>
      <c r="F161" s="20" t="n">
        <v>3</v>
      </c>
      <c r="G161" s="20" t="n">
        <v>3</v>
      </c>
      <c r="H161" s="20" t="n">
        <v>5</v>
      </c>
      <c r="I161" s="20" t="n">
        <v>3</v>
      </c>
      <c r="J161" s="20" t="n">
        <v>3</v>
      </c>
      <c r="K161" s="20" t="n">
        <v>3</v>
      </c>
      <c r="L161" s="20" t="n">
        <v>4</v>
      </c>
      <c r="M161" s="20" t="n">
        <v>3</v>
      </c>
      <c r="N161" s="20" t="n">
        <v>1</v>
      </c>
      <c r="V161" s="20" t="n">
        <v>3</v>
      </c>
      <c r="W161" s="20" t="n">
        <v>3</v>
      </c>
      <c r="X161" s="20" t="n">
        <v>3</v>
      </c>
    </row>
    <row r="162">
      <c r="A162" s="43" t="inlineStr">
        <is>
          <t>YoY</t>
        </is>
      </c>
      <c r="B162" s="3" t="inlineStr">
        <is>
          <t>전년 같은 분기·전년 대비</t>
        </is>
      </c>
      <c r="G162" s="15">
        <f>IF(OR(G161="",C161=""),"",IF(C161&lt;=0,"",IFERROR(G161/C161-1,"")))</f>
        <v/>
      </c>
      <c r="H162" s="15">
        <f>IF(OR(H161="",D161=""),"",IF(D161&lt;=0,"",IFERROR(H161/D161-1,"")))</f>
        <v/>
      </c>
      <c r="I162" s="15">
        <f>IF(OR(I161="",E161=""),"",IF(E161&lt;=0,"",IFERROR(I161/E161-1,"")))</f>
        <v/>
      </c>
      <c r="J162" s="15">
        <f>IF(OR(J161="",F161=""),"",IF(F161&lt;=0,"",IFERROR(J161/F161-1,"")))</f>
        <v/>
      </c>
      <c r="K162" s="15">
        <f>IF(OR(K161="",G161=""),"",IF(G161&lt;=0,"",IFERROR(K161/G161-1,"")))</f>
        <v/>
      </c>
      <c r="L162" s="15">
        <f>IF(OR(L161="",H161=""),"",IF(H161&lt;=0,"",IFERROR(L161/H161-1,"")))</f>
        <v/>
      </c>
      <c r="M162" s="15">
        <f>IF(OR(M161="",I161=""),"",IF(I161&lt;=0,"",IFERROR(M161/I161-1,"")))</f>
        <v/>
      </c>
      <c r="N162" s="15">
        <f>IF(OR(N161="",J161=""),"",IF(J161&lt;=0,"",IFERROR(N161/J161-1,"")))</f>
        <v/>
      </c>
      <c r="V162" s="15">
        <f>IF(OR(V161="",U161=""),"",IF(U161&lt;=0,"",IFERROR(V161/U161-1,"")))</f>
        <v/>
      </c>
      <c r="W162" s="15">
        <f>IF(OR(W161="",V161=""),"",IF(V161&lt;=0,"",IFERROR(W161/V161-1,"")))</f>
        <v/>
      </c>
      <c r="X162" s="15">
        <f>IF(OR(X161="",W161=""),"",IF(W161&lt;=0,"",IFERROR(X161/W161-1,"")))</f>
        <v/>
      </c>
    </row>
    <row r="163">
      <c r="A163" s="18" t="inlineStr">
        <is>
          <t>합계 · Revenues From External Customers</t>
        </is>
      </c>
      <c r="C163" s="20" t="n">
        <v>76863</v>
      </c>
      <c r="D163" s="20" t="n">
        <v>81724</v>
      </c>
      <c r="E163" s="20" t="n">
        <v>75506</v>
      </c>
      <c r="F163" s="20" t="n">
        <v>74288</v>
      </c>
      <c r="G163" s="20" t="n">
        <v>74010</v>
      </c>
      <c r="H163" s="20" t="n">
        <v>77223</v>
      </c>
      <c r="I163" s="20" t="n">
        <v>70524</v>
      </c>
      <c r="J163" s="20" t="n">
        <v>71973</v>
      </c>
      <c r="K163" s="20" t="n">
        <v>70371</v>
      </c>
      <c r="L163" s="20" t="n">
        <v>76728</v>
      </c>
      <c r="M163" s="20" t="n">
        <v>71603</v>
      </c>
      <c r="N163" s="20" t="n">
        <v>78443</v>
      </c>
      <c r="V163" s="20" t="n">
        <v>75506</v>
      </c>
      <c r="W163" s="20" t="n">
        <v>70524</v>
      </c>
      <c r="X163" s="20" t="n">
        <v>71603</v>
      </c>
    </row>
    <row r="164">
      <c r="A164" s="43" t="inlineStr">
        <is>
          <t>YoY</t>
        </is>
      </c>
      <c r="B164" s="3" t="inlineStr">
        <is>
          <t>전년 같은 분기·전년 대비</t>
        </is>
      </c>
      <c r="G164" s="15">
        <f>IF(OR(G163="",C163=""),"",IF(C163&lt;=0,"",IFERROR(G163/C163-1,"")))</f>
        <v/>
      </c>
      <c r="H164" s="15">
        <f>IF(OR(H163="",D163=""),"",IF(D163&lt;=0,"",IFERROR(H163/D163-1,"")))</f>
        <v/>
      </c>
      <c r="I164" s="15">
        <f>IF(OR(I163="",E163=""),"",IF(E163&lt;=0,"",IFERROR(I163/E163-1,"")))</f>
        <v/>
      </c>
      <c r="J164" s="15">
        <f>IF(OR(J163="",F163=""),"",IF(F163&lt;=0,"",IFERROR(J163/F163-1,"")))</f>
        <v/>
      </c>
      <c r="K164" s="15">
        <f>IF(OR(K163="",G163=""),"",IF(G163&lt;=0,"",IFERROR(K163/G163-1,"")))</f>
        <v/>
      </c>
      <c r="L164" s="15">
        <f>IF(OR(L163="",H163=""),"",IF(H163&lt;=0,"",IFERROR(L163/H163-1,"")))</f>
        <v/>
      </c>
      <c r="M164" s="15">
        <f>IF(OR(M163="",I163=""),"",IF(I163&lt;=0,"",IFERROR(M163/I163-1,"")))</f>
        <v/>
      </c>
      <c r="N164" s="15">
        <f>IF(OR(N163="",J163=""),"",IF(J163&lt;=0,"",IFERROR(N163/J163-1,"")))</f>
        <v/>
      </c>
      <c r="V164" s="15">
        <f>IF(OR(V163="",U163=""),"",IF(U163&lt;=0,"",IFERROR(V163/U163-1,"")))</f>
        <v/>
      </c>
      <c r="W164" s="15">
        <f>IF(OR(W163="",V163=""),"",IF(V163&lt;=0,"",IFERROR(W163/V163-1,"")))</f>
        <v/>
      </c>
      <c r="X164" s="15">
        <f>IF(OR(X163="",W163=""),"",IF(W163&lt;=0,"",IFERROR(X163/W163-1,"")))</f>
        <v/>
      </c>
    </row>
    <row r="165">
      <c r="A165" s="18" t="inlineStr">
        <is>
          <t>조정액 · Revenues From External Customers</t>
        </is>
      </c>
      <c r="C165" s="20" t="n">
        <v>0</v>
      </c>
      <c r="D165" s="20" t="n">
        <v>0</v>
      </c>
      <c r="E165" s="20" t="n">
        <v>0</v>
      </c>
      <c r="F165" s="20" t="n">
        <v>0</v>
      </c>
      <c r="G165" s="20" t="n">
        <v>0</v>
      </c>
      <c r="H165" s="20" t="n">
        <v>0</v>
      </c>
      <c r="I165" s="20" t="n">
        <v>0</v>
      </c>
      <c r="J165" s="20" t="n">
        <v>0</v>
      </c>
      <c r="K165" s="20" t="n">
        <v>0</v>
      </c>
      <c r="L165" s="20" t="n">
        <v>0</v>
      </c>
      <c r="M165" s="20" t="n">
        <v>0</v>
      </c>
      <c r="N165" s="20" t="n">
        <v>0</v>
      </c>
      <c r="V165" s="20" t="n">
        <v>0</v>
      </c>
      <c r="W165" s="20" t="n">
        <v>0</v>
      </c>
      <c r="X165" s="20" t="n">
        <v>0</v>
      </c>
    </row>
    <row r="166">
      <c r="A166" s="9" t="inlineStr">
        <is>
          <t>Revenues From External Customers</t>
        </is>
      </c>
      <c r="C166" s="12" t="n">
        <v>76863</v>
      </c>
      <c r="D166" s="12" t="n">
        <v>81724</v>
      </c>
      <c r="E166" s="12" t="n">
        <v>75506</v>
      </c>
      <c r="F166" s="12" t="n">
        <v>74288</v>
      </c>
      <c r="G166" s="12" t="n">
        <v>74010</v>
      </c>
      <c r="H166" s="12" t="n">
        <v>77223</v>
      </c>
      <c r="I166" s="12" t="n">
        <v>70524</v>
      </c>
      <c r="J166" s="12" t="n">
        <v>71973</v>
      </c>
      <c r="K166" s="12" t="n">
        <v>70371</v>
      </c>
      <c r="L166" s="12" t="n">
        <v>76728</v>
      </c>
      <c r="M166" s="12" t="n">
        <v>71603</v>
      </c>
      <c r="N166" s="12" t="n">
        <v>78443</v>
      </c>
      <c r="V166" s="12" t="n">
        <v>75506</v>
      </c>
      <c r="W166" s="12" t="n">
        <v>70524</v>
      </c>
      <c r="X166" s="12" t="n">
        <v>71603</v>
      </c>
    </row>
    <row r="167">
      <c r="A167" s="43" t="inlineStr">
        <is>
          <t>YoY</t>
        </is>
      </c>
      <c r="B167" s="3" t="inlineStr">
        <is>
          <t>전년 같은 분기·전년 대비</t>
        </is>
      </c>
      <c r="G167" s="15">
        <f>IF(OR(G166="",C166=""),"",IF(C166&lt;=0,"",IFERROR(G166/C166-1,"")))</f>
        <v/>
      </c>
      <c r="H167" s="15">
        <f>IF(OR(H166="",D166=""),"",IF(D166&lt;=0,"",IFERROR(H166/D166-1,"")))</f>
        <v/>
      </c>
      <c r="I167" s="15">
        <f>IF(OR(I166="",E166=""),"",IF(E166&lt;=0,"",IFERROR(I166/E166-1,"")))</f>
        <v/>
      </c>
      <c r="J167" s="15">
        <f>IF(OR(J166="",F166=""),"",IF(F166&lt;=0,"",IFERROR(J166/F166-1,"")))</f>
        <v/>
      </c>
      <c r="K167" s="15">
        <f>IF(OR(K166="",G166=""),"",IF(G166&lt;=0,"",IFERROR(K166/G166-1,"")))</f>
        <v/>
      </c>
      <c r="L167" s="15">
        <f>IF(OR(L166="",H166=""),"",IF(H166&lt;=0,"",IFERROR(L166/H166-1,"")))</f>
        <v/>
      </c>
      <c r="M167" s="15">
        <f>IF(OR(M166="",I166=""),"",IF(I166&lt;=0,"",IFERROR(M166/I166-1,"")))</f>
        <v/>
      </c>
      <c r="N167" s="15">
        <f>IF(OR(N166="",J166=""),"",IF(J166&lt;=0,"",IFERROR(N166/J166-1,"")))</f>
        <v/>
      </c>
      <c r="V167" s="15">
        <f>IF(OR(V166="",U166=""),"",IF(U166&lt;=0,"",IFERROR(V166/U166-1,"")))</f>
        <v/>
      </c>
      <c r="W167" s="15">
        <f>IF(OR(W166="",V166=""),"",IF(V166&lt;=0,"",IFERROR(W166/V166-1,"")))</f>
        <v/>
      </c>
      <c r="X167" s="15">
        <f>IF(OR(X166="",W166=""),"",IF(W166&lt;=0,"",IFERROR(X166/W166-1,"")))</f>
        <v/>
      </c>
    </row>
    <row r="168">
      <c r="A168" s="18" t="inlineStr">
        <is>
          <t>부문 · 부문 간 내부매출·대체</t>
        </is>
      </c>
      <c r="C168" s="20" t="n">
        <v>1318</v>
      </c>
      <c r="D168" s="20" t="n">
        <v>1260</v>
      </c>
      <c r="E168" s="20" t="n">
        <v>999</v>
      </c>
      <c r="F168" s="20" t="n">
        <v>1007</v>
      </c>
      <c r="G168" s="20" t="n">
        <v>1096</v>
      </c>
      <c r="H168" s="20" t="n">
        <v>1281</v>
      </c>
      <c r="I168" s="20" t="n">
        <v>1263</v>
      </c>
      <c r="J168" s="20" t="n">
        <v>1392</v>
      </c>
      <c r="K168" s="20" t="n">
        <v>1136</v>
      </c>
      <c r="L168" s="20" t="n">
        <v>1201</v>
      </c>
      <c r="M168" s="20" t="n">
        <v>1027</v>
      </c>
      <c r="N168" s="20" t="n">
        <v>100</v>
      </c>
      <c r="V168" s="20" t="n">
        <v>999</v>
      </c>
      <c r="W168" s="20" t="n">
        <v>1263</v>
      </c>
      <c r="X168" s="20" t="n">
        <v>1027</v>
      </c>
    </row>
    <row r="169">
      <c r="A169" s="18" t="inlineStr">
        <is>
          <t>부문 · 부문 간 내부매출·대체</t>
        </is>
      </c>
      <c r="C169" s="20" t="n">
        <v>8</v>
      </c>
      <c r="D169" s="20" t="n">
        <v>193</v>
      </c>
      <c r="E169" s="20" t="n">
        <v>9</v>
      </c>
      <c r="F169" s="20" t="n">
        <v>11</v>
      </c>
      <c r="G169" s="20" t="n">
        <v>53</v>
      </c>
      <c r="H169" s="20" t="n">
        <v>182</v>
      </c>
      <c r="I169" s="20" t="n">
        <v>48</v>
      </c>
      <c r="J169" s="20" t="n">
        <v>35</v>
      </c>
      <c r="K169" s="20" t="n">
        <v>35</v>
      </c>
      <c r="L169" s="20" t="n">
        <v>178</v>
      </c>
      <c r="M169" s="20" t="n">
        <v>25</v>
      </c>
      <c r="N169" s="20" t="n">
        <v>27</v>
      </c>
      <c r="V169" s="20" t="n">
        <v>9</v>
      </c>
      <c r="W169" s="20" t="n">
        <v>48</v>
      </c>
      <c r="X169" s="20" t="n">
        <v>25</v>
      </c>
    </row>
    <row r="170">
      <c r="A170" s="18" t="inlineStr">
        <is>
          <t>부문 · 부문 간 내부매출·대체</t>
        </is>
      </c>
      <c r="C170" s="20" t="n">
        <v>7</v>
      </c>
      <c r="D170" s="20" t="n">
        <v>8</v>
      </c>
      <c r="E170" s="20" t="n">
        <v>7</v>
      </c>
      <c r="F170" s="20" t="n">
        <v>6</v>
      </c>
      <c r="G170" s="20" t="n">
        <v>8</v>
      </c>
      <c r="H170" s="20" t="n">
        <v>2</v>
      </c>
      <c r="I170" s="20" t="n">
        <v>3</v>
      </c>
      <c r="J170" s="20" t="n">
        <v>4</v>
      </c>
      <c r="K170" s="20" t="n">
        <v>4</v>
      </c>
      <c r="L170" s="20" t="n">
        <v>5</v>
      </c>
      <c r="M170" s="20" t="n">
        <v>5</v>
      </c>
      <c r="N170" s="20" t="n">
        <v>4</v>
      </c>
      <c r="V170" s="20" t="n">
        <v>7</v>
      </c>
      <c r="W170" s="20" t="n">
        <v>3</v>
      </c>
      <c r="X170" s="20" t="n">
        <v>5</v>
      </c>
    </row>
    <row r="171">
      <c r="A171" s="18" t="inlineStr">
        <is>
          <t>보고부문 합계 · 부문 간 내부매출·대체</t>
        </is>
      </c>
      <c r="C171" s="20" t="n">
        <v>1333</v>
      </c>
      <c r="D171" s="20" t="n">
        <v>1462</v>
      </c>
      <c r="E171" s="20" t="n">
        <v>1014</v>
      </c>
      <c r="F171" s="20" t="n">
        <v>1025</v>
      </c>
      <c r="G171" s="20" t="n">
        <v>1157</v>
      </c>
      <c r="H171" s="20" t="n">
        <v>1464</v>
      </c>
      <c r="I171" s="20" t="n">
        <v>1315</v>
      </c>
      <c r="J171" s="20" t="n">
        <v>1431</v>
      </c>
      <c r="K171" s="20" t="n">
        <v>1176</v>
      </c>
      <c r="L171" s="20" t="n">
        <v>1384</v>
      </c>
      <c r="M171" s="20" t="n">
        <v>1056</v>
      </c>
      <c r="N171" s="20" t="n">
        <v>132</v>
      </c>
      <c r="V171" s="20" t="n">
        <v>1014</v>
      </c>
      <c r="W171" s="20" t="n">
        <v>1315</v>
      </c>
      <c r="X171" s="20" t="n">
        <v>1056</v>
      </c>
    </row>
    <row r="172">
      <c r="A172" s="18" t="inlineStr">
        <is>
          <t>기타 · 부문 간 내부매출·대체</t>
        </is>
      </c>
      <c r="C172" s="20" t="n">
        <v>0</v>
      </c>
      <c r="D172" s="20" t="n">
        <v>1</v>
      </c>
      <c r="E172" s="20" t="n">
        <v>0</v>
      </c>
      <c r="F172" s="20" t="n">
        <v>0</v>
      </c>
      <c r="G172" s="20" t="n">
        <v>0</v>
      </c>
      <c r="H172" s="20" t="n">
        <v>1</v>
      </c>
      <c r="I172" s="20" t="n">
        <v>0</v>
      </c>
      <c r="J172" s="20" t="n">
        <v>0</v>
      </c>
      <c r="K172" s="20" t="n">
        <v>0</v>
      </c>
      <c r="L172" s="20" t="n">
        <v>1</v>
      </c>
      <c r="M172" s="20" t="n">
        <v>0</v>
      </c>
      <c r="N172" s="20" t="n">
        <v>0</v>
      </c>
      <c r="V172" s="20" t="n">
        <v>0</v>
      </c>
      <c r="W172" s="20" t="n">
        <v>0</v>
      </c>
      <c r="X172" s="20" t="n">
        <v>0</v>
      </c>
    </row>
    <row r="173">
      <c r="A173" s="18" t="inlineStr">
        <is>
          <t>합계 · 부문 간 내부매출·대체</t>
        </is>
      </c>
      <c r="C173" s="20" t="n">
        <v>1333</v>
      </c>
      <c r="D173" s="20" t="n">
        <v>1462</v>
      </c>
      <c r="E173" s="20" t="n">
        <v>1015</v>
      </c>
      <c r="F173" s="20" t="n">
        <v>1026</v>
      </c>
      <c r="G173" s="20" t="n">
        <v>1157</v>
      </c>
      <c r="H173" s="20" t="n">
        <v>1464</v>
      </c>
      <c r="I173" s="20" t="n">
        <v>1315</v>
      </c>
      <c r="J173" s="20" t="n">
        <v>1431</v>
      </c>
      <c r="K173" s="20" t="n">
        <v>1176</v>
      </c>
      <c r="L173" s="20" t="n">
        <v>1385</v>
      </c>
      <c r="M173" s="20" t="n">
        <v>1057</v>
      </c>
      <c r="N173" s="20" t="n">
        <v>132</v>
      </c>
      <c r="V173" s="20" t="n">
        <v>1015</v>
      </c>
      <c r="W173" s="20" t="n">
        <v>1315</v>
      </c>
      <c r="X173" s="20" t="n">
        <v>1057</v>
      </c>
    </row>
    <row r="174">
      <c r="A174" s="18" t="inlineStr">
        <is>
          <t>조정액 · 부문 간 내부매출·대체</t>
        </is>
      </c>
      <c r="C174" s="20" t="n">
        <v>-1333</v>
      </c>
      <c r="D174" s="20" t="n">
        <v>-1462</v>
      </c>
      <c r="E174" s="20" t="n">
        <v>-1015</v>
      </c>
      <c r="F174" s="20" t="n">
        <v>-1026</v>
      </c>
      <c r="G174" s="20" t="n">
        <v>-1157</v>
      </c>
      <c r="H174" s="20" t="n">
        <v>-1464</v>
      </c>
      <c r="I174" s="20" t="n">
        <v>-1315</v>
      </c>
      <c r="J174" s="20" t="n">
        <v>-1431</v>
      </c>
      <c r="K174" s="20" t="n">
        <v>-1176</v>
      </c>
      <c r="L174" s="20" t="n">
        <v>-1385</v>
      </c>
      <c r="M174" s="20" t="n">
        <v>-1057</v>
      </c>
      <c r="N174" s="20" t="n">
        <v>-132</v>
      </c>
      <c r="V174" s="20" t="n">
        <v>-1015</v>
      </c>
      <c r="W174" s="20" t="n">
        <v>-1315</v>
      </c>
      <c r="X174" s="20" t="n">
        <v>-1057</v>
      </c>
    </row>
    <row r="175">
      <c r="A175" s="18" t="inlineStr">
        <is>
          <t>부문 간 내부매출·대체</t>
        </is>
      </c>
      <c r="C175" s="20" t="n">
        <v>0</v>
      </c>
      <c r="D175" s="20" t="n">
        <v>0</v>
      </c>
      <c r="E175" s="20" t="n">
        <v>0</v>
      </c>
      <c r="F175" s="20" t="n">
        <v>0</v>
      </c>
      <c r="G175" s="20" t="n">
        <v>0</v>
      </c>
      <c r="H175" s="20" t="n">
        <v>0</v>
      </c>
      <c r="I175" s="20" t="n">
        <v>0</v>
      </c>
      <c r="J175" s="20" t="n">
        <v>0</v>
      </c>
      <c r="K175" s="20" t="n">
        <v>0</v>
      </c>
      <c r="L175" s="20" t="n">
        <v>0</v>
      </c>
      <c r="M175" s="20" t="n">
        <v>0</v>
      </c>
      <c r="N175" s="20" t="n">
        <v>0</v>
      </c>
      <c r="V175" s="20" t="n">
        <v>0</v>
      </c>
      <c r="W175" s="20" t="n">
        <v>0</v>
      </c>
      <c r="X175" s="20" t="n">
        <v>0</v>
      </c>
    </row>
    <row r="176">
      <c r="A176" s="18" t="inlineStr">
        <is>
          <t>부문 · 계</t>
        </is>
      </c>
      <c r="C176" s="20" t="n">
        <v>60741</v>
      </c>
      <c r="D176" s="20" t="n">
        <v>64485</v>
      </c>
      <c r="E176" s="20" t="n">
        <v>62132</v>
      </c>
      <c r="F176" s="20" t="n">
        <v>59600</v>
      </c>
      <c r="G176" s="20" t="n">
        <v>58779</v>
      </c>
      <c r="H176" s="20" t="n">
        <v>60954</v>
      </c>
      <c r="I176" s="20" t="n">
        <v>57573</v>
      </c>
      <c r="J176" s="20" t="n">
        <v>57808</v>
      </c>
      <c r="K176" s="20" t="n">
        <v>54208</v>
      </c>
      <c r="L176" s="20" t="n">
        <v>59473</v>
      </c>
      <c r="M176" s="20" t="n">
        <v>57011</v>
      </c>
      <c r="N176" s="20" t="n">
        <v>59112</v>
      </c>
      <c r="V176" s="20" t="n">
        <v>62132</v>
      </c>
      <c r="W176" s="20" t="n">
        <v>57573</v>
      </c>
      <c r="X176" s="20" t="n">
        <v>57011</v>
      </c>
    </row>
    <row r="177">
      <c r="A177" s="43" t="inlineStr">
        <is>
          <t>YoY</t>
        </is>
      </c>
      <c r="B177" s="3" t="inlineStr">
        <is>
          <t>전년 같은 분기·전년 대비</t>
        </is>
      </c>
      <c r="G177" s="15">
        <f>IF(OR(G176="",C176=""),"",IF(C176&lt;=0,"",IFERROR(G176/C176-1,"")))</f>
        <v/>
      </c>
      <c r="H177" s="15">
        <f>IF(OR(H176="",D176=""),"",IF(D176&lt;=0,"",IFERROR(H176/D176-1,"")))</f>
        <v/>
      </c>
      <c r="I177" s="15">
        <f>IF(OR(I176="",E176=""),"",IF(E176&lt;=0,"",IFERROR(I176/E176-1,"")))</f>
        <v/>
      </c>
      <c r="J177" s="15">
        <f>IF(OR(J176="",F176=""),"",IF(F176&lt;=0,"",IFERROR(J176/F176-1,"")))</f>
        <v/>
      </c>
      <c r="K177" s="15">
        <f>IF(OR(K176="",G176=""),"",IF(G176&lt;=0,"",IFERROR(K176/G176-1,"")))</f>
        <v/>
      </c>
      <c r="L177" s="15">
        <f>IF(OR(L176="",H176=""),"",IF(H176&lt;=0,"",IFERROR(L176/H176-1,"")))</f>
        <v/>
      </c>
      <c r="M177" s="15">
        <f>IF(OR(M176="",I176=""),"",IF(I176&lt;=0,"",IFERROR(M176/I176-1,"")))</f>
        <v/>
      </c>
      <c r="N177" s="15">
        <f>IF(OR(N176="",J176=""),"",IF(J176&lt;=0,"",IFERROR(N176/J176-1,"")))</f>
        <v/>
      </c>
      <c r="V177" s="15">
        <f>IF(OR(V176="",U176=""),"",IF(U176&lt;=0,"",IFERROR(V176/U176-1,"")))</f>
        <v/>
      </c>
      <c r="W177" s="15">
        <f>IF(OR(W176="",V176=""),"",IF(V176&lt;=0,"",IFERROR(W176/V176-1,"")))</f>
        <v/>
      </c>
      <c r="X177" s="15">
        <f>IF(OR(X176="",W176=""),"",IF(W176&lt;=0,"",IFERROR(X176/W176-1,"")))</f>
        <v/>
      </c>
    </row>
    <row r="178">
      <c r="A178" s="18" t="inlineStr">
        <is>
          <t>부문 · 계</t>
        </is>
      </c>
      <c r="C178" s="20" t="n">
        <v>6980</v>
      </c>
      <c r="D178" s="20" t="n">
        <v>8404</v>
      </c>
      <c r="E178" s="20" t="n">
        <v>5653</v>
      </c>
      <c r="F178" s="20" t="n">
        <v>6720</v>
      </c>
      <c r="G178" s="20" t="n">
        <v>6877</v>
      </c>
      <c r="H178" s="20" t="n">
        <v>7753</v>
      </c>
      <c r="I178" s="20" t="n">
        <v>4584</v>
      </c>
      <c r="J178" s="20" t="n">
        <v>5244</v>
      </c>
      <c r="K178" s="20" t="n">
        <v>6637</v>
      </c>
      <c r="L178" s="20" t="n">
        <v>7808</v>
      </c>
      <c r="M178" s="20" t="n">
        <v>5447</v>
      </c>
      <c r="N178" s="20" t="n">
        <v>7846</v>
      </c>
      <c r="V178" s="20" t="n">
        <v>5653</v>
      </c>
      <c r="W178" s="20" t="n">
        <v>4584</v>
      </c>
      <c r="X178" s="20" t="n">
        <v>5447</v>
      </c>
    </row>
    <row r="179">
      <c r="A179" s="43" t="inlineStr">
        <is>
          <t>YoY</t>
        </is>
      </c>
      <c r="B179" s="3" t="inlineStr">
        <is>
          <t>전년 같은 분기·전년 대비</t>
        </is>
      </c>
      <c r="G179" s="15">
        <f>IF(OR(G178="",C178=""),"",IF(C178&lt;=0,"",IFERROR(G178/C178-1,"")))</f>
        <v/>
      </c>
      <c r="H179" s="15">
        <f>IF(OR(H178="",D178=""),"",IF(D178&lt;=0,"",IFERROR(H178/D178-1,"")))</f>
        <v/>
      </c>
      <c r="I179" s="15">
        <f>IF(OR(I178="",E178=""),"",IF(E178&lt;=0,"",IFERROR(I178/E178-1,"")))</f>
        <v/>
      </c>
      <c r="J179" s="15">
        <f>IF(OR(J178="",F178=""),"",IF(F178&lt;=0,"",IFERROR(J178/F178-1,"")))</f>
        <v/>
      </c>
      <c r="K179" s="15">
        <f>IF(OR(K178="",G178=""),"",IF(G178&lt;=0,"",IFERROR(K178/G178-1,"")))</f>
        <v/>
      </c>
      <c r="L179" s="15">
        <f>IF(OR(L178="",H178=""),"",IF(H178&lt;=0,"",IFERROR(L178/H178-1,"")))</f>
        <v/>
      </c>
      <c r="M179" s="15">
        <f>IF(OR(M178="",I178=""),"",IF(I178&lt;=0,"",IFERROR(M178/I178-1,"")))</f>
        <v/>
      </c>
      <c r="N179" s="15">
        <f>IF(OR(N178="",J178=""),"",IF(J178&lt;=0,"",IFERROR(N178/J178-1,"")))</f>
        <v/>
      </c>
      <c r="V179" s="15">
        <f>IF(OR(V178="",U178=""),"",IF(U178&lt;=0,"",IFERROR(V178/U178-1,"")))</f>
        <v/>
      </c>
      <c r="W179" s="15">
        <f>IF(OR(W178="",V178=""),"",IF(V178&lt;=0,"",IFERROR(W178/V178-1,"")))</f>
        <v/>
      </c>
      <c r="X179" s="15">
        <f>IF(OR(X178="",W178=""),"",IF(W178&lt;=0,"",IFERROR(X178/W178-1,"")))</f>
        <v/>
      </c>
    </row>
    <row r="180">
      <c r="A180" s="18" t="inlineStr">
        <is>
          <t>부문 · 계</t>
        </is>
      </c>
      <c r="C180" s="20" t="n">
        <v>10472</v>
      </c>
      <c r="D180" s="20" t="n">
        <v>10295</v>
      </c>
      <c r="E180" s="20" t="n">
        <v>8732</v>
      </c>
      <c r="F180" s="20" t="n">
        <v>8989</v>
      </c>
      <c r="G180" s="20" t="n">
        <v>9507</v>
      </c>
      <c r="H180" s="20" t="n">
        <v>9976</v>
      </c>
      <c r="I180" s="20" t="n">
        <v>9679</v>
      </c>
      <c r="J180" s="20" t="n">
        <v>10349</v>
      </c>
      <c r="K180" s="20" t="n">
        <v>10698</v>
      </c>
      <c r="L180" s="20" t="n">
        <v>10827</v>
      </c>
      <c r="M180" s="20" t="n">
        <v>10198</v>
      </c>
      <c r="N180" s="20" t="n">
        <v>11614</v>
      </c>
      <c r="V180" s="20" t="n">
        <v>8732</v>
      </c>
      <c r="W180" s="20" t="n">
        <v>9679</v>
      </c>
      <c r="X180" s="20" t="n">
        <v>10198</v>
      </c>
    </row>
    <row r="181">
      <c r="A181" s="43" t="inlineStr">
        <is>
          <t>YoY</t>
        </is>
      </c>
      <c r="B181" s="3" t="inlineStr">
        <is>
          <t>전년 같은 분기·전년 대비</t>
        </is>
      </c>
      <c r="G181" s="15">
        <f>IF(OR(G180="",C180=""),"",IF(C180&lt;=0,"",IFERROR(G180/C180-1,"")))</f>
        <v/>
      </c>
      <c r="H181" s="15">
        <f>IF(OR(H180="",D180=""),"",IF(D180&lt;=0,"",IFERROR(H180/D180-1,"")))</f>
        <v/>
      </c>
      <c r="I181" s="15">
        <f>IF(OR(I180="",E180=""),"",IF(E180&lt;=0,"",IFERROR(I180/E180-1,"")))</f>
        <v/>
      </c>
      <c r="J181" s="15">
        <f>IF(OR(J180="",F180=""),"",IF(F180&lt;=0,"",IFERROR(J180/F180-1,"")))</f>
        <v/>
      </c>
      <c r="K181" s="15">
        <f>IF(OR(K180="",G180=""),"",IF(G180&lt;=0,"",IFERROR(K180/G180-1,"")))</f>
        <v/>
      </c>
      <c r="L181" s="15">
        <f>IF(OR(L180="",H180=""),"",IF(H180&lt;=0,"",IFERROR(L180/H180-1,"")))</f>
        <v/>
      </c>
      <c r="M181" s="15">
        <f>IF(OR(M180="",I180=""),"",IF(I180&lt;=0,"",IFERROR(M180/I180-1,"")))</f>
        <v/>
      </c>
      <c r="N181" s="15">
        <f>IF(OR(N180="",J180=""),"",IF(J180&lt;=0,"",IFERROR(N180/J180-1,"")))</f>
        <v/>
      </c>
      <c r="V181" s="15">
        <f>IF(OR(V180="",U180=""),"",IF(U180&lt;=0,"",IFERROR(V180/U180-1,"")))</f>
        <v/>
      </c>
      <c r="W181" s="15">
        <f>IF(OR(W180="",V180=""),"",IF(V180&lt;=0,"",IFERROR(W180/V180-1,"")))</f>
        <v/>
      </c>
      <c r="X181" s="15">
        <f>IF(OR(X180="",W180=""),"",IF(W180&lt;=0,"",IFERROR(X180/W180-1,"")))</f>
        <v/>
      </c>
    </row>
    <row r="182">
      <c r="A182" s="18" t="inlineStr">
        <is>
          <t>보고부문 합계 · 계</t>
        </is>
      </c>
      <c r="C182" s="20" t="n">
        <v>78194</v>
      </c>
      <c r="D182" s="20" t="n">
        <v>83183</v>
      </c>
      <c r="E182" s="20" t="n">
        <v>76517</v>
      </c>
      <c r="F182" s="20" t="n">
        <v>75310</v>
      </c>
      <c r="G182" s="20" t="n">
        <v>75163</v>
      </c>
      <c r="H182" s="20" t="n">
        <v>78683</v>
      </c>
      <c r="I182" s="20" t="n">
        <v>71836</v>
      </c>
      <c r="J182" s="20" t="n">
        <v>73401</v>
      </c>
      <c r="K182" s="20" t="n">
        <v>71544</v>
      </c>
      <c r="L182" s="20" t="n">
        <v>78108</v>
      </c>
      <c r="M182" s="20" t="n">
        <v>72656</v>
      </c>
      <c r="N182" s="20" t="n">
        <v>78573</v>
      </c>
      <c r="V182" s="20" t="n">
        <v>76517</v>
      </c>
      <c r="W182" s="20" t="n">
        <v>71836</v>
      </c>
      <c r="X182" s="20" t="n">
        <v>72656</v>
      </c>
    </row>
    <row r="183">
      <c r="A183" s="43" t="inlineStr">
        <is>
          <t>YoY</t>
        </is>
      </c>
      <c r="B183" s="3" t="inlineStr">
        <is>
          <t>전년 같은 분기·전년 대비</t>
        </is>
      </c>
      <c r="G183" s="15">
        <f>IF(OR(G182="",C182=""),"",IF(C182&lt;=0,"",IFERROR(G182/C182-1,"")))</f>
        <v/>
      </c>
      <c r="H183" s="15">
        <f>IF(OR(H182="",D182=""),"",IF(D182&lt;=0,"",IFERROR(H182/D182-1,"")))</f>
        <v/>
      </c>
      <c r="I183" s="15">
        <f>IF(OR(I182="",E182=""),"",IF(E182&lt;=0,"",IFERROR(I182/E182-1,"")))</f>
        <v/>
      </c>
      <c r="J183" s="15">
        <f>IF(OR(J182="",F182=""),"",IF(F182&lt;=0,"",IFERROR(J182/F182-1,"")))</f>
        <v/>
      </c>
      <c r="K183" s="15">
        <f>IF(OR(K182="",G182=""),"",IF(G182&lt;=0,"",IFERROR(K182/G182-1,"")))</f>
        <v/>
      </c>
      <c r="L183" s="15">
        <f>IF(OR(L182="",H182=""),"",IF(H182&lt;=0,"",IFERROR(L182/H182-1,"")))</f>
        <v/>
      </c>
      <c r="M183" s="15">
        <f>IF(OR(M182="",I182=""),"",IF(I182&lt;=0,"",IFERROR(M182/I182-1,"")))</f>
        <v/>
      </c>
      <c r="N183" s="15">
        <f>IF(OR(N182="",J182=""),"",IF(J182&lt;=0,"",IFERROR(N182/J182-1,"")))</f>
        <v/>
      </c>
      <c r="V183" s="15">
        <f>IF(OR(V182="",U182=""),"",IF(U182&lt;=0,"",IFERROR(V182/U182-1,"")))</f>
        <v/>
      </c>
      <c r="W183" s="15">
        <f>IF(OR(W182="",V182=""),"",IF(V182&lt;=0,"",IFERROR(W182/V182-1,"")))</f>
        <v/>
      </c>
      <c r="X183" s="15">
        <f>IF(OR(X182="",W182=""),"",IF(W182&lt;=0,"",IFERROR(X182/W182-1,"")))</f>
        <v/>
      </c>
    </row>
    <row r="184">
      <c r="A184" s="18" t="inlineStr">
        <is>
          <t>기타 · 계</t>
        </is>
      </c>
      <c r="C184" s="20" t="n">
        <v>3</v>
      </c>
      <c r="D184" s="20" t="n">
        <v>4</v>
      </c>
      <c r="E184" s="20" t="n">
        <v>2</v>
      </c>
      <c r="F184" s="20" t="n">
        <v>3</v>
      </c>
      <c r="G184" s="20" t="n">
        <v>4</v>
      </c>
      <c r="H184" s="20" t="n">
        <v>5</v>
      </c>
      <c r="I184" s="20" t="n">
        <v>4</v>
      </c>
      <c r="J184" s="20" t="n">
        <v>3</v>
      </c>
      <c r="K184" s="20" t="n">
        <v>4</v>
      </c>
      <c r="L184" s="20" t="n">
        <v>4</v>
      </c>
      <c r="M184" s="20" t="n">
        <v>3</v>
      </c>
      <c r="N184" s="20" t="n">
        <v>2</v>
      </c>
      <c r="V184" s="20" t="n">
        <v>2</v>
      </c>
      <c r="W184" s="20" t="n">
        <v>4</v>
      </c>
      <c r="X184" s="20" t="n">
        <v>3</v>
      </c>
    </row>
    <row r="185">
      <c r="A185" s="43" t="inlineStr">
        <is>
          <t>YoY</t>
        </is>
      </c>
      <c r="B185" s="3" t="inlineStr">
        <is>
          <t>전년 같은 분기·전년 대비</t>
        </is>
      </c>
      <c r="G185" s="15">
        <f>IF(OR(G184="",C184=""),"",IF(C184&lt;=0,"",IFERROR(G184/C184-1,"")))</f>
        <v/>
      </c>
      <c r="H185" s="15">
        <f>IF(OR(H184="",D184=""),"",IF(D184&lt;=0,"",IFERROR(H184/D184-1,"")))</f>
        <v/>
      </c>
      <c r="I185" s="15">
        <f>IF(OR(I184="",E184=""),"",IF(E184&lt;=0,"",IFERROR(I184/E184-1,"")))</f>
        <v/>
      </c>
      <c r="J185" s="15">
        <f>IF(OR(J184="",F184=""),"",IF(F184&lt;=0,"",IFERROR(J184/F184-1,"")))</f>
        <v/>
      </c>
      <c r="K185" s="15">
        <f>IF(OR(K184="",G184=""),"",IF(G184&lt;=0,"",IFERROR(K184/G184-1,"")))</f>
        <v/>
      </c>
      <c r="L185" s="15">
        <f>IF(OR(L184="",H184=""),"",IF(H184&lt;=0,"",IFERROR(L184/H184-1,"")))</f>
        <v/>
      </c>
      <c r="M185" s="15">
        <f>IF(OR(M184="",I184=""),"",IF(I184&lt;=0,"",IFERROR(M184/I184-1,"")))</f>
        <v/>
      </c>
      <c r="N185" s="15">
        <f>IF(OR(N184="",J184=""),"",IF(J184&lt;=0,"",IFERROR(N184/J184-1,"")))</f>
        <v/>
      </c>
      <c r="V185" s="15">
        <f>IF(OR(V184="",U184=""),"",IF(U184&lt;=0,"",IFERROR(V184/U184-1,"")))</f>
        <v/>
      </c>
      <c r="W185" s="15">
        <f>IF(OR(W184="",V184=""),"",IF(V184&lt;=0,"",IFERROR(W184/V184-1,"")))</f>
        <v/>
      </c>
      <c r="X185" s="15">
        <f>IF(OR(X184="",W184=""),"",IF(W184&lt;=0,"",IFERROR(X184/W184-1,"")))</f>
        <v/>
      </c>
    </row>
    <row r="186">
      <c r="A186" s="18" t="inlineStr">
        <is>
          <t>합계 · 계</t>
        </is>
      </c>
      <c r="C186" s="20" t="n">
        <v>78197</v>
      </c>
      <c r="D186" s="20" t="n">
        <v>83186</v>
      </c>
      <c r="E186" s="20" t="n">
        <v>76520</v>
      </c>
      <c r="F186" s="20" t="n">
        <v>75314</v>
      </c>
      <c r="G186" s="20" t="n">
        <v>75167</v>
      </c>
      <c r="H186" s="20" t="n">
        <v>78687</v>
      </c>
      <c r="I186" s="20" t="n">
        <v>71840</v>
      </c>
      <c r="J186" s="20" t="n">
        <v>73405</v>
      </c>
      <c r="K186" s="20" t="n">
        <v>71547</v>
      </c>
      <c r="L186" s="20" t="n">
        <v>78112</v>
      </c>
      <c r="M186" s="20" t="n">
        <v>72660</v>
      </c>
      <c r="N186" s="20" t="n">
        <v>78575</v>
      </c>
      <c r="V186" s="20" t="n">
        <v>76520</v>
      </c>
      <c r="W186" s="20" t="n">
        <v>71840</v>
      </c>
      <c r="X186" s="20" t="n">
        <v>72660</v>
      </c>
    </row>
    <row r="187">
      <c r="A187" s="43" t="inlineStr">
        <is>
          <t>YoY</t>
        </is>
      </c>
      <c r="B187" s="3" t="inlineStr">
        <is>
          <t>전년 같은 분기·전년 대비</t>
        </is>
      </c>
      <c r="G187" s="15">
        <f>IF(OR(G186="",C186=""),"",IF(C186&lt;=0,"",IFERROR(G186/C186-1,"")))</f>
        <v/>
      </c>
      <c r="H187" s="15">
        <f>IF(OR(H186="",D186=""),"",IF(D186&lt;=0,"",IFERROR(H186/D186-1,"")))</f>
        <v/>
      </c>
      <c r="I187" s="15">
        <f>IF(OR(I186="",E186=""),"",IF(E186&lt;=0,"",IFERROR(I186/E186-1,"")))</f>
        <v/>
      </c>
      <c r="J187" s="15">
        <f>IF(OR(J186="",F186=""),"",IF(F186&lt;=0,"",IFERROR(J186/F186-1,"")))</f>
        <v/>
      </c>
      <c r="K187" s="15">
        <f>IF(OR(K186="",G186=""),"",IF(G186&lt;=0,"",IFERROR(K186/G186-1,"")))</f>
        <v/>
      </c>
      <c r="L187" s="15">
        <f>IF(OR(L186="",H186=""),"",IF(H186&lt;=0,"",IFERROR(L186/H186-1,"")))</f>
        <v/>
      </c>
      <c r="M187" s="15">
        <f>IF(OR(M186="",I186=""),"",IF(I186&lt;=0,"",IFERROR(M186/I186-1,"")))</f>
        <v/>
      </c>
      <c r="N187" s="15">
        <f>IF(OR(N186="",J186=""),"",IF(J186&lt;=0,"",IFERROR(N186/J186-1,"")))</f>
        <v/>
      </c>
      <c r="V187" s="15">
        <f>IF(OR(V186="",U186=""),"",IF(U186&lt;=0,"",IFERROR(V186/U186-1,"")))</f>
        <v/>
      </c>
      <c r="W187" s="15">
        <f>IF(OR(W186="",V186=""),"",IF(V186&lt;=0,"",IFERROR(W186/V186-1,"")))</f>
        <v/>
      </c>
      <c r="X187" s="15">
        <f>IF(OR(X186="",W186=""),"",IF(W186&lt;=0,"",IFERROR(X186/W186-1,"")))</f>
        <v/>
      </c>
    </row>
    <row r="188">
      <c r="A188" s="18" t="inlineStr">
        <is>
          <t>조정액 · 계</t>
        </is>
      </c>
      <c r="C188" s="20" t="n">
        <v>-1333</v>
      </c>
      <c r="D188" s="20" t="n">
        <v>-1462</v>
      </c>
      <c r="E188" s="20" t="n">
        <v>-1015</v>
      </c>
      <c r="F188" s="20" t="n">
        <v>-1026</v>
      </c>
      <c r="G188" s="20" t="n">
        <v>-1157</v>
      </c>
      <c r="H188" s="20" t="n">
        <v>-1464</v>
      </c>
      <c r="I188" s="20" t="n">
        <v>-1315</v>
      </c>
      <c r="J188" s="20" t="n">
        <v>-1431</v>
      </c>
      <c r="K188" s="20" t="n">
        <v>-1176</v>
      </c>
      <c r="L188" s="20" t="n">
        <v>-1385</v>
      </c>
      <c r="M188" s="20" t="n">
        <v>-1057</v>
      </c>
      <c r="N188" s="20" t="n">
        <v>-132</v>
      </c>
      <c r="V188" s="20" t="n">
        <v>-1015</v>
      </c>
      <c r="W188" s="20" t="n">
        <v>-1315</v>
      </c>
      <c r="X188" s="20" t="n">
        <v>-1057</v>
      </c>
    </row>
    <row r="189">
      <c r="A189" s="9" t="inlineStr">
        <is>
          <t>계</t>
        </is>
      </c>
      <c r="C189" s="12" t="n">
        <v>76863</v>
      </c>
      <c r="D189" s="12" t="n">
        <v>81724</v>
      </c>
      <c r="E189" s="12" t="n">
        <v>75506</v>
      </c>
      <c r="F189" s="12" t="n">
        <v>74288</v>
      </c>
      <c r="G189" s="12" t="n">
        <v>74010</v>
      </c>
      <c r="H189" s="12" t="n">
        <v>77223</v>
      </c>
      <c r="I189" s="12" t="n">
        <v>70524</v>
      </c>
      <c r="J189" s="12" t="n">
        <v>71973</v>
      </c>
      <c r="K189" s="12" t="n">
        <v>70371</v>
      </c>
      <c r="L189" s="12" t="n">
        <v>76728</v>
      </c>
      <c r="M189" s="12" t="n">
        <v>71603</v>
      </c>
      <c r="N189" s="12" t="n">
        <v>78443</v>
      </c>
      <c r="V189" s="12" t="n">
        <v>75506</v>
      </c>
      <c r="W189" s="12" t="n">
        <v>70524</v>
      </c>
      <c r="X189" s="12" t="n">
        <v>71603</v>
      </c>
    </row>
    <row r="190">
      <c r="A190" s="43" t="inlineStr">
        <is>
          <t>YoY</t>
        </is>
      </c>
      <c r="B190" s="3" t="inlineStr">
        <is>
          <t>전년 같은 분기·전년 대비</t>
        </is>
      </c>
      <c r="G190" s="15">
        <f>IF(OR(G189="",C189=""),"",IF(C189&lt;=0,"",IFERROR(G189/C189-1,"")))</f>
        <v/>
      </c>
      <c r="H190" s="15">
        <f>IF(OR(H189="",D189=""),"",IF(D189&lt;=0,"",IFERROR(H189/D189-1,"")))</f>
        <v/>
      </c>
      <c r="I190" s="15">
        <f>IF(OR(I189="",E189=""),"",IF(E189&lt;=0,"",IFERROR(I189/E189-1,"")))</f>
        <v/>
      </c>
      <c r="J190" s="15">
        <f>IF(OR(J189="",F189=""),"",IF(F189&lt;=0,"",IFERROR(J189/F189-1,"")))</f>
        <v/>
      </c>
      <c r="K190" s="15">
        <f>IF(OR(K189="",G189=""),"",IF(G189&lt;=0,"",IFERROR(K189/G189-1,"")))</f>
        <v/>
      </c>
      <c r="L190" s="15">
        <f>IF(OR(L189="",H189=""),"",IF(H189&lt;=0,"",IFERROR(L189/H189-1,"")))</f>
        <v/>
      </c>
      <c r="M190" s="15">
        <f>IF(OR(M189="",I189=""),"",IF(I189&lt;=0,"",IFERROR(M189/I189-1,"")))</f>
        <v/>
      </c>
      <c r="N190" s="15">
        <f>IF(OR(N189="",J189=""),"",IF(J189&lt;=0,"",IFERROR(N189/J189-1,"")))</f>
        <v/>
      </c>
      <c r="V190" s="15">
        <f>IF(OR(V189="",U189=""),"",IF(U189&lt;=0,"",IFERROR(V189/U189-1,"")))</f>
        <v/>
      </c>
      <c r="W190" s="15">
        <f>IF(OR(W189="",V189=""),"",IF(V189&lt;=0,"",IFERROR(W189/V189-1,"")))</f>
        <v/>
      </c>
      <c r="X190" s="15">
        <f>IF(OR(X189="",W189=""),"",IF(W189&lt;=0,"",IFERROR(X189/W189-1,"")))</f>
        <v/>
      </c>
    </row>
    <row r="191">
      <c r="A191" s="18" t="inlineStr">
        <is>
          <t>부문 · 부문 이익(손실)</t>
        </is>
      </c>
      <c r="C191" s="20" t="n">
        <v>1804</v>
      </c>
      <c r="D191" s="20" t="n">
        <v>2181</v>
      </c>
      <c r="E191" s="20" t="n">
        <v>3251</v>
      </c>
      <c r="F191" s="20" t="n">
        <v>2096</v>
      </c>
      <c r="G191" s="20" t="n">
        <v>2845</v>
      </c>
      <c r="H191" s="20" t="n">
        <v>1036</v>
      </c>
      <c r="I191" s="20" t="n">
        <v>2556</v>
      </c>
      <c r="J191" s="20" t="n">
        <v>2318</v>
      </c>
      <c r="K191" s="20" t="n">
        <v>2218</v>
      </c>
      <c r="L191" s="20" t="n">
        <v>2527</v>
      </c>
      <c r="M191" s="20" t="n">
        <v>3180</v>
      </c>
      <c r="N191" s="20" t="n">
        <v>2702</v>
      </c>
      <c r="V191" s="20" t="n">
        <v>3251</v>
      </c>
      <c r="W191" s="20" t="n">
        <v>2556</v>
      </c>
      <c r="X191" s="20" t="n">
        <v>3180</v>
      </c>
    </row>
    <row r="192">
      <c r="A192" s="18" t="inlineStr">
        <is>
          <t>부문 · 부문 이익(손실)</t>
        </is>
      </c>
      <c r="C192" s="20" t="n">
        <v>435</v>
      </c>
      <c r="D192" s="20" t="n">
        <v>143</v>
      </c>
      <c r="E192" s="20" t="n">
        <v>109</v>
      </c>
      <c r="F192" s="20" t="n">
        <v>205</v>
      </c>
      <c r="G192" s="20" t="n">
        <v>239</v>
      </c>
      <c r="H192" s="20" t="n">
        <v>532</v>
      </c>
      <c r="I192" s="20" t="n">
        <v>188</v>
      </c>
      <c r="J192" s="20" t="n">
        <v>302</v>
      </c>
      <c r="K192" s="20" t="n">
        <v>367</v>
      </c>
      <c r="L192" s="20" t="n">
        <v>638</v>
      </c>
      <c r="M192" s="20" t="n">
        <v>119</v>
      </c>
      <c r="N192" s="20" t="n">
        <v>210</v>
      </c>
      <c r="V192" s="20" t="n">
        <v>109</v>
      </c>
      <c r="W192" s="20" t="n">
        <v>188</v>
      </c>
      <c r="X192" s="20" t="n">
        <v>119</v>
      </c>
    </row>
    <row r="193">
      <c r="A193" s="18" t="inlineStr">
        <is>
          <t>부문 · 부문 이익(손실)</t>
        </is>
      </c>
      <c r="C193" s="20" t="n">
        <v>93</v>
      </c>
      <c r="D193" s="20" t="n">
        <v>303</v>
      </c>
      <c r="E193" s="20" t="n">
        <v>311</v>
      </c>
      <c r="F193" s="20" t="n">
        <v>73</v>
      </c>
      <c r="G193" s="20" t="n">
        <v>-54</v>
      </c>
      <c r="H193" s="20" t="n">
        <v>97</v>
      </c>
      <c r="I193" s="20" t="n">
        <v>168</v>
      </c>
      <c r="J193" s="20" t="n">
        <v>-14</v>
      </c>
      <c r="K193" s="20" t="n">
        <v>69</v>
      </c>
      <c r="L193" s="20" t="n">
        <v>59</v>
      </c>
      <c r="M193" s="20" t="n">
        <v>49</v>
      </c>
      <c r="N193" s="20" t="n">
        <v>110</v>
      </c>
      <c r="V193" s="20" t="n">
        <v>311</v>
      </c>
      <c r="W193" s="20" t="n">
        <v>168</v>
      </c>
      <c r="X193" s="20" t="n">
        <v>49</v>
      </c>
    </row>
    <row r="194">
      <c r="A194" s="18" t="inlineStr">
        <is>
          <t>보고부문 합계 · 부문 이익(손실)</t>
        </is>
      </c>
      <c r="C194" s="20" t="n">
        <v>2332</v>
      </c>
      <c r="D194" s="20" t="n">
        <v>2628</v>
      </c>
      <c r="E194" s="20" t="n">
        <v>3671</v>
      </c>
      <c r="F194" s="20" t="n">
        <v>2375</v>
      </c>
      <c r="G194" s="20" t="n">
        <v>3031</v>
      </c>
      <c r="H194" s="20" t="n">
        <v>1663</v>
      </c>
      <c r="I194" s="20" t="n">
        <v>2913</v>
      </c>
      <c r="J194" s="20" t="n">
        <v>2606</v>
      </c>
      <c r="K194" s="20" t="n">
        <v>2654</v>
      </c>
      <c r="L194" s="20" t="n">
        <v>3224</v>
      </c>
      <c r="M194" s="20" t="n">
        <v>3350</v>
      </c>
      <c r="N194" s="20" t="n">
        <v>3023</v>
      </c>
      <c r="V194" s="20" t="n">
        <v>3671</v>
      </c>
      <c r="W194" s="20" t="n">
        <v>2913</v>
      </c>
      <c r="X194" s="20" t="n">
        <v>3350</v>
      </c>
    </row>
    <row r="195">
      <c r="A195" s="18" t="inlineStr">
        <is>
          <t>기타 · 부문 이익(손실)</t>
        </is>
      </c>
      <c r="C195" s="20" t="n">
        <v>10</v>
      </c>
      <c r="D195" s="20" t="n">
        <v>23</v>
      </c>
      <c r="E195" s="20" t="n">
        <v>-186</v>
      </c>
      <c r="F195" s="20" t="n">
        <v>80</v>
      </c>
      <c r="G195" s="20" t="n">
        <v>5</v>
      </c>
      <c r="H195" s="20" t="n">
        <v>-11</v>
      </c>
      <c r="I195" s="20" t="n">
        <v>29</v>
      </c>
      <c r="J195" s="20" t="n">
        <v>17</v>
      </c>
      <c r="K195" s="20" t="n">
        <v>-2</v>
      </c>
      <c r="L195" s="20" t="n">
        <v>7</v>
      </c>
      <c r="M195" s="20" t="n">
        <v>18</v>
      </c>
      <c r="N195" s="20" t="n">
        <v>33</v>
      </c>
      <c r="V195" s="20" t="n">
        <v>-186</v>
      </c>
      <c r="W195" s="20" t="n">
        <v>29</v>
      </c>
      <c r="X195" s="20" t="n">
        <v>18</v>
      </c>
    </row>
    <row r="196">
      <c r="A196" s="18" t="inlineStr">
        <is>
          <t>합계 · 부문 이익(손실)</t>
        </is>
      </c>
      <c r="C196" s="20" t="n">
        <v>2343</v>
      </c>
      <c r="D196" s="20" t="n">
        <v>2651</v>
      </c>
      <c r="E196" s="20" t="n">
        <v>3483</v>
      </c>
      <c r="F196" s="20" t="n">
        <v>2456</v>
      </c>
      <c r="G196" s="20" t="n">
        <v>3035</v>
      </c>
      <c r="H196" s="20" t="n">
        <v>1653</v>
      </c>
      <c r="I196" s="20" t="n">
        <v>2942</v>
      </c>
      <c r="J196" s="20" t="n">
        <v>2623</v>
      </c>
      <c r="K196" s="20" t="n">
        <v>2653</v>
      </c>
      <c r="L196" s="20" t="n">
        <v>3231</v>
      </c>
      <c r="M196" s="20" t="n">
        <v>3367</v>
      </c>
      <c r="N196" s="20" t="n">
        <v>3056</v>
      </c>
      <c r="V196" s="20" t="n">
        <v>3483</v>
      </c>
      <c r="W196" s="20" t="n">
        <v>2942</v>
      </c>
      <c r="X196" s="20" t="n">
        <v>3367</v>
      </c>
    </row>
    <row r="197">
      <c r="A197" s="18" t="inlineStr">
        <is>
          <t>조정액 · 부문 이익(손실)</t>
        </is>
      </c>
      <c r="C197" s="20" t="n">
        <v>-627</v>
      </c>
      <c r="D197" s="20" t="n">
        <v>-674</v>
      </c>
      <c r="E197" s="20" t="n">
        <v>-894</v>
      </c>
      <c r="F197" s="20" t="n">
        <v>-833</v>
      </c>
      <c r="G197" s="20" t="n">
        <v>-853</v>
      </c>
      <c r="H197" s="20" t="n">
        <v>-729</v>
      </c>
      <c r="I197" s="20" t="n">
        <v>-881</v>
      </c>
      <c r="J197" s="20" t="n">
        <v>-760</v>
      </c>
      <c r="K197" s="20" t="n">
        <v>-802</v>
      </c>
      <c r="L197" s="20" t="n">
        <v>-795</v>
      </c>
      <c r="M197" s="20" t="n">
        <v>-904</v>
      </c>
      <c r="N197" s="20" t="n">
        <v>-696</v>
      </c>
      <c r="V197" s="20" t="n">
        <v>-894</v>
      </c>
      <c r="W197" s="20" t="n">
        <v>-881</v>
      </c>
      <c r="X197" s="20" t="n">
        <v>-904</v>
      </c>
    </row>
    <row r="198">
      <c r="A198" s="9" t="inlineStr">
        <is>
          <t>부문 이익(손실)</t>
        </is>
      </c>
      <c r="C198" s="12" t="n">
        <v>1715</v>
      </c>
      <c r="D198" s="12" t="n">
        <v>1977</v>
      </c>
      <c r="E198" s="12" t="n">
        <v>2589</v>
      </c>
      <c r="F198" s="12" t="n">
        <v>1623</v>
      </c>
      <c r="G198" s="12" t="n">
        <v>2182</v>
      </c>
      <c r="H198" s="12" t="n">
        <v>923</v>
      </c>
      <c r="I198" s="12" t="n">
        <v>2061</v>
      </c>
      <c r="J198" s="12" t="n">
        <v>1862</v>
      </c>
      <c r="K198" s="12" t="n">
        <v>1852</v>
      </c>
      <c r="L198" s="12" t="n">
        <v>2435</v>
      </c>
      <c r="M198" s="12" t="n">
        <v>2463</v>
      </c>
      <c r="N198" s="12" t="n">
        <v>2360</v>
      </c>
      <c r="V198" s="12" t="n">
        <v>2589</v>
      </c>
      <c r="W198" s="12" t="n">
        <v>2061</v>
      </c>
      <c r="X198" s="12" t="n">
        <v>2463</v>
      </c>
    </row>
    <row r="199">
      <c r="A199" s="43" t="inlineStr">
        <is>
          <t>YoY</t>
        </is>
      </c>
      <c r="B199" s="3" t="inlineStr">
        <is>
          <t>전년 같은 분기·전년 대비</t>
        </is>
      </c>
      <c r="G199" s="15">
        <f>IF(OR(G198="",C198=""),"",IF(C198&lt;=0,"",IFERROR(G198/C198-1,"")))</f>
        <v/>
      </c>
      <c r="H199" s="15">
        <f>IF(OR(H198="",D198=""),"",IF(D198&lt;=0,"",IFERROR(H198/D198-1,"")))</f>
        <v/>
      </c>
      <c r="I199" s="15">
        <f>IF(OR(I198="",E198=""),"",IF(E198&lt;=0,"",IFERROR(I198/E198-1,"")))</f>
        <v/>
      </c>
      <c r="J199" s="15">
        <f>IF(OR(J198="",F198=""),"",IF(F198&lt;=0,"",IFERROR(J198/F198-1,"")))</f>
        <v/>
      </c>
      <c r="K199" s="15">
        <f>IF(OR(K198="",G198=""),"",IF(G198&lt;=0,"",IFERROR(K198/G198-1,"")))</f>
        <v/>
      </c>
      <c r="L199" s="15">
        <f>IF(OR(L198="",H198=""),"",IF(H198&lt;=0,"",IFERROR(L198/H198-1,"")))</f>
        <v/>
      </c>
      <c r="M199" s="15">
        <f>IF(OR(M198="",I198=""),"",IF(I198&lt;=0,"",IFERROR(M198/I198-1,"")))</f>
        <v/>
      </c>
      <c r="N199" s="15">
        <f>IF(OR(N198="",J198=""),"",IF(J198&lt;=0,"",IFERROR(N198/J198-1,"")))</f>
        <v/>
      </c>
      <c r="V199" s="15">
        <f>IF(OR(V198="",U198=""),"",IF(U198&lt;=0,"",IFERROR(V198/U198-1,"")))</f>
        <v/>
      </c>
      <c r="W199" s="15">
        <f>IF(OR(W198="",V198=""),"",IF(V198&lt;=0,"",IFERROR(W198/V198-1,"")))</f>
        <v/>
      </c>
      <c r="X199" s="15">
        <f>IF(OR(X198="",W198=""),"",IF(W198&lt;=0,"",IFERROR(X198/W198-1,"")))</f>
        <v/>
      </c>
    </row>
    <row r="201">
      <c r="A201" s="16" t="inlineStr">
        <is>
          <t>현금흐름표 · 전 항목</t>
        </is>
      </c>
      <c r="B201" s="42" t="inlineStr">
        <is>
          <t>분기 = 결산기 첫날부터 누계(공시 그대로)</t>
        </is>
      </c>
      <c r="C201" s="16" t="n"/>
      <c r="D201" s="16" t="n"/>
      <c r="E201" s="16" t="n"/>
      <c r="F201" s="16" t="n"/>
      <c r="G201" s="16" t="n"/>
      <c r="H201" s="16" t="n"/>
      <c r="I201" s="16" t="n"/>
      <c r="J201" s="16" t="n"/>
      <c r="K201" s="16" t="n"/>
      <c r="L201" s="16" t="n"/>
      <c r="M201" s="16" t="n"/>
      <c r="N201" s="16" t="n"/>
      <c r="O201" s="16" t="n"/>
      <c r="P201" s="16" t="n"/>
      <c r="Q201" s="16" t="n"/>
      <c r="R201" s="16" t="n"/>
      <c r="S201" s="16" t="n"/>
      <c r="T201" s="16" t="n"/>
      <c r="U201" s="16" t="n"/>
      <c r="V201" s="16" t="n"/>
      <c r="W201" s="16" t="n"/>
      <c r="X201" s="16" t="n"/>
      <c r="Y201" s="16" t="n"/>
      <c r="Z201" s="16" t="n"/>
      <c r="AA201" s="16" t="n"/>
      <c r="AB201" s="16" t="n"/>
      <c r="AC201" s="16" t="n"/>
    </row>
    <row r="202">
      <c r="A202" s="5" t="inlineStr">
        <is>
          <t>항목</t>
        </is>
      </c>
      <c r="B202" s="5" t="inlineStr">
        <is>
          <t>참고</t>
        </is>
      </c>
      <c r="C202" s="5" t="inlineStr">
        <is>
          <t>2024.2Q</t>
        </is>
      </c>
      <c r="D202" s="5" t="inlineStr">
        <is>
          <t>2024.3Q</t>
        </is>
      </c>
      <c r="E202" s="5" t="inlineStr">
        <is>
          <t>2024.4Q</t>
        </is>
      </c>
      <c r="F202" s="5" t="inlineStr">
        <is>
          <t>2025.1Q</t>
        </is>
      </c>
      <c r="G202" s="5" t="inlineStr">
        <is>
          <t>2025.2Q</t>
        </is>
      </c>
      <c r="H202" s="5" t="inlineStr">
        <is>
          <t>2025.3Q</t>
        </is>
      </c>
      <c r="I202" s="5" t="inlineStr">
        <is>
          <t>2025.4Q</t>
        </is>
      </c>
      <c r="J202" s="5" t="inlineStr">
        <is>
          <t>2026.1Q</t>
        </is>
      </c>
      <c r="K202" s="5" t="inlineStr">
        <is>
          <t>2026.2Q</t>
        </is>
      </c>
      <c r="L202" s="5" t="inlineStr">
        <is>
          <t>2026.3Q</t>
        </is>
      </c>
      <c r="M202" s="5" t="inlineStr">
        <is>
          <t>2026.4Q</t>
        </is>
      </c>
      <c r="N202" s="5" t="inlineStr">
        <is>
          <t>2027.1Q</t>
        </is>
      </c>
      <c r="O202" s="5" t="inlineStr">
        <is>
          <t>2017</t>
        </is>
      </c>
      <c r="P202" s="5" t="inlineStr">
        <is>
          <t>2018</t>
        </is>
      </c>
      <c r="Q202" s="5" t="inlineStr">
        <is>
          <t>2019</t>
        </is>
      </c>
      <c r="R202" s="5" t="inlineStr">
        <is>
          <t>2020</t>
        </is>
      </c>
      <c r="S202" s="5" t="inlineStr">
        <is>
          <t>2021</t>
        </is>
      </c>
      <c r="T202" s="5" t="inlineStr">
        <is>
          <t>2022</t>
        </is>
      </c>
      <c r="U202" s="5" t="inlineStr">
        <is>
          <t>2023</t>
        </is>
      </c>
      <c r="V202" s="5" t="inlineStr">
        <is>
          <t>2024</t>
        </is>
      </c>
      <c r="W202" s="5" t="inlineStr">
        <is>
          <t>2025</t>
        </is>
      </c>
      <c r="X202" s="5" t="inlineStr">
        <is>
          <t>2026</t>
        </is>
      </c>
      <c r="Y202" s="5" t="inlineStr">
        <is>
          <t>2027(MW)</t>
        </is>
      </c>
      <c r="Z202" s="5" t="inlineStr">
        <is>
          <t>2028(MW)</t>
        </is>
      </c>
      <c r="AA202" s="5" t="inlineStr">
        <is>
          <t>2029(MW)</t>
        </is>
      </c>
      <c r="AB202" s="5" t="inlineStr">
        <is>
          <t>2030(MW)</t>
        </is>
      </c>
      <c r="AC202" s="5" t="inlineStr">
        <is>
          <t>2031(MW)</t>
        </is>
      </c>
    </row>
    <row r="203">
      <c r="A203" s="9" t="inlineStr">
        <is>
          <t>법인세차감전 순이익</t>
        </is>
      </c>
      <c r="C203" s="12" t="n">
        <v>2996</v>
      </c>
      <c r="E203" s="12" t="n">
        <v>7524</v>
      </c>
      <c r="G203" s="12" t="n">
        <v>3879</v>
      </c>
      <c r="I203" s="12" t="n">
        <v>6774</v>
      </c>
      <c r="K203" s="12" t="n">
        <v>3757</v>
      </c>
      <c r="M203" s="12" t="n">
        <v>8603</v>
      </c>
      <c r="O203" s="12" t="n">
        <v>5254</v>
      </c>
      <c r="P203" s="12" t="n">
        <v>4205</v>
      </c>
      <c r="Q203" s="12" t="n">
        <v>6193</v>
      </c>
      <c r="R203" s="12" t="n">
        <v>5706</v>
      </c>
      <c r="S203" s="12" t="n">
        <v>6472</v>
      </c>
      <c r="T203" s="12" t="n">
        <v>5090</v>
      </c>
      <c r="U203" s="12" t="n">
        <v>1639</v>
      </c>
      <c r="V203" s="12" t="n">
        <v>7524</v>
      </c>
      <c r="W203" s="12" t="n">
        <v>6774</v>
      </c>
      <c r="X203" s="12" t="n">
        <v>8603</v>
      </c>
    </row>
    <row r="204">
      <c r="A204" s="18" t="inlineStr">
        <is>
          <t>감가상각비</t>
        </is>
      </c>
      <c r="C204" s="20" t="n">
        <v>1598</v>
      </c>
      <c r="E204" s="20" t="n">
        <v>3291</v>
      </c>
      <c r="G204" s="20" t="n">
        <v>1810</v>
      </c>
      <c r="I204" s="20" t="n">
        <v>3621</v>
      </c>
      <c r="K204" s="20" t="n">
        <v>1931</v>
      </c>
      <c r="M204" s="20" t="n">
        <v>3932</v>
      </c>
      <c r="O204" s="20" t="n">
        <v>1855</v>
      </c>
      <c r="P204" s="20" t="n">
        <v>2370</v>
      </c>
      <c r="Q204" s="20" t="n">
        <v>2395</v>
      </c>
      <c r="R204" s="20" t="n">
        <v>2513</v>
      </c>
      <c r="S204" s="20" t="n">
        <v>3157</v>
      </c>
      <c r="T204" s="20" t="n">
        <v>3198</v>
      </c>
      <c r="U204" s="20" t="n">
        <v>3235</v>
      </c>
      <c r="V204" s="20" t="n">
        <v>3291</v>
      </c>
      <c r="W204" s="20" t="n">
        <v>3621</v>
      </c>
      <c r="X204" s="20" t="n">
        <v>3932</v>
      </c>
    </row>
    <row r="205">
      <c r="A205" s="18" t="inlineStr">
        <is>
          <t>손상차손</t>
        </is>
      </c>
      <c r="C205" s="20" t="n">
        <v>6</v>
      </c>
      <c r="E205" s="20" t="n">
        <v>204</v>
      </c>
      <c r="G205" s="20" t="n">
        <v>47</v>
      </c>
      <c r="I205" s="20" t="n">
        <v>88</v>
      </c>
      <c r="K205" s="20" t="n">
        <v>4</v>
      </c>
      <c r="M205" s="20" t="n">
        <v>4</v>
      </c>
      <c r="O205" s="20" t="n">
        <v>163</v>
      </c>
      <c r="P205" s="20" t="n">
        <v>92</v>
      </c>
      <c r="Q205" s="20" t="n">
        <v>212</v>
      </c>
      <c r="R205" s="20" t="n">
        <v>4</v>
      </c>
      <c r="S205" s="20" t="n">
        <v>42</v>
      </c>
      <c r="T205" s="20" t="n">
        <v>143</v>
      </c>
      <c r="U205" s="20" t="n">
        <v>208</v>
      </c>
      <c r="V205" s="20" t="n">
        <v>204</v>
      </c>
      <c r="W205" s="20" t="n">
        <v>88</v>
      </c>
      <c r="X205" s="20" t="n">
        <v>4</v>
      </c>
    </row>
    <row r="206">
      <c r="A206" s="18" t="inlineStr">
        <is>
          <t>영업권 상각</t>
        </is>
      </c>
      <c r="O206" s="20" t="n">
        <v>2</v>
      </c>
      <c r="P206" s="20" t="n">
        <v>2</v>
      </c>
      <c r="Q206" s="20" t="n">
        <v>0</v>
      </c>
    </row>
    <row r="207">
      <c r="A207" s="18" t="inlineStr">
        <is>
          <t>지분법손익</t>
        </is>
      </c>
      <c r="C207" s="20" t="n">
        <v>-130</v>
      </c>
      <c r="E207" s="20" t="n">
        <v>312</v>
      </c>
      <c r="G207" s="20" t="n">
        <v>-238</v>
      </c>
      <c r="I207" s="20" t="n">
        <v>-129</v>
      </c>
      <c r="K207" s="20" t="n">
        <v>-316</v>
      </c>
      <c r="M207" s="20" t="n">
        <v>-339</v>
      </c>
      <c r="O207" s="20" t="n">
        <v>10</v>
      </c>
      <c r="P207" s="20" t="n">
        <v>-153</v>
      </c>
      <c r="Q207" s="20" t="n">
        <v>21</v>
      </c>
      <c r="R207" s="20" t="n">
        <v>50</v>
      </c>
      <c r="S207" s="20" t="n">
        <v>-17</v>
      </c>
      <c r="T207" s="20" t="n">
        <v>-109</v>
      </c>
      <c r="U207" s="20" t="n">
        <v>42</v>
      </c>
      <c r="V207" s="20" t="n">
        <v>312</v>
      </c>
      <c r="W207" s="20" t="n">
        <v>-129</v>
      </c>
      <c r="X207" s="20" t="n">
        <v>-339</v>
      </c>
    </row>
    <row r="208">
      <c r="A208" s="18" t="inlineStr">
        <is>
          <t>대손충당금 증감</t>
        </is>
      </c>
      <c r="C208" s="20" t="n">
        <v>-31</v>
      </c>
      <c r="E208" s="20" t="n">
        <v>125</v>
      </c>
      <c r="G208" s="20" t="n">
        <v>-112</v>
      </c>
      <c r="I208" s="20" t="n">
        <v>-135</v>
      </c>
      <c r="K208" s="20" t="n">
        <v>82</v>
      </c>
      <c r="M208" s="20" t="n">
        <v>93</v>
      </c>
      <c r="O208" s="20" t="n">
        <v>-49</v>
      </c>
      <c r="P208" s="20" t="n">
        <v>-92</v>
      </c>
      <c r="Q208" s="20" t="n">
        <v>55</v>
      </c>
      <c r="R208" s="20" t="n">
        <v>2</v>
      </c>
      <c r="S208" s="20" t="n">
        <v>-24</v>
      </c>
      <c r="T208" s="20" t="n">
        <v>1</v>
      </c>
      <c r="U208" s="20" t="n">
        <v>242</v>
      </c>
      <c r="V208" s="20" t="n">
        <v>125</v>
      </c>
      <c r="W208" s="20" t="n">
        <v>-135</v>
      </c>
      <c r="X208" s="20" t="n">
        <v>93</v>
      </c>
    </row>
    <row r="209">
      <c r="A209" s="18" t="inlineStr">
        <is>
          <t>상여충당금 증감</t>
        </is>
      </c>
      <c r="C209" s="20" t="n">
        <v>26</v>
      </c>
      <c r="E209" s="20" t="n">
        <v>214</v>
      </c>
      <c r="G209" s="20" t="n">
        <v>65</v>
      </c>
      <c r="I209" s="20" t="n">
        <v>18</v>
      </c>
      <c r="K209" s="20" t="n">
        <v>70</v>
      </c>
      <c r="M209" s="20" t="n">
        <v>120</v>
      </c>
      <c r="O209" s="20" t="n">
        <v>45</v>
      </c>
      <c r="P209" s="20" t="n">
        <v>27</v>
      </c>
      <c r="Q209" s="20" t="n">
        <v>-132</v>
      </c>
      <c r="R209" s="20" t="n">
        <v>102</v>
      </c>
      <c r="S209" s="20" t="n">
        <v>-17</v>
      </c>
      <c r="T209" s="20" t="n">
        <v>-49</v>
      </c>
      <c r="U209" s="20" t="n">
        <v>-127</v>
      </c>
      <c r="V209" s="20" t="n">
        <v>214</v>
      </c>
      <c r="W209" s="20" t="n">
        <v>18</v>
      </c>
      <c r="X209" s="20" t="n">
        <v>120</v>
      </c>
    </row>
    <row r="210">
      <c r="A210" s="18" t="inlineStr">
        <is>
          <t>퇴직급여부채 증감</t>
        </is>
      </c>
      <c r="C210" s="20" t="n">
        <v>20</v>
      </c>
      <c r="E210" s="20" t="n">
        <v>39</v>
      </c>
      <c r="G210" s="20" t="n">
        <v>88</v>
      </c>
      <c r="I210" s="20" t="n">
        <v>140</v>
      </c>
      <c r="K210" s="20" t="n">
        <v>21</v>
      </c>
      <c r="M210" s="20" t="n">
        <v>99</v>
      </c>
      <c r="O210" s="20" t="n">
        <v>61</v>
      </c>
      <c r="P210" s="20" t="n">
        <v>149</v>
      </c>
      <c r="Q210" s="20" t="n">
        <v>80</v>
      </c>
      <c r="R210" s="20" t="n">
        <v>95</v>
      </c>
      <c r="S210" s="20" t="n">
        <v>27</v>
      </c>
      <c r="T210" s="20" t="n">
        <v>74</v>
      </c>
      <c r="U210" s="20" t="n">
        <v>127</v>
      </c>
      <c r="V210" s="20" t="n">
        <v>39</v>
      </c>
      <c r="W210" s="20" t="n">
        <v>140</v>
      </c>
      <c r="X210" s="20" t="n">
        <v>99</v>
      </c>
    </row>
    <row r="211">
      <c r="A211" s="18" t="inlineStr">
        <is>
          <t>임원 퇴직위로 충당금 증감</t>
        </is>
      </c>
      <c r="O211" s="20" t="n">
        <v>0</v>
      </c>
      <c r="P211" s="20" t="n">
        <v>9</v>
      </c>
      <c r="Q211" s="20" t="n">
        <v>0</v>
      </c>
      <c r="R211" s="20" t="n">
        <v>-2</v>
      </c>
      <c r="S211" s="20" t="n">
        <v>-45</v>
      </c>
      <c r="T211" s="20" t="n">
        <v>0</v>
      </c>
    </row>
    <row r="212">
      <c r="A212" s="18" t="inlineStr">
        <is>
          <t>임원 주식급여 충당금 증감</t>
        </is>
      </c>
      <c r="P212" s="20" t="n">
        <v>0</v>
      </c>
      <c r="Q212" s="20" t="n">
        <v>29</v>
      </c>
    </row>
    <row r="213">
      <c r="A213" s="18" t="inlineStr">
        <is>
          <t>임원 주식급여 충당금 증감</t>
        </is>
      </c>
      <c r="C213" s="20" t="n">
        <v>-57</v>
      </c>
      <c r="E213" s="20" t="n">
        <v>-62</v>
      </c>
      <c r="G213" s="20" t="n">
        <v>-6</v>
      </c>
      <c r="I213" s="20" t="n">
        <v>6</v>
      </c>
      <c r="K213" s="20" t="n">
        <v>-9</v>
      </c>
      <c r="M213" s="20" t="n">
        <v>4</v>
      </c>
      <c r="Q213" s="20" t="n">
        <v>29</v>
      </c>
      <c r="R213" s="20" t="n">
        <v>37</v>
      </c>
      <c r="S213" s="20" t="n">
        <v>36</v>
      </c>
      <c r="T213" s="20" t="n">
        <v>52</v>
      </c>
      <c r="U213" s="20" t="n">
        <v>16</v>
      </c>
      <c r="V213" s="20" t="n">
        <v>-62</v>
      </c>
      <c r="W213" s="20" t="n">
        <v>6</v>
      </c>
      <c r="X213" s="20" t="n">
        <v>4</v>
      </c>
    </row>
    <row r="214">
      <c r="A214" s="18" t="inlineStr">
        <is>
          <t>환경대책 충당금 증감</t>
        </is>
      </c>
      <c r="O214" s="20" t="n">
        <v>0</v>
      </c>
      <c r="P214" s="20" t="n">
        <v>-2</v>
      </c>
      <c r="Q214" s="20" t="n">
        <v>-27</v>
      </c>
      <c r="R214" s="20" t="n">
        <v>0</v>
      </c>
    </row>
    <row r="215">
      <c r="A215" s="18" t="inlineStr">
        <is>
          <t>이자·배당금 수익</t>
        </is>
      </c>
      <c r="C215" s="20" t="n">
        <v>-117</v>
      </c>
      <c r="E215" s="20" t="n">
        <v>-165</v>
      </c>
      <c r="G215" s="20" t="n">
        <v>-119</v>
      </c>
      <c r="I215" s="20" t="n">
        <v>-170</v>
      </c>
      <c r="K215" s="20" t="n">
        <v>-149</v>
      </c>
      <c r="M215" s="20" t="n">
        <v>-214</v>
      </c>
      <c r="O215" s="20" t="n">
        <v>-156</v>
      </c>
      <c r="P215" s="20" t="n">
        <v>-160</v>
      </c>
      <c r="Q215" s="20" t="n">
        <v>-174</v>
      </c>
      <c r="R215" s="20" t="n">
        <v>-176</v>
      </c>
      <c r="S215" s="20" t="n">
        <v>-168</v>
      </c>
      <c r="T215" s="20" t="n">
        <v>-153</v>
      </c>
      <c r="U215" s="20" t="n">
        <v>-155</v>
      </c>
      <c r="V215" s="20" t="n">
        <v>-165</v>
      </c>
      <c r="W215" s="20" t="n">
        <v>-170</v>
      </c>
      <c r="X215" s="20" t="n">
        <v>-214</v>
      </c>
    </row>
    <row r="216">
      <c r="A216" s="18" t="inlineStr">
        <is>
          <t>이자비용</t>
        </is>
      </c>
      <c r="C216" s="20" t="n">
        <v>94</v>
      </c>
      <c r="E216" s="20" t="n">
        <v>183</v>
      </c>
      <c r="G216" s="20" t="n">
        <v>83</v>
      </c>
      <c r="I216" s="20" t="n">
        <v>190</v>
      </c>
      <c r="K216" s="20" t="n">
        <v>121</v>
      </c>
      <c r="M216" s="20" t="n">
        <v>250</v>
      </c>
      <c r="O216" s="20" t="n">
        <v>193</v>
      </c>
      <c r="P216" s="20" t="n">
        <v>144</v>
      </c>
      <c r="Q216" s="20" t="n">
        <v>118</v>
      </c>
      <c r="R216" s="20" t="n">
        <v>103</v>
      </c>
      <c r="S216" s="20" t="n">
        <v>99</v>
      </c>
      <c r="T216" s="20" t="n">
        <v>94</v>
      </c>
      <c r="U216" s="20" t="n">
        <v>158</v>
      </c>
      <c r="V216" s="20" t="n">
        <v>183</v>
      </c>
      <c r="W216" s="20" t="n">
        <v>190</v>
      </c>
      <c r="X216" s="20" t="n">
        <v>250</v>
      </c>
    </row>
    <row r="217">
      <c r="A217" s="18" t="inlineStr">
        <is>
          <t>부의 영업권 발생이익</t>
        </is>
      </c>
      <c r="C217" s="20" t="n">
        <v>0</v>
      </c>
      <c r="E217" s="20" t="n">
        <v>0</v>
      </c>
      <c r="G217" s="20" t="n">
        <v>-338</v>
      </c>
      <c r="I217" s="20" t="n">
        <v>-338</v>
      </c>
      <c r="K217" s="20" t="n">
        <v>0</v>
      </c>
      <c r="M217" s="20" t="n">
        <v>0</v>
      </c>
      <c r="V217" s="20" t="n">
        <v>0</v>
      </c>
      <c r="W217" s="20" t="n">
        <v>-338</v>
      </c>
      <c r="X217" s="20" t="n">
        <v>0</v>
      </c>
    </row>
    <row r="218">
      <c r="A218" s="18" t="inlineStr">
        <is>
          <t>투자유가증권 평가손익</t>
        </is>
      </c>
      <c r="C218" s="20" t="n">
        <v>2</v>
      </c>
      <c r="E218" s="20" t="n">
        <v>2</v>
      </c>
      <c r="G218" s="20" t="n">
        <v>0</v>
      </c>
      <c r="I218" s="20" t="n">
        <v>0</v>
      </c>
      <c r="U218" s="20" t="n">
        <v>0</v>
      </c>
      <c r="V218" s="20" t="n">
        <v>2</v>
      </c>
      <c r="W218" s="20" t="n">
        <v>0</v>
      </c>
    </row>
    <row r="219">
      <c r="A219" s="18" t="inlineStr">
        <is>
          <t>투자유가증권 매각손익</t>
        </is>
      </c>
      <c r="E219" s="20" t="n">
        <v>-206</v>
      </c>
      <c r="I219" s="20" t="n">
        <v>0</v>
      </c>
      <c r="O219" s="20" t="n">
        <v>0</v>
      </c>
      <c r="P219" s="20" t="n">
        <v>-117</v>
      </c>
      <c r="Q219" s="20" t="n">
        <v>-327</v>
      </c>
      <c r="R219" s="20" t="n">
        <v>-106</v>
      </c>
      <c r="S219" s="20" t="n">
        <v>74</v>
      </c>
      <c r="T219" s="20" t="n">
        <v>-45</v>
      </c>
      <c r="U219" s="20" t="n">
        <v>-305</v>
      </c>
      <c r="V219" s="20" t="n">
        <v>-206</v>
      </c>
      <c r="W219" s="20" t="n">
        <v>0</v>
      </c>
    </row>
    <row r="220">
      <c r="A220" s="18" t="inlineStr">
        <is>
          <t>자회사 주식 매각손익</t>
        </is>
      </c>
      <c r="O220" s="20" t="n">
        <v>0</v>
      </c>
      <c r="P220" s="20" t="n">
        <v>49</v>
      </c>
      <c r="Q220" s="20" t="n">
        <v>0</v>
      </c>
    </row>
    <row r="221">
      <c r="A221" s="18" t="inlineStr">
        <is>
          <t>자회사 정리손실</t>
        </is>
      </c>
      <c r="C221" s="20" t="n">
        <v>0</v>
      </c>
      <c r="E221" s="20" t="n">
        <v>0</v>
      </c>
      <c r="T221" s="20" t="n">
        <v>0</v>
      </c>
      <c r="U221" s="20" t="n">
        <v>0</v>
      </c>
      <c r="V221" s="20" t="n">
        <v>0</v>
      </c>
    </row>
    <row r="222">
      <c r="A222" s="18" t="inlineStr">
        <is>
          <t>관계회사 주식 평가손실</t>
        </is>
      </c>
      <c r="R222" s="20" t="n">
        <v>0</v>
      </c>
      <c r="S222" s="20" t="n">
        <v>8</v>
      </c>
      <c r="T222" s="20" t="n">
        <v>2</v>
      </c>
      <c r="U222" s="20" t="n">
        <v>0</v>
      </c>
    </row>
    <row r="223">
      <c r="A223" s="18" t="inlineStr">
        <is>
          <t>지급수수료</t>
        </is>
      </c>
      <c r="C223" s="20" t="n">
        <v>6</v>
      </c>
      <c r="E223" s="20" t="n">
        <v>14</v>
      </c>
      <c r="G223" s="20" t="n">
        <v>27</v>
      </c>
      <c r="I223" s="20" t="n">
        <v>34</v>
      </c>
      <c r="K223" s="20" t="n">
        <v>57</v>
      </c>
      <c r="M223" s="20" t="n">
        <v>63</v>
      </c>
      <c r="O223" s="20" t="n">
        <v>0</v>
      </c>
      <c r="P223" s="20" t="n">
        <v>91</v>
      </c>
      <c r="Q223" s="20" t="n">
        <v>0</v>
      </c>
      <c r="T223" s="20" t="n">
        <v>1</v>
      </c>
      <c r="U223" s="20" t="n">
        <v>78</v>
      </c>
      <c r="V223" s="20" t="n">
        <v>14</v>
      </c>
      <c r="W223" s="20" t="n">
        <v>34</v>
      </c>
      <c r="X223" s="20" t="n">
        <v>63</v>
      </c>
    </row>
    <row r="224">
      <c r="A224" s="18" t="inlineStr">
        <is>
          <t>재해 손실</t>
        </is>
      </c>
      <c r="P224" s="20" t="n">
        <v>0</v>
      </c>
      <c r="Q224" s="20" t="n">
        <v>56</v>
      </c>
    </row>
    <row r="225">
      <c r="A225" s="18" t="inlineStr">
        <is>
          <t>관계회사 주식 매각손익</t>
        </is>
      </c>
      <c r="C225" s="20" t="n">
        <v>0</v>
      </c>
      <c r="E225" s="20" t="n">
        <v>0</v>
      </c>
      <c r="G225" s="20" t="n">
        <v>8</v>
      </c>
      <c r="I225" s="20" t="n">
        <v>8</v>
      </c>
      <c r="K225" s="20" t="n">
        <v>0</v>
      </c>
      <c r="M225" s="20" t="n">
        <v>0</v>
      </c>
      <c r="Q225" s="20" t="n">
        <v>0</v>
      </c>
      <c r="R225" s="20" t="n">
        <v>-22</v>
      </c>
      <c r="S225" s="20" t="n">
        <v>5</v>
      </c>
      <c r="T225" s="20" t="n">
        <v>0</v>
      </c>
      <c r="V225" s="20" t="n">
        <v>0</v>
      </c>
      <c r="W225" s="20" t="n">
        <v>8</v>
      </c>
      <c r="X225" s="20" t="n">
        <v>0</v>
      </c>
    </row>
    <row r="226">
      <c r="A226" s="18" t="inlineStr">
        <is>
          <t>사업분리 이전이익</t>
        </is>
      </c>
      <c r="P226" s="20" t="n">
        <v>0</v>
      </c>
      <c r="Q226" s="20" t="n">
        <v>-11</v>
      </c>
      <c r="R226" s="20" t="n">
        <v>0</v>
      </c>
    </row>
    <row r="227">
      <c r="A227" s="18" t="inlineStr">
        <is>
          <t>사업양도 손익</t>
        </is>
      </c>
      <c r="E227" s="20" t="n">
        <v>0</v>
      </c>
      <c r="I227" s="20" t="n">
        <v>-10</v>
      </c>
      <c r="M227" s="20" t="n">
        <v>0</v>
      </c>
      <c r="O227" s="20" t="n">
        <v>-5</v>
      </c>
      <c r="P227" s="20" t="n">
        <v>0</v>
      </c>
      <c r="R227" s="20" t="n">
        <v>0</v>
      </c>
      <c r="S227" s="20" t="n">
        <v>-21</v>
      </c>
      <c r="T227" s="20" t="n">
        <v>0</v>
      </c>
      <c r="V227" s="20" t="n">
        <v>0</v>
      </c>
      <c r="W227" s="20" t="n">
        <v>-10</v>
      </c>
      <c r="X227" s="20" t="n">
        <v>0</v>
      </c>
    </row>
    <row r="228">
      <c r="A228" s="18" t="inlineStr">
        <is>
          <t>고정자산 제각·매각손익</t>
        </is>
      </c>
      <c r="C228" s="20" t="n">
        <v>22</v>
      </c>
      <c r="E228" s="20" t="n">
        <v>51</v>
      </c>
      <c r="G228" s="20" t="n">
        <v>20</v>
      </c>
      <c r="I228" s="20" t="n">
        <v>85</v>
      </c>
      <c r="K228" s="20" t="n">
        <v>-48</v>
      </c>
      <c r="M228" s="20" t="n">
        <v>4</v>
      </c>
      <c r="O228" s="20" t="n">
        <v>-503</v>
      </c>
      <c r="P228" s="20" t="n">
        <v>57</v>
      </c>
      <c r="Q228" s="20" t="n">
        <v>-1788</v>
      </c>
      <c r="R228" s="20" t="n">
        <v>48</v>
      </c>
      <c r="S228" s="20" t="n">
        <v>-10</v>
      </c>
      <c r="T228" s="20" t="n">
        <v>77</v>
      </c>
      <c r="U228" s="20" t="n">
        <v>19</v>
      </c>
      <c r="V228" s="20" t="n">
        <v>51</v>
      </c>
      <c r="W228" s="20" t="n">
        <v>85</v>
      </c>
      <c r="X228" s="20" t="n">
        <v>4</v>
      </c>
    </row>
    <row r="229">
      <c r="A229" s="18" t="inlineStr">
        <is>
          <t>화재손실</t>
        </is>
      </c>
      <c r="O229" s="20" t="n">
        <v>342</v>
      </c>
      <c r="P229" s="20" t="n">
        <v>0</v>
      </c>
    </row>
    <row r="230">
      <c r="A230" s="18" t="inlineStr">
        <is>
          <t>보조금 수입</t>
        </is>
      </c>
      <c r="E230" s="20" t="n">
        <v>0</v>
      </c>
      <c r="O230" s="20" t="n">
        <v>0</v>
      </c>
      <c r="P230" s="20" t="n">
        <v>-267</v>
      </c>
      <c r="Q230" s="20" t="n">
        <v>-2</v>
      </c>
      <c r="R230" s="20" t="n">
        <v>0</v>
      </c>
      <c r="S230" s="20" t="n">
        <v>-535</v>
      </c>
      <c r="T230" s="20" t="n">
        <v>-196</v>
      </c>
      <c r="U230" s="20" t="n">
        <v>-61</v>
      </c>
      <c r="V230" s="20" t="n">
        <v>0</v>
      </c>
    </row>
    <row r="231">
      <c r="A231" s="18" t="inlineStr">
        <is>
          <t>수취 손해배상금</t>
        </is>
      </c>
      <c r="P231" s="20" t="n">
        <v>0</v>
      </c>
      <c r="Q231" s="20" t="n">
        <v>-48</v>
      </c>
      <c r="R231" s="20" t="n">
        <v>0</v>
      </c>
    </row>
    <row r="232">
      <c r="A232" s="18" t="inlineStr">
        <is>
          <t>재해 손실</t>
        </is>
      </c>
      <c r="Q232" s="20" t="n">
        <v>56</v>
      </c>
      <c r="R232" s="20" t="n">
        <v>0</v>
      </c>
    </row>
    <row r="233">
      <c r="A233" s="18" t="inlineStr">
        <is>
          <t>Loss On Retirement Of Inventories Ope CF</t>
        </is>
      </c>
      <c r="P233" s="20" t="n">
        <v>0</v>
      </c>
      <c r="Q233" s="20" t="n">
        <v>40</v>
      </c>
      <c r="R233" s="20" t="n">
        <v>0</v>
      </c>
    </row>
    <row r="234">
      <c r="A234" s="18" t="inlineStr">
        <is>
          <t>Penalty Loss Ope CF</t>
        </is>
      </c>
      <c r="P234" s="20" t="n">
        <v>0</v>
      </c>
      <c r="Q234" s="20" t="n">
        <v>52</v>
      </c>
      <c r="R234" s="20" t="n">
        <v>0</v>
      </c>
    </row>
    <row r="235">
      <c r="A235" s="18" t="inlineStr">
        <is>
          <t>Nonrecurring Loss Ope CF</t>
        </is>
      </c>
      <c r="Q235" s="20" t="n">
        <v>0</v>
      </c>
      <c r="R235" s="20" t="n">
        <v>62</v>
      </c>
      <c r="S235" s="20" t="n">
        <v>0</v>
      </c>
    </row>
    <row r="236">
      <c r="A236" s="18" t="inlineStr">
        <is>
          <t>고정자산 수증이익</t>
        </is>
      </c>
      <c r="E236" s="20" t="n">
        <v>0</v>
      </c>
      <c r="I236" s="20" t="n">
        <v>-8</v>
      </c>
      <c r="M236" s="20" t="n">
        <v>0</v>
      </c>
      <c r="V236" s="20" t="n">
        <v>0</v>
      </c>
      <c r="W236" s="20" t="n">
        <v>-8</v>
      </c>
      <c r="X236" s="20" t="n">
        <v>0</v>
      </c>
    </row>
    <row r="237">
      <c r="A237" s="18" t="inlineStr">
        <is>
          <t>고정자산 압축손실</t>
        </is>
      </c>
      <c r="E237" s="20" t="n">
        <v>0</v>
      </c>
      <c r="I237" s="20" t="n">
        <v>8</v>
      </c>
      <c r="M237" s="20" t="n">
        <v>0</v>
      </c>
      <c r="P237" s="20" t="n">
        <v>0</v>
      </c>
      <c r="Q237" s="20" t="n">
        <v>2</v>
      </c>
      <c r="R237" s="20" t="n">
        <v>0</v>
      </c>
      <c r="S237" s="20" t="n">
        <v>26</v>
      </c>
      <c r="T237" s="20" t="n">
        <v>12</v>
      </c>
      <c r="U237" s="20" t="n">
        <v>0</v>
      </c>
      <c r="V237" s="20" t="n">
        <v>0</v>
      </c>
      <c r="W237" s="20" t="n">
        <v>8</v>
      </c>
      <c r="X237" s="20" t="n">
        <v>0</v>
      </c>
    </row>
    <row r="238">
      <c r="A238" s="18" t="inlineStr">
        <is>
          <t>Loss On Valuation Of Investments In Capital Ope CF</t>
        </is>
      </c>
      <c r="P238" s="20" t="n">
        <v>0</v>
      </c>
      <c r="Q238" s="20" t="n">
        <v>24</v>
      </c>
      <c r="R238" s="20" t="n">
        <v>0</v>
      </c>
    </row>
    <row r="239">
      <c r="A239" s="18" t="inlineStr">
        <is>
          <t>골프회원권 평가손실</t>
        </is>
      </c>
      <c r="Q239" s="20" t="n">
        <v>0</v>
      </c>
      <c r="R239" s="20" t="n">
        <v>14</v>
      </c>
      <c r="S239" s="20" t="n">
        <v>0</v>
      </c>
    </row>
    <row r="240">
      <c r="A240" s="18" t="inlineStr">
        <is>
          <t>보험금 수익</t>
        </is>
      </c>
      <c r="E240" s="20" t="n">
        <v>0</v>
      </c>
      <c r="I240" s="20" t="n">
        <v>-10</v>
      </c>
      <c r="M240" s="20" t="n">
        <v>0</v>
      </c>
      <c r="O240" s="20" t="n">
        <v>-307</v>
      </c>
      <c r="P240" s="20" t="n">
        <v>0</v>
      </c>
      <c r="Q240" s="20" t="n">
        <v>-15</v>
      </c>
      <c r="R240" s="20" t="n">
        <v>0</v>
      </c>
      <c r="S240" s="20" t="n">
        <v>0</v>
      </c>
      <c r="T240" s="20" t="n">
        <v>-18</v>
      </c>
      <c r="U240" s="20" t="n">
        <v>0</v>
      </c>
      <c r="V240" s="20" t="n">
        <v>0</v>
      </c>
      <c r="W240" s="20" t="n">
        <v>-10</v>
      </c>
      <c r="X240" s="20" t="n">
        <v>0</v>
      </c>
    </row>
    <row r="241">
      <c r="A241" s="18" t="inlineStr">
        <is>
          <t>Loss Gain On Sales Of Membership Ope CF</t>
        </is>
      </c>
      <c r="E241" s="20" t="n">
        <v>11</v>
      </c>
      <c r="I241" s="20" t="n">
        <v>0</v>
      </c>
      <c r="U241" s="20" t="n">
        <v>0</v>
      </c>
      <c r="V241" s="20" t="n">
        <v>11</v>
      </c>
      <c r="W241" s="20" t="n">
        <v>0</v>
      </c>
    </row>
    <row r="242">
      <c r="A242" s="18" t="inlineStr">
        <is>
          <t>Head Office Relocation Expenses Ope CF</t>
        </is>
      </c>
      <c r="C242" s="20" t="n">
        <v>0</v>
      </c>
      <c r="E242" s="20" t="n">
        <v>0</v>
      </c>
      <c r="G242" s="20" t="n">
        <v>29</v>
      </c>
      <c r="I242" s="20" t="n">
        <v>32</v>
      </c>
      <c r="K242" s="20" t="n">
        <v>0</v>
      </c>
      <c r="M242" s="20" t="n">
        <v>0</v>
      </c>
      <c r="V242" s="20" t="n">
        <v>0</v>
      </c>
      <c r="W242" s="20" t="n">
        <v>32</v>
      </c>
      <c r="X242" s="20" t="n">
        <v>0</v>
      </c>
    </row>
    <row r="243">
      <c r="A243" s="18" t="inlineStr">
        <is>
          <t>단계적 취득 차손익</t>
        </is>
      </c>
      <c r="C243" s="20" t="n">
        <v>0</v>
      </c>
      <c r="E243" s="20" t="n">
        <v>0</v>
      </c>
      <c r="G243" s="20" t="n">
        <v>158</v>
      </c>
      <c r="I243" s="20" t="n">
        <v>158</v>
      </c>
      <c r="K243" s="20" t="n">
        <v>0</v>
      </c>
      <c r="M243" s="20" t="n">
        <v>0</v>
      </c>
      <c r="V243" s="20" t="n">
        <v>0</v>
      </c>
      <c r="W243" s="20" t="n">
        <v>158</v>
      </c>
      <c r="X243" s="20" t="n">
        <v>0</v>
      </c>
    </row>
    <row r="244">
      <c r="A244" s="18" t="inlineStr">
        <is>
          <t>매출채권 증감</t>
        </is>
      </c>
      <c r="C244" s="20" t="n">
        <v>-2907</v>
      </c>
      <c r="E244" s="20" t="n">
        <v>-1759</v>
      </c>
      <c r="G244" s="20" t="n">
        <v>8440</v>
      </c>
      <c r="I244" s="20" t="n">
        <v>9861</v>
      </c>
      <c r="K244" s="20" t="n">
        <v>1534</v>
      </c>
      <c r="M244" s="20" t="n">
        <v>583</v>
      </c>
      <c r="O244" s="20" t="n">
        <v>2130</v>
      </c>
      <c r="P244" s="20" t="n">
        <v>-2718</v>
      </c>
      <c r="Q244" s="20" t="n">
        <v>-1484</v>
      </c>
      <c r="R244" s="20" t="n">
        <v>3339</v>
      </c>
      <c r="S244" s="20" t="n">
        <v>-2868</v>
      </c>
      <c r="T244" s="20" t="n">
        <v>-6483</v>
      </c>
      <c r="U244" s="20" t="n">
        <v>-12565</v>
      </c>
      <c r="V244" s="20" t="n">
        <v>-1759</v>
      </c>
      <c r="W244" s="20" t="n">
        <v>9861</v>
      </c>
      <c r="X244" s="20" t="n">
        <v>583</v>
      </c>
    </row>
    <row r="245">
      <c r="A245" s="18" t="inlineStr">
        <is>
          <t>재고자산 증감</t>
        </is>
      </c>
      <c r="C245" s="20" t="n">
        <v>1348</v>
      </c>
      <c r="E245" s="20" t="n">
        <v>3278</v>
      </c>
      <c r="G245" s="20" t="n">
        <v>-1645</v>
      </c>
      <c r="I245" s="20" t="n">
        <v>-2065</v>
      </c>
      <c r="K245" s="20" t="n">
        <v>3251</v>
      </c>
      <c r="M245" s="20" t="n">
        <v>1722</v>
      </c>
      <c r="O245" s="20" t="n">
        <v>812</v>
      </c>
      <c r="P245" s="20" t="n">
        <v>-616</v>
      </c>
      <c r="Q245" s="20" t="n">
        <v>-1721</v>
      </c>
      <c r="R245" s="20" t="n">
        <v>-250</v>
      </c>
      <c r="S245" s="20" t="n">
        <v>-278</v>
      </c>
      <c r="T245" s="20" t="n">
        <v>-3362</v>
      </c>
      <c r="U245" s="20" t="n">
        <v>-4635</v>
      </c>
      <c r="V245" s="20" t="n">
        <v>3278</v>
      </c>
      <c r="W245" s="20" t="n">
        <v>-2065</v>
      </c>
      <c r="X245" s="20" t="n">
        <v>1722</v>
      </c>
    </row>
    <row r="246">
      <c r="A246" s="18" t="inlineStr">
        <is>
          <t>매입채무 증감</t>
        </is>
      </c>
      <c r="C246" s="20" t="n">
        <v>8710</v>
      </c>
      <c r="E246" s="20" t="n">
        <v>-2114</v>
      </c>
      <c r="G246" s="20" t="n">
        <v>-4762</v>
      </c>
      <c r="I246" s="20" t="n">
        <v>-5617</v>
      </c>
      <c r="K246" s="20" t="n">
        <v>-2335</v>
      </c>
      <c r="M246" s="20" t="n">
        <v>1973</v>
      </c>
      <c r="O246" s="20" t="n">
        <v>527</v>
      </c>
      <c r="P246" s="20" t="n">
        <v>6007</v>
      </c>
      <c r="Q246" s="20" t="n">
        <v>2256</v>
      </c>
      <c r="R246" s="20" t="n">
        <v>-8296</v>
      </c>
      <c r="S246" s="20" t="n">
        <v>5198</v>
      </c>
      <c r="T246" s="20" t="n">
        <v>5358</v>
      </c>
      <c r="U246" s="20" t="n">
        <v>5579</v>
      </c>
      <c r="V246" s="20" t="n">
        <v>-2114</v>
      </c>
      <c r="W246" s="20" t="n">
        <v>-5617</v>
      </c>
      <c r="X246" s="20" t="n">
        <v>1973</v>
      </c>
    </row>
    <row r="247">
      <c r="A247" s="18" t="inlineStr">
        <is>
          <t>기타</t>
        </is>
      </c>
      <c r="C247" s="20" t="n">
        <v>1199</v>
      </c>
      <c r="E247" s="20" t="n">
        <v>712</v>
      </c>
      <c r="G247" s="20" t="n">
        <v>-826</v>
      </c>
      <c r="I247" s="20" t="n">
        <v>-630</v>
      </c>
      <c r="K247" s="20" t="n">
        <v>277</v>
      </c>
      <c r="M247" s="20" t="n">
        <v>884</v>
      </c>
      <c r="O247" s="20" t="n">
        <v>1559</v>
      </c>
      <c r="P247" s="20" t="n">
        <v>878</v>
      </c>
      <c r="Q247" s="20" t="n">
        <v>-113</v>
      </c>
      <c r="R247" s="20" t="n">
        <v>14</v>
      </c>
      <c r="S247" s="20" t="n">
        <v>-1305</v>
      </c>
      <c r="T247" s="20" t="n">
        <v>1058</v>
      </c>
      <c r="U247" s="20" t="n">
        <v>-696</v>
      </c>
      <c r="V247" s="20" t="n">
        <v>712</v>
      </c>
      <c r="W247" s="20" t="n">
        <v>-630</v>
      </c>
      <c r="X247" s="20" t="n">
        <v>884</v>
      </c>
    </row>
    <row r="248">
      <c r="A248" s="18" t="inlineStr">
        <is>
          <t>소계</t>
        </is>
      </c>
      <c r="C248" s="20" t="n">
        <v>12787</v>
      </c>
      <c r="E248" s="20" t="n">
        <v>11658</v>
      </c>
      <c r="G248" s="20" t="n">
        <v>6609</v>
      </c>
      <c r="I248" s="20" t="n">
        <v>11913</v>
      </c>
      <c r="K248" s="20" t="n">
        <v>8251</v>
      </c>
      <c r="M248" s="20" t="n">
        <v>17785</v>
      </c>
      <c r="O248" s="20" t="n">
        <v>11936</v>
      </c>
      <c r="P248" s="20" t="n">
        <v>9955</v>
      </c>
      <c r="Q248" s="20" t="n">
        <v>5693</v>
      </c>
      <c r="R248" s="20" t="n">
        <v>3239</v>
      </c>
      <c r="S248" s="20" t="n">
        <v>9857</v>
      </c>
      <c r="T248" s="20" t="n">
        <v>4748</v>
      </c>
      <c r="U248" s="20" t="n">
        <v>-7278</v>
      </c>
      <c r="V248" s="20" t="n">
        <v>11658</v>
      </c>
      <c r="W248" s="20" t="n">
        <v>11913</v>
      </c>
      <c r="X248" s="20" t="n">
        <v>17785</v>
      </c>
    </row>
    <row r="249">
      <c r="A249" s="18" t="inlineStr">
        <is>
          <t>법인세 납부</t>
        </is>
      </c>
      <c r="C249" s="20" t="n">
        <v>-288</v>
      </c>
      <c r="E249" s="20" t="n">
        <v>-519</v>
      </c>
      <c r="G249" s="20" t="n">
        <v>-2129</v>
      </c>
      <c r="I249" s="20" t="n">
        <v>-3321</v>
      </c>
      <c r="K249" s="20" t="n">
        <v>-79</v>
      </c>
      <c r="M249" s="20" t="n">
        <v>-695</v>
      </c>
      <c r="O249" s="20" t="n">
        <v>-466</v>
      </c>
      <c r="P249" s="20" t="n">
        <v>-755</v>
      </c>
      <c r="Q249" s="20" t="n">
        <v>-806</v>
      </c>
      <c r="R249" s="20" t="n">
        <v>-2050</v>
      </c>
      <c r="S249" s="20" t="n">
        <v>-2120</v>
      </c>
      <c r="T249" s="20" t="n">
        <v>-2025</v>
      </c>
      <c r="U249" s="20" t="n">
        <v>-538</v>
      </c>
      <c r="V249" s="20" t="n">
        <v>-519</v>
      </c>
      <c r="W249" s="20" t="n">
        <v>-3321</v>
      </c>
      <c r="X249" s="20" t="n">
        <v>-695</v>
      </c>
    </row>
    <row r="250">
      <c r="A250" s="18" t="inlineStr">
        <is>
          <t>재해손실 지급</t>
        </is>
      </c>
      <c r="P250" s="20" t="n">
        <v>0</v>
      </c>
      <c r="Q250" s="20" t="n">
        <v>-56</v>
      </c>
      <c r="R250" s="20" t="n">
        <v>0</v>
      </c>
    </row>
    <row r="251">
      <c r="A251" s="18" t="inlineStr">
        <is>
          <t>위약금 지급액</t>
        </is>
      </c>
      <c r="P251" s="20" t="n">
        <v>0</v>
      </c>
      <c r="Q251" s="20" t="n">
        <v>-52</v>
      </c>
      <c r="R251" s="20" t="n">
        <v>0</v>
      </c>
    </row>
    <row r="252">
      <c r="A252" s="18" t="inlineStr">
        <is>
          <t>손해배상금 수취액</t>
        </is>
      </c>
      <c r="P252" s="20" t="n">
        <v>0</v>
      </c>
      <c r="Q252" s="20" t="n">
        <v>48</v>
      </c>
      <c r="R252" s="20" t="n">
        <v>0</v>
      </c>
    </row>
    <row r="253">
      <c r="A253" s="18" t="inlineStr">
        <is>
          <t>Nonrecurring Loss Paid Ope CF</t>
        </is>
      </c>
      <c r="Q253" s="20" t="n">
        <v>0</v>
      </c>
      <c r="R253" s="20" t="n">
        <v>-62</v>
      </c>
      <c r="S253" s="20" t="n">
        <v>0</v>
      </c>
    </row>
    <row r="254">
      <c r="A254" s="18" t="inlineStr">
        <is>
          <t>Payments For Head Office Relocation Expenses Ope CF</t>
        </is>
      </c>
      <c r="C254" s="20" t="n">
        <v>0</v>
      </c>
      <c r="E254" s="20" t="n">
        <v>0</v>
      </c>
      <c r="G254" s="20" t="n">
        <v>-24</v>
      </c>
      <c r="I254" s="20" t="n">
        <v>-32</v>
      </c>
      <c r="K254" s="20" t="n">
        <v>0</v>
      </c>
      <c r="M254" s="20" t="n">
        <v>0</v>
      </c>
      <c r="V254" s="20" t="n">
        <v>0</v>
      </c>
      <c r="W254" s="20" t="n">
        <v>-32</v>
      </c>
      <c r="X254" s="20" t="n">
        <v>0</v>
      </c>
    </row>
    <row r="255">
      <c r="A255" s="18" t="inlineStr">
        <is>
          <t>보험금 수취</t>
        </is>
      </c>
      <c r="E255" s="20" t="n">
        <v>0</v>
      </c>
      <c r="I255" s="20" t="n">
        <v>10</v>
      </c>
      <c r="M255" s="20" t="n">
        <v>0</v>
      </c>
      <c r="O255" s="20" t="n">
        <v>307</v>
      </c>
      <c r="P255" s="20" t="n">
        <v>0</v>
      </c>
      <c r="Q255" s="20" t="n">
        <v>15</v>
      </c>
      <c r="R255" s="20" t="n">
        <v>0</v>
      </c>
      <c r="S255" s="20" t="n">
        <v>0</v>
      </c>
      <c r="T255" s="20" t="n">
        <v>18</v>
      </c>
      <c r="U255" s="20" t="n">
        <v>0</v>
      </c>
      <c r="V255" s="20" t="n">
        <v>0</v>
      </c>
      <c r="W255" s="20" t="n">
        <v>10</v>
      </c>
      <c r="X255" s="20" t="n">
        <v>0</v>
      </c>
    </row>
    <row r="256">
      <c r="A256" s="9" t="inlineStr">
        <is>
          <t>영업활동 현금흐름</t>
        </is>
      </c>
      <c r="C256" s="12" t="n">
        <v>12499</v>
      </c>
      <c r="E256" s="12" t="n">
        <v>11138</v>
      </c>
      <c r="G256" s="12" t="n">
        <v>4455</v>
      </c>
      <c r="I256" s="12" t="n">
        <v>8570</v>
      </c>
      <c r="K256" s="12" t="n">
        <v>8172</v>
      </c>
      <c r="M256" s="12" t="n">
        <v>17090</v>
      </c>
      <c r="O256" s="12" t="n">
        <v>11777</v>
      </c>
      <c r="P256" s="12" t="n">
        <v>9199</v>
      </c>
      <c r="Q256" s="12" t="n">
        <v>4842</v>
      </c>
      <c r="R256" s="12" t="n">
        <v>1127</v>
      </c>
      <c r="S256" s="12" t="n">
        <v>7737</v>
      </c>
      <c r="T256" s="12" t="n">
        <v>2740</v>
      </c>
      <c r="U256" s="12" t="n">
        <v>-7816</v>
      </c>
      <c r="V256" s="12" t="n">
        <v>11138</v>
      </c>
      <c r="W256" s="12" t="n">
        <v>8570</v>
      </c>
      <c r="X256" s="12" t="n">
        <v>17090</v>
      </c>
    </row>
    <row r="257">
      <c r="A257" s="18" t="inlineStr">
        <is>
          <t>Purchase Of Property Plant And Equipment And Intangible Assets Inv CF</t>
        </is>
      </c>
      <c r="C257" s="20" t="n">
        <v>-1260</v>
      </c>
      <c r="E257" s="20" t="n">
        <v>-2649</v>
      </c>
      <c r="G257" s="20" t="n">
        <v>-1717</v>
      </c>
      <c r="I257" s="20" t="n">
        <v>-3659</v>
      </c>
      <c r="K257" s="20" t="n">
        <v>-7294</v>
      </c>
      <c r="M257" s="20" t="n">
        <v>-12315</v>
      </c>
      <c r="O257" s="20" t="n">
        <v>-2733</v>
      </c>
      <c r="P257" s="20" t="n">
        <v>-8123</v>
      </c>
      <c r="Q257" s="20" t="n">
        <v>-3746</v>
      </c>
      <c r="R257" s="20" t="n">
        <v>-7356</v>
      </c>
      <c r="S257" s="20" t="n">
        <v>-7036</v>
      </c>
      <c r="T257" s="20" t="n">
        <v>-2623</v>
      </c>
      <c r="U257" s="20" t="n">
        <v>-2070</v>
      </c>
      <c r="V257" s="20" t="n">
        <v>-2649</v>
      </c>
      <c r="W257" s="20" t="n">
        <v>-3659</v>
      </c>
      <c r="X257" s="20" t="n">
        <v>-12315</v>
      </c>
    </row>
    <row r="258">
      <c r="A258" s="18" t="inlineStr">
        <is>
          <t>Proceeds From Sales Of Property Plant And Equipment And Intangible Assets Inv CF</t>
        </is>
      </c>
      <c r="C258" s="20" t="n">
        <v>16</v>
      </c>
      <c r="E258" s="20" t="n">
        <v>59</v>
      </c>
      <c r="G258" s="20" t="n">
        <v>13</v>
      </c>
      <c r="I258" s="20" t="n">
        <v>60</v>
      </c>
      <c r="K258" s="20" t="n">
        <v>602</v>
      </c>
      <c r="M258" s="20" t="n">
        <v>614</v>
      </c>
      <c r="O258" s="20" t="n">
        <v>1641</v>
      </c>
      <c r="P258" s="20" t="n">
        <v>299</v>
      </c>
      <c r="Q258" s="20" t="n">
        <v>2421</v>
      </c>
      <c r="R258" s="20" t="n">
        <v>28</v>
      </c>
      <c r="S258" s="20" t="n">
        <v>219</v>
      </c>
      <c r="T258" s="20" t="n">
        <v>166</v>
      </c>
      <c r="U258" s="20" t="n">
        <v>101</v>
      </c>
      <c r="V258" s="20" t="n">
        <v>59</v>
      </c>
      <c r="W258" s="20" t="n">
        <v>60</v>
      </c>
      <c r="X258" s="20" t="n">
        <v>614</v>
      </c>
    </row>
    <row r="259">
      <c r="A259" s="18" t="inlineStr">
        <is>
          <t>자산복구부채 이행 지출</t>
        </is>
      </c>
      <c r="C259" s="20" t="n">
        <v>0</v>
      </c>
      <c r="E259" s="20" t="n">
        <v>0</v>
      </c>
      <c r="G259" s="20" t="n">
        <v>-75</v>
      </c>
      <c r="I259" s="20" t="n">
        <v>-75</v>
      </c>
      <c r="K259" s="20" t="n">
        <v>0</v>
      </c>
      <c r="M259" s="20" t="n">
        <v>0</v>
      </c>
      <c r="O259" s="20" t="n">
        <v>-23</v>
      </c>
      <c r="P259" s="20" t="n">
        <v>-5</v>
      </c>
      <c r="Q259" s="20" t="n">
        <v>-32</v>
      </c>
      <c r="R259" s="20" t="n">
        <v>0</v>
      </c>
      <c r="V259" s="20" t="n">
        <v>0</v>
      </c>
      <c r="W259" s="20" t="n">
        <v>-75</v>
      </c>
      <c r="X259" s="20" t="n">
        <v>0</v>
      </c>
    </row>
    <row r="260">
      <c r="A260" s="18" t="inlineStr">
        <is>
          <t>투자유가증권 취득</t>
        </is>
      </c>
      <c r="C260" s="20" t="n">
        <v>-2</v>
      </c>
      <c r="E260" s="20" t="n">
        <v>-4</v>
      </c>
      <c r="G260" s="20" t="n">
        <v>-2</v>
      </c>
      <c r="I260" s="20" t="n">
        <v>-5</v>
      </c>
      <c r="K260" s="20" t="n">
        <v>-2</v>
      </c>
      <c r="M260" s="20" t="n">
        <v>-5</v>
      </c>
      <c r="O260" s="20" t="n">
        <v>-28</v>
      </c>
      <c r="P260" s="20" t="n">
        <v>-4</v>
      </c>
      <c r="Q260" s="20" t="n">
        <v>-4</v>
      </c>
      <c r="R260" s="20" t="n">
        <v>-242</v>
      </c>
      <c r="S260" s="20" t="n">
        <v>-4</v>
      </c>
      <c r="T260" s="20" t="n">
        <v>-20</v>
      </c>
      <c r="U260" s="20" t="n">
        <v>-4</v>
      </c>
      <c r="V260" s="20" t="n">
        <v>-4</v>
      </c>
      <c r="W260" s="20" t="n">
        <v>-5</v>
      </c>
      <c r="X260" s="20" t="n">
        <v>-5</v>
      </c>
    </row>
    <row r="261">
      <c r="A261" s="18" t="inlineStr">
        <is>
          <t>투자유가증권 매각</t>
        </is>
      </c>
      <c r="E261" s="20" t="n">
        <v>432</v>
      </c>
      <c r="I261" s="20" t="n">
        <v>1</v>
      </c>
      <c r="M261" s="20" t="n">
        <v>0</v>
      </c>
      <c r="O261" s="20" t="n">
        <v>0</v>
      </c>
      <c r="P261" s="20" t="n">
        <v>193</v>
      </c>
      <c r="Q261" s="20" t="n">
        <v>468</v>
      </c>
      <c r="R261" s="20" t="n">
        <v>149</v>
      </c>
      <c r="S261" s="20" t="n">
        <v>663</v>
      </c>
      <c r="T261" s="20" t="n">
        <v>282</v>
      </c>
      <c r="U261" s="20" t="n">
        <v>484</v>
      </c>
      <c r="V261" s="20" t="n">
        <v>432</v>
      </c>
      <c r="W261" s="20" t="n">
        <v>1</v>
      </c>
      <c r="X261" s="20" t="n">
        <v>0</v>
      </c>
    </row>
    <row r="262">
      <c r="A262" s="18" t="inlineStr">
        <is>
          <t>Payments For Acquisition Of Investments In Capital Inv CF</t>
        </is>
      </c>
      <c r="P262" s="20" t="n">
        <v>-0</v>
      </c>
      <c r="Q262" s="20" t="n">
        <v>-0</v>
      </c>
    </row>
    <row r="263">
      <c r="A263" s="18" t="inlineStr">
        <is>
          <t>Proceeds From Sales Of Investments In Capital Inv CF</t>
        </is>
      </c>
      <c r="P263" s="20" t="n">
        <v>0</v>
      </c>
      <c r="Q263" s="20" t="n">
        <v>21</v>
      </c>
    </row>
    <row r="264">
      <c r="A264" s="18" t="inlineStr">
        <is>
          <t>연결범위 변경 자회사 주식 매각(지출)</t>
        </is>
      </c>
      <c r="O264" s="20" t="n">
        <v>0</v>
      </c>
      <c r="P264" s="20" t="n">
        <v>-51</v>
      </c>
      <c r="Q264" s="20" t="n">
        <v>0</v>
      </c>
    </row>
    <row r="265">
      <c r="A265" s="18" t="inlineStr">
        <is>
          <t>자회사 청산 수입</t>
        </is>
      </c>
      <c r="C265" s="20" t="n">
        <v>0</v>
      </c>
      <c r="E265" s="20" t="n">
        <v>0</v>
      </c>
      <c r="T265" s="20" t="n">
        <v>0</v>
      </c>
      <c r="U265" s="20" t="n">
        <v>6</v>
      </c>
      <c r="V265" s="20" t="n">
        <v>0</v>
      </c>
    </row>
    <row r="266">
      <c r="A266" s="18" t="inlineStr">
        <is>
          <t>관계회사 주식 취득</t>
        </is>
      </c>
      <c r="G266" s="20" t="n">
        <v>0</v>
      </c>
      <c r="I266" s="20" t="n">
        <v>0</v>
      </c>
      <c r="K266" s="20" t="n">
        <v>-50</v>
      </c>
      <c r="M266" s="20" t="n">
        <v>-50</v>
      </c>
      <c r="W266" s="20" t="n">
        <v>0</v>
      </c>
      <c r="X266" s="20" t="n">
        <v>-50</v>
      </c>
    </row>
    <row r="267">
      <c r="A267" s="18" t="inlineStr">
        <is>
          <t>관계회사 주식 매각</t>
        </is>
      </c>
      <c r="C267" s="20" t="n">
        <v>0</v>
      </c>
      <c r="E267" s="20" t="n">
        <v>0</v>
      </c>
      <c r="G267" s="20" t="n">
        <v>4</v>
      </c>
      <c r="I267" s="20" t="n">
        <v>4</v>
      </c>
      <c r="K267" s="20" t="n">
        <v>0</v>
      </c>
      <c r="M267" s="20" t="n">
        <v>0</v>
      </c>
      <c r="Q267" s="20" t="n">
        <v>0</v>
      </c>
      <c r="R267" s="20" t="n">
        <v>1</v>
      </c>
      <c r="S267" s="20" t="n">
        <v>12</v>
      </c>
      <c r="T267" s="20" t="n">
        <v>0</v>
      </c>
      <c r="V267" s="20" t="n">
        <v>0</v>
      </c>
      <c r="W267" s="20" t="n">
        <v>4</v>
      </c>
      <c r="X267" s="20" t="n">
        <v>0</v>
      </c>
    </row>
    <row r="268">
      <c r="A268" s="18" t="inlineStr">
        <is>
          <t>연결범위 변경 자회사 주식 취득(수입)</t>
        </is>
      </c>
      <c r="C268" s="20" t="n">
        <v>0</v>
      </c>
      <c r="E268" s="20" t="n">
        <v>0</v>
      </c>
      <c r="G268" s="20" t="n">
        <v>189</v>
      </c>
      <c r="I268" s="20" t="n">
        <v>189</v>
      </c>
      <c r="K268" s="20" t="n">
        <v>0</v>
      </c>
      <c r="M268" s="20" t="n">
        <v>0</v>
      </c>
      <c r="P268" s="20" t="n">
        <v>0</v>
      </c>
      <c r="Q268" s="20" t="n">
        <v>3</v>
      </c>
      <c r="R268" s="20" t="n">
        <v>0</v>
      </c>
      <c r="V268" s="20" t="n">
        <v>0</v>
      </c>
      <c r="W268" s="20" t="n">
        <v>189</v>
      </c>
      <c r="X268" s="20" t="n">
        <v>0</v>
      </c>
    </row>
    <row r="269">
      <c r="A269" s="18" t="inlineStr">
        <is>
          <t>연결범위 변동 없는 자회사 주식 매각 수입</t>
        </is>
      </c>
      <c r="P269" s="20" t="n">
        <v>0</v>
      </c>
      <c r="Q269" s="20" t="n">
        <v>345</v>
      </c>
      <c r="R269" s="20" t="n">
        <v>0</v>
      </c>
    </row>
    <row r="270">
      <c r="A270" s="18" t="inlineStr">
        <is>
          <t>Proceeds From Absorption Type Company Split Inv CF</t>
        </is>
      </c>
      <c r="P270" s="20" t="n">
        <v>0</v>
      </c>
      <c r="Q270" s="20" t="n">
        <v>300</v>
      </c>
      <c r="R270" s="20" t="n">
        <v>0</v>
      </c>
    </row>
    <row r="271">
      <c r="A271" s="18" t="inlineStr">
        <is>
          <t>대여</t>
        </is>
      </c>
      <c r="C271" s="20" t="n">
        <v>-105</v>
      </c>
      <c r="E271" s="20" t="n">
        <v>-150</v>
      </c>
      <c r="G271" s="20" t="n">
        <v>-4</v>
      </c>
      <c r="I271" s="20" t="n">
        <v>-4</v>
      </c>
      <c r="K271" s="20" t="n">
        <v>-1</v>
      </c>
      <c r="M271" s="20" t="n">
        <v>-1</v>
      </c>
      <c r="O271" s="20" t="n">
        <v>-312</v>
      </c>
      <c r="P271" s="20" t="n">
        <v>-387</v>
      </c>
      <c r="Q271" s="20" t="n">
        <v>-341</v>
      </c>
      <c r="R271" s="20" t="n">
        <v>-448</v>
      </c>
      <c r="S271" s="20" t="n">
        <v>-305</v>
      </c>
      <c r="T271" s="20" t="n">
        <v>-200</v>
      </c>
      <c r="U271" s="20" t="n">
        <v>-25</v>
      </c>
      <c r="V271" s="20" t="n">
        <v>-150</v>
      </c>
      <c r="W271" s="20" t="n">
        <v>-4</v>
      </c>
      <c r="X271" s="20" t="n">
        <v>-1</v>
      </c>
    </row>
    <row r="272">
      <c r="A272" s="18" t="inlineStr">
        <is>
          <t>대여금 회수</t>
        </is>
      </c>
      <c r="C272" s="20" t="n">
        <v>1</v>
      </c>
      <c r="E272" s="20" t="n">
        <v>12</v>
      </c>
      <c r="G272" s="20" t="n">
        <v>4</v>
      </c>
      <c r="I272" s="20" t="n">
        <v>96</v>
      </c>
      <c r="K272" s="20" t="n">
        <v>8</v>
      </c>
      <c r="M272" s="20" t="n">
        <v>13</v>
      </c>
      <c r="O272" s="20" t="n">
        <v>185</v>
      </c>
      <c r="P272" s="20" t="n">
        <v>233</v>
      </c>
      <c r="Q272" s="20" t="n">
        <v>272</v>
      </c>
      <c r="R272" s="20" t="n">
        <v>271</v>
      </c>
      <c r="S272" s="20" t="n">
        <v>293</v>
      </c>
      <c r="T272" s="20" t="n">
        <v>603</v>
      </c>
      <c r="U272" s="20" t="n">
        <v>168</v>
      </c>
      <c r="V272" s="20" t="n">
        <v>12</v>
      </c>
      <c r="W272" s="20" t="n">
        <v>96</v>
      </c>
      <c r="X272" s="20" t="n">
        <v>13</v>
      </c>
    </row>
    <row r="273">
      <c r="A273" s="18" t="inlineStr">
        <is>
          <t>Proceeds From Subsidy Income Inv CF</t>
        </is>
      </c>
      <c r="E273" s="20" t="n">
        <v>0</v>
      </c>
      <c r="O273" s="20" t="n">
        <v>0</v>
      </c>
      <c r="P273" s="20" t="n">
        <v>267</v>
      </c>
      <c r="Q273" s="20" t="n">
        <v>2</v>
      </c>
      <c r="R273" s="20" t="n">
        <v>0</v>
      </c>
      <c r="S273" s="20" t="n">
        <v>35</v>
      </c>
      <c r="T273" s="20" t="n">
        <v>696</v>
      </c>
      <c r="U273" s="20" t="n">
        <v>1</v>
      </c>
      <c r="V273" s="20" t="n">
        <v>0</v>
      </c>
    </row>
    <row r="274">
      <c r="A274" s="18" t="inlineStr">
        <is>
          <t>사업양도 수입</t>
        </is>
      </c>
      <c r="E274" s="20" t="n">
        <v>0</v>
      </c>
      <c r="I274" s="20" t="n">
        <v>10</v>
      </c>
      <c r="M274" s="20" t="n">
        <v>0</v>
      </c>
      <c r="O274" s="20" t="n">
        <v>255</v>
      </c>
      <c r="P274" s="20" t="n">
        <v>0</v>
      </c>
      <c r="R274" s="20" t="n">
        <v>0</v>
      </c>
      <c r="S274" s="20" t="n">
        <v>15</v>
      </c>
      <c r="T274" s="20" t="n">
        <v>0</v>
      </c>
      <c r="V274" s="20" t="n">
        <v>0</v>
      </c>
      <c r="W274" s="20" t="n">
        <v>10</v>
      </c>
      <c r="X274" s="20" t="n">
        <v>0</v>
      </c>
    </row>
    <row r="275">
      <c r="A275" s="18" t="inlineStr">
        <is>
          <t>이자·배당금 수취</t>
        </is>
      </c>
      <c r="C275" s="20" t="n">
        <v>125</v>
      </c>
      <c r="E275" s="20" t="n">
        <v>175</v>
      </c>
      <c r="G275" s="20" t="n">
        <v>132</v>
      </c>
      <c r="I275" s="20" t="n">
        <v>183</v>
      </c>
      <c r="K275" s="20" t="n">
        <v>165</v>
      </c>
      <c r="M275" s="20" t="n">
        <v>230</v>
      </c>
      <c r="O275" s="20" t="n">
        <v>158</v>
      </c>
      <c r="P275" s="20" t="n">
        <v>168</v>
      </c>
      <c r="Q275" s="20" t="n">
        <v>179</v>
      </c>
      <c r="R275" s="20" t="n">
        <v>179</v>
      </c>
      <c r="S275" s="20" t="n">
        <v>180</v>
      </c>
      <c r="T275" s="20" t="n">
        <v>164</v>
      </c>
      <c r="U275" s="20" t="n">
        <v>162</v>
      </c>
      <c r="V275" s="20" t="n">
        <v>175</v>
      </c>
      <c r="W275" s="20" t="n">
        <v>183</v>
      </c>
      <c r="X275" s="20" t="n">
        <v>230</v>
      </c>
    </row>
    <row r="276">
      <c r="A276" s="18" t="inlineStr">
        <is>
          <t>기타</t>
        </is>
      </c>
      <c r="C276" s="20" t="n">
        <v>13</v>
      </c>
      <c r="E276" s="20" t="n">
        <v>-44</v>
      </c>
      <c r="G276" s="20" t="n">
        <v>-0</v>
      </c>
      <c r="I276" s="20" t="n">
        <v>109</v>
      </c>
      <c r="K276" s="20" t="n">
        <v>-1</v>
      </c>
      <c r="M276" s="20" t="n">
        <v>-37</v>
      </c>
      <c r="O276" s="20" t="n">
        <v>-34</v>
      </c>
      <c r="P276" s="20" t="n">
        <v>-44</v>
      </c>
      <c r="Q276" s="20" t="n">
        <v>-26</v>
      </c>
      <c r="R276" s="20" t="n">
        <v>-59</v>
      </c>
      <c r="S276" s="20" t="n">
        <v>-64</v>
      </c>
      <c r="T276" s="20" t="n">
        <v>-21</v>
      </c>
      <c r="U276" s="20" t="n">
        <v>-12</v>
      </c>
      <c r="V276" s="20" t="n">
        <v>-44</v>
      </c>
      <c r="W276" s="20" t="n">
        <v>109</v>
      </c>
      <c r="X276" s="20" t="n">
        <v>-37</v>
      </c>
    </row>
    <row r="277">
      <c r="A277" s="9" t="inlineStr">
        <is>
          <t>투자활동 현금흐름</t>
        </is>
      </c>
      <c r="C277" s="12" t="n">
        <v>-1210</v>
      </c>
      <c r="E277" s="12" t="n">
        <v>-2168</v>
      </c>
      <c r="G277" s="12" t="n">
        <v>-1457</v>
      </c>
      <c r="I277" s="12" t="n">
        <v>-3088</v>
      </c>
      <c r="K277" s="12" t="n">
        <v>-6572</v>
      </c>
      <c r="M277" s="12" t="n">
        <v>-11552</v>
      </c>
      <c r="O277" s="12" t="n">
        <v>-891</v>
      </c>
      <c r="P277" s="12" t="n">
        <v>-7454</v>
      </c>
      <c r="Q277" s="12" t="n">
        <v>-158</v>
      </c>
      <c r="R277" s="12" t="n">
        <v>-7475</v>
      </c>
      <c r="S277" s="12" t="n">
        <v>-5989</v>
      </c>
      <c r="T277" s="12" t="n">
        <v>-952</v>
      </c>
      <c r="U277" s="12" t="n">
        <v>-1187</v>
      </c>
      <c r="V277" s="12" t="n">
        <v>-2168</v>
      </c>
      <c r="W277" s="12" t="n">
        <v>-3088</v>
      </c>
      <c r="X277" s="12" t="n">
        <v>-11552</v>
      </c>
    </row>
    <row r="278">
      <c r="A278" s="18" t="inlineStr">
        <is>
          <t>단기차입금 순증감</t>
        </is>
      </c>
      <c r="C278" s="20" t="n">
        <v>-9485</v>
      </c>
      <c r="E278" s="20" t="n">
        <v>-6287</v>
      </c>
      <c r="G278" s="20" t="n">
        <v>-2678</v>
      </c>
      <c r="I278" s="20" t="n">
        <v>-1998</v>
      </c>
      <c r="K278" s="20" t="n">
        <v>-5260</v>
      </c>
      <c r="M278" s="20" t="n">
        <v>-6570</v>
      </c>
      <c r="O278" s="20" t="n">
        <v>-3925</v>
      </c>
      <c r="P278" s="20" t="n">
        <v>3970</v>
      </c>
      <c r="Q278" s="20" t="n">
        <v>-3004</v>
      </c>
      <c r="R278" s="20" t="n">
        <v>6436</v>
      </c>
      <c r="S278" s="20" t="n">
        <v>-6705</v>
      </c>
      <c r="T278" s="20" t="n">
        <v>1740</v>
      </c>
      <c r="U278" s="20" t="n">
        <v>5560</v>
      </c>
      <c r="V278" s="20" t="n">
        <v>-6287</v>
      </c>
      <c r="W278" s="20" t="n">
        <v>-1998</v>
      </c>
      <c r="X278" s="20" t="n">
        <v>-6570</v>
      </c>
    </row>
    <row r="279">
      <c r="A279" s="18" t="inlineStr">
        <is>
          <t>장기차입</t>
        </is>
      </c>
      <c r="C279" s="20" t="n">
        <v>3650</v>
      </c>
      <c r="E279" s="20" t="n">
        <v>3850</v>
      </c>
      <c r="G279" s="20" t="n">
        <v>0</v>
      </c>
      <c r="I279" s="20" t="n">
        <v>1350</v>
      </c>
      <c r="K279" s="20" t="n">
        <v>10000</v>
      </c>
      <c r="M279" s="20" t="n">
        <v>10000</v>
      </c>
      <c r="O279" s="20" t="n">
        <v>1117</v>
      </c>
      <c r="P279" s="20" t="n">
        <v>320</v>
      </c>
      <c r="Q279" s="20" t="n">
        <v>2214</v>
      </c>
      <c r="R279" s="20" t="n">
        <v>3933</v>
      </c>
      <c r="S279" s="20" t="n">
        <v>7650</v>
      </c>
      <c r="T279" s="20" t="n">
        <v>1145</v>
      </c>
      <c r="U279" s="20" t="n">
        <v>10500</v>
      </c>
      <c r="V279" s="20" t="n">
        <v>3850</v>
      </c>
      <c r="W279" s="20" t="n">
        <v>1350</v>
      </c>
      <c r="X279" s="20" t="n">
        <v>10000</v>
      </c>
    </row>
    <row r="280">
      <c r="A280" s="18" t="inlineStr">
        <is>
          <t>장기차입금 상환</t>
        </is>
      </c>
      <c r="C280" s="20" t="n">
        <v>-877</v>
      </c>
      <c r="E280" s="20" t="n">
        <v>-1815</v>
      </c>
      <c r="G280" s="20" t="n">
        <v>-945</v>
      </c>
      <c r="I280" s="20" t="n">
        <v>-3838</v>
      </c>
      <c r="K280" s="20" t="n">
        <v>-5546</v>
      </c>
      <c r="M280" s="20" t="n">
        <v>-6088</v>
      </c>
      <c r="O280" s="20" t="n">
        <v>-6521</v>
      </c>
      <c r="P280" s="20" t="n">
        <v>-4665</v>
      </c>
      <c r="Q280" s="20" t="n">
        <v>-3055</v>
      </c>
      <c r="R280" s="20" t="n">
        <v>-2821</v>
      </c>
      <c r="S280" s="20" t="n">
        <v>-1345</v>
      </c>
      <c r="T280" s="20" t="n">
        <v>-1958</v>
      </c>
      <c r="U280" s="20" t="n">
        <v>-1877</v>
      </c>
      <c r="V280" s="20" t="n">
        <v>-1815</v>
      </c>
      <c r="W280" s="20" t="n">
        <v>-3838</v>
      </c>
      <c r="X280" s="20" t="n">
        <v>-6088</v>
      </c>
    </row>
    <row r="281">
      <c r="A281" s="18" t="inlineStr">
        <is>
          <t>이자 지급</t>
        </is>
      </c>
      <c r="C281" s="20" t="n">
        <v>-95</v>
      </c>
      <c r="E281" s="20" t="n">
        <v>-186</v>
      </c>
      <c r="G281" s="20" t="n">
        <v>-77</v>
      </c>
      <c r="I281" s="20" t="n">
        <v>-186</v>
      </c>
      <c r="K281" s="20" t="n">
        <v>-126</v>
      </c>
      <c r="M281" s="20" t="n">
        <v>-255</v>
      </c>
      <c r="O281" s="20" t="n">
        <v>-190</v>
      </c>
      <c r="P281" s="20" t="n">
        <v>-143</v>
      </c>
      <c r="Q281" s="20" t="n">
        <v>-114</v>
      </c>
      <c r="R281" s="20" t="n">
        <v>-106</v>
      </c>
      <c r="S281" s="20" t="n">
        <v>-98</v>
      </c>
      <c r="T281" s="20" t="n">
        <v>-96</v>
      </c>
      <c r="U281" s="20" t="n">
        <v>-147</v>
      </c>
      <c r="V281" s="20" t="n">
        <v>-186</v>
      </c>
      <c r="W281" s="20" t="n">
        <v>-186</v>
      </c>
      <c r="X281" s="20" t="n">
        <v>-255</v>
      </c>
    </row>
    <row r="282">
      <c r="A282" s="18" t="inlineStr">
        <is>
          <t>배당금 지급</t>
        </is>
      </c>
      <c r="C282" s="20" t="n">
        <v>-482</v>
      </c>
      <c r="E282" s="20" t="n">
        <v>-963</v>
      </c>
      <c r="G282" s="20" t="n">
        <v>-558</v>
      </c>
      <c r="I282" s="20" t="n">
        <v>-1114</v>
      </c>
      <c r="K282" s="20" t="n">
        <v>-808</v>
      </c>
      <c r="M282" s="20" t="n">
        <v>-1614</v>
      </c>
      <c r="O282" s="20" t="n">
        <v>-788</v>
      </c>
      <c r="P282" s="20" t="n">
        <v>-886</v>
      </c>
      <c r="Q282" s="20" t="n">
        <v>-886</v>
      </c>
      <c r="R282" s="20" t="n">
        <v>-888</v>
      </c>
      <c r="S282" s="20" t="n">
        <v>-1475</v>
      </c>
      <c r="T282" s="20" t="n">
        <v>-971</v>
      </c>
      <c r="U282" s="20" t="n">
        <v>-967</v>
      </c>
      <c r="V282" s="20" t="n">
        <v>-963</v>
      </c>
      <c r="W282" s="20" t="n">
        <v>-1114</v>
      </c>
      <c r="X282" s="20" t="n">
        <v>-1614</v>
      </c>
    </row>
    <row r="283">
      <c r="A283" s="18" t="inlineStr">
        <is>
          <t>비지배주주 배당금 지급</t>
        </is>
      </c>
      <c r="C283" s="20" t="n">
        <v>0</v>
      </c>
      <c r="E283" s="20" t="n">
        <v>0</v>
      </c>
      <c r="G283" s="20" t="n">
        <v>-7</v>
      </c>
      <c r="I283" s="20" t="n">
        <v>-7</v>
      </c>
      <c r="K283" s="20" t="n">
        <v>-6</v>
      </c>
      <c r="M283" s="20" t="n">
        <v>-6</v>
      </c>
      <c r="V283" s="20" t="n">
        <v>0</v>
      </c>
      <c r="W283" s="20" t="n">
        <v>-7</v>
      </c>
      <c r="X283" s="20" t="n">
        <v>-6</v>
      </c>
    </row>
    <row r="284">
      <c r="A284" s="18" t="inlineStr">
        <is>
          <t>리스부채 상환</t>
        </is>
      </c>
      <c r="C284" s="20" t="n">
        <v>-64</v>
      </c>
      <c r="E284" s="20" t="n">
        <v>-129</v>
      </c>
      <c r="G284" s="20" t="n">
        <v>-71</v>
      </c>
      <c r="I284" s="20" t="n">
        <v>-141</v>
      </c>
      <c r="K284" s="20" t="n">
        <v>-70</v>
      </c>
      <c r="M284" s="20" t="n">
        <v>-144</v>
      </c>
      <c r="O284" s="20" t="n">
        <v>-64</v>
      </c>
      <c r="P284" s="20" t="n">
        <v>-60</v>
      </c>
      <c r="Q284" s="20" t="n">
        <v>-36</v>
      </c>
      <c r="R284" s="20" t="n">
        <v>-45</v>
      </c>
      <c r="S284" s="20" t="n">
        <v>-112</v>
      </c>
      <c r="T284" s="20" t="n">
        <v>-136</v>
      </c>
      <c r="U284" s="20" t="n">
        <v>-132</v>
      </c>
      <c r="V284" s="20" t="n">
        <v>-129</v>
      </c>
      <c r="W284" s="20" t="n">
        <v>-141</v>
      </c>
      <c r="X284" s="20" t="n">
        <v>-144</v>
      </c>
    </row>
    <row r="285">
      <c r="A285" s="18" t="inlineStr">
        <is>
          <t>세일앤리스백 수입</t>
        </is>
      </c>
      <c r="R285" s="20" t="n">
        <v>0</v>
      </c>
      <c r="S285" s="20" t="n">
        <v>543</v>
      </c>
      <c r="T285" s="20" t="n">
        <v>0</v>
      </c>
    </row>
    <row r="286">
      <c r="A286" s="18" t="inlineStr">
        <is>
          <t>지급수수료 지급</t>
        </is>
      </c>
      <c r="C286" s="20" t="n">
        <v>-8</v>
      </c>
      <c r="G286" s="20" t="n">
        <v>-30</v>
      </c>
      <c r="K286" s="20" t="n">
        <v>-64</v>
      </c>
    </row>
    <row r="287">
      <c r="A287" s="18" t="inlineStr">
        <is>
          <t>연결범위 변경 없는 자회사 주식 취득</t>
        </is>
      </c>
      <c r="E287" s="20" t="n">
        <v>0</v>
      </c>
      <c r="I287" s="20" t="n">
        <v>-8</v>
      </c>
      <c r="M287" s="20" t="n">
        <v>-19</v>
      </c>
      <c r="V287" s="20" t="n">
        <v>0</v>
      </c>
      <c r="W287" s="20" t="n">
        <v>-8</v>
      </c>
      <c r="X287" s="20" t="n">
        <v>-19</v>
      </c>
    </row>
    <row r="288">
      <c r="A288" s="18" t="inlineStr">
        <is>
          <t>지급수수료 지급</t>
        </is>
      </c>
      <c r="E288" s="20" t="n">
        <v>-14</v>
      </c>
      <c r="I288" s="20" t="n">
        <v>-36</v>
      </c>
      <c r="M288" s="20" t="n">
        <v>-70</v>
      </c>
      <c r="T288" s="20" t="n">
        <v>-1</v>
      </c>
      <c r="U288" s="20" t="n">
        <v>-78</v>
      </c>
      <c r="V288" s="20" t="n">
        <v>-14</v>
      </c>
      <c r="W288" s="20" t="n">
        <v>-36</v>
      </c>
      <c r="X288" s="20" t="n">
        <v>-70</v>
      </c>
    </row>
    <row r="289">
      <c r="A289" s="18" t="inlineStr">
        <is>
          <t>자기주식 취득</t>
        </is>
      </c>
      <c r="C289" s="20" t="n">
        <v>-1</v>
      </c>
      <c r="E289" s="20" t="n">
        <v>-1</v>
      </c>
      <c r="G289" s="20" t="n">
        <v>-0</v>
      </c>
      <c r="I289" s="20" t="n">
        <v>-88</v>
      </c>
      <c r="K289" s="20" t="n">
        <v>-0</v>
      </c>
      <c r="M289" s="20" t="n">
        <v>-0</v>
      </c>
      <c r="P289" s="20" t="n">
        <v>-0</v>
      </c>
      <c r="Q289" s="20" t="n">
        <v>-117</v>
      </c>
      <c r="R289" s="20" t="n">
        <v>-0</v>
      </c>
      <c r="S289" s="20" t="n">
        <v>-10</v>
      </c>
      <c r="T289" s="20" t="n">
        <v>-1027</v>
      </c>
      <c r="U289" s="20" t="n">
        <v>-1</v>
      </c>
      <c r="V289" s="20" t="n">
        <v>-1</v>
      </c>
      <c r="W289" s="20" t="n">
        <v>-88</v>
      </c>
      <c r="X289" s="20" t="n">
        <v>-0</v>
      </c>
    </row>
    <row r="290">
      <c r="A290" s="18" t="inlineStr">
        <is>
          <t>자기주식 매각</t>
        </is>
      </c>
      <c r="C290" s="20" t="n">
        <v>73</v>
      </c>
      <c r="E290" s="20" t="n">
        <v>73</v>
      </c>
      <c r="G290" s="20" t="n">
        <v>17</v>
      </c>
      <c r="I290" s="20" t="n">
        <v>56</v>
      </c>
      <c r="K290" s="20" t="n">
        <v>38</v>
      </c>
      <c r="M290" s="20" t="n">
        <v>38</v>
      </c>
      <c r="P290" s="20" t="n">
        <v>0</v>
      </c>
      <c r="Q290" s="20" t="n">
        <v>63</v>
      </c>
      <c r="R290" s="20" t="n">
        <v>4</v>
      </c>
      <c r="S290" s="20" t="n">
        <v>3</v>
      </c>
      <c r="T290" s="20" t="n">
        <v>132</v>
      </c>
      <c r="U290" s="20" t="n">
        <v>27</v>
      </c>
      <c r="V290" s="20" t="n">
        <v>73</v>
      </c>
      <c r="W290" s="20" t="n">
        <v>56</v>
      </c>
      <c r="X290" s="20" t="n">
        <v>38</v>
      </c>
    </row>
    <row r="291">
      <c r="A291" s="18" t="inlineStr">
        <is>
          <t>기타</t>
        </is>
      </c>
      <c r="O291" s="20" t="n">
        <v>-0</v>
      </c>
      <c r="P291" s="20" t="n">
        <v>135</v>
      </c>
      <c r="Q291" s="20" t="n">
        <v>0</v>
      </c>
    </row>
    <row r="292">
      <c r="A292" s="9" t="inlineStr">
        <is>
          <t>재무활동 현금흐름</t>
        </is>
      </c>
      <c r="C292" s="12" t="n">
        <v>-7290</v>
      </c>
      <c r="E292" s="12" t="n">
        <v>-5474</v>
      </c>
      <c r="G292" s="12" t="n">
        <v>-4351</v>
      </c>
      <c r="I292" s="12" t="n">
        <v>-6011</v>
      </c>
      <c r="K292" s="12" t="n">
        <v>-1843</v>
      </c>
      <c r="M292" s="12" t="n">
        <v>-4732</v>
      </c>
      <c r="O292" s="12" t="n">
        <v>-10373</v>
      </c>
      <c r="P292" s="12" t="n">
        <v>-1330</v>
      </c>
      <c r="Q292" s="12" t="n">
        <v>-4937</v>
      </c>
      <c r="R292" s="12" t="n">
        <v>6512</v>
      </c>
      <c r="S292" s="12" t="n">
        <v>-1550</v>
      </c>
      <c r="T292" s="12" t="n">
        <v>-1174</v>
      </c>
      <c r="U292" s="12" t="n">
        <v>12881</v>
      </c>
      <c r="V292" s="12" t="n">
        <v>-5474</v>
      </c>
      <c r="W292" s="12" t="n">
        <v>-6011</v>
      </c>
      <c r="X292" s="12" t="n">
        <v>-4732</v>
      </c>
    </row>
    <row r="293">
      <c r="A293" s="18" t="inlineStr">
        <is>
          <t>현금성자산 증감</t>
        </is>
      </c>
      <c r="C293" s="20" t="n">
        <v>3998</v>
      </c>
      <c r="E293" s="20" t="n">
        <v>3495</v>
      </c>
      <c r="G293" s="20" t="n">
        <v>-1353</v>
      </c>
      <c r="I293" s="20" t="n">
        <v>-530</v>
      </c>
      <c r="K293" s="20" t="n">
        <v>-244</v>
      </c>
      <c r="M293" s="20" t="n">
        <v>806</v>
      </c>
      <c r="O293" s="20" t="n">
        <v>513</v>
      </c>
      <c r="P293" s="20" t="n">
        <v>414</v>
      </c>
      <c r="Q293" s="20" t="n">
        <v>-253</v>
      </c>
      <c r="R293" s="20" t="n">
        <v>164</v>
      </c>
      <c r="S293" s="20" t="n">
        <v>197</v>
      </c>
      <c r="T293" s="20" t="n">
        <v>614</v>
      </c>
      <c r="U293" s="20" t="n">
        <v>3877</v>
      </c>
      <c r="V293" s="20" t="n">
        <v>3495</v>
      </c>
      <c r="W293" s="20" t="n">
        <v>-530</v>
      </c>
      <c r="X293" s="20" t="n">
        <v>806</v>
      </c>
    </row>
    <row r="294">
      <c r="A294" s="18" t="inlineStr">
        <is>
          <t>Decrease In Cash And Cash Equivalents Resulting From Corporate Division CF</t>
        </is>
      </c>
      <c r="P294" s="20" t="n">
        <v>0</v>
      </c>
      <c r="Q294" s="20" t="n">
        <v>-2</v>
      </c>
      <c r="R294" s="20" t="n">
        <v>0</v>
      </c>
    </row>
    <row r="295">
      <c r="A295" s="18" t="inlineStr">
        <is>
          <t>연결 제외 현금성자산 감소</t>
        </is>
      </c>
      <c r="R295" s="20" t="n">
        <v>0</v>
      </c>
      <c r="S295" s="20" t="n">
        <v>-23</v>
      </c>
      <c r="T295" s="20" t="n">
        <v>0</v>
      </c>
    </row>
  </sheetData>
  <pageMargins left="0.75" right="0.75" top="1" bottom="1" header="0.5" footer="0.5"/>
  <pageSetup orientation="landscape" paperSize="8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L137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20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30" customHeight="1">
      <c r="A1" s="1" t="inlineStr">
        <is>
          <t>2060 재무상태표</t>
        </is>
      </c>
    </row>
    <row r="2">
      <c r="A2" s="44" t="inlineStr">
        <is>
          <t>재무비율은 기말 잔액 기준 · 분기 손익은 최근 4분기 합산(TTM)</t>
        </is>
      </c>
      <c r="B2" s="3" t="inlineStr">
        <is>
          <t>(단위: 백만엔)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2026.1Q</t>
        </is>
      </c>
      <c r="D3" s="5" t="inlineStr">
        <is>
          <t>2026.2Q</t>
        </is>
      </c>
      <c r="E3" s="5" t="inlineStr">
        <is>
          <t>2026.3Q</t>
        </is>
      </c>
      <c r="F3" s="5" t="inlineStr">
        <is>
          <t>2026.4Q</t>
        </is>
      </c>
      <c r="G3" s="5" t="inlineStr">
        <is>
          <t>2027.1Q</t>
        </is>
      </c>
      <c r="H3" s="6" t="inlineStr">
        <is>
          <t>2022</t>
        </is>
      </c>
      <c r="I3" s="5" t="inlineStr">
        <is>
          <t>2023</t>
        </is>
      </c>
      <c r="J3" s="5" t="inlineStr">
        <is>
          <t>2024</t>
        </is>
      </c>
      <c r="K3" s="5" t="inlineStr">
        <is>
          <t>2025</t>
        </is>
      </c>
      <c r="L3" s="5" t="inlineStr">
        <is>
          <t>2026</t>
        </is>
      </c>
    </row>
    <row r="4">
      <c r="A4" s="16" t="inlineStr">
        <is>
          <t>자산</t>
        </is>
      </c>
      <c r="B4" s="16" t="n"/>
      <c r="C4" s="17" t="n"/>
      <c r="D4" s="16" t="n"/>
      <c r="E4" s="16" t="n"/>
      <c r="F4" s="16" t="n"/>
      <c r="G4" s="16" t="n"/>
      <c r="H4" s="17" t="n"/>
      <c r="I4" s="16" t="n"/>
      <c r="J4" s="16" t="n"/>
      <c r="K4" s="16" t="n"/>
      <c r="L4" s="16" t="n"/>
    </row>
    <row r="5">
      <c r="A5" s="9" t="inlineStr">
        <is>
          <t>유동자산</t>
        </is>
      </c>
      <c r="B5" s="10" t="n"/>
      <c r="C5" s="11" t="n">
        <v>77206</v>
      </c>
      <c r="D5" s="12" t="n">
        <v>75135</v>
      </c>
      <c r="E5" s="12" t="n">
        <v>87759</v>
      </c>
      <c r="F5" s="12" t="n">
        <v>78472</v>
      </c>
      <c r="G5" s="12" t="n">
        <v>81325</v>
      </c>
      <c r="H5" s="11" t="n">
        <v>65303</v>
      </c>
      <c r="I5" s="12" t="n">
        <v>85836</v>
      </c>
      <c r="J5" s="12" t="n">
        <v>88204</v>
      </c>
      <c r="K5" s="12" t="n">
        <v>80085</v>
      </c>
      <c r="L5" s="12" t="n">
        <v>78472</v>
      </c>
    </row>
    <row r="6">
      <c r="A6" s="18" t="inlineStr">
        <is>
          <t>현금및현금성자산</t>
        </is>
      </c>
      <c r="B6" s="10" t="n"/>
      <c r="C6" s="19" t="n">
        <v>9812</v>
      </c>
      <c r="D6" s="20" t="n">
        <v>10098</v>
      </c>
      <c r="E6" s="20" t="n">
        <v>12238</v>
      </c>
      <c r="F6" s="20" t="n">
        <v>11138</v>
      </c>
      <c r="G6" s="20" t="n">
        <v>11876</v>
      </c>
      <c r="H6" s="19" t="n">
        <v>3500</v>
      </c>
      <c r="I6" s="20" t="n">
        <v>7379</v>
      </c>
      <c r="J6" s="20" t="n">
        <v>10876</v>
      </c>
      <c r="K6" s="20" t="n">
        <v>10342</v>
      </c>
      <c r="L6" s="20" t="n">
        <v>11138</v>
      </c>
    </row>
    <row r="7">
      <c r="A7" s="18" t="inlineStr">
        <is>
          <t>단기금융상품</t>
        </is>
      </c>
      <c r="B7" s="10" t="n"/>
      <c r="C7" s="19" t="n"/>
      <c r="D7" s="20" t="n"/>
      <c r="E7" s="20" t="n"/>
      <c r="F7" s="20" t="n"/>
      <c r="G7" s="20" t="n"/>
      <c r="H7" s="19" t="n"/>
      <c r="I7" s="20" t="n"/>
      <c r="J7" s="20" t="n"/>
      <c r="K7" s="20" t="n"/>
      <c r="L7" s="20" t="n"/>
    </row>
    <row r="8">
      <c r="A8" s="18" t="inlineStr">
        <is>
          <t>매출채권</t>
        </is>
      </c>
      <c r="B8" s="10" t="n"/>
      <c r="C8" s="19" t="n">
        <v>41528</v>
      </c>
      <c r="D8" s="20" t="n">
        <v>40345</v>
      </c>
      <c r="E8" s="20" t="n">
        <v>49147</v>
      </c>
      <c r="F8" s="20" t="n">
        <v>40443</v>
      </c>
      <c r="G8" s="20" t="n">
        <v>42881</v>
      </c>
      <c r="H8" s="19" t="n">
        <v>40359</v>
      </c>
      <c r="I8" s="20" t="n">
        <v>51375</v>
      </c>
      <c r="J8" s="20" t="n">
        <v>51829</v>
      </c>
      <c r="K8" s="20" t="n">
        <v>43211</v>
      </c>
      <c r="L8" s="20" t="n">
        <v>40443</v>
      </c>
    </row>
    <row r="9">
      <c r="A9" s="18" t="inlineStr">
        <is>
          <t>재고자산</t>
        </is>
      </c>
      <c r="B9" s="10" t="n"/>
      <c r="C9" s="19" t="n">
        <v>17256</v>
      </c>
      <c r="D9" s="20" t="n">
        <v>15738</v>
      </c>
      <c r="E9" s="20" t="n">
        <v>16132</v>
      </c>
      <c r="F9" s="20" t="n">
        <v>17289</v>
      </c>
      <c r="G9" s="20" t="n">
        <v>16615</v>
      </c>
      <c r="H9" s="19" t="n">
        <v>15614</v>
      </c>
      <c r="I9" s="20" t="n">
        <v>20226</v>
      </c>
      <c r="J9" s="20" t="n">
        <v>16897</v>
      </c>
      <c r="K9" s="20" t="n">
        <v>19021</v>
      </c>
      <c r="L9" s="20" t="n">
        <v>17289</v>
      </c>
    </row>
    <row r="10">
      <c r="A10" s="18" t="inlineStr">
        <is>
          <t>기타유동자산</t>
        </is>
      </c>
      <c r="B10" s="10" t="inlineStr">
        <is>
          <t>총계 − 위 항목</t>
        </is>
      </c>
      <c r="C10" s="19">
        <f>IF(OR(C5=""),"",IFERROR(C5-SUM(C6,C7,C8,C9),""))</f>
        <v/>
      </c>
      <c r="D10" s="20">
        <f>IF(OR(D5=""),"",IFERROR(D5-SUM(D6,D7,D8,D9),""))</f>
        <v/>
      </c>
      <c r="E10" s="20">
        <f>IF(OR(E5=""),"",IFERROR(E5-SUM(E6,E7,E8,E9),""))</f>
        <v/>
      </c>
      <c r="F10" s="20">
        <f>IF(OR(F5=""),"",IFERROR(F5-SUM(F6,F7,F8,F9),""))</f>
        <v/>
      </c>
      <c r="G10" s="20">
        <f>IF(OR(G5=""),"",IFERROR(G5-SUM(G6,G7,G8,G9),""))</f>
        <v/>
      </c>
      <c r="H10" s="19">
        <f>IF(OR(H5=""),"",IFERROR(H5-SUM(H6,H7,H8,H9),""))</f>
        <v/>
      </c>
      <c r="I10" s="20">
        <f>IF(OR(I5=""),"",IFERROR(I5-SUM(I6,I7,I8,I9),""))</f>
        <v/>
      </c>
      <c r="J10" s="20">
        <f>IF(OR(J5=""),"",IFERROR(J5-SUM(J6,J7,J8,J9),""))</f>
        <v/>
      </c>
      <c r="K10" s="20">
        <f>IF(OR(K5=""),"",IFERROR(K5-SUM(K6,K7,K8,K9),""))</f>
        <v/>
      </c>
      <c r="L10" s="20">
        <f>IF(OR(L5=""),"",IFERROR(L5-SUM(L6,L7,L8,L9),""))</f>
        <v/>
      </c>
    </row>
    <row r="11">
      <c r="A11" s="9" t="inlineStr">
        <is>
          <t>비유동자산</t>
        </is>
      </c>
      <c r="B11" s="10" t="n"/>
      <c r="C11" s="11" t="n">
        <v>48940</v>
      </c>
      <c r="D11" s="12" t="n">
        <v>50300</v>
      </c>
      <c r="E11" s="12" t="n">
        <v>51434</v>
      </c>
      <c r="F11" s="12" t="n">
        <v>54547</v>
      </c>
      <c r="G11" s="12" t="n">
        <v>54457</v>
      </c>
      <c r="H11" s="11" t="n">
        <v>43200</v>
      </c>
      <c r="I11" s="12" t="n">
        <v>42076</v>
      </c>
      <c r="J11" s="12" t="n">
        <v>42834</v>
      </c>
      <c r="K11" s="12" t="n">
        <v>44086</v>
      </c>
      <c r="L11" s="12" t="n">
        <v>54547</v>
      </c>
    </row>
    <row r="12">
      <c r="A12" s="18" t="inlineStr">
        <is>
          <t>유형자산</t>
        </is>
      </c>
      <c r="B12" s="10" t="n"/>
      <c r="C12" s="19" t="n">
        <v>35507</v>
      </c>
      <c r="D12" s="20" t="n">
        <v>35967</v>
      </c>
      <c r="E12" s="20" t="n">
        <v>36244</v>
      </c>
      <c r="F12" s="20" t="n">
        <v>38797</v>
      </c>
      <c r="G12" s="20" t="n">
        <v>38807</v>
      </c>
      <c r="H12" s="19" t="n">
        <v>33513</v>
      </c>
      <c r="I12" s="20" t="n">
        <v>31668</v>
      </c>
      <c r="J12" s="20" t="n">
        <v>30181</v>
      </c>
      <c r="K12" s="20" t="n">
        <v>31308</v>
      </c>
      <c r="L12" s="20" t="n">
        <v>38797</v>
      </c>
    </row>
    <row r="13">
      <c r="A13" s="18" t="inlineStr">
        <is>
          <t>무형자산</t>
        </is>
      </c>
      <c r="B13" s="10" t="n"/>
      <c r="C13" s="19" t="n">
        <v>1503</v>
      </c>
      <c r="D13" s="20" t="n">
        <v>1437</v>
      </c>
      <c r="E13" s="20" t="n">
        <v>1346</v>
      </c>
      <c r="F13" s="20" t="n">
        <v>1345</v>
      </c>
      <c r="G13" s="20" t="n">
        <v>1299</v>
      </c>
      <c r="H13" s="19" t="n">
        <v>530</v>
      </c>
      <c r="I13" s="20" t="n">
        <v>916</v>
      </c>
      <c r="J13" s="20" t="n">
        <v>1542</v>
      </c>
      <c r="K13" s="20" t="n">
        <v>1552</v>
      </c>
      <c r="L13" s="20" t="n">
        <v>1345</v>
      </c>
    </row>
    <row r="14">
      <c r="A14" s="18" t="inlineStr">
        <is>
          <t>투자부동산</t>
        </is>
      </c>
      <c r="B14" s="10" t="n"/>
      <c r="C14" s="19" t="n"/>
      <c r="D14" s="20" t="n"/>
      <c r="E14" s="20" t="n"/>
      <c r="F14" s="20" t="n"/>
      <c r="G14" s="20" t="n"/>
      <c r="H14" s="19" t="n"/>
      <c r="I14" s="20" t="n"/>
      <c r="J14" s="20" t="n"/>
      <c r="K14" s="20" t="n"/>
      <c r="L14" s="20" t="n"/>
    </row>
    <row r="15">
      <c r="A15" s="18" t="inlineStr">
        <is>
          <t>기타비유동자산</t>
        </is>
      </c>
      <c r="B15" s="10" t="inlineStr">
        <is>
          <t>총계 − 위 항목</t>
        </is>
      </c>
      <c r="C15" s="19">
        <f>IF(OR(C11=""),"",IFERROR(C11-SUM(C12,C13,C14),""))</f>
        <v/>
      </c>
      <c r="D15" s="20">
        <f>IF(OR(D11=""),"",IFERROR(D11-SUM(D12,D13,D14),""))</f>
        <v/>
      </c>
      <c r="E15" s="20">
        <f>IF(OR(E11=""),"",IFERROR(E11-SUM(E12,E13,E14),""))</f>
        <v/>
      </c>
      <c r="F15" s="20">
        <f>IF(OR(F11=""),"",IFERROR(F11-SUM(F12,F13,F14),""))</f>
        <v/>
      </c>
      <c r="G15" s="20">
        <f>IF(OR(G11=""),"",IFERROR(G11-SUM(G12,G13,G14),""))</f>
        <v/>
      </c>
      <c r="H15" s="19">
        <f>IF(OR(H11=""),"",IFERROR(H11-SUM(H12,H13,H14),""))</f>
        <v/>
      </c>
      <c r="I15" s="20">
        <f>IF(OR(I11=""),"",IFERROR(I11-SUM(I12,I13,I14),""))</f>
        <v/>
      </c>
      <c r="J15" s="20">
        <f>IF(OR(J11=""),"",IFERROR(J11-SUM(J12,J13,J14),""))</f>
        <v/>
      </c>
      <c r="K15" s="20">
        <f>IF(OR(K11=""),"",IFERROR(K11-SUM(K12,K13,K14),""))</f>
        <v/>
      </c>
      <c r="L15" s="20">
        <f>IF(OR(L11=""),"",IFERROR(L11-SUM(L12,L13,L14),""))</f>
        <v/>
      </c>
    </row>
    <row r="16">
      <c r="A16" s="9" t="inlineStr">
        <is>
          <t>자산총계</t>
        </is>
      </c>
      <c r="B16" s="10" t="n"/>
      <c r="C16" s="11" t="n">
        <v>126147</v>
      </c>
      <c r="D16" s="12" t="n">
        <v>125436</v>
      </c>
      <c r="E16" s="12" t="n">
        <v>139193</v>
      </c>
      <c r="F16" s="12" t="n">
        <v>133020</v>
      </c>
      <c r="G16" s="12" t="n">
        <v>135783</v>
      </c>
      <c r="H16" s="11" t="n">
        <v>108504</v>
      </c>
      <c r="I16" s="12" t="n">
        <v>127913</v>
      </c>
      <c r="J16" s="12" t="n">
        <v>131038</v>
      </c>
      <c r="K16" s="12" t="n">
        <v>124172</v>
      </c>
      <c r="L16" s="12" t="n">
        <v>133020</v>
      </c>
    </row>
    <row r="17">
      <c r="A17" s="16" t="inlineStr">
        <is>
          <t>부채</t>
        </is>
      </c>
      <c r="B17" s="16" t="n"/>
      <c r="C17" s="17" t="n"/>
      <c r="D17" s="16" t="n"/>
      <c r="E17" s="16" t="n"/>
      <c r="F17" s="16" t="n"/>
      <c r="G17" s="16" t="n"/>
      <c r="H17" s="17" t="n"/>
      <c r="I17" s="16" t="n"/>
      <c r="J17" s="16" t="n"/>
      <c r="K17" s="16" t="n"/>
      <c r="L17" s="16" t="n"/>
    </row>
    <row r="18">
      <c r="A18" s="9" t="inlineStr">
        <is>
          <t>유동부채</t>
        </is>
      </c>
      <c r="B18" s="10" t="n"/>
      <c r="C18" s="11" t="n">
        <v>46302</v>
      </c>
      <c r="D18" s="12" t="n">
        <v>38320</v>
      </c>
      <c r="E18" s="12" t="n">
        <v>50454</v>
      </c>
      <c r="F18" s="12" t="n">
        <v>42497</v>
      </c>
      <c r="G18" s="12" t="n">
        <v>44659</v>
      </c>
      <c r="H18" s="11" t="n">
        <v>50022</v>
      </c>
      <c r="I18" s="12" t="n">
        <v>60074</v>
      </c>
      <c r="J18" s="12" t="n">
        <v>55121</v>
      </c>
      <c r="K18" s="12" t="n">
        <v>50168</v>
      </c>
      <c r="L18" s="12" t="n">
        <v>42497</v>
      </c>
    </row>
    <row r="19">
      <c r="A19" s="18" t="inlineStr">
        <is>
          <t>매입채무</t>
        </is>
      </c>
      <c r="B19" s="10" t="n"/>
      <c r="C19" s="19" t="n">
        <v>27997</v>
      </c>
      <c r="D19" s="20" t="n">
        <v>26750</v>
      </c>
      <c r="E19" s="20" t="n">
        <v>35008</v>
      </c>
      <c r="F19" s="20" t="n">
        <v>31060</v>
      </c>
      <c r="G19" s="20" t="n">
        <v>33778</v>
      </c>
      <c r="H19" s="19" t="n">
        <v>30903</v>
      </c>
      <c r="I19" s="20" t="n">
        <v>36482</v>
      </c>
      <c r="J19" s="20" t="n">
        <v>34360</v>
      </c>
      <c r="K19" s="20" t="n">
        <v>29106</v>
      </c>
      <c r="L19" s="20" t="n">
        <v>31060</v>
      </c>
    </row>
    <row r="20">
      <c r="A20" s="18" t="inlineStr">
        <is>
          <t>단기차입금</t>
        </is>
      </c>
      <c r="B20" s="10" t="n"/>
      <c r="C20" s="19" t="n">
        <v>9829</v>
      </c>
      <c r="D20" s="20" t="n">
        <v>2620</v>
      </c>
      <c r="E20" s="20" t="n">
        <v>5903</v>
      </c>
      <c r="F20" s="20" t="n">
        <v>1294</v>
      </c>
      <c r="G20" s="20" t="n">
        <v>1293</v>
      </c>
      <c r="H20" s="19" t="n">
        <v>11350</v>
      </c>
      <c r="I20" s="20" t="n">
        <v>16803</v>
      </c>
      <c r="J20" s="20" t="n">
        <v>10580</v>
      </c>
      <c r="K20" s="20" t="n">
        <v>12878</v>
      </c>
      <c r="L20" s="20" t="n">
        <v>1294</v>
      </c>
    </row>
    <row r="21">
      <c r="A21" s="18" t="inlineStr">
        <is>
          <t>유동성장기부채</t>
        </is>
      </c>
      <c r="B21" s="10" t="n"/>
      <c r="C21" s="19" t="n"/>
      <c r="D21" s="20" t="n"/>
      <c r="E21" s="20" t="n"/>
      <c r="F21" s="20" t="n"/>
      <c r="G21" s="20" t="n"/>
      <c r="H21" s="19" t="n"/>
      <c r="I21" s="20" t="n"/>
      <c r="J21" s="20" t="n"/>
      <c r="K21" s="20" t="n"/>
      <c r="L21" s="20" t="n"/>
    </row>
    <row r="22">
      <c r="A22" s="18" t="inlineStr">
        <is>
          <t>기타유동부채</t>
        </is>
      </c>
      <c r="B22" s="10" t="inlineStr">
        <is>
          <t>총계 − 위 항목</t>
        </is>
      </c>
      <c r="C22" s="19">
        <f>IF(OR(C18=""),"",IFERROR(C18-SUM(C19,C20,C21),""))</f>
        <v/>
      </c>
      <c r="D22" s="20">
        <f>IF(OR(D18=""),"",IFERROR(D18-SUM(D19,D20,D21),""))</f>
        <v/>
      </c>
      <c r="E22" s="20">
        <f>IF(OR(E18=""),"",IFERROR(E18-SUM(E19,E20,E21),""))</f>
        <v/>
      </c>
      <c r="F22" s="20">
        <f>IF(OR(F18=""),"",IFERROR(F18-SUM(F19,F20,F21),""))</f>
        <v/>
      </c>
      <c r="G22" s="20">
        <f>IF(OR(G18=""),"",IFERROR(G18-SUM(G19,G20,G21),""))</f>
        <v/>
      </c>
      <c r="H22" s="19">
        <f>IF(OR(H18=""),"",IFERROR(H18-SUM(H19,H20,H21),""))</f>
        <v/>
      </c>
      <c r="I22" s="20">
        <f>IF(OR(I18=""),"",IFERROR(I18-SUM(I19,I20,I21),""))</f>
        <v/>
      </c>
      <c r="J22" s="20">
        <f>IF(OR(J18=""),"",IFERROR(J18-SUM(J19,J20,J21),""))</f>
        <v/>
      </c>
      <c r="K22" s="20">
        <f>IF(OR(K18=""),"",IFERROR(K18-SUM(K19,K20,K21),""))</f>
        <v/>
      </c>
      <c r="L22" s="20">
        <f>IF(OR(L18=""),"",IFERROR(L18-SUM(L19,L20,L21),""))</f>
        <v/>
      </c>
    </row>
    <row r="23">
      <c r="A23" s="9" t="inlineStr">
        <is>
          <t>비유동부채</t>
        </is>
      </c>
      <c r="B23" s="10" t="n"/>
      <c r="C23" s="11" t="n">
        <v>23365</v>
      </c>
      <c r="D23" s="12" t="n">
        <v>28587</v>
      </c>
      <c r="E23" s="12" t="n">
        <v>28731</v>
      </c>
      <c r="F23" s="12" t="n">
        <v>28136</v>
      </c>
      <c r="G23" s="12" t="n">
        <v>27870</v>
      </c>
      <c r="H23" s="11" t="n">
        <v>13641</v>
      </c>
      <c r="I23" s="12" t="n">
        <v>22523</v>
      </c>
      <c r="J23" s="12" t="n">
        <v>25060</v>
      </c>
      <c r="K23" s="12" t="n">
        <v>18656</v>
      </c>
      <c r="L23" s="12" t="n">
        <v>28136</v>
      </c>
    </row>
    <row r="24">
      <c r="A24" s="18" t="inlineStr">
        <is>
          <t>장기차입금</t>
        </is>
      </c>
      <c r="B24" s="10" t="n"/>
      <c r="C24" s="19" t="n">
        <v>19117</v>
      </c>
      <c r="D24" s="20" t="n">
        <v>23852</v>
      </c>
      <c r="E24" s="20" t="n">
        <v>23631</v>
      </c>
      <c r="F24" s="20" t="n">
        <v>23326</v>
      </c>
      <c r="G24" s="20" t="n">
        <v>23153</v>
      </c>
      <c r="H24" s="19" t="n">
        <v>10478</v>
      </c>
      <c r="I24" s="20" t="n">
        <v>19208</v>
      </c>
      <c r="J24" s="20" t="n">
        <v>21178</v>
      </c>
      <c r="K24" s="20" t="n">
        <v>14400</v>
      </c>
      <c r="L24" s="20" t="n">
        <v>23326</v>
      </c>
    </row>
    <row r="25">
      <c r="A25" s="18" t="inlineStr">
        <is>
          <t>사채</t>
        </is>
      </c>
      <c r="B25" s="10" t="n"/>
      <c r="C25" s="19" t="n"/>
      <c r="D25" s="20" t="n"/>
      <c r="E25" s="20" t="n"/>
      <c r="F25" s="20" t="n"/>
      <c r="G25" s="20" t="n"/>
      <c r="H25" s="19" t="n"/>
      <c r="I25" s="20" t="n"/>
      <c r="J25" s="20" t="n"/>
      <c r="K25" s="20" t="n"/>
      <c r="L25" s="20" t="n"/>
    </row>
    <row r="26">
      <c r="A26" s="18" t="inlineStr">
        <is>
          <t>기타비유동부채</t>
        </is>
      </c>
      <c r="B26" s="10" t="inlineStr">
        <is>
          <t>총계 − 위 항목</t>
        </is>
      </c>
      <c r="C26" s="19">
        <f>IF(OR(C23=""),"",IFERROR(C23-SUM(C24,C25),""))</f>
        <v/>
      </c>
      <c r="D26" s="20">
        <f>IF(OR(D23=""),"",IFERROR(D23-SUM(D24,D25),""))</f>
        <v/>
      </c>
      <c r="E26" s="20">
        <f>IF(OR(E23=""),"",IFERROR(E23-SUM(E24,E25),""))</f>
        <v/>
      </c>
      <c r="F26" s="20">
        <f>IF(OR(F23=""),"",IFERROR(F23-SUM(F24,F25),""))</f>
        <v/>
      </c>
      <c r="G26" s="20">
        <f>IF(OR(G23=""),"",IFERROR(G23-SUM(G24,G25),""))</f>
        <v/>
      </c>
      <c r="H26" s="19">
        <f>IF(OR(H23=""),"",IFERROR(H23-SUM(H24,H25),""))</f>
        <v/>
      </c>
      <c r="I26" s="20">
        <f>IF(OR(I23=""),"",IFERROR(I23-SUM(I24,I25),""))</f>
        <v/>
      </c>
      <c r="J26" s="20">
        <f>IF(OR(J23=""),"",IFERROR(J23-SUM(J24,J25),""))</f>
        <v/>
      </c>
      <c r="K26" s="20">
        <f>IF(OR(K23=""),"",IFERROR(K23-SUM(K24,K25),""))</f>
        <v/>
      </c>
      <c r="L26" s="20">
        <f>IF(OR(L23=""),"",IFERROR(L23-SUM(L24,L25),""))</f>
        <v/>
      </c>
    </row>
    <row r="27">
      <c r="A27" s="9" t="inlineStr">
        <is>
          <t>부채총계</t>
        </is>
      </c>
      <c r="B27" s="10" t="n"/>
      <c r="C27" s="11" t="n">
        <v>69668</v>
      </c>
      <c r="D27" s="12" t="n">
        <v>66907</v>
      </c>
      <c r="E27" s="12" t="n">
        <v>79185</v>
      </c>
      <c r="F27" s="12" t="n">
        <v>70634</v>
      </c>
      <c r="G27" s="12" t="n">
        <v>72529</v>
      </c>
      <c r="H27" s="11" t="n">
        <v>63663</v>
      </c>
      <c r="I27" s="12" t="n">
        <v>82598</v>
      </c>
      <c r="J27" s="12" t="n">
        <v>80182</v>
      </c>
      <c r="K27" s="12" t="n">
        <v>68825</v>
      </c>
      <c r="L27" s="12" t="n">
        <v>70634</v>
      </c>
    </row>
    <row r="28">
      <c r="A28" s="18" t="inlineStr">
        <is>
          <t>총차입금</t>
        </is>
      </c>
      <c r="B28" s="10" t="inlineStr">
        <is>
          <t>단기+유동성장기+장기+사채</t>
        </is>
      </c>
      <c r="C28" s="19">
        <f>SUM(C20,C21,C24,C25)</f>
        <v/>
      </c>
      <c r="D28" s="20">
        <f>SUM(D20,D21,D24,D25)</f>
        <v/>
      </c>
      <c r="E28" s="20">
        <f>SUM(E20,E21,E24,E25)</f>
        <v/>
      </c>
      <c r="F28" s="20">
        <f>SUM(F20,F21,F24,F25)</f>
        <v/>
      </c>
      <c r="G28" s="20">
        <f>SUM(G20,G21,G24,G25)</f>
        <v/>
      </c>
      <c r="H28" s="19">
        <f>SUM(H20,H21,H24,H25)</f>
        <v/>
      </c>
      <c r="I28" s="20">
        <f>SUM(I20,I21,I24,I25)</f>
        <v/>
      </c>
      <c r="J28" s="20">
        <f>SUM(J20,J21,J24,J25)</f>
        <v/>
      </c>
      <c r="K28" s="20">
        <f>SUM(K20,K21,K24,K25)</f>
        <v/>
      </c>
      <c r="L28" s="20">
        <f>SUM(L20,L21,L24,L25)</f>
        <v/>
      </c>
    </row>
    <row r="29">
      <c r="A29" s="18" t="inlineStr">
        <is>
          <t>순차입금</t>
        </is>
      </c>
      <c r="B29" s="10" t="inlineStr">
        <is>
          <t>음수 = 순현금</t>
        </is>
      </c>
      <c r="C29" s="19">
        <f>C28-C6-N(C7)</f>
        <v/>
      </c>
      <c r="D29" s="20">
        <f>D28-D6-N(D7)</f>
        <v/>
      </c>
      <c r="E29" s="20">
        <f>E28-E6-N(E7)</f>
        <v/>
      </c>
      <c r="F29" s="20">
        <f>F28-F6-N(F7)</f>
        <v/>
      </c>
      <c r="G29" s="20">
        <f>G28-G6-N(G7)</f>
        <v/>
      </c>
      <c r="H29" s="19">
        <f>H28-H6-N(H7)</f>
        <v/>
      </c>
      <c r="I29" s="20">
        <f>I28-I6-N(I7)</f>
        <v/>
      </c>
      <c r="J29" s="20">
        <f>J28-J6-N(J7)</f>
        <v/>
      </c>
      <c r="K29" s="20">
        <f>K28-K6-N(K7)</f>
        <v/>
      </c>
      <c r="L29" s="20">
        <f>L28-L6-N(L7)</f>
        <v/>
      </c>
    </row>
    <row r="30">
      <c r="A30" s="16" t="inlineStr">
        <is>
          <t>자본</t>
        </is>
      </c>
      <c r="B30" s="16" t="n"/>
      <c r="C30" s="17" t="n"/>
      <c r="D30" s="16" t="n"/>
      <c r="E30" s="16" t="n"/>
      <c r="F30" s="16" t="n"/>
      <c r="G30" s="16" t="n"/>
      <c r="H30" s="17" t="n"/>
      <c r="I30" s="16" t="n"/>
      <c r="J30" s="16" t="n"/>
      <c r="K30" s="16" t="n"/>
      <c r="L30" s="16" t="n"/>
    </row>
    <row r="31">
      <c r="A31" s="9" t="inlineStr">
        <is>
          <t>지배주주지분</t>
        </is>
      </c>
      <c r="B31" s="10" t="n"/>
      <c r="C31" s="11" t="n">
        <v>55754</v>
      </c>
      <c r="D31" s="12" t="n">
        <v>57762</v>
      </c>
      <c r="E31" s="12" t="n">
        <v>59299</v>
      </c>
      <c r="F31" s="12" t="n">
        <v>61687</v>
      </c>
      <c r="G31" s="12" t="n">
        <v>62543</v>
      </c>
      <c r="H31" s="11" t="n">
        <v>44306</v>
      </c>
      <c r="I31" s="12" t="n">
        <v>44768</v>
      </c>
      <c r="J31" s="12" t="n">
        <v>50280</v>
      </c>
      <c r="K31" s="12" t="n">
        <v>54624</v>
      </c>
      <c r="L31" s="12" t="n">
        <v>61687</v>
      </c>
    </row>
    <row r="32">
      <c r="A32" s="18" t="inlineStr">
        <is>
          <t>자본금</t>
        </is>
      </c>
      <c r="B32" s="10" t="n"/>
      <c r="C32" s="19" t="n">
        <v>10000</v>
      </c>
      <c r="D32" s="20" t="n">
        <v>10000</v>
      </c>
      <c r="E32" s="20" t="n">
        <v>10000</v>
      </c>
      <c r="F32" s="20" t="n">
        <v>10000</v>
      </c>
      <c r="G32" s="20" t="n">
        <v>10000</v>
      </c>
      <c r="H32" s="19" t="n">
        <v>10000</v>
      </c>
      <c r="I32" s="20" t="n">
        <v>10000</v>
      </c>
      <c r="J32" s="20" t="n">
        <v>10000</v>
      </c>
      <c r="K32" s="20" t="n">
        <v>10000</v>
      </c>
      <c r="L32" s="20" t="n">
        <v>10000</v>
      </c>
    </row>
    <row r="33">
      <c r="A33" s="18" t="inlineStr">
        <is>
          <t>이익잉여금</t>
        </is>
      </c>
      <c r="B33" s="10" t="n"/>
      <c r="C33" s="19" t="n">
        <v>33167</v>
      </c>
      <c r="D33" s="20" t="n">
        <v>34403</v>
      </c>
      <c r="E33" s="20" t="n">
        <v>35307</v>
      </c>
      <c r="F33" s="20" t="n">
        <v>37099</v>
      </c>
      <c r="G33" s="20" t="n">
        <v>37918</v>
      </c>
      <c r="H33" s="19" t="n">
        <v>23882</v>
      </c>
      <c r="I33" s="20" t="n">
        <v>23952</v>
      </c>
      <c r="J33" s="20" t="n">
        <v>28075</v>
      </c>
      <c r="K33" s="20" t="n">
        <v>32338</v>
      </c>
      <c r="L33" s="20" t="n">
        <v>37099</v>
      </c>
    </row>
    <row r="34">
      <c r="A34" s="18" t="inlineStr">
        <is>
          <t>비지배지분</t>
        </is>
      </c>
      <c r="B34" s="10" t="n"/>
      <c r="C34" s="19" t="n">
        <v>725</v>
      </c>
      <c r="D34" s="20" t="n">
        <v>766</v>
      </c>
      <c r="E34" s="20" t="n">
        <v>708</v>
      </c>
      <c r="F34" s="20" t="n">
        <v>698</v>
      </c>
      <c r="G34" s="20" t="n">
        <v>711</v>
      </c>
      <c r="H34" s="19" t="n">
        <v>534</v>
      </c>
      <c r="I34" s="20" t="n">
        <v>546</v>
      </c>
      <c r="J34" s="20" t="n">
        <v>576</v>
      </c>
      <c r="K34" s="20" t="n">
        <v>723</v>
      </c>
      <c r="L34" s="20" t="n">
        <v>698</v>
      </c>
    </row>
    <row r="35">
      <c r="A35" s="9" t="inlineStr">
        <is>
          <t>자본총계</t>
        </is>
      </c>
      <c r="B35" s="10" t="n"/>
      <c r="C35" s="11" t="n">
        <v>56479</v>
      </c>
      <c r="D35" s="12" t="n">
        <v>58528</v>
      </c>
      <c r="E35" s="12" t="n">
        <v>60007</v>
      </c>
      <c r="F35" s="12" t="n">
        <v>62385</v>
      </c>
      <c r="G35" s="12" t="n">
        <v>63254</v>
      </c>
      <c r="H35" s="11" t="n">
        <v>44840</v>
      </c>
      <c r="I35" s="12" t="n">
        <v>45314</v>
      </c>
      <c r="J35" s="12" t="n">
        <v>50856</v>
      </c>
      <c r="K35" s="12" t="n">
        <v>55347</v>
      </c>
      <c r="L35" s="12" t="n">
        <v>62385</v>
      </c>
    </row>
    <row r="36">
      <c r="A36" s="16" t="inlineStr">
        <is>
          <t>현금흐름 요약</t>
        </is>
      </c>
      <c r="B36" s="16" t="inlineStr">
        <is>
          <t>분기 = TTM (있을 때만)</t>
        </is>
      </c>
      <c r="C36" s="17" t="n"/>
      <c r="D36" s="16" t="n"/>
      <c r="E36" s="16" t="n"/>
      <c r="F36" s="16" t="n"/>
      <c r="G36" s="16" t="n"/>
      <c r="H36" s="17" t="n"/>
      <c r="I36" s="16" t="n"/>
      <c r="J36" s="16" t="n"/>
      <c r="K36" s="16" t="n"/>
      <c r="L36" s="16" t="n"/>
    </row>
    <row r="37">
      <c r="A37" s="9" t="inlineStr">
        <is>
          <t>영업활동현금흐름</t>
        </is>
      </c>
      <c r="B37" s="10" t="n"/>
      <c r="C37" s="11" t="n"/>
      <c r="D37" s="12" t="n">
        <v>12287</v>
      </c>
      <c r="E37" s="12" t="n"/>
      <c r="F37" s="12" t="n">
        <v>17090</v>
      </c>
      <c r="G37" s="12" t="n"/>
      <c r="H37" s="11" t="n">
        <v>2740</v>
      </c>
      <c r="I37" s="12" t="n">
        <v>-7816</v>
      </c>
      <c r="J37" s="12" t="n">
        <v>11138</v>
      </c>
      <c r="K37" s="12" t="n">
        <v>8570</v>
      </c>
      <c r="L37" s="12" t="n">
        <v>17090</v>
      </c>
    </row>
    <row r="38">
      <c r="A38" s="18" t="inlineStr">
        <is>
          <t>CAPEX (유·무형 취득)</t>
        </is>
      </c>
      <c r="B38" s="10" t="inlineStr">
        <is>
          <t>양수로 입력</t>
        </is>
      </c>
      <c r="C38" s="19" t="n"/>
      <c r="D38" s="20" t="n"/>
      <c r="E38" s="20" t="n"/>
      <c r="F38" s="20" t="n"/>
      <c r="G38" s="20" t="n"/>
      <c r="H38" s="19" t="n"/>
      <c r="I38" s="20" t="n"/>
      <c r="J38" s="20" t="n"/>
      <c r="K38" s="20" t="n"/>
      <c r="L38" s="20" t="n"/>
    </row>
    <row r="39">
      <c r="A39" s="9" t="inlineStr">
        <is>
          <t>FCF</t>
        </is>
      </c>
      <c r="B39" s="10" t="n"/>
      <c r="C39" s="11">
        <f>IF(OR(C37="",C38=""),"",IFERROR(C37-C38,""))</f>
        <v/>
      </c>
      <c r="D39" s="12">
        <f>IF(OR(D37="",D38=""),"",IFERROR(D37-D38,""))</f>
        <v/>
      </c>
      <c r="E39" s="12">
        <f>IF(OR(E37="",E38=""),"",IFERROR(E37-E38,""))</f>
        <v/>
      </c>
      <c r="F39" s="12">
        <f>IF(OR(F37="",F38=""),"",IFERROR(F37-F38,""))</f>
        <v/>
      </c>
      <c r="G39" s="12">
        <f>IF(OR(G37="",G38=""),"",IFERROR(G37-G38,""))</f>
        <v/>
      </c>
      <c r="H39" s="11">
        <f>IF(OR(H37="",H38=""),"",IFERROR(H37-H38,""))</f>
        <v/>
      </c>
      <c r="I39" s="12">
        <f>IF(OR(I37="",I38=""),"",IFERROR(I37-I38,""))</f>
        <v/>
      </c>
      <c r="J39" s="12">
        <f>IF(OR(J37="",J38=""),"",IFERROR(J37-J38,""))</f>
        <v/>
      </c>
      <c r="K39" s="12">
        <f>IF(OR(K37="",K38=""),"",IFERROR(K37-K38,""))</f>
        <v/>
      </c>
      <c r="L39" s="12">
        <f>IF(OR(L37="",L38=""),"",IFERROR(L37-L38,""))</f>
        <v/>
      </c>
    </row>
    <row r="40">
      <c r="A40" s="18" t="inlineStr">
        <is>
          <t>배당금 지급</t>
        </is>
      </c>
      <c r="B40" s="10" t="inlineStr">
        <is>
          <t>양수로 입력</t>
        </is>
      </c>
      <c r="C40" s="19" t="n"/>
      <c r="D40" s="20" t="n">
        <v>1364</v>
      </c>
      <c r="E40" s="20" t="n"/>
      <c r="F40" s="20" t="n">
        <v>1614</v>
      </c>
      <c r="G40" s="20" t="n"/>
      <c r="H40" s="19" t="n">
        <v>971</v>
      </c>
      <c r="I40" s="20" t="n">
        <v>967</v>
      </c>
      <c r="J40" s="20" t="n">
        <v>963</v>
      </c>
      <c r="K40" s="20" t="n">
        <v>1114</v>
      </c>
      <c r="L40" s="20" t="n">
        <v>1614</v>
      </c>
    </row>
    <row r="41">
      <c r="A41" s="16" t="inlineStr">
        <is>
          <t>주요 재무 비율</t>
        </is>
      </c>
      <c r="B41" s="16" t="inlineStr">
        <is>
          <t>기준 (빨간 글씨 = 미달)</t>
        </is>
      </c>
      <c r="C41" s="17" t="n"/>
      <c r="D41" s="16" t="n"/>
      <c r="E41" s="16" t="n"/>
      <c r="F41" s="16" t="n"/>
      <c r="G41" s="16" t="n"/>
      <c r="H41" s="17" t="n"/>
      <c r="I41" s="16" t="n"/>
      <c r="J41" s="16" t="n"/>
      <c r="K41" s="16" t="n"/>
      <c r="L41" s="16" t="n"/>
    </row>
    <row r="42">
      <c r="A42" s="23" t="inlineStr">
        <is>
          <t>안정성</t>
        </is>
      </c>
      <c r="B42" s="23" t="n"/>
      <c r="C42" s="24" t="n"/>
      <c r="D42" s="23" t="n"/>
      <c r="E42" s="23" t="n"/>
      <c r="F42" s="23" t="n"/>
      <c r="G42" s="23" t="n"/>
      <c r="H42" s="24" t="n"/>
      <c r="I42" s="23" t="n"/>
      <c r="J42" s="23" t="n"/>
      <c r="K42" s="23" t="n"/>
      <c r="L42" s="23" t="n"/>
    </row>
    <row r="43">
      <c r="A43" s="45" t="inlineStr">
        <is>
          <t>부채비율</t>
        </is>
      </c>
      <c r="B43" s="10" t="inlineStr">
        <is>
          <t>100%↓</t>
        </is>
      </c>
      <c r="C43" s="35">
        <f>IF(OR(C27="",C35=""),"",IFERROR(C27/C35,""))</f>
        <v/>
      </c>
      <c r="D43" s="36">
        <f>IF(OR(D27="",D35=""),"",IFERROR(D27/D35,""))</f>
        <v/>
      </c>
      <c r="E43" s="36">
        <f>IF(OR(E27="",E35=""),"",IFERROR(E27/E35,""))</f>
        <v/>
      </c>
      <c r="F43" s="36">
        <f>IF(OR(F27="",F35=""),"",IFERROR(F27/F35,""))</f>
        <v/>
      </c>
      <c r="G43" s="36">
        <f>IF(OR(G27="",G35=""),"",IFERROR(G27/G35,""))</f>
        <v/>
      </c>
      <c r="H43" s="35">
        <f>IF(OR(H27="",H35=""),"",IFERROR(H27/H35,""))</f>
        <v/>
      </c>
      <c r="I43" s="36">
        <f>IF(OR(I27="",I35=""),"",IFERROR(I27/I35,""))</f>
        <v/>
      </c>
      <c r="J43" s="36">
        <f>IF(OR(J27="",J35=""),"",IFERROR(J27/J35,""))</f>
        <v/>
      </c>
      <c r="K43" s="36">
        <f>IF(OR(K27="",K35=""),"",IFERROR(K27/K35,""))</f>
        <v/>
      </c>
      <c r="L43" s="36">
        <f>IF(OR(L27="",L35=""),"",IFERROR(L27/L35,""))</f>
        <v/>
      </c>
    </row>
    <row r="44">
      <c r="A44" s="45" t="inlineStr">
        <is>
          <t>순차입금비율</t>
        </is>
      </c>
      <c r="B44" s="10" t="inlineStr">
        <is>
          <t>0%↓ 순현금</t>
        </is>
      </c>
      <c r="C44" s="35">
        <f>IF(OR(C29="",C35=""),"",IFERROR(C29/C35,""))</f>
        <v/>
      </c>
      <c r="D44" s="36">
        <f>IF(OR(D29="",D35=""),"",IFERROR(D29/D35,""))</f>
        <v/>
      </c>
      <c r="E44" s="36">
        <f>IF(OR(E29="",E35=""),"",IFERROR(E29/E35,""))</f>
        <v/>
      </c>
      <c r="F44" s="36">
        <f>IF(OR(F29="",F35=""),"",IFERROR(F29/F35,""))</f>
        <v/>
      </c>
      <c r="G44" s="36">
        <f>IF(OR(G29="",G35=""),"",IFERROR(G29/G35,""))</f>
        <v/>
      </c>
      <c r="H44" s="35">
        <f>IF(OR(H29="",H35=""),"",IFERROR(H29/H35,""))</f>
        <v/>
      </c>
      <c r="I44" s="36">
        <f>IF(OR(I29="",I35=""),"",IFERROR(I29/I35,""))</f>
        <v/>
      </c>
      <c r="J44" s="36">
        <f>IF(OR(J29="",J35=""),"",IFERROR(J29/J35,""))</f>
        <v/>
      </c>
      <c r="K44" s="36">
        <f>IF(OR(K29="",K35=""),"",IFERROR(K29/K35,""))</f>
        <v/>
      </c>
      <c r="L44" s="36">
        <f>IF(OR(L29="",L35=""),"",IFERROR(L29/L35,""))</f>
        <v/>
      </c>
    </row>
    <row r="45">
      <c r="A45" s="45" t="inlineStr">
        <is>
          <t>자기자본비율</t>
        </is>
      </c>
      <c r="B45" s="10" t="inlineStr">
        <is>
          <t>50%↑</t>
        </is>
      </c>
      <c r="C45" s="35">
        <f>IF(OR(C35="",C16=""),"",IFERROR(C35/C16,""))</f>
        <v/>
      </c>
      <c r="D45" s="36">
        <f>IF(OR(D35="",D16=""),"",IFERROR(D35/D16,""))</f>
        <v/>
      </c>
      <c r="E45" s="36">
        <f>IF(OR(E35="",E16=""),"",IFERROR(E35/E16,""))</f>
        <v/>
      </c>
      <c r="F45" s="36">
        <f>IF(OR(F35="",F16=""),"",IFERROR(F35/F16,""))</f>
        <v/>
      </c>
      <c r="G45" s="36">
        <f>IF(OR(G35="",G16=""),"",IFERROR(G35/G16,""))</f>
        <v/>
      </c>
      <c r="H45" s="35">
        <f>IF(OR(H35="",H16=""),"",IFERROR(H35/H16,""))</f>
        <v/>
      </c>
      <c r="I45" s="36">
        <f>IF(OR(I35="",I16=""),"",IFERROR(I35/I16,""))</f>
        <v/>
      </c>
      <c r="J45" s="36">
        <f>IF(OR(J35="",J16=""),"",IFERROR(J35/J16,""))</f>
        <v/>
      </c>
      <c r="K45" s="36">
        <f>IF(OR(K35="",K16=""),"",IFERROR(K35/K16,""))</f>
        <v/>
      </c>
      <c r="L45" s="36">
        <f>IF(OR(L35="",L16=""),"",IFERROR(L35/L16,""))</f>
        <v/>
      </c>
    </row>
    <row r="46">
      <c r="A46" s="45" t="inlineStr">
        <is>
          <t>유동비율</t>
        </is>
      </c>
      <c r="B46" s="10" t="inlineStr">
        <is>
          <t>150%↑</t>
        </is>
      </c>
      <c r="C46" s="35">
        <f>IF(OR(C5="",C18=""),"",IFERROR(C5/C18,""))</f>
        <v/>
      </c>
      <c r="D46" s="36">
        <f>IF(OR(D5="",D18=""),"",IFERROR(D5/D18,""))</f>
        <v/>
      </c>
      <c r="E46" s="36">
        <f>IF(OR(E5="",E18=""),"",IFERROR(E5/E18,""))</f>
        <v/>
      </c>
      <c r="F46" s="36">
        <f>IF(OR(F5="",F18=""),"",IFERROR(F5/F18,""))</f>
        <v/>
      </c>
      <c r="G46" s="36">
        <f>IF(OR(G5="",G18=""),"",IFERROR(G5/G18,""))</f>
        <v/>
      </c>
      <c r="H46" s="35">
        <f>IF(OR(H5="",H18=""),"",IFERROR(H5/H18,""))</f>
        <v/>
      </c>
      <c r="I46" s="36">
        <f>IF(OR(I5="",I18=""),"",IFERROR(I5/I18,""))</f>
        <v/>
      </c>
      <c r="J46" s="36">
        <f>IF(OR(J5="",J18=""),"",IFERROR(J5/J18,""))</f>
        <v/>
      </c>
      <c r="K46" s="36">
        <f>IF(OR(K5="",K18=""),"",IFERROR(K5/K18,""))</f>
        <v/>
      </c>
      <c r="L46" s="36">
        <f>IF(OR(L5="",L18=""),"",IFERROR(L5/L18,""))</f>
        <v/>
      </c>
    </row>
    <row r="47">
      <c r="A47" s="45" t="inlineStr">
        <is>
          <t>당좌비율</t>
        </is>
      </c>
      <c r="B47" s="10" t="inlineStr">
        <is>
          <t>100%↑</t>
        </is>
      </c>
      <c r="C47" s="35">
        <f>IF(OR(C5="",C18=""),"",IFERROR((C5-N(C9))/C18,""))</f>
        <v/>
      </c>
      <c r="D47" s="36">
        <f>IF(OR(D5="",D18=""),"",IFERROR((D5-N(D9))/D18,""))</f>
        <v/>
      </c>
      <c r="E47" s="36">
        <f>IF(OR(E5="",E18=""),"",IFERROR((E5-N(E9))/E18,""))</f>
        <v/>
      </c>
      <c r="F47" s="36">
        <f>IF(OR(F5="",F18=""),"",IFERROR((F5-N(F9))/F18,""))</f>
        <v/>
      </c>
      <c r="G47" s="36">
        <f>IF(OR(G5="",G18=""),"",IFERROR((G5-N(G9))/G18,""))</f>
        <v/>
      </c>
      <c r="H47" s="35">
        <f>IF(OR(H5="",H18=""),"",IFERROR((H5-N(H9))/H18,""))</f>
        <v/>
      </c>
      <c r="I47" s="36">
        <f>IF(OR(I5="",I18=""),"",IFERROR((I5-N(I9))/I18,""))</f>
        <v/>
      </c>
      <c r="J47" s="36">
        <f>IF(OR(J5="",J18=""),"",IFERROR((J5-N(J9))/J18,""))</f>
        <v/>
      </c>
      <c r="K47" s="36">
        <f>IF(OR(K5="",K18=""),"",IFERROR((K5-N(K9))/K18,""))</f>
        <v/>
      </c>
      <c r="L47" s="36">
        <f>IF(OR(L5="",L18=""),"",IFERROR((L5-N(L9))/L18,""))</f>
        <v/>
      </c>
    </row>
    <row r="48">
      <c r="A48" s="45" t="inlineStr">
        <is>
          <t>이자보상배율</t>
        </is>
      </c>
      <c r="B48" s="10" t="inlineStr">
        <is>
          <t>5x↑ (금융원가 기준)</t>
        </is>
      </c>
      <c r="C48" s="30">
        <f>IFERROR((IF(COUNT('연간'!G25:J25)&lt;4,"",SUM('연간'!G25:J25)))/(IF(COUNT('연간'!G47:J47)&lt;4,"",SUM('연간'!G47:J47))),"")</f>
        <v/>
      </c>
      <c r="D48" s="31">
        <f>IFERROR((IF(COUNT('연간'!H25:K25)&lt;4,"",SUM('연간'!H25:K25)))/(IF(COUNT('연간'!H47:K47)&lt;4,"",SUM('연간'!H47:K47))),"")</f>
        <v/>
      </c>
      <c r="E48" s="31">
        <f>IFERROR((IF(COUNT('연간'!I25:L25)&lt;4,"",SUM('연간'!I25:L25)))/(IF(COUNT('연간'!I47:L47)&lt;4,"",SUM('연간'!I47:L47))),"")</f>
        <v/>
      </c>
      <c r="F48" s="31">
        <f>IFERROR((IF(COUNT('연간'!J25:M25)&lt;4,"",SUM('연간'!J25:M25)))/(IF(COUNT('연간'!J47:M47)&lt;4,"",SUM('연간'!J47:M47))),"")</f>
        <v/>
      </c>
      <c r="G48" s="31">
        <f>IFERROR((IF(COUNT('연간'!K25:N25)&lt;4,"",SUM('연간'!K25:N25)))/(IF(COUNT('연간'!K47:N47)&lt;4,"",SUM('연간'!K47:N47))),"")</f>
        <v/>
      </c>
      <c r="H48" s="30">
        <f>IFERROR(('연간'!T25)/('연간'!T47),"")</f>
        <v/>
      </c>
      <c r="I48" s="31">
        <f>IFERROR(('연간'!U25)/('연간'!U47),"")</f>
        <v/>
      </c>
      <c r="J48" s="31">
        <f>IFERROR(('연간'!V25)/('연간'!V47),"")</f>
        <v/>
      </c>
      <c r="K48" s="31">
        <f>IFERROR(('연간'!W25)/('연간'!W47),"")</f>
        <v/>
      </c>
      <c r="L48" s="31">
        <f>IFERROR(('연간'!X25)/('연간'!X47),"")</f>
        <v/>
      </c>
    </row>
    <row r="49">
      <c r="A49" s="45" t="inlineStr">
        <is>
          <t>차입금 상환연수</t>
        </is>
      </c>
      <c r="B49" s="10" t="inlineStr">
        <is>
          <t>4년↓ (버핏)</t>
        </is>
      </c>
      <c r="C49" s="46">
        <f>IFERROR(IF((IF(COUNT('연간'!G53:J53)&lt;4,"",SUM('연간'!G53:J53)))&lt;=0,"적자",C28/(IF(COUNT('연간'!G53:J53)&lt;4,"",SUM('연간'!G53:J53)))),"")</f>
        <v/>
      </c>
      <c r="D49" s="47">
        <f>IFERROR(IF((IF(COUNT('연간'!H53:K53)&lt;4,"",SUM('연간'!H53:K53)))&lt;=0,"적자",D28/(IF(COUNT('연간'!H53:K53)&lt;4,"",SUM('연간'!H53:K53)))),"")</f>
        <v/>
      </c>
      <c r="E49" s="47">
        <f>IFERROR(IF((IF(COUNT('연간'!I53:L53)&lt;4,"",SUM('연간'!I53:L53)))&lt;=0,"적자",E28/(IF(COUNT('연간'!I53:L53)&lt;4,"",SUM('연간'!I53:L53)))),"")</f>
        <v/>
      </c>
      <c r="F49" s="47">
        <f>IFERROR(IF((IF(COUNT('연간'!J53:M53)&lt;4,"",SUM('연간'!J53:M53)))&lt;=0,"적자",F28/(IF(COUNT('연간'!J53:M53)&lt;4,"",SUM('연간'!J53:M53)))),"")</f>
        <v/>
      </c>
      <c r="G49" s="47">
        <f>IFERROR(IF((IF(COUNT('연간'!K53:N53)&lt;4,"",SUM('연간'!K53:N53)))&lt;=0,"적자",G28/(IF(COUNT('연간'!K53:N53)&lt;4,"",SUM('연간'!K53:N53)))),"")</f>
        <v/>
      </c>
      <c r="H49" s="46">
        <f>IFERROR(IF(('연간'!T53)&lt;=0,"적자",H28/('연간'!T53)),"")</f>
        <v/>
      </c>
      <c r="I49" s="47">
        <f>IFERROR(IF(('연간'!U53)&lt;=0,"적자",I28/('연간'!U53)),"")</f>
        <v/>
      </c>
      <c r="J49" s="47">
        <f>IFERROR(IF(('연간'!V53)&lt;=0,"적자",J28/('연간'!V53)),"")</f>
        <v/>
      </c>
      <c r="K49" s="47">
        <f>IFERROR(IF(('연간'!W53)&lt;=0,"적자",K28/('연간'!W53)),"")</f>
        <v/>
      </c>
      <c r="L49" s="47">
        <f>IFERROR(IF(('연간'!X53)&lt;=0,"적자",L28/('연간'!X53)),"")</f>
        <v/>
      </c>
    </row>
    <row r="50">
      <c r="A50" s="23" t="inlineStr">
        <is>
          <t>수익성</t>
        </is>
      </c>
      <c r="B50" s="23" t="n"/>
      <c r="C50" s="24" t="n"/>
      <c r="D50" s="23" t="n"/>
      <c r="E50" s="23" t="n"/>
      <c r="F50" s="23" t="n"/>
      <c r="G50" s="23" t="n"/>
      <c r="H50" s="24" t="n"/>
      <c r="I50" s="23" t="n"/>
      <c r="J50" s="23" t="n"/>
      <c r="K50" s="23" t="n"/>
      <c r="L50" s="23" t="n"/>
    </row>
    <row r="51">
      <c r="A51" s="45" t="inlineStr">
        <is>
          <t>ROE</t>
        </is>
      </c>
      <c r="B51" s="10" t="inlineStr">
        <is>
          <t>15%↑ (버핏)</t>
        </is>
      </c>
      <c r="C51" s="35">
        <f>IFERROR((IF(COUNT('연간'!G53:J53)&lt;4,"",SUM('연간'!G53:J53)))/C31,"")</f>
        <v/>
      </c>
      <c r="D51" s="36">
        <f>IFERROR((IF(COUNT('연간'!H53:K53)&lt;4,"",SUM('연간'!H53:K53)))/D31,"")</f>
        <v/>
      </c>
      <c r="E51" s="36">
        <f>IFERROR((IF(COUNT('연간'!I53:L53)&lt;4,"",SUM('연간'!I53:L53)))/E31,"")</f>
        <v/>
      </c>
      <c r="F51" s="36">
        <f>IFERROR((IF(COUNT('연간'!J53:M53)&lt;4,"",SUM('연간'!J53:M53)))/F31,"")</f>
        <v/>
      </c>
      <c r="G51" s="36">
        <f>IFERROR((IF(COUNT('연간'!K53:N53)&lt;4,"",SUM('연간'!K53:N53)))/G31,"")</f>
        <v/>
      </c>
      <c r="H51" s="35">
        <f>IFERROR(('연간'!T53)/H31,"")</f>
        <v/>
      </c>
      <c r="I51" s="36">
        <f>IFERROR(('연간'!U53)/I31,"")</f>
        <v/>
      </c>
      <c r="J51" s="36">
        <f>IFERROR(('연간'!V53)/J31,"")</f>
        <v/>
      </c>
      <c r="K51" s="36">
        <f>IFERROR(('연간'!W53)/K31,"")</f>
        <v/>
      </c>
      <c r="L51" s="36">
        <f>IFERROR(('연간'!X53)/L31,"")</f>
        <v/>
      </c>
    </row>
    <row r="52">
      <c r="A52" s="45" t="inlineStr">
        <is>
          <t>ROA</t>
        </is>
      </c>
      <c r="B52" s="10" t="inlineStr">
        <is>
          <t>5%↑</t>
        </is>
      </c>
      <c r="C52" s="35">
        <f>IFERROR((IF(COUNT('연간'!G52:J52)&lt;4,"",SUM('연간'!G52:J52)))/C16,"")</f>
        <v/>
      </c>
      <c r="D52" s="36">
        <f>IFERROR((IF(COUNT('연간'!H52:K52)&lt;4,"",SUM('연간'!H52:K52)))/D16,"")</f>
        <v/>
      </c>
      <c r="E52" s="36">
        <f>IFERROR((IF(COUNT('연간'!I52:L52)&lt;4,"",SUM('연간'!I52:L52)))/E16,"")</f>
        <v/>
      </c>
      <c r="F52" s="36">
        <f>IFERROR((IF(COUNT('연간'!J52:M52)&lt;4,"",SUM('연간'!J52:M52)))/F16,"")</f>
        <v/>
      </c>
      <c r="G52" s="36">
        <f>IFERROR((IF(COUNT('연간'!K52:N52)&lt;4,"",SUM('연간'!K52:N52)))/G16,"")</f>
        <v/>
      </c>
      <c r="H52" s="35">
        <f>IFERROR(('연간'!T52)/H16,"")</f>
        <v/>
      </c>
      <c r="I52" s="36">
        <f>IFERROR(('연간'!U52)/I16,"")</f>
        <v/>
      </c>
      <c r="J52" s="36">
        <f>IFERROR(('연간'!V52)/J16,"")</f>
        <v/>
      </c>
      <c r="K52" s="36">
        <f>IFERROR(('연간'!W52)/K16,"")</f>
        <v/>
      </c>
      <c r="L52" s="36">
        <f>IFERROR(('연간'!X52)/L16,"")</f>
        <v/>
      </c>
    </row>
    <row r="53">
      <c r="A53" s="45" t="inlineStr">
        <is>
          <t>ROIC</t>
        </is>
      </c>
      <c r="B53" s="10" t="inlineStr">
        <is>
          <t>10%↑ (세후영업이익 기준)</t>
        </is>
      </c>
      <c r="C53" s="35">
        <f>IFERROR((IF(COUNT('연간'!G25:J25)&lt;4,"",SUM('연간'!G25:J25)))*(1-0.3)/(C35+C29),"")</f>
        <v/>
      </c>
      <c r="D53" s="36">
        <f>IFERROR((IF(COUNT('연간'!H25:K25)&lt;4,"",SUM('연간'!H25:K25)))*(1-0.3)/(D35+D29),"")</f>
        <v/>
      </c>
      <c r="E53" s="36">
        <f>IFERROR((IF(COUNT('연간'!I25:L25)&lt;4,"",SUM('연간'!I25:L25)))*(1-0.3)/(E35+E29),"")</f>
        <v/>
      </c>
      <c r="F53" s="36">
        <f>IFERROR((IF(COUNT('연간'!J25:M25)&lt;4,"",SUM('연간'!J25:M25)))*(1-0.3)/(F35+F29),"")</f>
        <v/>
      </c>
      <c r="G53" s="36">
        <f>IFERROR((IF(COUNT('연간'!K25:N25)&lt;4,"",SUM('연간'!K25:N25)))*(1-0.3)/(G35+G29),"")</f>
        <v/>
      </c>
      <c r="H53" s="35">
        <f>IFERROR(('연간'!T25)*(1-0.3)/(H35+H29),"")</f>
        <v/>
      </c>
      <c r="I53" s="36">
        <f>IFERROR(('연간'!U25)*(1-0.3)/(I35+I29),"")</f>
        <v/>
      </c>
      <c r="J53" s="36">
        <f>IFERROR(('연간'!V25)*(1-0.3)/(J35+J29),"")</f>
        <v/>
      </c>
      <c r="K53" s="36">
        <f>IFERROR(('연간'!W25)*(1-0.3)/(K35+K29),"")</f>
        <v/>
      </c>
      <c r="L53" s="36">
        <f>IFERROR(('연간'!X25)*(1-0.3)/(L35+L29),"")</f>
        <v/>
      </c>
    </row>
    <row r="54">
      <c r="A54" s="45" t="inlineStr">
        <is>
          <t>매출총이익률 (GPM)</t>
        </is>
      </c>
      <c r="B54" s="10" t="inlineStr">
        <is>
          <t>40%↑ (해자 신호)</t>
        </is>
      </c>
      <c r="C54" s="35">
        <f>IFERROR((IF(COUNT('연간'!G21:J21)&lt;4,"",SUM('연간'!G21:J21)))/(IF(COUNT('연간'!G4:J4)&lt;4,"",SUM('연간'!G4:J4))),"")</f>
        <v/>
      </c>
      <c r="D54" s="36">
        <f>IFERROR((IF(COUNT('연간'!H21:K21)&lt;4,"",SUM('연간'!H21:K21)))/(IF(COUNT('연간'!H4:K4)&lt;4,"",SUM('연간'!H4:K4))),"")</f>
        <v/>
      </c>
      <c r="E54" s="36">
        <f>IFERROR((IF(COUNT('연간'!I21:L21)&lt;4,"",SUM('연간'!I21:L21)))/(IF(COUNT('연간'!I4:L4)&lt;4,"",SUM('연간'!I4:L4))),"")</f>
        <v/>
      </c>
      <c r="F54" s="36">
        <f>IFERROR((IF(COUNT('연간'!J21:M21)&lt;4,"",SUM('연간'!J21:M21)))/(IF(COUNT('연간'!J4:M4)&lt;4,"",SUM('연간'!J4:M4))),"")</f>
        <v/>
      </c>
      <c r="G54" s="36">
        <f>IFERROR((IF(COUNT('연간'!K21:N21)&lt;4,"",SUM('연간'!K21:N21)))/(IF(COUNT('연간'!K4:N4)&lt;4,"",SUM('연간'!K4:N4))),"")</f>
        <v/>
      </c>
      <c r="H54" s="35">
        <f>IFERROR(('연간'!T21)/('연간'!T4),"")</f>
        <v/>
      </c>
      <c r="I54" s="36">
        <f>IFERROR(('연간'!U21)/('연간'!U4),"")</f>
        <v/>
      </c>
      <c r="J54" s="36">
        <f>IFERROR(('연간'!V21)/('연간'!V4),"")</f>
        <v/>
      </c>
      <c r="K54" s="36">
        <f>IFERROR(('연간'!W21)/('연간'!W4),"")</f>
        <v/>
      </c>
      <c r="L54" s="36">
        <f>IFERROR(('연간'!X21)/('연간'!X4),"")</f>
        <v/>
      </c>
    </row>
    <row r="55">
      <c r="A55" s="45" t="inlineStr">
        <is>
          <t>영업이익률 (OPM)</t>
        </is>
      </c>
      <c r="B55" s="10" t="inlineStr">
        <is>
          <t>15%↑</t>
        </is>
      </c>
      <c r="C55" s="35">
        <f>IFERROR((IF(COUNT('연간'!G25:J25)&lt;4,"",SUM('연간'!G25:J25)))/(IF(COUNT('연간'!G4:J4)&lt;4,"",SUM('연간'!G4:J4))),"")</f>
        <v/>
      </c>
      <c r="D55" s="36">
        <f>IFERROR((IF(COUNT('연간'!H25:K25)&lt;4,"",SUM('연간'!H25:K25)))/(IF(COUNT('연간'!H4:K4)&lt;4,"",SUM('연간'!H4:K4))),"")</f>
        <v/>
      </c>
      <c r="E55" s="36">
        <f>IFERROR((IF(COUNT('연간'!I25:L25)&lt;4,"",SUM('연간'!I25:L25)))/(IF(COUNT('연간'!I4:L4)&lt;4,"",SUM('연간'!I4:L4))),"")</f>
        <v/>
      </c>
      <c r="F55" s="36">
        <f>IFERROR((IF(COUNT('연간'!J25:M25)&lt;4,"",SUM('연간'!J25:M25)))/(IF(COUNT('연간'!J4:M4)&lt;4,"",SUM('연간'!J4:M4))),"")</f>
        <v/>
      </c>
      <c r="G55" s="36">
        <f>IFERROR((IF(COUNT('연간'!K25:N25)&lt;4,"",SUM('연간'!K25:N25)))/(IF(COUNT('연간'!K4:N4)&lt;4,"",SUM('연간'!K4:N4))),"")</f>
        <v/>
      </c>
      <c r="H55" s="35">
        <f>IFERROR(('연간'!T25)/('연간'!T4),"")</f>
        <v/>
      </c>
      <c r="I55" s="36">
        <f>IFERROR(('연간'!U25)/('연간'!U4),"")</f>
        <v/>
      </c>
      <c r="J55" s="36">
        <f>IFERROR(('연간'!V25)/('연간'!V4),"")</f>
        <v/>
      </c>
      <c r="K55" s="36">
        <f>IFERROR(('연간'!W25)/('연간'!W4),"")</f>
        <v/>
      </c>
      <c r="L55" s="36">
        <f>IFERROR(('연간'!X25)/('연간'!X4),"")</f>
        <v/>
      </c>
    </row>
    <row r="56">
      <c r="A56" s="45" t="inlineStr">
        <is>
          <t>순이익률</t>
        </is>
      </c>
      <c r="B56" s="10" t="inlineStr">
        <is>
          <t>10%↑</t>
        </is>
      </c>
      <c r="C56" s="35">
        <f>IFERROR((IF(COUNT('연간'!G52:J52)&lt;4,"",SUM('연간'!G52:J52)))/(IF(COUNT('연간'!G4:J4)&lt;4,"",SUM('연간'!G4:J4))),"")</f>
        <v/>
      </c>
      <c r="D56" s="36">
        <f>IFERROR((IF(COUNT('연간'!H52:K52)&lt;4,"",SUM('연간'!H52:K52)))/(IF(COUNT('연간'!H4:K4)&lt;4,"",SUM('연간'!H4:K4))),"")</f>
        <v/>
      </c>
      <c r="E56" s="36">
        <f>IFERROR((IF(COUNT('연간'!I52:L52)&lt;4,"",SUM('연간'!I52:L52)))/(IF(COUNT('연간'!I4:L4)&lt;4,"",SUM('연간'!I4:L4))),"")</f>
        <v/>
      </c>
      <c r="F56" s="36">
        <f>IFERROR((IF(COUNT('연간'!J52:M52)&lt;4,"",SUM('연간'!J52:M52)))/(IF(COUNT('연간'!J4:M4)&lt;4,"",SUM('연간'!J4:M4))),"")</f>
        <v/>
      </c>
      <c r="G56" s="36">
        <f>IFERROR((IF(COUNT('연간'!K52:N52)&lt;4,"",SUM('연간'!K52:N52)))/(IF(COUNT('연간'!K4:N4)&lt;4,"",SUM('연간'!K4:N4))),"")</f>
        <v/>
      </c>
      <c r="H56" s="35">
        <f>IFERROR(('연간'!T52)/('연간'!T4),"")</f>
        <v/>
      </c>
      <c r="I56" s="36">
        <f>IFERROR(('연간'!U52)/('연간'!U4),"")</f>
        <v/>
      </c>
      <c r="J56" s="36">
        <f>IFERROR(('연간'!V52)/('연간'!V4),"")</f>
        <v/>
      </c>
      <c r="K56" s="36">
        <f>IFERROR(('연간'!W52)/('연간'!W4),"")</f>
        <v/>
      </c>
      <c r="L56" s="36">
        <f>IFERROR(('연간'!X52)/('연간'!X4),"")</f>
        <v/>
      </c>
    </row>
    <row r="57">
      <c r="A57" s="23" t="inlineStr">
        <is>
          <t>효율성 (회전율)</t>
        </is>
      </c>
      <c r="B57" s="23" t="n"/>
      <c r="C57" s="24" t="n"/>
      <c r="D57" s="23" t="n"/>
      <c r="E57" s="23" t="n"/>
      <c r="F57" s="23" t="n"/>
      <c r="G57" s="23" t="n"/>
      <c r="H57" s="24" t="n"/>
      <c r="I57" s="23" t="n"/>
      <c r="J57" s="23" t="n"/>
      <c r="K57" s="23" t="n"/>
      <c r="L57" s="23" t="n"/>
    </row>
    <row r="58">
      <c r="A58" s="45" t="inlineStr">
        <is>
          <t>총자산회전율</t>
        </is>
      </c>
      <c r="B58" s="10" t="inlineStr">
        <is>
          <t>높을수록↑</t>
        </is>
      </c>
      <c r="C58" s="30">
        <f>IFERROR((IF(COUNT('연간'!G4:J4)&lt;4,"",SUM('연간'!G4:J4)))/C16,"")</f>
        <v/>
      </c>
      <c r="D58" s="31">
        <f>IFERROR((IF(COUNT('연간'!H4:K4)&lt;4,"",SUM('연간'!H4:K4)))/D16,"")</f>
        <v/>
      </c>
      <c r="E58" s="31">
        <f>IFERROR((IF(COUNT('연간'!I4:L4)&lt;4,"",SUM('연간'!I4:L4)))/E16,"")</f>
        <v/>
      </c>
      <c r="F58" s="31">
        <f>IFERROR((IF(COUNT('연간'!J4:M4)&lt;4,"",SUM('연간'!J4:M4)))/F16,"")</f>
        <v/>
      </c>
      <c r="G58" s="31">
        <f>IFERROR((IF(COUNT('연간'!K4:N4)&lt;4,"",SUM('연간'!K4:N4)))/G16,"")</f>
        <v/>
      </c>
      <c r="H58" s="30">
        <f>IFERROR(('연간'!T4)/H16,"")</f>
        <v/>
      </c>
      <c r="I58" s="31">
        <f>IFERROR(('연간'!U4)/I16,"")</f>
        <v/>
      </c>
      <c r="J58" s="31">
        <f>IFERROR(('연간'!V4)/J16,"")</f>
        <v/>
      </c>
      <c r="K58" s="31">
        <f>IFERROR(('연간'!W4)/K16,"")</f>
        <v/>
      </c>
      <c r="L58" s="31">
        <f>IFERROR(('연간'!X4)/L16,"")</f>
        <v/>
      </c>
    </row>
    <row r="59">
      <c r="A59" s="45" t="inlineStr">
        <is>
          <t>매출채권회전일수</t>
        </is>
      </c>
      <c r="B59" s="10" t="inlineStr">
        <is>
          <t>짧을수록↑</t>
        </is>
      </c>
      <c r="C59" s="48">
        <f>IFERROR(C8/(IF(COUNT('연간'!G4:J4)&lt;4,"",SUM('연간'!G4:J4)))*365,"")</f>
        <v/>
      </c>
      <c r="D59" s="49">
        <f>IFERROR(D8/(IF(COUNT('연간'!H4:K4)&lt;4,"",SUM('연간'!H4:K4)))*365,"")</f>
        <v/>
      </c>
      <c r="E59" s="49">
        <f>IFERROR(E8/(IF(COUNT('연간'!I4:L4)&lt;4,"",SUM('연간'!I4:L4)))*365,"")</f>
        <v/>
      </c>
      <c r="F59" s="49">
        <f>IFERROR(F8/(IF(COUNT('연간'!J4:M4)&lt;4,"",SUM('연간'!J4:M4)))*365,"")</f>
        <v/>
      </c>
      <c r="G59" s="49">
        <f>IFERROR(G8/(IF(COUNT('연간'!K4:N4)&lt;4,"",SUM('연간'!K4:N4)))*365,"")</f>
        <v/>
      </c>
      <c r="H59" s="48">
        <f>IFERROR(H8/('연간'!T4)*365,"")</f>
        <v/>
      </c>
      <c r="I59" s="49">
        <f>IFERROR(I8/('연간'!U4)*365,"")</f>
        <v/>
      </c>
      <c r="J59" s="49">
        <f>IFERROR(J8/('연간'!V4)*365,"")</f>
        <v/>
      </c>
      <c r="K59" s="49">
        <f>IFERROR(K8/('연간'!W4)*365,"")</f>
        <v/>
      </c>
      <c r="L59" s="49">
        <f>IFERROR(L8/('연간'!X4)*365,"")</f>
        <v/>
      </c>
    </row>
    <row r="60">
      <c r="A60" s="45" t="inlineStr">
        <is>
          <t>재고자산회전일수</t>
        </is>
      </c>
      <c r="B60" s="10" t="inlineStr">
        <is>
          <t>짧을수록↑</t>
        </is>
      </c>
      <c r="C60" s="48">
        <f>IFERROR(C9/(IF(COUNT('연간'!G20:J20)&lt;4,"",SUM('연간'!G20:J20)))*365,"")</f>
        <v/>
      </c>
      <c r="D60" s="49">
        <f>IFERROR(D9/(IF(COUNT('연간'!H20:K20)&lt;4,"",SUM('연간'!H20:K20)))*365,"")</f>
        <v/>
      </c>
      <c r="E60" s="49">
        <f>IFERROR(E9/(IF(COUNT('연간'!I20:L20)&lt;4,"",SUM('연간'!I20:L20)))*365,"")</f>
        <v/>
      </c>
      <c r="F60" s="49">
        <f>IFERROR(F9/(IF(COUNT('연간'!J20:M20)&lt;4,"",SUM('연간'!J20:M20)))*365,"")</f>
        <v/>
      </c>
      <c r="G60" s="49">
        <f>IFERROR(G9/(IF(COUNT('연간'!K20:N20)&lt;4,"",SUM('연간'!K20:N20)))*365,"")</f>
        <v/>
      </c>
      <c r="H60" s="48">
        <f>IFERROR(H9/('연간'!T20)*365,"")</f>
        <v/>
      </c>
      <c r="I60" s="49">
        <f>IFERROR(I9/('연간'!U20)*365,"")</f>
        <v/>
      </c>
      <c r="J60" s="49">
        <f>IFERROR(J9/('연간'!V20)*365,"")</f>
        <v/>
      </c>
      <c r="K60" s="49">
        <f>IFERROR(K9/('연간'!W20)*365,"")</f>
        <v/>
      </c>
      <c r="L60" s="49">
        <f>IFERROR(L9/('연간'!X20)*365,"")</f>
        <v/>
      </c>
    </row>
    <row r="61">
      <c r="A61" s="45" t="inlineStr">
        <is>
          <t>매입채무회전일수</t>
        </is>
      </c>
      <c r="B61" s="10" t="inlineStr">
        <is>
          <t>길수록 유리</t>
        </is>
      </c>
      <c r="C61" s="48">
        <f>IFERROR(C19/(IF(COUNT('연간'!G20:J20)&lt;4,"",SUM('연간'!G20:J20)))*365,"")</f>
        <v/>
      </c>
      <c r="D61" s="49">
        <f>IFERROR(D19/(IF(COUNT('연간'!H20:K20)&lt;4,"",SUM('연간'!H20:K20)))*365,"")</f>
        <v/>
      </c>
      <c r="E61" s="49">
        <f>IFERROR(E19/(IF(COUNT('연간'!I20:L20)&lt;4,"",SUM('연간'!I20:L20)))*365,"")</f>
        <v/>
      </c>
      <c r="F61" s="49">
        <f>IFERROR(F19/(IF(COUNT('연간'!J20:M20)&lt;4,"",SUM('연간'!J20:M20)))*365,"")</f>
        <v/>
      </c>
      <c r="G61" s="49">
        <f>IFERROR(G19/(IF(COUNT('연간'!K20:N20)&lt;4,"",SUM('연간'!K20:N20)))*365,"")</f>
        <v/>
      </c>
      <c r="H61" s="48">
        <f>IFERROR(H19/('연간'!T20)*365,"")</f>
        <v/>
      </c>
      <c r="I61" s="49">
        <f>IFERROR(I19/('연간'!U20)*365,"")</f>
        <v/>
      </c>
      <c r="J61" s="49">
        <f>IFERROR(J19/('연간'!V20)*365,"")</f>
        <v/>
      </c>
      <c r="K61" s="49">
        <f>IFERROR(K19/('연간'!W20)*365,"")</f>
        <v/>
      </c>
      <c r="L61" s="49">
        <f>IFERROR(L19/('연간'!X20)*365,"")</f>
        <v/>
      </c>
    </row>
    <row r="62">
      <c r="A62" s="45" t="inlineStr">
        <is>
          <t>현금전환주기 (CCC)</t>
        </is>
      </c>
      <c r="B62" s="10" t="inlineStr">
        <is>
          <t>짧을수록↑</t>
        </is>
      </c>
      <c r="C62" s="48">
        <f>IF(OR(C59="",C60="",C61=""),"",IFERROR(C59+C60-C61,""))</f>
        <v/>
      </c>
      <c r="D62" s="49">
        <f>IF(OR(D59="",D60="",D61=""),"",IFERROR(D59+D60-D61,""))</f>
        <v/>
      </c>
      <c r="E62" s="49">
        <f>IF(OR(E59="",E60="",E61=""),"",IFERROR(E59+E60-E61,""))</f>
        <v/>
      </c>
      <c r="F62" s="49">
        <f>IF(OR(F59="",F60="",F61=""),"",IFERROR(F59+F60-F61,""))</f>
        <v/>
      </c>
      <c r="G62" s="49">
        <f>IF(OR(G59="",G60="",G61=""),"",IFERROR(G59+G60-G61,""))</f>
        <v/>
      </c>
      <c r="H62" s="48">
        <f>IF(OR(H59="",H60="",H61=""),"",IFERROR(H59+H60-H61,""))</f>
        <v/>
      </c>
      <c r="I62" s="49">
        <f>IF(OR(I59="",I60="",I61=""),"",IFERROR(I59+I60-I61,""))</f>
        <v/>
      </c>
      <c r="J62" s="49">
        <f>IF(OR(J59="",J60="",J61=""),"",IFERROR(J59+J60-J61,""))</f>
        <v/>
      </c>
      <c r="K62" s="49">
        <f>IF(OR(K59="",K60="",K61=""),"",IFERROR(K59+K60-K61,""))</f>
        <v/>
      </c>
      <c r="L62" s="49">
        <f>IF(OR(L59="",L60="",L61=""),"",IFERROR(L59+L60-L61,""))</f>
        <v/>
      </c>
    </row>
    <row r="63">
      <c r="A63" s="23" t="inlineStr">
        <is>
          <t>현금흐름</t>
        </is>
      </c>
      <c r="B63" s="23" t="n"/>
      <c r="C63" s="24" t="n"/>
      <c r="D63" s="23" t="n"/>
      <c r="E63" s="23" t="n"/>
      <c r="F63" s="23" t="n"/>
      <c r="G63" s="23" t="n"/>
      <c r="H63" s="24" t="n"/>
      <c r="I63" s="23" t="n"/>
      <c r="J63" s="23" t="n"/>
      <c r="K63" s="23" t="n"/>
      <c r="L63" s="23" t="n"/>
    </row>
    <row r="64">
      <c r="A64" s="45" t="inlineStr">
        <is>
          <t>영업현금흐름 / 순이익</t>
        </is>
      </c>
      <c r="B64" s="10" t="inlineStr">
        <is>
          <t>1x↑ (이익의 질)</t>
        </is>
      </c>
      <c r="C64" s="30">
        <f>IF(C37="","",IFERROR(C37/(IF(COUNT('연간'!G52:J52)&lt;4,"",SUM('연간'!G52:J52))),""))</f>
        <v/>
      </c>
      <c r="D64" s="31">
        <f>IF(D37="","",IFERROR(D37/(IF(COUNT('연간'!H52:K52)&lt;4,"",SUM('연간'!H52:K52))),""))</f>
        <v/>
      </c>
      <c r="E64" s="31">
        <f>IF(E37="","",IFERROR(E37/(IF(COUNT('연간'!I52:L52)&lt;4,"",SUM('연간'!I52:L52))),""))</f>
        <v/>
      </c>
      <c r="F64" s="31">
        <f>IF(F37="","",IFERROR(F37/(IF(COUNT('연간'!J52:M52)&lt;4,"",SUM('연간'!J52:M52))),""))</f>
        <v/>
      </c>
      <c r="G64" s="31">
        <f>IF(G37="","",IFERROR(G37/(IF(COUNT('연간'!K52:N52)&lt;4,"",SUM('연간'!K52:N52))),""))</f>
        <v/>
      </c>
      <c r="H64" s="30">
        <f>IF(H37="","",IFERROR(H37/('연간'!T52),""))</f>
        <v/>
      </c>
      <c r="I64" s="31">
        <f>IF(I37="","",IFERROR(I37/('연간'!U52),""))</f>
        <v/>
      </c>
      <c r="J64" s="31">
        <f>IF(J37="","",IFERROR(J37/('연간'!V52),""))</f>
        <v/>
      </c>
      <c r="K64" s="31">
        <f>IF(K37="","",IFERROR(K37/('연간'!W52),""))</f>
        <v/>
      </c>
      <c r="L64" s="31">
        <f>IF(L37="","",IFERROR(L37/('연간'!X52),""))</f>
        <v/>
      </c>
    </row>
    <row r="65">
      <c r="A65" s="45" t="inlineStr">
        <is>
          <t>FCF 마진</t>
        </is>
      </c>
      <c r="B65" s="10" t="inlineStr">
        <is>
          <t>5%↑</t>
        </is>
      </c>
      <c r="C65" s="35">
        <f>IF(C39="","",IFERROR(C39/(IF(COUNT('연간'!G4:J4)&lt;4,"",SUM('연간'!G4:J4))),""))</f>
        <v/>
      </c>
      <c r="D65" s="36">
        <f>IF(D39="","",IFERROR(D39/(IF(COUNT('연간'!H4:K4)&lt;4,"",SUM('연간'!H4:K4))),""))</f>
        <v/>
      </c>
      <c r="E65" s="36">
        <f>IF(E39="","",IFERROR(E39/(IF(COUNT('연간'!I4:L4)&lt;4,"",SUM('연간'!I4:L4))),""))</f>
        <v/>
      </c>
      <c r="F65" s="36">
        <f>IF(F39="","",IFERROR(F39/(IF(COUNT('연간'!J4:M4)&lt;4,"",SUM('연간'!J4:M4))),""))</f>
        <v/>
      </c>
      <c r="G65" s="36">
        <f>IF(G39="","",IFERROR(G39/(IF(COUNT('연간'!K4:N4)&lt;4,"",SUM('연간'!K4:N4))),""))</f>
        <v/>
      </c>
      <c r="H65" s="35">
        <f>IF(H39="","",IFERROR(H39/('연간'!T4),""))</f>
        <v/>
      </c>
      <c r="I65" s="36">
        <f>IF(I39="","",IFERROR(I39/('연간'!U4),""))</f>
        <v/>
      </c>
      <c r="J65" s="36">
        <f>IF(J39="","",IFERROR(J39/('연간'!V4),""))</f>
        <v/>
      </c>
      <c r="K65" s="36">
        <f>IF(K39="","",IFERROR(K39/('연간'!W4),""))</f>
        <v/>
      </c>
      <c r="L65" s="36">
        <f>IF(L39="","",IFERROR(L39/('연간'!X4),""))</f>
        <v/>
      </c>
    </row>
    <row r="66">
      <c r="A66" s="45" t="inlineStr">
        <is>
          <t>CAPEX / 매출</t>
        </is>
      </c>
      <c r="B66" s="10" t="inlineStr">
        <is>
          <t>낮을수록↑ (자본 가벼움)</t>
        </is>
      </c>
      <c r="C66" s="35">
        <f>IF(C38="","",IFERROR(C38/(IF(COUNT('연간'!G4:J4)&lt;4,"",SUM('연간'!G4:J4))),""))</f>
        <v/>
      </c>
      <c r="D66" s="36">
        <f>IF(D38="","",IFERROR(D38/(IF(COUNT('연간'!H4:K4)&lt;4,"",SUM('연간'!H4:K4))),""))</f>
        <v/>
      </c>
      <c r="E66" s="36">
        <f>IF(E38="","",IFERROR(E38/(IF(COUNT('연간'!I4:L4)&lt;4,"",SUM('연간'!I4:L4))),""))</f>
        <v/>
      </c>
      <c r="F66" s="36">
        <f>IF(F38="","",IFERROR(F38/(IF(COUNT('연간'!J4:M4)&lt;4,"",SUM('연간'!J4:M4))),""))</f>
        <v/>
      </c>
      <c r="G66" s="36">
        <f>IF(G38="","",IFERROR(G38/(IF(COUNT('연간'!K4:N4)&lt;4,"",SUM('연간'!K4:N4))),""))</f>
        <v/>
      </c>
      <c r="H66" s="35">
        <f>IF(H38="","",IFERROR(H38/('연간'!T4),""))</f>
        <v/>
      </c>
      <c r="I66" s="36">
        <f>IF(I38="","",IFERROR(I38/('연간'!U4),""))</f>
        <v/>
      </c>
      <c r="J66" s="36">
        <f>IF(J38="","",IFERROR(J38/('연간'!V4),""))</f>
        <v/>
      </c>
      <c r="K66" s="36">
        <f>IF(K38="","",IFERROR(K38/('연간'!W4),""))</f>
        <v/>
      </c>
      <c r="L66" s="36">
        <f>IF(L38="","",IFERROR(L38/('연간'!X4),""))</f>
        <v/>
      </c>
    </row>
    <row r="67">
      <c r="A67" s="45" t="inlineStr">
        <is>
          <t>배당성향</t>
        </is>
      </c>
      <c r="B67" s="10" t="inlineStr">
        <is>
          <t>참고</t>
        </is>
      </c>
      <c r="C67" s="35">
        <f>IF(C40="","",IFERROR(C40/(IF(COUNT('연간'!G53:J53)&lt;4,"",SUM('연간'!G53:J53))),""))</f>
        <v/>
      </c>
      <c r="D67" s="36">
        <f>IF(D40="","",IFERROR(D40/(IF(COUNT('연간'!H53:K53)&lt;4,"",SUM('연간'!H53:K53))),""))</f>
        <v/>
      </c>
      <c r="E67" s="36">
        <f>IF(E40="","",IFERROR(E40/(IF(COUNT('연간'!I53:L53)&lt;4,"",SUM('연간'!I53:L53))),""))</f>
        <v/>
      </c>
      <c r="F67" s="36">
        <f>IF(F40="","",IFERROR(F40/(IF(COUNT('연간'!J53:M53)&lt;4,"",SUM('연간'!J53:M53))),""))</f>
        <v/>
      </c>
      <c r="G67" s="36">
        <f>IF(G40="","",IFERROR(G40/(IF(COUNT('연간'!K53:N53)&lt;4,"",SUM('연간'!K53:N53))),""))</f>
        <v/>
      </c>
      <c r="H67" s="35">
        <f>IF(H40="","",IFERROR(H40/('연간'!T53),""))</f>
        <v/>
      </c>
      <c r="I67" s="36">
        <f>IF(I40="","",IFERROR(I40/('연간'!U53),""))</f>
        <v/>
      </c>
      <c r="J67" s="36">
        <f>IF(J40="","",IFERROR(J40/('연간'!V53),""))</f>
        <v/>
      </c>
      <c r="K67" s="36">
        <f>IF(K40="","",IFERROR(K40/('연간'!W53),""))</f>
        <v/>
      </c>
      <c r="L67" s="36">
        <f>IF(L40="","",IFERROR(L40/('연간'!X53),""))</f>
        <v/>
      </c>
    </row>
    <row r="69">
      <c r="A69" s="16" t="inlineStr">
        <is>
          <t>재무상태표 · 전 항목</t>
        </is>
      </c>
      <c r="B69" s="42" t="inlineStr">
        <is>
          <t>분기 말 잔액</t>
        </is>
      </c>
      <c r="C69" s="16" t="n"/>
      <c r="D69" s="16" t="n"/>
      <c r="E69" s="16" t="n"/>
      <c r="F69" s="16" t="n"/>
      <c r="G69" s="16" t="n"/>
      <c r="H69" s="16" t="n"/>
      <c r="I69" s="16" t="n"/>
      <c r="J69" s="16" t="n"/>
      <c r="K69" s="16" t="n"/>
      <c r="L69" s="16" t="n"/>
    </row>
    <row r="70">
      <c r="A70" s="5" t="inlineStr">
        <is>
          <t>항목</t>
        </is>
      </c>
      <c r="B70" s="5" t="inlineStr">
        <is>
          <t>참고</t>
        </is>
      </c>
      <c r="C70" s="5" t="inlineStr">
        <is>
          <t>2026.1Q</t>
        </is>
      </c>
      <c r="D70" s="5" t="inlineStr">
        <is>
          <t>2026.2Q</t>
        </is>
      </c>
      <c r="E70" s="5" t="inlineStr">
        <is>
          <t>2026.3Q</t>
        </is>
      </c>
      <c r="F70" s="5" t="inlineStr">
        <is>
          <t>2026.4Q</t>
        </is>
      </c>
      <c r="G70" s="5" t="inlineStr">
        <is>
          <t>2027.1Q</t>
        </is>
      </c>
      <c r="H70" s="5" t="inlineStr">
        <is>
          <t>2022</t>
        </is>
      </c>
      <c r="I70" s="5" t="inlineStr">
        <is>
          <t>2023</t>
        </is>
      </c>
      <c r="J70" s="5" t="inlineStr">
        <is>
          <t>2024</t>
        </is>
      </c>
      <c r="K70" s="5" t="inlineStr">
        <is>
          <t>2025</t>
        </is>
      </c>
      <c r="L70" s="5" t="inlineStr">
        <is>
          <t>2026</t>
        </is>
      </c>
    </row>
    <row r="71">
      <c r="A71" s="18" t="inlineStr">
        <is>
          <t>현금 및 예금</t>
        </is>
      </c>
      <c r="C71" s="20" t="n">
        <v>9812</v>
      </c>
      <c r="D71" s="20" t="n">
        <v>10098</v>
      </c>
      <c r="E71" s="20" t="n">
        <v>12238</v>
      </c>
      <c r="F71" s="20" t="n">
        <v>11138</v>
      </c>
      <c r="G71" s="20" t="n">
        <v>11876</v>
      </c>
      <c r="H71" s="20" t="n">
        <v>3500</v>
      </c>
      <c r="I71" s="20" t="n">
        <v>7379</v>
      </c>
      <c r="J71" s="20" t="n">
        <v>10876</v>
      </c>
      <c r="K71" s="20" t="n">
        <v>10342</v>
      </c>
      <c r="L71" s="20" t="n">
        <v>11138</v>
      </c>
    </row>
    <row r="72">
      <c r="A72" s="18" t="inlineStr">
        <is>
          <t>받을어음·매출채권</t>
        </is>
      </c>
      <c r="C72" s="20" t="n">
        <v>41528</v>
      </c>
      <c r="D72" s="20" t="n">
        <v>40345</v>
      </c>
      <c r="E72" s="20" t="n">
        <v>49147</v>
      </c>
      <c r="F72" s="20" t="n">
        <v>40443</v>
      </c>
      <c r="G72" s="20" t="n">
        <v>42881</v>
      </c>
      <c r="H72" s="20" t="n">
        <v>40359</v>
      </c>
      <c r="I72" s="20" t="n">
        <v>51375</v>
      </c>
      <c r="J72" s="20" t="n">
        <v>51829</v>
      </c>
      <c r="K72" s="20" t="n">
        <v>43211</v>
      </c>
      <c r="L72" s="20" t="n">
        <v>40443</v>
      </c>
    </row>
    <row r="73">
      <c r="A73" s="18" t="inlineStr">
        <is>
          <t>전자기록채권</t>
        </is>
      </c>
      <c r="C73" s="20" t="n">
        <v>5679</v>
      </c>
      <c r="D73" s="20" t="n">
        <v>5733</v>
      </c>
      <c r="E73" s="20" t="n">
        <v>7122</v>
      </c>
      <c r="F73" s="20" t="n">
        <v>6541</v>
      </c>
      <c r="G73" s="20" t="n">
        <v>6812</v>
      </c>
      <c r="H73" s="20" t="n">
        <v>2427</v>
      </c>
      <c r="I73" s="20" t="n">
        <v>3885</v>
      </c>
      <c r="J73" s="20" t="n">
        <v>5149</v>
      </c>
      <c r="K73" s="20" t="n">
        <v>4437</v>
      </c>
      <c r="L73" s="20" t="n">
        <v>6541</v>
      </c>
    </row>
    <row r="74">
      <c r="A74" s="18" t="inlineStr">
        <is>
          <t>상품·제품</t>
        </is>
      </c>
      <c r="C74" s="20" t="n">
        <v>2742</v>
      </c>
      <c r="D74" s="20" t="n">
        <v>2779</v>
      </c>
      <c r="E74" s="20" t="n">
        <v>2857</v>
      </c>
      <c r="F74" s="20" t="n">
        <v>2656</v>
      </c>
      <c r="G74" s="20" t="n">
        <v>2553</v>
      </c>
      <c r="H74" s="20" t="n">
        <v>2345</v>
      </c>
      <c r="I74" s="20" t="n">
        <v>3070</v>
      </c>
      <c r="J74" s="20" t="n">
        <v>2856</v>
      </c>
      <c r="K74" s="20" t="n">
        <v>2570</v>
      </c>
      <c r="L74" s="20" t="n">
        <v>2656</v>
      </c>
    </row>
    <row r="75">
      <c r="A75" s="18" t="inlineStr">
        <is>
          <t>원재료·저장품</t>
        </is>
      </c>
      <c r="C75" s="20" t="n">
        <v>14514</v>
      </c>
      <c r="D75" s="20" t="n">
        <v>12959</v>
      </c>
      <c r="E75" s="20" t="n">
        <v>13275</v>
      </c>
      <c r="F75" s="20" t="n">
        <v>14633</v>
      </c>
      <c r="G75" s="20" t="n">
        <v>14062</v>
      </c>
      <c r="H75" s="20" t="n">
        <v>13269</v>
      </c>
      <c r="I75" s="20" t="n">
        <v>17156</v>
      </c>
      <c r="J75" s="20" t="n">
        <v>14041</v>
      </c>
      <c r="K75" s="20" t="n">
        <v>16451</v>
      </c>
      <c r="L75" s="20" t="n">
        <v>14633</v>
      </c>
    </row>
    <row r="76">
      <c r="A76" s="18" t="inlineStr">
        <is>
          <t>Animals CA</t>
        </is>
      </c>
      <c r="F76" s="20" t="n">
        <v>402</v>
      </c>
      <c r="K76" s="20" t="n">
        <v>392</v>
      </c>
      <c r="L76" s="20" t="n">
        <v>402</v>
      </c>
    </row>
    <row r="77">
      <c r="A77" s="18" t="inlineStr">
        <is>
          <t>Animals</t>
        </is>
      </c>
      <c r="C77" s="20" t="n">
        <v>411</v>
      </c>
      <c r="D77" s="20" t="n">
        <v>423</v>
      </c>
      <c r="E77" s="20" t="n">
        <v>417</v>
      </c>
      <c r="F77" s="20" t="n">
        <v>402</v>
      </c>
      <c r="G77" s="20" t="n">
        <v>392</v>
      </c>
      <c r="H77" s="20" t="n">
        <v>335</v>
      </c>
      <c r="I77" s="20" t="n">
        <v>357</v>
      </c>
      <c r="J77" s="20" t="n">
        <v>408</v>
      </c>
      <c r="K77" s="20" t="n">
        <v>392</v>
      </c>
      <c r="L77" s="20" t="n">
        <v>402</v>
      </c>
    </row>
    <row r="78">
      <c r="A78" s="18" t="inlineStr">
        <is>
          <t>기타</t>
        </is>
      </c>
      <c r="C78" s="20" t="n">
        <v>2640</v>
      </c>
      <c r="D78" s="20" t="n">
        <v>2906</v>
      </c>
      <c r="E78" s="20" t="n">
        <v>2861</v>
      </c>
      <c r="F78" s="20" t="n">
        <v>2755</v>
      </c>
      <c r="G78" s="20" t="n">
        <v>2849</v>
      </c>
      <c r="H78" s="20" t="n">
        <v>3100</v>
      </c>
      <c r="I78" s="20" t="n">
        <v>2791</v>
      </c>
      <c r="J78" s="20" t="n">
        <v>3335</v>
      </c>
      <c r="K78" s="20" t="n">
        <v>2832</v>
      </c>
      <c r="L78" s="20" t="n">
        <v>2755</v>
      </c>
    </row>
    <row r="79">
      <c r="A79" s="18" t="inlineStr">
        <is>
          <t>대손충당금</t>
        </is>
      </c>
      <c r="C79" s="20" t="n">
        <v>-123</v>
      </c>
      <c r="D79" s="20" t="n">
        <v>-109</v>
      </c>
      <c r="E79" s="20" t="n">
        <v>-160</v>
      </c>
      <c r="F79" s="20" t="n">
        <v>-98</v>
      </c>
      <c r="G79" s="20" t="n">
        <v>-102</v>
      </c>
      <c r="H79" s="20" t="n">
        <v>-34</v>
      </c>
      <c r="I79" s="20" t="n">
        <v>-180</v>
      </c>
      <c r="J79" s="20" t="n">
        <v>-292</v>
      </c>
      <c r="K79" s="20" t="n">
        <v>-152</v>
      </c>
      <c r="L79" s="20" t="n">
        <v>-98</v>
      </c>
    </row>
    <row r="80">
      <c r="A80" s="9" t="inlineStr">
        <is>
          <t>유동자산 합계</t>
        </is>
      </c>
      <c r="C80" s="12" t="n">
        <v>77206</v>
      </c>
      <c r="D80" s="12" t="n">
        <v>75135</v>
      </c>
      <c r="E80" s="12" t="n">
        <v>87759</v>
      </c>
      <c r="F80" s="12" t="n">
        <v>78472</v>
      </c>
      <c r="G80" s="12" t="n">
        <v>81325</v>
      </c>
      <c r="H80" s="12" t="n">
        <v>65303</v>
      </c>
      <c r="I80" s="12" t="n">
        <v>85836</v>
      </c>
      <c r="J80" s="12" t="n">
        <v>88204</v>
      </c>
      <c r="K80" s="12" t="n">
        <v>80085</v>
      </c>
      <c r="L80" s="12" t="n">
        <v>78472</v>
      </c>
    </row>
    <row r="81">
      <c r="A81" s="18" t="inlineStr">
        <is>
          <t>건물·구축물</t>
        </is>
      </c>
      <c r="F81" s="20" t="n">
        <v>26251</v>
      </c>
      <c r="H81" s="20" t="n">
        <v>25521</v>
      </c>
      <c r="I81" s="20" t="n">
        <v>24177</v>
      </c>
      <c r="J81" s="20" t="n">
        <v>24195</v>
      </c>
      <c r="K81" s="20" t="n">
        <v>25386</v>
      </c>
      <c r="L81" s="20" t="n">
        <v>26251</v>
      </c>
    </row>
    <row r="82">
      <c r="A82" s="18" t="inlineStr">
        <is>
          <t>감가상각누계액</t>
        </is>
      </c>
      <c r="F82" s="20" t="n">
        <v>-13131</v>
      </c>
      <c r="H82" s="20" t="n">
        <v>-12082</v>
      </c>
      <c r="I82" s="20" t="n">
        <v>-11174</v>
      </c>
      <c r="J82" s="20" t="n">
        <v>-11793</v>
      </c>
      <c r="K82" s="20" t="n">
        <v>-12366</v>
      </c>
      <c r="L82" s="20" t="n">
        <v>-13131</v>
      </c>
    </row>
    <row r="83">
      <c r="A83" s="18" t="inlineStr">
        <is>
          <t>건물·구축물(순액)</t>
        </is>
      </c>
      <c r="C83" s="20" t="n">
        <v>12949</v>
      </c>
      <c r="D83" s="20" t="n">
        <v>12946</v>
      </c>
      <c r="E83" s="20" t="n">
        <v>13182</v>
      </c>
      <c r="F83" s="20" t="n">
        <v>13119</v>
      </c>
      <c r="G83" s="20" t="n">
        <v>13572</v>
      </c>
      <c r="H83" s="20" t="n">
        <v>13438</v>
      </c>
      <c r="I83" s="20" t="n">
        <v>13002</v>
      </c>
      <c r="J83" s="20" t="n">
        <v>12401</v>
      </c>
      <c r="K83" s="20" t="n">
        <v>13019</v>
      </c>
      <c r="L83" s="20" t="n">
        <v>13119</v>
      </c>
    </row>
    <row r="84">
      <c r="A84" s="18" t="inlineStr">
        <is>
          <t>기계장치·운반구</t>
        </is>
      </c>
      <c r="F84" s="20" t="n">
        <v>32590</v>
      </c>
      <c r="H84" s="20" t="n">
        <v>30322</v>
      </c>
      <c r="I84" s="20" t="n">
        <v>29123</v>
      </c>
      <c r="J84" s="20" t="n">
        <v>29792</v>
      </c>
      <c r="K84" s="20" t="n">
        <v>31457</v>
      </c>
      <c r="L84" s="20" t="n">
        <v>32590</v>
      </c>
    </row>
    <row r="85">
      <c r="A85" s="18" t="inlineStr">
        <is>
          <t>감가상각누계액</t>
        </is>
      </c>
      <c r="F85" s="20" t="n">
        <v>-23181</v>
      </c>
      <c r="H85" s="20" t="n">
        <v>-18050</v>
      </c>
      <c r="I85" s="20" t="n">
        <v>-17905</v>
      </c>
      <c r="J85" s="20" t="n">
        <v>-19613</v>
      </c>
      <c r="K85" s="20" t="n">
        <v>-21489</v>
      </c>
      <c r="L85" s="20" t="n">
        <v>-23181</v>
      </c>
    </row>
    <row r="86">
      <c r="A86" s="18" t="inlineStr">
        <is>
          <t>기계장치·운반구(순액)</t>
        </is>
      </c>
      <c r="C86" s="20" t="n">
        <v>9626</v>
      </c>
      <c r="D86" s="20" t="n">
        <v>9600</v>
      </c>
      <c r="E86" s="20" t="n">
        <v>9586</v>
      </c>
      <c r="F86" s="20" t="n">
        <v>9408</v>
      </c>
      <c r="G86" s="20" t="n">
        <v>9761</v>
      </c>
      <c r="H86" s="20" t="n">
        <v>12271</v>
      </c>
      <c r="I86" s="20" t="n">
        <v>11217</v>
      </c>
      <c r="J86" s="20" t="n">
        <v>10179</v>
      </c>
      <c r="K86" s="20" t="n">
        <v>9967</v>
      </c>
      <c r="L86" s="20" t="n">
        <v>9408</v>
      </c>
    </row>
    <row r="87">
      <c r="A87" s="18" t="inlineStr">
        <is>
          <t>토지</t>
        </is>
      </c>
      <c r="C87" s="20" t="n">
        <v>6549</v>
      </c>
      <c r="D87" s="20" t="n">
        <v>6535</v>
      </c>
      <c r="E87" s="20" t="n">
        <v>6532</v>
      </c>
      <c r="F87" s="20" t="n">
        <v>6532</v>
      </c>
      <c r="G87" s="20" t="n">
        <v>6532</v>
      </c>
      <c r="H87" s="20" t="n">
        <v>6355</v>
      </c>
      <c r="I87" s="20" t="n">
        <v>6114</v>
      </c>
      <c r="J87" s="20" t="n">
        <v>6265</v>
      </c>
      <c r="K87" s="20" t="n">
        <v>6255</v>
      </c>
      <c r="L87" s="20" t="n">
        <v>6532</v>
      </c>
    </row>
    <row r="88">
      <c r="A88" s="18" t="inlineStr">
        <is>
          <t>리스자산</t>
        </is>
      </c>
      <c r="F88" s="20" t="n">
        <v>1226</v>
      </c>
      <c r="H88" s="20" t="n">
        <v>1046</v>
      </c>
      <c r="I88" s="20" t="n">
        <v>1045</v>
      </c>
      <c r="J88" s="20" t="n">
        <v>1089</v>
      </c>
      <c r="K88" s="20" t="n">
        <v>1064</v>
      </c>
      <c r="L88" s="20" t="n">
        <v>1226</v>
      </c>
    </row>
    <row r="89">
      <c r="A89" s="18" t="inlineStr">
        <is>
          <t>감가상각누계액</t>
        </is>
      </c>
      <c r="F89" s="20" t="n">
        <v>-549</v>
      </c>
      <c r="H89" s="20" t="n">
        <v>-227</v>
      </c>
      <c r="I89" s="20" t="n">
        <v>-318</v>
      </c>
      <c r="J89" s="20" t="n">
        <v>-401</v>
      </c>
      <c r="K89" s="20" t="n">
        <v>-435</v>
      </c>
      <c r="L89" s="20" t="n">
        <v>-549</v>
      </c>
    </row>
    <row r="90">
      <c r="A90" s="18" t="inlineStr">
        <is>
          <t>리스자산(순액)</t>
        </is>
      </c>
      <c r="C90" s="20" t="n">
        <v>665</v>
      </c>
      <c r="D90" s="20" t="n">
        <v>664</v>
      </c>
      <c r="E90" s="20" t="n">
        <v>659</v>
      </c>
      <c r="F90" s="20" t="n">
        <v>676</v>
      </c>
      <c r="G90" s="20" t="n">
        <v>668</v>
      </c>
      <c r="H90" s="20" t="n">
        <v>818</v>
      </c>
      <c r="I90" s="20" t="n">
        <v>727</v>
      </c>
      <c r="J90" s="20" t="n">
        <v>687</v>
      </c>
      <c r="K90" s="20" t="n">
        <v>629</v>
      </c>
      <c r="L90" s="20" t="n">
        <v>676</v>
      </c>
    </row>
    <row r="91">
      <c r="A91" s="18" t="inlineStr">
        <is>
          <t>건설중인자산</t>
        </is>
      </c>
      <c r="C91" s="20" t="n">
        <v>4792</v>
      </c>
      <c r="D91" s="20" t="n">
        <v>5241</v>
      </c>
      <c r="E91" s="20" t="n">
        <v>5206</v>
      </c>
      <c r="F91" s="20" t="n">
        <v>8004</v>
      </c>
      <c r="G91" s="20" t="n">
        <v>7220</v>
      </c>
      <c r="H91" s="20" t="n">
        <v>45</v>
      </c>
      <c r="I91" s="20" t="n">
        <v>68</v>
      </c>
      <c r="J91" s="20" t="n">
        <v>167</v>
      </c>
      <c r="K91" s="20" t="n">
        <v>648</v>
      </c>
      <c r="L91" s="20" t="n">
        <v>8004</v>
      </c>
    </row>
    <row r="92">
      <c r="A92" s="18" t="inlineStr">
        <is>
          <t>기타</t>
        </is>
      </c>
      <c r="F92" s="20" t="n">
        <v>2927</v>
      </c>
      <c r="H92" s="20" t="n">
        <v>2211</v>
      </c>
      <c r="I92" s="20" t="n">
        <v>2137</v>
      </c>
      <c r="J92" s="20" t="n">
        <v>2205</v>
      </c>
      <c r="K92" s="20" t="n">
        <v>2499</v>
      </c>
      <c r="L92" s="20" t="n">
        <v>2927</v>
      </c>
    </row>
    <row r="93">
      <c r="A93" s="18" t="inlineStr">
        <is>
          <t>감가상각누계액</t>
        </is>
      </c>
      <c r="F93" s="20" t="n">
        <v>-1871</v>
      </c>
      <c r="H93" s="20" t="n">
        <v>-1627</v>
      </c>
      <c r="I93" s="20" t="n">
        <v>-1599</v>
      </c>
      <c r="J93" s="20" t="n">
        <v>-1725</v>
      </c>
      <c r="K93" s="20" t="n">
        <v>-1711</v>
      </c>
      <c r="L93" s="20" t="n">
        <v>-1871</v>
      </c>
    </row>
    <row r="94">
      <c r="A94" s="18" t="inlineStr">
        <is>
          <t>기타(순액)</t>
        </is>
      </c>
      <c r="C94" s="20" t="n">
        <v>924</v>
      </c>
      <c r="D94" s="20" t="n">
        <v>979</v>
      </c>
      <c r="E94" s="20" t="n">
        <v>1076</v>
      </c>
      <c r="F94" s="20" t="n">
        <v>1056</v>
      </c>
      <c r="G94" s="20" t="n">
        <v>1052</v>
      </c>
      <c r="H94" s="20" t="n">
        <v>583</v>
      </c>
      <c r="I94" s="20" t="n">
        <v>538</v>
      </c>
      <c r="J94" s="20" t="n">
        <v>480</v>
      </c>
      <c r="K94" s="20" t="n">
        <v>787</v>
      </c>
      <c r="L94" s="20" t="n">
        <v>1056</v>
      </c>
    </row>
    <row r="95">
      <c r="A95" s="18" t="inlineStr">
        <is>
          <t>유형자산 합계</t>
        </is>
      </c>
      <c r="C95" s="20" t="n">
        <v>35507</v>
      </c>
      <c r="D95" s="20" t="n">
        <v>35967</v>
      </c>
      <c r="E95" s="20" t="n">
        <v>36244</v>
      </c>
      <c r="F95" s="20" t="n">
        <v>38797</v>
      </c>
      <c r="G95" s="20" t="n">
        <v>38807</v>
      </c>
      <c r="H95" s="20" t="n">
        <v>33513</v>
      </c>
      <c r="I95" s="20" t="n">
        <v>31668</v>
      </c>
      <c r="J95" s="20" t="n">
        <v>30181</v>
      </c>
      <c r="K95" s="20" t="n">
        <v>31308</v>
      </c>
      <c r="L95" s="20" t="n">
        <v>38797</v>
      </c>
    </row>
    <row r="96">
      <c r="A96" s="18" t="inlineStr">
        <is>
          <t>기타</t>
        </is>
      </c>
      <c r="C96" s="20" t="n">
        <v>1503</v>
      </c>
      <c r="D96" s="20" t="n">
        <v>1437</v>
      </c>
      <c r="E96" s="20" t="n">
        <v>1346</v>
      </c>
      <c r="F96" s="20" t="n">
        <v>1345</v>
      </c>
      <c r="G96" s="20" t="n">
        <v>1299</v>
      </c>
      <c r="H96" s="20" t="n">
        <v>530</v>
      </c>
      <c r="I96" s="20" t="n">
        <v>916</v>
      </c>
      <c r="J96" s="20" t="n">
        <v>1542</v>
      </c>
      <c r="K96" s="20" t="n">
        <v>1552</v>
      </c>
      <c r="L96" s="20" t="n">
        <v>1345</v>
      </c>
    </row>
    <row r="97">
      <c r="A97" s="18" t="inlineStr">
        <is>
          <t>무형자산 합계</t>
        </is>
      </c>
      <c r="C97" s="20" t="n">
        <v>1503</v>
      </c>
      <c r="D97" s="20" t="n">
        <v>1437</v>
      </c>
      <c r="E97" s="20" t="n">
        <v>1346</v>
      </c>
      <c r="F97" s="20" t="n">
        <v>1345</v>
      </c>
      <c r="G97" s="20" t="n">
        <v>1299</v>
      </c>
      <c r="H97" s="20" t="n">
        <v>530</v>
      </c>
      <c r="I97" s="20" t="n">
        <v>916</v>
      </c>
      <c r="J97" s="20" t="n">
        <v>1542</v>
      </c>
      <c r="K97" s="20" t="n">
        <v>1552</v>
      </c>
      <c r="L97" s="20" t="n">
        <v>1345</v>
      </c>
    </row>
    <row r="98">
      <c r="A98" s="18" t="inlineStr">
        <is>
          <t>투자유가증권</t>
        </is>
      </c>
      <c r="C98" s="20" t="n">
        <v>11139</v>
      </c>
      <c r="D98" s="20" t="n">
        <v>12172</v>
      </c>
      <c r="E98" s="20" t="n">
        <v>13118</v>
      </c>
      <c r="F98" s="20" t="n">
        <v>13566</v>
      </c>
      <c r="G98" s="20" t="n">
        <v>13527</v>
      </c>
      <c r="H98" s="20" t="n">
        <v>8215</v>
      </c>
      <c r="I98" s="20" t="n">
        <v>8531</v>
      </c>
      <c r="J98" s="20" t="n">
        <v>10143</v>
      </c>
      <c r="K98" s="20" t="n">
        <v>10450</v>
      </c>
      <c r="L98" s="20" t="n">
        <v>13566</v>
      </c>
    </row>
    <row r="99">
      <c r="A99" s="18" t="inlineStr">
        <is>
          <t>장기대여금</t>
        </is>
      </c>
      <c r="C99" s="20" t="n">
        <v>85</v>
      </c>
      <c r="D99" s="20" t="n">
        <v>91</v>
      </c>
      <c r="E99" s="20" t="n">
        <v>89</v>
      </c>
      <c r="F99" s="20" t="n">
        <v>87</v>
      </c>
      <c r="G99" s="20" t="n">
        <v>87</v>
      </c>
      <c r="H99" s="20" t="n">
        <v>16</v>
      </c>
      <c r="I99" s="20" t="n">
        <v>12</v>
      </c>
      <c r="J99" s="20" t="n">
        <v>1</v>
      </c>
      <c r="K99" s="20" t="n">
        <v>8</v>
      </c>
      <c r="L99" s="20" t="n">
        <v>87</v>
      </c>
    </row>
    <row r="100">
      <c r="A100" s="18" t="inlineStr">
        <is>
          <t>파산갱생채권 등</t>
        </is>
      </c>
      <c r="C100" s="20" t="n">
        <v>168</v>
      </c>
      <c r="D100" s="20" t="n">
        <v>180</v>
      </c>
      <c r="E100" s="20" t="n">
        <v>232</v>
      </c>
      <c r="F100" s="20" t="n">
        <v>226</v>
      </c>
      <c r="G100" s="20" t="n">
        <v>197</v>
      </c>
      <c r="H100" s="20" t="n">
        <v>239</v>
      </c>
      <c r="I100" s="20" t="n">
        <v>327</v>
      </c>
      <c r="J100" s="20" t="n">
        <v>252</v>
      </c>
      <c r="K100" s="20" t="n">
        <v>171</v>
      </c>
      <c r="L100" s="20" t="n">
        <v>226</v>
      </c>
    </row>
    <row r="101">
      <c r="A101" s="18" t="inlineStr">
        <is>
          <t>이연법인세자산</t>
        </is>
      </c>
      <c r="C101" s="20" t="n">
        <v>211</v>
      </c>
      <c r="D101" s="20" t="n">
        <v>182</v>
      </c>
      <c r="E101" s="20" t="n">
        <v>165</v>
      </c>
      <c r="F101" s="20" t="n">
        <v>195</v>
      </c>
      <c r="G101" s="20" t="n">
        <v>199</v>
      </c>
      <c r="H101" s="20" t="n">
        <v>315</v>
      </c>
      <c r="I101" s="20" t="n">
        <v>274</v>
      </c>
      <c r="J101" s="20" t="n">
        <v>199</v>
      </c>
      <c r="K101" s="20" t="n">
        <v>205</v>
      </c>
      <c r="L101" s="20" t="n">
        <v>195</v>
      </c>
    </row>
    <row r="102">
      <c r="A102" s="18" t="inlineStr">
        <is>
          <t>기타</t>
        </is>
      </c>
      <c r="C102" s="20" t="n">
        <v>543</v>
      </c>
      <c r="D102" s="20" t="n">
        <v>534</v>
      </c>
      <c r="E102" s="20" t="n">
        <v>535</v>
      </c>
      <c r="F102" s="20" t="n">
        <v>617</v>
      </c>
      <c r="G102" s="20" t="n">
        <v>619</v>
      </c>
      <c r="H102" s="20" t="n">
        <v>630</v>
      </c>
      <c r="I102" s="20" t="n">
        <v>702</v>
      </c>
      <c r="J102" s="20" t="n">
        <v>681</v>
      </c>
      <c r="K102" s="20" t="n">
        <v>531</v>
      </c>
      <c r="L102" s="20" t="n">
        <v>617</v>
      </c>
    </row>
    <row r="103">
      <c r="A103" s="18" t="inlineStr">
        <is>
          <t>대손충당금</t>
        </is>
      </c>
      <c r="C103" s="20" t="n">
        <v>-217</v>
      </c>
      <c r="D103" s="20" t="n">
        <v>-266</v>
      </c>
      <c r="E103" s="20" t="n">
        <v>-298</v>
      </c>
      <c r="F103" s="20" t="n">
        <v>-288</v>
      </c>
      <c r="G103" s="20" t="n">
        <v>-280</v>
      </c>
      <c r="H103" s="20" t="n">
        <v>-259</v>
      </c>
      <c r="I103" s="20" t="n">
        <v>-356</v>
      </c>
      <c r="J103" s="20" t="n">
        <v>-169</v>
      </c>
      <c r="K103" s="20" t="n">
        <v>-141</v>
      </c>
      <c r="L103" s="20" t="n">
        <v>-288</v>
      </c>
    </row>
    <row r="104">
      <c r="A104" s="18" t="inlineStr">
        <is>
          <t>투자 및 기타자산 합계</t>
        </is>
      </c>
      <c r="C104" s="20" t="n">
        <v>11930</v>
      </c>
      <c r="D104" s="20" t="n">
        <v>12895</v>
      </c>
      <c r="E104" s="20" t="n">
        <v>13843</v>
      </c>
      <c r="F104" s="20" t="n">
        <v>14404</v>
      </c>
      <c r="G104" s="20" t="n">
        <v>14350</v>
      </c>
      <c r="H104" s="20" t="n">
        <v>9157</v>
      </c>
      <c r="I104" s="20" t="n">
        <v>9491</v>
      </c>
      <c r="J104" s="20" t="n">
        <v>11109</v>
      </c>
      <c r="K104" s="20" t="n">
        <v>11225</v>
      </c>
      <c r="L104" s="20" t="n">
        <v>14404</v>
      </c>
    </row>
    <row r="105">
      <c r="A105" s="9" t="inlineStr">
        <is>
          <t>비유동자산 합계</t>
        </is>
      </c>
      <c r="C105" s="12" t="n">
        <v>48940</v>
      </c>
      <c r="D105" s="12" t="n">
        <v>50300</v>
      </c>
      <c r="E105" s="12" t="n">
        <v>51434</v>
      </c>
      <c r="F105" s="12" t="n">
        <v>54547</v>
      </c>
      <c r="G105" s="12" t="n">
        <v>54457</v>
      </c>
      <c r="H105" s="12" t="n">
        <v>43200</v>
      </c>
      <c r="I105" s="12" t="n">
        <v>42076</v>
      </c>
      <c r="J105" s="12" t="n">
        <v>42834</v>
      </c>
      <c r="K105" s="12" t="n">
        <v>44086</v>
      </c>
      <c r="L105" s="12" t="n">
        <v>54547</v>
      </c>
    </row>
    <row r="106">
      <c r="A106" s="9" t="inlineStr">
        <is>
          <t>자산 합계</t>
        </is>
      </c>
      <c r="C106" s="12" t="n">
        <v>126147</v>
      </c>
      <c r="D106" s="12" t="n">
        <v>125436</v>
      </c>
      <c r="E106" s="12" t="n">
        <v>139193</v>
      </c>
      <c r="F106" s="12" t="n">
        <v>133020</v>
      </c>
      <c r="G106" s="12" t="n">
        <v>135783</v>
      </c>
      <c r="H106" s="12" t="n">
        <v>108504</v>
      </c>
      <c r="I106" s="12" t="n">
        <v>127913</v>
      </c>
      <c r="J106" s="12" t="n">
        <v>131038</v>
      </c>
      <c r="K106" s="12" t="n">
        <v>124172</v>
      </c>
      <c r="L106" s="12" t="n">
        <v>133020</v>
      </c>
    </row>
    <row r="107">
      <c r="A107" s="18" t="inlineStr">
        <is>
          <t>지급어음·매입채무</t>
        </is>
      </c>
      <c r="C107" s="20" t="n">
        <v>27997</v>
      </c>
      <c r="D107" s="20" t="n">
        <v>26750</v>
      </c>
      <c r="E107" s="20" t="n">
        <v>35008</v>
      </c>
      <c r="F107" s="20" t="n">
        <v>31060</v>
      </c>
      <c r="G107" s="20" t="n">
        <v>33778</v>
      </c>
      <c r="H107" s="20" t="n">
        <v>30903</v>
      </c>
      <c r="I107" s="20" t="n">
        <v>36482</v>
      </c>
      <c r="J107" s="20" t="n">
        <v>34360</v>
      </c>
      <c r="K107" s="20" t="n">
        <v>29106</v>
      </c>
      <c r="L107" s="20" t="n">
        <v>31060</v>
      </c>
    </row>
    <row r="108">
      <c r="A108" s="18" t="inlineStr">
        <is>
          <t>단기차입금</t>
        </is>
      </c>
      <c r="C108" s="20" t="n">
        <v>9829</v>
      </c>
      <c r="D108" s="20" t="n">
        <v>2620</v>
      </c>
      <c r="E108" s="20" t="n">
        <v>5903</v>
      </c>
      <c r="F108" s="20" t="n">
        <v>1294</v>
      </c>
      <c r="G108" s="20" t="n">
        <v>1293</v>
      </c>
      <c r="H108" s="20" t="n">
        <v>11350</v>
      </c>
      <c r="I108" s="20" t="n">
        <v>16803</v>
      </c>
      <c r="J108" s="20" t="n">
        <v>10580</v>
      </c>
      <c r="K108" s="20" t="n">
        <v>12878</v>
      </c>
      <c r="L108" s="20" t="n">
        <v>1294</v>
      </c>
    </row>
    <row r="109">
      <c r="A109" s="18" t="inlineStr">
        <is>
          <t>리스부채</t>
        </is>
      </c>
      <c r="C109" s="20" t="n">
        <v>137</v>
      </c>
      <c r="D109" s="20" t="n">
        <v>140</v>
      </c>
      <c r="E109" s="20" t="n">
        <v>144</v>
      </c>
      <c r="F109" s="20" t="n">
        <v>153</v>
      </c>
      <c r="G109" s="20" t="n">
        <v>156</v>
      </c>
      <c r="H109" s="20" t="n">
        <v>128</v>
      </c>
      <c r="I109" s="20" t="n">
        <v>126</v>
      </c>
      <c r="J109" s="20" t="n">
        <v>133</v>
      </c>
      <c r="K109" s="20" t="n">
        <v>129</v>
      </c>
      <c r="L109" s="20" t="n">
        <v>153</v>
      </c>
    </row>
    <row r="110">
      <c r="A110" s="18" t="inlineStr">
        <is>
          <t>미지급법인세</t>
        </is>
      </c>
      <c r="C110" s="20" t="n">
        <v>355</v>
      </c>
      <c r="D110" s="20" t="n">
        <v>949</v>
      </c>
      <c r="E110" s="20" t="n">
        <v>938</v>
      </c>
      <c r="F110" s="20" t="n">
        <v>2002</v>
      </c>
      <c r="G110" s="20" t="n">
        <v>891</v>
      </c>
      <c r="H110" s="20" t="n">
        <v>441</v>
      </c>
      <c r="I110" s="20" t="n">
        <v>467</v>
      </c>
      <c r="J110" s="20" t="n">
        <v>2262</v>
      </c>
      <c r="K110" s="20" t="n">
        <v>187</v>
      </c>
      <c r="L110" s="20" t="n">
        <v>2002</v>
      </c>
    </row>
    <row r="111">
      <c r="A111" s="18" t="inlineStr">
        <is>
          <t>상여충당금</t>
        </is>
      </c>
      <c r="C111" s="20" t="n">
        <v>1200</v>
      </c>
      <c r="D111" s="20" t="n">
        <v>861</v>
      </c>
      <c r="E111" s="20" t="n">
        <v>440</v>
      </c>
      <c r="F111" s="20" t="n">
        <v>911</v>
      </c>
      <c r="G111" s="20" t="n">
        <v>1354</v>
      </c>
      <c r="H111" s="20" t="n">
        <v>685</v>
      </c>
      <c r="I111" s="20" t="n">
        <v>558</v>
      </c>
      <c r="J111" s="20" t="n">
        <v>772</v>
      </c>
      <c r="K111" s="20" t="n">
        <v>790</v>
      </c>
      <c r="L111" s="20" t="n">
        <v>911</v>
      </c>
    </row>
    <row r="112">
      <c r="A112" s="18" t="inlineStr">
        <is>
          <t>자산복구부채</t>
        </is>
      </c>
      <c r="I112" s="20" t="n">
        <v>0</v>
      </c>
      <c r="J112" s="20" t="n">
        <v>77</v>
      </c>
      <c r="K112" s="20" t="n">
        <v>0</v>
      </c>
    </row>
    <row r="113">
      <c r="A113" s="18" t="inlineStr">
        <is>
          <t>기타</t>
        </is>
      </c>
      <c r="C113" s="20" t="n">
        <v>6781</v>
      </c>
      <c r="D113" s="20" t="n">
        <v>6996</v>
      </c>
      <c r="E113" s="20" t="n">
        <v>8018</v>
      </c>
      <c r="F113" s="20" t="n">
        <v>7076</v>
      </c>
      <c r="G113" s="20" t="n">
        <v>7184</v>
      </c>
      <c r="H113" s="20" t="n">
        <v>6513</v>
      </c>
      <c r="I113" s="20" t="n">
        <v>5636</v>
      </c>
      <c r="J113" s="20" t="n">
        <v>6933</v>
      </c>
      <c r="K113" s="20" t="n">
        <v>7075</v>
      </c>
      <c r="L113" s="20" t="n">
        <v>7076</v>
      </c>
    </row>
    <row r="114">
      <c r="A114" s="9" t="inlineStr">
        <is>
          <t>유동부채 합계</t>
        </is>
      </c>
      <c r="C114" s="12" t="n">
        <v>46302</v>
      </c>
      <c r="D114" s="12" t="n">
        <v>38320</v>
      </c>
      <c r="E114" s="12" t="n">
        <v>50454</v>
      </c>
      <c r="F114" s="12" t="n">
        <v>42497</v>
      </c>
      <c r="G114" s="12" t="n">
        <v>44659</v>
      </c>
      <c r="H114" s="12" t="n">
        <v>50022</v>
      </c>
      <c r="I114" s="12" t="n">
        <v>60074</v>
      </c>
      <c r="J114" s="12" t="n">
        <v>55121</v>
      </c>
      <c r="K114" s="12" t="n">
        <v>50168</v>
      </c>
      <c r="L114" s="12" t="n">
        <v>42497</v>
      </c>
    </row>
    <row r="115">
      <c r="A115" s="18" t="inlineStr">
        <is>
          <t>장기차입금</t>
        </is>
      </c>
      <c r="C115" s="20" t="n">
        <v>19117</v>
      </c>
      <c r="D115" s="20" t="n">
        <v>23852</v>
      </c>
      <c r="E115" s="20" t="n">
        <v>23631</v>
      </c>
      <c r="F115" s="20" t="n">
        <v>23326</v>
      </c>
      <c r="G115" s="20" t="n">
        <v>23153</v>
      </c>
      <c r="H115" s="20" t="n">
        <v>10478</v>
      </c>
      <c r="I115" s="20" t="n">
        <v>19208</v>
      </c>
      <c r="J115" s="20" t="n">
        <v>21178</v>
      </c>
      <c r="K115" s="20" t="n">
        <v>14400</v>
      </c>
      <c r="L115" s="20" t="n">
        <v>23326</v>
      </c>
    </row>
    <row r="116">
      <c r="A116" s="18" t="inlineStr">
        <is>
          <t>리스부채</t>
        </is>
      </c>
      <c r="C116" s="20" t="n">
        <v>570</v>
      </c>
      <c r="D116" s="20" t="n">
        <v>563</v>
      </c>
      <c r="E116" s="20" t="n">
        <v>553</v>
      </c>
      <c r="F116" s="20" t="n">
        <v>562</v>
      </c>
      <c r="G116" s="20" t="n">
        <v>548</v>
      </c>
      <c r="H116" s="20" t="n">
        <v>759</v>
      </c>
      <c r="I116" s="20" t="n">
        <v>658</v>
      </c>
      <c r="J116" s="20" t="n">
        <v>602</v>
      </c>
      <c r="K116" s="20" t="n">
        <v>538</v>
      </c>
      <c r="L116" s="20" t="n">
        <v>562</v>
      </c>
    </row>
    <row r="117">
      <c r="A117" s="18" t="inlineStr">
        <is>
          <t>이연법인세부채</t>
        </is>
      </c>
      <c r="C117" s="20" t="n">
        <v>806</v>
      </c>
      <c r="D117" s="20" t="n">
        <v>1288</v>
      </c>
      <c r="E117" s="20" t="n">
        <v>1627</v>
      </c>
      <c r="F117" s="20" t="n">
        <v>1538</v>
      </c>
      <c r="G117" s="20" t="n">
        <v>1479</v>
      </c>
      <c r="H117" s="20" t="n">
        <v>10</v>
      </c>
      <c r="I117" s="20" t="n">
        <v>203</v>
      </c>
      <c r="J117" s="20" t="n">
        <v>685</v>
      </c>
      <c r="K117" s="20" t="n">
        <v>858</v>
      </c>
      <c r="L117" s="20" t="n">
        <v>1538</v>
      </c>
    </row>
    <row r="118">
      <c r="A118" s="18" t="inlineStr">
        <is>
          <t>Provision For Share Based Remuneration For Directors And Other Officers NCL</t>
        </is>
      </c>
      <c r="C118" s="20" t="n">
        <v>124</v>
      </c>
      <c r="D118" s="20" t="n">
        <v>108</v>
      </c>
      <c r="E118" s="20" t="n">
        <v>114</v>
      </c>
      <c r="F118" s="20" t="n">
        <v>122</v>
      </c>
      <c r="G118" s="20" t="n">
        <v>128</v>
      </c>
      <c r="H118" s="20" t="n">
        <v>156</v>
      </c>
      <c r="I118" s="20" t="n">
        <v>173</v>
      </c>
      <c r="J118" s="20" t="n">
        <v>111</v>
      </c>
      <c r="K118" s="20" t="n">
        <v>118</v>
      </c>
      <c r="L118" s="20" t="n">
        <v>122</v>
      </c>
    </row>
    <row r="119">
      <c r="A119" s="18" t="inlineStr">
        <is>
          <t>퇴직급여부채</t>
        </is>
      </c>
      <c r="C119" s="20" t="n">
        <v>2478</v>
      </c>
      <c r="D119" s="20" t="n">
        <v>2493</v>
      </c>
      <c r="E119" s="20" t="n">
        <v>2523</v>
      </c>
      <c r="F119" s="20" t="n">
        <v>2286</v>
      </c>
      <c r="G119" s="20" t="n">
        <v>2283</v>
      </c>
      <c r="H119" s="20" t="n">
        <v>2194</v>
      </c>
      <c r="I119" s="20" t="n">
        <v>2234</v>
      </c>
      <c r="J119" s="20" t="n">
        <v>2313</v>
      </c>
      <c r="K119" s="20" t="n">
        <v>2478</v>
      </c>
      <c r="L119" s="20" t="n">
        <v>2286</v>
      </c>
    </row>
    <row r="120">
      <c r="A120" s="18" t="inlineStr">
        <is>
          <t>자산복구부채</t>
        </is>
      </c>
      <c r="C120" s="20" t="n">
        <v>59</v>
      </c>
      <c r="D120" s="20" t="n">
        <v>59</v>
      </c>
      <c r="E120" s="20" t="n">
        <v>59</v>
      </c>
      <c r="F120" s="20" t="n">
        <v>59</v>
      </c>
      <c r="G120" s="20" t="n">
        <v>59</v>
      </c>
      <c r="H120" s="20" t="n">
        <v>3</v>
      </c>
      <c r="I120" s="20" t="n">
        <v>3</v>
      </c>
      <c r="J120" s="20" t="n">
        <v>3</v>
      </c>
      <c r="K120" s="20" t="n">
        <v>58</v>
      </c>
      <c r="L120" s="20" t="n">
        <v>59</v>
      </c>
    </row>
    <row r="121">
      <c r="A121" s="18" t="inlineStr">
        <is>
          <t>지분법 적용 관련 부채</t>
        </is>
      </c>
      <c r="C121" s="20" t="n">
        <v>122</v>
      </c>
      <c r="D121" s="20" t="n">
        <v>130</v>
      </c>
      <c r="E121" s="20" t="n">
        <v>156</v>
      </c>
      <c r="F121" s="20" t="n">
        <v>167</v>
      </c>
      <c r="G121" s="20" t="n">
        <v>148</v>
      </c>
      <c r="I121" s="20" t="n">
        <v>0</v>
      </c>
      <c r="J121" s="20" t="n">
        <v>119</v>
      </c>
      <c r="K121" s="20" t="n">
        <v>117</v>
      </c>
      <c r="L121" s="20" t="n">
        <v>167</v>
      </c>
    </row>
    <row r="122">
      <c r="A122" s="18" t="inlineStr">
        <is>
          <t>기타</t>
        </is>
      </c>
      <c r="C122" s="20" t="n">
        <v>88</v>
      </c>
      <c r="D122" s="20" t="n">
        <v>90</v>
      </c>
      <c r="E122" s="20" t="n">
        <v>65</v>
      </c>
      <c r="F122" s="20" t="n">
        <v>73</v>
      </c>
      <c r="G122" s="20" t="n">
        <v>66</v>
      </c>
      <c r="H122" s="20" t="n">
        <v>38</v>
      </c>
      <c r="I122" s="20" t="n">
        <v>42</v>
      </c>
      <c r="J122" s="20" t="n">
        <v>46</v>
      </c>
      <c r="K122" s="20" t="n">
        <v>85</v>
      </c>
      <c r="L122" s="20" t="n">
        <v>73</v>
      </c>
    </row>
    <row r="123">
      <c r="A123" s="9" t="inlineStr">
        <is>
          <t>비유동부채 합계</t>
        </is>
      </c>
      <c r="C123" s="12" t="n">
        <v>23365</v>
      </c>
      <c r="D123" s="12" t="n">
        <v>28587</v>
      </c>
      <c r="E123" s="12" t="n">
        <v>28731</v>
      </c>
      <c r="F123" s="12" t="n">
        <v>28136</v>
      </c>
      <c r="G123" s="12" t="n">
        <v>27870</v>
      </c>
      <c r="H123" s="12" t="n">
        <v>13641</v>
      </c>
      <c r="I123" s="12" t="n">
        <v>22523</v>
      </c>
      <c r="J123" s="12" t="n">
        <v>25060</v>
      </c>
      <c r="K123" s="12" t="n">
        <v>18656</v>
      </c>
      <c r="L123" s="12" t="n">
        <v>28136</v>
      </c>
    </row>
    <row r="124">
      <c r="A124" s="9" t="inlineStr">
        <is>
          <t>부채 합계</t>
        </is>
      </c>
      <c r="C124" s="12" t="n">
        <v>69668</v>
      </c>
      <c r="D124" s="12" t="n">
        <v>66907</v>
      </c>
      <c r="E124" s="12" t="n">
        <v>79185</v>
      </c>
      <c r="F124" s="12" t="n">
        <v>70634</v>
      </c>
      <c r="G124" s="12" t="n">
        <v>72529</v>
      </c>
      <c r="H124" s="12" t="n">
        <v>63663</v>
      </c>
      <c r="I124" s="12" t="n">
        <v>82598</v>
      </c>
      <c r="J124" s="12" t="n">
        <v>80182</v>
      </c>
      <c r="K124" s="12" t="n">
        <v>68825</v>
      </c>
      <c r="L124" s="12" t="n">
        <v>70634</v>
      </c>
    </row>
    <row r="125">
      <c r="A125" s="18" t="inlineStr">
        <is>
          <t>자본금</t>
        </is>
      </c>
      <c r="C125" s="20" t="n">
        <v>10000</v>
      </c>
      <c r="D125" s="20" t="n">
        <v>10000</v>
      </c>
      <c r="E125" s="20" t="n">
        <v>10000</v>
      </c>
      <c r="F125" s="20" t="n">
        <v>10000</v>
      </c>
      <c r="G125" s="20" t="n">
        <v>10000</v>
      </c>
      <c r="H125" s="20" t="n">
        <v>10000</v>
      </c>
      <c r="I125" s="20" t="n">
        <v>10000</v>
      </c>
      <c r="J125" s="20" t="n">
        <v>10000</v>
      </c>
      <c r="K125" s="20" t="n">
        <v>10000</v>
      </c>
      <c r="L125" s="20" t="n">
        <v>10000</v>
      </c>
    </row>
    <row r="126">
      <c r="A126" s="18" t="inlineStr">
        <is>
          <t>자본잉여금</t>
        </is>
      </c>
      <c r="C126" s="20" t="n">
        <v>9757</v>
      </c>
      <c r="D126" s="20" t="n">
        <v>9757</v>
      </c>
      <c r="E126" s="20" t="n">
        <v>9791</v>
      </c>
      <c r="F126" s="20" t="n">
        <v>9791</v>
      </c>
      <c r="G126" s="20" t="n">
        <v>9791</v>
      </c>
      <c r="H126" s="20" t="n">
        <v>9737</v>
      </c>
      <c r="I126" s="20" t="n">
        <v>9737</v>
      </c>
      <c r="J126" s="20" t="n">
        <v>9737</v>
      </c>
      <c r="K126" s="20" t="n">
        <v>9757</v>
      </c>
      <c r="L126" s="20" t="n">
        <v>9791</v>
      </c>
    </row>
    <row r="127">
      <c r="A127" s="18" t="inlineStr">
        <is>
          <t>이익잉여금</t>
        </is>
      </c>
      <c r="C127" s="20" t="n">
        <v>33167</v>
      </c>
      <c r="D127" s="20" t="n">
        <v>34403</v>
      </c>
      <c r="E127" s="20" t="n">
        <v>35307</v>
      </c>
      <c r="F127" s="20" t="n">
        <v>37099</v>
      </c>
      <c r="G127" s="20" t="n">
        <v>37918</v>
      </c>
      <c r="H127" s="20" t="n">
        <v>23882</v>
      </c>
      <c r="I127" s="20" t="n">
        <v>23952</v>
      </c>
      <c r="J127" s="20" t="n">
        <v>28075</v>
      </c>
      <c r="K127" s="20" t="n">
        <v>32338</v>
      </c>
      <c r="L127" s="20" t="n">
        <v>37099</v>
      </c>
    </row>
    <row r="128">
      <c r="A128" s="18" t="inlineStr">
        <is>
          <t>자기주식</t>
        </is>
      </c>
      <c r="C128" s="20" t="n">
        <v>-210</v>
      </c>
      <c r="D128" s="20" t="n">
        <v>-172</v>
      </c>
      <c r="E128" s="20" t="n">
        <v>-172</v>
      </c>
      <c r="F128" s="20" t="n">
        <v>-172</v>
      </c>
      <c r="G128" s="20" t="n">
        <v>-173</v>
      </c>
      <c r="H128" s="20" t="n">
        <v>-271</v>
      </c>
      <c r="I128" s="20" t="n">
        <v>-244</v>
      </c>
      <c r="J128" s="20" t="n">
        <v>-173</v>
      </c>
      <c r="K128" s="20" t="n">
        <v>-210</v>
      </c>
      <c r="L128" s="20" t="n">
        <v>-172</v>
      </c>
    </row>
    <row r="129">
      <c r="A129" s="9" t="inlineStr">
        <is>
          <t>주주자본 합계</t>
        </is>
      </c>
      <c r="C129" s="12" t="n">
        <v>52714</v>
      </c>
      <c r="D129" s="12" t="n">
        <v>53988</v>
      </c>
      <c r="E129" s="12" t="n">
        <v>54926</v>
      </c>
      <c r="F129" s="12" t="n">
        <v>56718</v>
      </c>
      <c r="G129" s="12" t="n">
        <v>57537</v>
      </c>
      <c r="H129" s="12" t="n">
        <v>43348</v>
      </c>
      <c r="I129" s="12" t="n">
        <v>43445</v>
      </c>
      <c r="J129" s="12" t="n">
        <v>47639</v>
      </c>
      <c r="K129" s="12" t="n">
        <v>51884</v>
      </c>
      <c r="L129" s="12" t="n">
        <v>56718</v>
      </c>
    </row>
    <row r="130">
      <c r="A130" s="18" t="inlineStr">
        <is>
          <t>기타유가증권 평가차액</t>
        </is>
      </c>
      <c r="C130" s="20" t="n">
        <v>2952</v>
      </c>
      <c r="D130" s="20" t="n">
        <v>3609</v>
      </c>
      <c r="E130" s="20" t="n">
        <v>4168</v>
      </c>
      <c r="F130" s="20" t="n">
        <v>4433</v>
      </c>
      <c r="G130" s="20" t="n">
        <v>4415</v>
      </c>
      <c r="H130" s="20" t="n">
        <v>948</v>
      </c>
      <c r="I130" s="20" t="n">
        <v>1229</v>
      </c>
      <c r="J130" s="20" t="n">
        <v>2316</v>
      </c>
      <c r="K130" s="20" t="n">
        <v>2659</v>
      </c>
      <c r="L130" s="20" t="n">
        <v>4433</v>
      </c>
    </row>
    <row r="131">
      <c r="A131" s="18" t="inlineStr">
        <is>
          <t>이연헤지손익</t>
        </is>
      </c>
      <c r="C131" s="20" t="n">
        <v>35</v>
      </c>
      <c r="D131" s="20" t="n">
        <v>71</v>
      </c>
      <c r="E131" s="20" t="n">
        <v>23</v>
      </c>
      <c r="F131" s="20" t="n">
        <v>115</v>
      </c>
      <c r="G131" s="20" t="n">
        <v>152</v>
      </c>
      <c r="H131" s="20" t="n">
        <v>72</v>
      </c>
      <c r="I131" s="20" t="n">
        <v>32</v>
      </c>
      <c r="J131" s="20" t="n">
        <v>139</v>
      </c>
      <c r="K131" s="20" t="n">
        <v>-33</v>
      </c>
      <c r="L131" s="20" t="n">
        <v>115</v>
      </c>
    </row>
    <row r="132">
      <c r="A132" s="18" t="inlineStr">
        <is>
          <t>해외사업환산조정</t>
        </is>
      </c>
      <c r="C132" s="20" t="n">
        <v>77</v>
      </c>
      <c r="D132" s="20" t="n">
        <v>115</v>
      </c>
      <c r="E132" s="20" t="n">
        <v>202</v>
      </c>
      <c r="F132" s="20" t="n">
        <v>247</v>
      </c>
      <c r="G132" s="20" t="n">
        <v>269</v>
      </c>
      <c r="H132" s="20" t="n">
        <v>-1</v>
      </c>
      <c r="I132" s="20" t="n">
        <v>61</v>
      </c>
      <c r="J132" s="20" t="n">
        <v>213</v>
      </c>
      <c r="K132" s="20" t="n">
        <v>140</v>
      </c>
      <c r="L132" s="20" t="n">
        <v>247</v>
      </c>
    </row>
    <row r="133">
      <c r="A133" s="18" t="inlineStr">
        <is>
          <t>퇴직급여 조정누계액</t>
        </is>
      </c>
      <c r="C133" s="20" t="n">
        <v>-25</v>
      </c>
      <c r="D133" s="20" t="n">
        <v>-23</v>
      </c>
      <c r="E133" s="20" t="n">
        <v>-21</v>
      </c>
      <c r="F133" s="20" t="n">
        <v>171</v>
      </c>
      <c r="G133" s="20" t="n">
        <v>168</v>
      </c>
      <c r="H133" s="20" t="n">
        <v>-61</v>
      </c>
      <c r="I133" s="20" t="n">
        <v>-0</v>
      </c>
      <c r="J133" s="20" t="n">
        <v>-28</v>
      </c>
      <c r="K133" s="20" t="n">
        <v>-27</v>
      </c>
      <c r="L133" s="20" t="n">
        <v>171</v>
      </c>
    </row>
    <row r="134">
      <c r="A134" s="18" t="inlineStr">
        <is>
          <t>기타포괄손익누계액 합계</t>
        </is>
      </c>
      <c r="C134" s="20" t="n">
        <v>3039</v>
      </c>
      <c r="D134" s="20" t="n">
        <v>3773</v>
      </c>
      <c r="E134" s="20" t="n">
        <v>4372</v>
      </c>
      <c r="F134" s="20" t="n">
        <v>4968</v>
      </c>
      <c r="G134" s="20" t="n">
        <v>5005</v>
      </c>
      <c r="H134" s="20" t="n">
        <v>957</v>
      </c>
      <c r="I134" s="20" t="n">
        <v>1323</v>
      </c>
      <c r="J134" s="20" t="n">
        <v>2640</v>
      </c>
      <c r="K134" s="20" t="n">
        <v>2739</v>
      </c>
      <c r="L134" s="20" t="n">
        <v>4968</v>
      </c>
    </row>
    <row r="135">
      <c r="A135" s="18" t="inlineStr">
        <is>
          <t>비지배지분</t>
        </is>
      </c>
      <c r="C135" s="20" t="n">
        <v>725</v>
      </c>
      <c r="D135" s="20" t="n">
        <v>766</v>
      </c>
      <c r="E135" s="20" t="n">
        <v>708</v>
      </c>
      <c r="F135" s="20" t="n">
        <v>698</v>
      </c>
      <c r="G135" s="20" t="n">
        <v>711</v>
      </c>
      <c r="H135" s="20" t="n">
        <v>534</v>
      </c>
      <c r="I135" s="20" t="n">
        <v>546</v>
      </c>
      <c r="J135" s="20" t="n">
        <v>576</v>
      </c>
      <c r="K135" s="20" t="n">
        <v>723</v>
      </c>
      <c r="L135" s="20" t="n">
        <v>698</v>
      </c>
    </row>
    <row r="136">
      <c r="A136" s="9" t="inlineStr">
        <is>
          <t>순자산 합계</t>
        </is>
      </c>
      <c r="C136" s="12" t="n">
        <v>56479</v>
      </c>
      <c r="D136" s="12" t="n">
        <v>58528</v>
      </c>
      <c r="E136" s="12" t="n">
        <v>60007</v>
      </c>
      <c r="F136" s="12" t="n">
        <v>62385</v>
      </c>
      <c r="G136" s="12" t="n">
        <v>63254</v>
      </c>
      <c r="H136" s="12" t="n">
        <v>44840</v>
      </c>
      <c r="I136" s="12" t="n">
        <v>45314</v>
      </c>
      <c r="J136" s="12" t="n">
        <v>50856</v>
      </c>
      <c r="K136" s="12" t="n">
        <v>55347</v>
      </c>
      <c r="L136" s="12" t="n">
        <v>62385</v>
      </c>
    </row>
    <row r="137">
      <c r="A137" s="9" t="inlineStr">
        <is>
          <t>부채·순자산 합계</t>
        </is>
      </c>
      <c r="C137" s="12" t="n">
        <v>126147</v>
      </c>
      <c r="D137" s="12" t="n">
        <v>125436</v>
      </c>
      <c r="E137" s="12" t="n">
        <v>139193</v>
      </c>
      <c r="F137" s="12" t="n">
        <v>133020</v>
      </c>
      <c r="G137" s="12" t="n">
        <v>135783</v>
      </c>
      <c r="H137" s="12" t="n">
        <v>108504</v>
      </c>
      <c r="I137" s="12" t="n">
        <v>127913</v>
      </c>
      <c r="J137" s="12" t="n">
        <v>131038</v>
      </c>
      <c r="K137" s="12" t="n">
        <v>124172</v>
      </c>
      <c r="L137" s="12" t="n">
        <v>133020</v>
      </c>
    </row>
  </sheetData>
  <conditionalFormatting sqref="C43:L43">
    <cfRule type="expression" priority="1" dxfId="0">
      <formula>AND(ISNUMBER(C43),C43&gt;1.0)</formula>
    </cfRule>
  </conditionalFormatting>
  <conditionalFormatting sqref="C44:L44">
    <cfRule type="expression" priority="2" dxfId="0">
      <formula>AND(ISNUMBER(C44),C44&gt;0.5)</formula>
    </cfRule>
  </conditionalFormatting>
  <conditionalFormatting sqref="C45:L45">
    <cfRule type="expression" priority="3" dxfId="0">
      <formula>AND(ISNUMBER(C45),C45&lt;0.5)</formula>
    </cfRule>
  </conditionalFormatting>
  <conditionalFormatting sqref="C46:L46">
    <cfRule type="expression" priority="4" dxfId="0">
      <formula>AND(ISNUMBER(C46),C46&lt;1.5)</formula>
    </cfRule>
  </conditionalFormatting>
  <conditionalFormatting sqref="C47:L47">
    <cfRule type="expression" priority="5" dxfId="0">
      <formula>AND(ISNUMBER(C47),C47&lt;1.0)</formula>
    </cfRule>
  </conditionalFormatting>
  <conditionalFormatting sqref="C48:L48">
    <cfRule type="expression" priority="6" dxfId="0">
      <formula>AND(ISNUMBER(C48),C48&lt;5)</formula>
    </cfRule>
  </conditionalFormatting>
  <conditionalFormatting sqref="C49:L49">
    <cfRule type="expression" priority="7" dxfId="0">
      <formula>AND(ISNUMBER(C49),C49&gt;4)</formula>
    </cfRule>
  </conditionalFormatting>
  <conditionalFormatting sqref="C51:L51">
    <cfRule type="expression" priority="8" dxfId="0">
      <formula>AND(ISNUMBER(C51),C51&lt;0.15)</formula>
    </cfRule>
  </conditionalFormatting>
  <conditionalFormatting sqref="C52:L52">
    <cfRule type="expression" priority="9" dxfId="0">
      <formula>AND(ISNUMBER(C52),C52&lt;0.05)</formula>
    </cfRule>
  </conditionalFormatting>
  <conditionalFormatting sqref="C53:L53">
    <cfRule type="expression" priority="10" dxfId="0">
      <formula>AND(ISNUMBER(C53),C53&lt;0.1)</formula>
    </cfRule>
  </conditionalFormatting>
  <conditionalFormatting sqref="C54:L54">
    <cfRule type="expression" priority="11" dxfId="0">
      <formula>AND(ISNUMBER(C54),C54&lt;0.4)</formula>
    </cfRule>
  </conditionalFormatting>
  <conditionalFormatting sqref="C55:L55">
    <cfRule type="expression" priority="12" dxfId="0">
      <formula>AND(ISNUMBER(C55),C55&lt;0.15)</formula>
    </cfRule>
  </conditionalFormatting>
  <conditionalFormatting sqref="C56:L56">
    <cfRule type="expression" priority="13" dxfId="0">
      <formula>AND(ISNUMBER(C56),C56&lt;0.1)</formula>
    </cfRule>
  </conditionalFormatting>
  <conditionalFormatting sqref="C64:L64">
    <cfRule type="expression" priority="14" dxfId="0">
      <formula>AND(ISNUMBER(C64),C64&lt;1.0)</formula>
    </cfRule>
  </conditionalFormatting>
  <conditionalFormatting sqref="C65:L65">
    <cfRule type="expression" priority="15" dxfId="0">
      <formula>AND(ISNUMBER(C65),C65&lt;0.05)</formula>
    </cfRule>
  </conditionalFormatting>
  <pageMargins left="0.75" right="0.75" top="1" bottom="1" header="0.5" footer="0.5"/>
  <pageSetup orientation="landscape" paperSize="8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34" customWidth="1" min="2" max="2"/>
    <col width="60" customWidth="1" min="3" max="3"/>
  </cols>
  <sheetData>
    <row r="1">
      <c r="A1" s="50" t="inlineStr">
        <is>
          <t>출처 · 쓴 결산단신</t>
        </is>
      </c>
    </row>
    <row r="3">
      <c r="A3" s="51" t="inlineStr">
        <is>
          <t>공시일</t>
        </is>
      </c>
      <c r="B3" s="51" t="inlineStr">
        <is>
          <t>문서</t>
        </is>
      </c>
      <c r="C3" s="51" t="inlineStr">
        <is>
          <t>PDF</t>
        </is>
      </c>
    </row>
    <row r="4">
      <c r="A4" t="inlineStr">
        <is>
          <t>2026-07-30</t>
        </is>
      </c>
      <c r="B4" t="inlineStr">
        <is>
          <t>2027년 3월 결산기 １분기 결산단신</t>
        </is>
      </c>
      <c r="C4" t="inlineStr">
        <is>
          <t>https://www2.jpx.co.jp/disc/20600/140120260715594637.pdf</t>
        </is>
      </c>
    </row>
    <row r="5">
      <c r="A5" t="inlineStr">
        <is>
          <t>2026-05-08</t>
        </is>
      </c>
      <c r="B5" t="inlineStr">
        <is>
          <t>2026년 3월 결산기 연간 결산단신</t>
        </is>
      </c>
      <c r="C5" t="inlineStr">
        <is>
          <t>https://www2.jpx.co.jp/disc/20600/140120260428513562.pdf</t>
        </is>
      </c>
    </row>
    <row r="6">
      <c r="A6" t="inlineStr">
        <is>
          <t>2026-01-30</t>
        </is>
      </c>
      <c r="B6" t="inlineStr">
        <is>
          <t>2026년 3월 결산기 ３분기 결산단신</t>
        </is>
      </c>
      <c r="C6" t="inlineStr">
        <is>
          <t>https://www2.jpx.co.jp/disc/20600/140120260115534196.pdf</t>
        </is>
      </c>
    </row>
    <row r="7">
      <c r="A7" t="inlineStr">
        <is>
          <t>2025-10-31</t>
        </is>
      </c>
      <c r="B7" t="inlineStr">
        <is>
          <t>2026년 3월 결산기 ２분기 결산단신</t>
        </is>
      </c>
      <c r="C7" t="inlineStr">
        <is>
          <t>https://www2.jpx.co.jp/disc/20600/140120251030583125.pdf</t>
        </is>
      </c>
    </row>
    <row r="8">
      <c r="A8" t="inlineStr">
        <is>
          <t>2025-07-31</t>
        </is>
      </c>
      <c r="B8" t="inlineStr">
        <is>
          <t>2026년 3월 결산기 １분기 결산단신</t>
        </is>
      </c>
      <c r="C8" t="inlineStr">
        <is>
          <t>https://www2.jpx.co.jp/disc/20600/140120250728521331.pdf</t>
        </is>
      </c>
    </row>
    <row r="9">
      <c r="A9" t="inlineStr">
        <is>
          <t>2025-05-08</t>
        </is>
      </c>
      <c r="B9" t="inlineStr">
        <is>
          <t>2025년 3월 결산기 연간 결산단신</t>
        </is>
      </c>
      <c r="C9" t="inlineStr">
        <is>
          <t>https://www2.jpx.co.jp/disc/20600/140120250507532466.pdf</t>
        </is>
      </c>
    </row>
    <row r="10">
      <c r="A10" t="inlineStr">
        <is>
          <t>2025-02-14</t>
        </is>
      </c>
      <c r="B10" t="inlineStr">
        <is>
          <t>2025년 3월 결산기 ３분기 결산단신</t>
        </is>
      </c>
      <c r="C10" t="inlineStr">
        <is>
          <t>https://www2.jpx.co.jp/disc/20600/140120250213573860.pdf</t>
        </is>
      </c>
    </row>
    <row r="11">
      <c r="A11" t="inlineStr">
        <is>
          <t>2025-02-06</t>
        </is>
      </c>
      <c r="B11" t="inlineStr">
        <is>
          <t>2025년 3월 결산기 ３분기 결산단신</t>
        </is>
      </c>
      <c r="C11" t="inlineStr">
        <is>
          <t>https://www2.jpx.co.jp/disc/20600/140120250205563855.pdf</t>
        </is>
      </c>
    </row>
    <row r="12">
      <c r="A12" t="inlineStr">
        <is>
          <t>2024-11-08</t>
        </is>
      </c>
      <c r="B12" t="inlineStr">
        <is>
          <t>2025년 3월 결산기 ２분기 결산단신</t>
        </is>
      </c>
      <c r="C12" t="inlineStr">
        <is>
          <t>https://www2.jpx.co.jp/disc/20600/140120241107513751.pdf</t>
        </is>
      </c>
    </row>
    <row r="13">
      <c r="A13" t="inlineStr">
        <is>
          <t>2024-08-09</t>
        </is>
      </c>
      <c r="B13" t="inlineStr">
        <is>
          <t>2025년 3월 결산기 １분기 결산단신</t>
        </is>
      </c>
      <c r="C13" t="inlineStr">
        <is>
          <t>https://www2.jpx.co.jp/disc/20600/140120240808567681.pdf</t>
        </is>
      </c>
    </row>
    <row r="14">
      <c r="A14" t="inlineStr">
        <is>
          <t>2024-05-10</t>
        </is>
      </c>
      <c r="B14" t="inlineStr">
        <is>
          <t>2024년 3월 결산기 연간 결산단신</t>
        </is>
      </c>
      <c r="C14" t="inlineStr">
        <is>
          <t>https://www2.jpx.co.jp/disc/20600/140120240509587048.pdf</t>
        </is>
      </c>
    </row>
    <row r="15">
      <c r="A15" t="inlineStr">
        <is>
          <t>2024-02-08</t>
        </is>
      </c>
      <c r="B15" t="inlineStr">
        <is>
          <t>2024년 3월 결산기 ３분기 결산단신</t>
        </is>
      </c>
      <c r="C15" t="inlineStr">
        <is>
          <t>https://www2.jpx.co.jp/disc/20600/140120240207528753.pdf</t>
        </is>
      </c>
    </row>
    <row r="16">
      <c r="A16" t="inlineStr">
        <is>
          <t>2023-11-08</t>
        </is>
      </c>
      <c r="B16" t="inlineStr">
        <is>
          <t>2024년 3월 결산기 ２분기 결산단신</t>
        </is>
      </c>
      <c r="C16" t="inlineStr">
        <is>
          <t>https://www2.jpx.co.jp/disc/20600/140120231106580096.pdf</t>
        </is>
      </c>
    </row>
    <row r="17">
      <c r="A17" t="inlineStr">
        <is>
          <t>2023-08-09</t>
        </is>
      </c>
      <c r="B17" t="inlineStr">
        <is>
          <t>2024년 3월 결산기 １분기 결산단신</t>
        </is>
      </c>
      <c r="C17" t="inlineStr">
        <is>
          <t>https://www2.jpx.co.jp/disc/20600/140120230808537300.pdf</t>
        </is>
      </c>
    </row>
    <row r="18">
      <c r="A18" t="inlineStr">
        <is>
          <t>2023-05-12</t>
        </is>
      </c>
      <c r="B18" t="inlineStr">
        <is>
          <t>2023년 3월 결산기 연간 결산단신</t>
        </is>
      </c>
      <c r="C18" t="inlineStr">
        <is>
          <t>https://www2.jpx.co.jp/disc/20600/140120230511564901.pdf</t>
        </is>
      </c>
    </row>
    <row r="19">
      <c r="A19" t="inlineStr">
        <is>
          <t>2023-02-08</t>
        </is>
      </c>
      <c r="B19" t="inlineStr">
        <is>
          <t>2023년 3월 결산기 ３분기 결산단신</t>
        </is>
      </c>
      <c r="C19" t="inlineStr">
        <is>
          <t>https://www2.jpx.co.jp/disc/20600/140120230206501235.pdf</t>
        </is>
      </c>
    </row>
    <row r="20">
      <c r="A20" t="inlineStr">
        <is>
          <t>2022-05-10</t>
        </is>
      </c>
      <c r="B20" t="inlineStr">
        <is>
          <t>2022년 3월 결산기 연간 결산단신</t>
        </is>
      </c>
      <c r="C20" t="inlineStr">
        <is>
          <t>https://www2.jpx.co.jp/disc/20600/140120220510536502.pdf</t>
        </is>
      </c>
    </row>
    <row r="21">
      <c r="A21" t="inlineStr">
        <is>
          <t>2021-05-11</t>
        </is>
      </c>
      <c r="B21" t="inlineStr">
        <is>
          <t>2021년 3월 결산기 연간 결산단신</t>
        </is>
      </c>
      <c r="C21" t="inlineStr">
        <is>
          <t>https://www2.jpx.co.jp/disc/20600/140120210511410535.pdf</t>
        </is>
      </c>
    </row>
    <row r="22">
      <c r="A22" t="inlineStr">
        <is>
          <t>2020-05-12</t>
        </is>
      </c>
      <c r="B22" t="inlineStr">
        <is>
          <t>2020년 3월 결산기 연간 결산단신</t>
        </is>
      </c>
      <c r="C22" t="inlineStr">
        <is>
          <t>https://www2.jpx.co.jp/disc/20600/140120200512410271.pdf</t>
        </is>
      </c>
    </row>
    <row r="23">
      <c r="A23" t="inlineStr">
        <is>
          <t>2019-05-10</t>
        </is>
      </c>
      <c r="B23" t="inlineStr">
        <is>
          <t>2019년 3월 결산기 연간 결산단신</t>
        </is>
      </c>
      <c r="C23" t="inlineStr">
        <is>
          <t>https://www2.jpx.co.jp/disc/20600/140120190510420967.pdf</t>
        </is>
      </c>
    </row>
    <row r="24">
      <c r="A24" t="inlineStr">
        <is>
          <t>2018-05-11</t>
        </is>
      </c>
      <c r="B24" t="inlineStr">
        <is>
          <t>연간 결산단신</t>
        </is>
      </c>
      <c r="C24" t="inlineStr">
        <is>
          <t>https://www2.jpx.co.jp/disc/20600/140120180511434239.pdf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2026-10-26T10:53:10Z</dcterms:created>
  <dcterms:modified xmlns:dcterms="http://purl.org/dc/terms/" xmlns:xsi="http://www.w3.org/2001/XMLSchema-instance" xsi:type="dcterms:W3CDTF">2026-10-26T10:53:10Z</dcterms:modified>
</cp:coreProperties>
</file>