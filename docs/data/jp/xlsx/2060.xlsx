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2060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76863</v>
      </c>
      <c r="D4" s="12" t="n">
        <v>81724</v>
      </c>
      <c r="E4" s="12" t="n">
        <v>75506</v>
      </c>
      <c r="F4" s="12" t="n">
        <v>74288</v>
      </c>
      <c r="G4" s="12" t="n">
        <v>74010</v>
      </c>
      <c r="H4" s="12" t="n">
        <v>77223</v>
      </c>
      <c r="I4" s="12" t="n">
        <v>70524</v>
      </c>
      <c r="J4" s="12" t="n">
        <v>71973</v>
      </c>
      <c r="K4" s="12" t="n">
        <v>70371</v>
      </c>
      <c r="L4" s="12" t="n">
        <v>76728</v>
      </c>
      <c r="M4" s="12" t="n">
        <v>71603</v>
      </c>
      <c r="N4" s="12" t="n">
        <v>78443</v>
      </c>
      <c r="O4" s="11" t="n">
        <v>207920</v>
      </c>
      <c r="P4" s="12" t="n">
        <v>207562</v>
      </c>
      <c r="Q4" s="12" t="n">
        <v>212886</v>
      </c>
      <c r="R4" s="12" t="n">
        <v>215050</v>
      </c>
      <c r="S4" s="12" t="n">
        <v>214120</v>
      </c>
      <c r="T4" s="12" t="n">
        <v>243202</v>
      </c>
      <c r="U4" s="12" t="n">
        <v>307911</v>
      </c>
      <c r="V4" s="12" t="n">
        <v>313875</v>
      </c>
      <c r="W4" s="12" t="n">
        <v>296045</v>
      </c>
      <c r="X4" s="12" t="n">
        <v>290675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Animal Feed Business Reportable Segments</t>
        </is>
      </c>
      <c r="B7" s="10" t="n"/>
      <c r="C7" s="19" t="n">
        <v>59424</v>
      </c>
      <c r="D7" s="20" t="n">
        <v>63224</v>
      </c>
      <c r="E7" s="20" t="n">
        <v>61133</v>
      </c>
      <c r="F7" s="20" t="n">
        <v>58592</v>
      </c>
      <c r="G7" s="20" t="n">
        <v>57683</v>
      </c>
      <c r="H7" s="20" t="n">
        <v>59674</v>
      </c>
      <c r="I7" s="20" t="n">
        <v>56310</v>
      </c>
      <c r="J7" s="20" t="n">
        <v>56415</v>
      </c>
      <c r="K7" s="20" t="n">
        <v>53072</v>
      </c>
      <c r="L7" s="20" t="n">
        <v>58272</v>
      </c>
      <c r="M7" s="20" t="n">
        <v>55985</v>
      </c>
      <c r="N7" s="20" t="n">
        <v>59012</v>
      </c>
      <c r="O7" s="19" t="n"/>
      <c r="P7" s="20" t="n"/>
      <c r="Q7" s="20" t="n"/>
      <c r="R7" s="20" t="n"/>
      <c r="S7" s="20" t="n"/>
      <c r="T7" s="20" t="n"/>
      <c r="U7" s="20" t="n"/>
      <c r="V7" s="20" t="n">
        <v>247055</v>
      </c>
      <c r="W7" s="20" t="n">
        <v>232259</v>
      </c>
      <c r="X7" s="20" t="n">
        <v>223744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Aquatic Feed Business Reportable Segments</t>
        </is>
      </c>
      <c r="B10" s="10" t="n"/>
      <c r="C10" s="19" t="n">
        <v>6973</v>
      </c>
      <c r="D10" s="20" t="n">
        <v>8210</v>
      </c>
      <c r="E10" s="20" t="n">
        <v>5645</v>
      </c>
      <c r="F10" s="20" t="n">
        <v>6709</v>
      </c>
      <c r="G10" s="20" t="n">
        <v>6824</v>
      </c>
      <c r="H10" s="20" t="n">
        <v>7571</v>
      </c>
      <c r="I10" s="20" t="n">
        <v>4536</v>
      </c>
      <c r="J10" s="20" t="n">
        <v>5208</v>
      </c>
      <c r="K10" s="20" t="n">
        <v>6603</v>
      </c>
      <c r="L10" s="20" t="n">
        <v>7630</v>
      </c>
      <c r="M10" s="20" t="n">
        <v>5422</v>
      </c>
      <c r="N10" s="20" t="n">
        <v>7818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26779</v>
      </c>
      <c r="W10" s="20" t="n">
        <v>25640</v>
      </c>
      <c r="X10" s="20" t="n">
        <v>24863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Food Business Reportable Segments</t>
        </is>
      </c>
      <c r="B13" s="10" t="n"/>
      <c r="C13" s="19" t="n">
        <v>10465</v>
      </c>
      <c r="D13" s="20" t="n">
        <v>10287</v>
      </c>
      <c r="E13" s="20" t="n">
        <v>8726</v>
      </c>
      <c r="F13" s="20" t="n">
        <v>8982</v>
      </c>
      <c r="G13" s="20" t="n">
        <v>9500</v>
      </c>
      <c r="H13" s="20" t="n">
        <v>9974</v>
      </c>
      <c r="I13" s="20" t="n">
        <v>9675</v>
      </c>
      <c r="J13" s="20" t="n">
        <v>10345</v>
      </c>
      <c r="K13" s="20" t="n">
        <v>10694</v>
      </c>
      <c r="L13" s="20" t="n">
        <v>10821</v>
      </c>
      <c r="M13" s="20" t="n">
        <v>10193</v>
      </c>
      <c r="N13" s="20" t="n">
        <v>11610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40030</v>
      </c>
      <c r="W13" s="20" t="n">
        <v>38131</v>
      </c>
      <c r="X13" s="20" t="n">
        <v>42053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2</v>
      </c>
      <c r="D16" s="20" t="n">
        <v>3</v>
      </c>
      <c r="E16" s="20" t="n">
        <v>3</v>
      </c>
      <c r="F16" s="20" t="n">
        <v>3</v>
      </c>
      <c r="G16" s="20" t="n">
        <v>3</v>
      </c>
      <c r="H16" s="20" t="n">
        <v>5</v>
      </c>
      <c r="I16" s="20" t="n">
        <v>3</v>
      </c>
      <c r="J16" s="20" t="n">
        <v>3</v>
      </c>
      <c r="K16" s="20" t="n">
        <v>3</v>
      </c>
      <c r="L16" s="20" t="n">
        <v>4</v>
      </c>
      <c r="M16" s="20" t="n">
        <v>3</v>
      </c>
      <c r="N16" s="20" t="n">
        <v>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10</v>
      </c>
      <c r="W16" s="20" t="n">
        <v>14</v>
      </c>
      <c r="X16" s="20" t="n">
        <v>13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69719</v>
      </c>
      <c r="D20" s="20" t="n">
        <v>73546</v>
      </c>
      <c r="E20" s="20" t="n">
        <v>66786</v>
      </c>
      <c r="F20" s="20" t="n">
        <v>66483</v>
      </c>
      <c r="G20" s="20" t="n">
        <v>65671</v>
      </c>
      <c r="H20" s="20" t="n">
        <v>69650</v>
      </c>
      <c r="I20" s="20" t="n">
        <v>62367</v>
      </c>
      <c r="J20" s="20" t="n">
        <v>64111</v>
      </c>
      <c r="K20" s="20" t="n">
        <v>62246</v>
      </c>
      <c r="L20" s="20" t="n">
        <v>67575</v>
      </c>
      <c r="M20" s="20" t="n">
        <v>62896</v>
      </c>
      <c r="N20" s="20" t="n">
        <v>69818</v>
      </c>
      <c r="O20" s="19" t="n">
        <v>182917</v>
      </c>
      <c r="P20" s="20" t="n">
        <v>183629</v>
      </c>
      <c r="Q20" s="20" t="n">
        <v>189757</v>
      </c>
      <c r="R20" s="20" t="n">
        <v>191401</v>
      </c>
      <c r="S20" s="20" t="n">
        <v>192163</v>
      </c>
      <c r="T20" s="20" t="n">
        <v>220490</v>
      </c>
      <c r="U20" s="20" t="n">
        <v>285218</v>
      </c>
      <c r="V20" s="20" t="n">
        <v>283153</v>
      </c>
      <c r="W20" s="20" t="n">
        <v>264171</v>
      </c>
      <c r="X20" s="20" t="n">
        <v>256828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5487</v>
      </c>
      <c r="D26" s="20" t="n">
        <v>5958</v>
      </c>
      <c r="E26" s="20" t="n">
        <v>6034</v>
      </c>
      <c r="F26" s="20" t="n">
        <v>6507</v>
      </c>
      <c r="G26" s="20" t="n">
        <v>6280</v>
      </c>
      <c r="H26" s="20" t="n">
        <v>6657</v>
      </c>
      <c r="I26" s="20" t="n">
        <v>6087</v>
      </c>
      <c r="J26" s="20" t="n">
        <v>6385</v>
      </c>
      <c r="K26" s="20" t="n">
        <v>6345</v>
      </c>
      <c r="L26" s="20" t="n">
        <v>6777</v>
      </c>
      <c r="M26" s="20" t="n">
        <v>6248</v>
      </c>
      <c r="N26" s="20" t="n">
        <v>6484</v>
      </c>
      <c r="O26" s="19" t="n">
        <v>20171</v>
      </c>
      <c r="P26" s="20" t="n">
        <v>20225</v>
      </c>
      <c r="Q26" s="20" t="n">
        <v>19005</v>
      </c>
      <c r="R26" s="20" t="n">
        <v>18234</v>
      </c>
      <c r="S26" s="20" t="n">
        <v>16284</v>
      </c>
      <c r="T26" s="20" t="n">
        <v>18418</v>
      </c>
      <c r="U26" s="20" t="n">
        <v>21270</v>
      </c>
      <c r="V26" s="20" t="n">
        <v>22972</v>
      </c>
      <c r="W26" s="20" t="n">
        <v>25531</v>
      </c>
      <c r="X26" s="20" t="n">
        <v>25755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1658</v>
      </c>
      <c r="D28" s="12" t="n">
        <v>2219</v>
      </c>
      <c r="E28" s="12" t="n">
        <v>2685</v>
      </c>
      <c r="F28" s="12" t="n">
        <v>1297</v>
      </c>
      <c r="G28" s="12" t="n">
        <v>2058</v>
      </c>
      <c r="H28" s="12" t="n">
        <v>916</v>
      </c>
      <c r="I28" s="12" t="n">
        <v>2072</v>
      </c>
      <c r="J28" s="12" t="n">
        <v>1476</v>
      </c>
      <c r="K28" s="12" t="n">
        <v>1781</v>
      </c>
      <c r="L28" s="12" t="n">
        <v>2375</v>
      </c>
      <c r="M28" s="12" t="n">
        <v>2459</v>
      </c>
      <c r="N28" s="12" t="n">
        <v>2140</v>
      </c>
      <c r="O28" s="11" t="n">
        <v>4831</v>
      </c>
      <c r="P28" s="12" t="n">
        <v>3706</v>
      </c>
      <c r="Q28" s="12" t="n">
        <v>4123</v>
      </c>
      <c r="R28" s="12" t="n">
        <v>5414</v>
      </c>
      <c r="S28" s="12" t="n">
        <v>5672</v>
      </c>
      <c r="T28" s="12" t="n">
        <v>4293</v>
      </c>
      <c r="U28" s="12" t="n">
        <v>1422</v>
      </c>
      <c r="V28" s="12" t="n">
        <v>7748</v>
      </c>
      <c r="W28" s="12" t="n">
        <v>6343</v>
      </c>
      <c r="X28" s="12" t="n">
        <v>8091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3</v>
      </c>
      <c r="D44" s="20" t="n">
        <v>81</v>
      </c>
      <c r="E44" s="20" t="n">
        <v>134</v>
      </c>
      <c r="F44" s="20" t="n">
        <v>341</v>
      </c>
      <c r="G44" s="20" t="n">
        <v>4</v>
      </c>
      <c r="H44" s="20" t="n">
        <v>12</v>
      </c>
      <c r="I44" s="20" t="n">
        <v>21</v>
      </c>
      <c r="J44" s="20" t="n">
        <v>91</v>
      </c>
      <c r="K44" s="20" t="n">
        <v>9</v>
      </c>
      <c r="L44" s="20" t="n">
        <v>2</v>
      </c>
      <c r="M44" s="20" t="n">
        <v>1</v>
      </c>
      <c r="N44" s="20" t="n">
        <v>219</v>
      </c>
      <c r="O44" s="19" t="n">
        <v>1049</v>
      </c>
      <c r="P44" s="20" t="n">
        <v>442</v>
      </c>
      <c r="Q44" s="20" t="n">
        <v>2355</v>
      </c>
      <c r="R44" s="20" t="n">
        <v>137</v>
      </c>
      <c r="S44" s="20" t="n">
        <v>706</v>
      </c>
      <c r="T44" s="20" t="n">
        <v>266</v>
      </c>
      <c r="U44" s="20" t="n">
        <v>404</v>
      </c>
      <c r="V44" s="20" t="n">
        <v>221</v>
      </c>
      <c r="W44" s="20" t="n">
        <v>378</v>
      </c>
      <c r="X44" s="20" t="n">
        <v>103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27</v>
      </c>
      <c r="D46" s="20" t="n">
        <v>98</v>
      </c>
      <c r="E46" s="20" t="n">
        <v>154</v>
      </c>
      <c r="F46" s="20" t="n">
        <v>180</v>
      </c>
      <c r="G46" s="20" t="n">
        <v>91</v>
      </c>
      <c r="H46" s="20" t="n">
        <v>16</v>
      </c>
      <c r="I46" s="20" t="n">
        <v>106</v>
      </c>
      <c r="J46" s="20" t="n">
        <v>44</v>
      </c>
      <c r="K46" s="20" t="n">
        <v>12</v>
      </c>
      <c r="L46" s="20" t="n">
        <v>7</v>
      </c>
      <c r="M46" s="20" t="n">
        <v>49</v>
      </c>
      <c r="N46" s="20" t="n">
        <v>4</v>
      </c>
      <c r="O46" s="19" t="n">
        <v>926</v>
      </c>
      <c r="P46" s="20" t="n">
        <v>339</v>
      </c>
      <c r="Q46" s="20" t="n">
        <v>628</v>
      </c>
      <c r="R46" s="20" t="n">
        <v>168</v>
      </c>
      <c r="S46" s="20" t="n">
        <v>315</v>
      </c>
      <c r="T46" s="20" t="n">
        <v>243</v>
      </c>
      <c r="U46" s="20" t="n">
        <v>476</v>
      </c>
      <c r="V46" s="20" t="n">
        <v>434</v>
      </c>
      <c r="W46" s="20" t="n">
        <v>393</v>
      </c>
      <c r="X46" s="20" t="n">
        <v>112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117</v>
      </c>
      <c r="D48" s="20" t="n">
        <v>0</v>
      </c>
      <c r="E48" s="20" t="n">
        <v>90</v>
      </c>
      <c r="F48" s="20" t="n">
        <v>373</v>
      </c>
      <c r="G48" s="20" t="n">
        <v>206</v>
      </c>
      <c r="H48" s="20" t="n">
        <v>72</v>
      </c>
      <c r="I48" s="20" t="n">
        <v>79</v>
      </c>
      <c r="J48" s="20" t="n">
        <v>513</v>
      </c>
      <c r="K48" s="20" t="n">
        <v>152</v>
      </c>
      <c r="L48" s="20" t="n">
        <v>149</v>
      </c>
      <c r="M48" s="20" t="n">
        <v>104</v>
      </c>
      <c r="N48" s="20" t="n">
        <v>302</v>
      </c>
      <c r="O48" s="19" t="n">
        <v>614</v>
      </c>
      <c r="P48" s="20" t="n">
        <v>738</v>
      </c>
      <c r="Q48" s="20" t="n">
        <v>667</v>
      </c>
      <c r="R48" s="20" t="n">
        <v>565</v>
      </c>
      <c r="S48" s="20" t="n">
        <v>685</v>
      </c>
      <c r="T48" s="20" t="n">
        <v>969</v>
      </c>
      <c r="U48" s="20" t="n">
        <v>670</v>
      </c>
      <c r="V48" s="20" t="n">
        <v>535</v>
      </c>
      <c r="W48" s="20" t="n">
        <v>730</v>
      </c>
      <c r="X48" s="20" t="n">
        <v>918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60</v>
      </c>
      <c r="D50" s="20" t="n">
        <v>242</v>
      </c>
      <c r="E50" s="20" t="n">
        <v>185</v>
      </c>
      <c r="F50" s="20" t="n">
        <v>47</v>
      </c>
      <c r="G50" s="20" t="n">
        <v>82</v>
      </c>
      <c r="H50" s="20" t="n">
        <v>66</v>
      </c>
      <c r="I50" s="20" t="n">
        <v>88</v>
      </c>
      <c r="J50" s="20" t="n">
        <v>127</v>
      </c>
      <c r="K50" s="20" t="n">
        <v>81</v>
      </c>
      <c r="L50" s="20" t="n">
        <v>88</v>
      </c>
      <c r="M50" s="20" t="n">
        <v>100</v>
      </c>
      <c r="N50" s="20" t="n">
        <v>82</v>
      </c>
      <c r="O50" s="19" t="n">
        <v>314</v>
      </c>
      <c r="P50" s="20" t="n">
        <v>342</v>
      </c>
      <c r="Q50" s="20" t="n">
        <v>324</v>
      </c>
      <c r="R50" s="20" t="n">
        <v>242</v>
      </c>
      <c r="S50" s="20" t="n">
        <v>276</v>
      </c>
      <c r="T50" s="20" t="n">
        <v>195</v>
      </c>
      <c r="U50" s="20" t="n">
        <v>382</v>
      </c>
      <c r="V50" s="20" t="n">
        <v>545</v>
      </c>
      <c r="W50" s="20" t="n">
        <v>283</v>
      </c>
      <c r="X50" s="20" t="n">
        <v>396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1692</v>
      </c>
      <c r="D52" s="12" t="n">
        <v>1959</v>
      </c>
      <c r="E52" s="12" t="n">
        <v>2569</v>
      </c>
      <c r="F52" s="12" t="n">
        <v>1783</v>
      </c>
      <c r="G52" s="12" t="n">
        <v>2096</v>
      </c>
      <c r="H52" s="12" t="n">
        <v>919</v>
      </c>
      <c r="I52" s="12" t="n">
        <v>1976</v>
      </c>
      <c r="J52" s="12" t="n">
        <v>1909</v>
      </c>
      <c r="K52" s="12" t="n">
        <v>1848</v>
      </c>
      <c r="L52" s="12" t="n">
        <v>2432</v>
      </c>
      <c r="M52" s="12" t="n">
        <v>2414</v>
      </c>
      <c r="N52" s="12" t="n">
        <v>2575</v>
      </c>
      <c r="O52" s="11" t="n">
        <v>5254</v>
      </c>
      <c r="P52" s="12" t="n">
        <v>4205</v>
      </c>
      <c r="Q52" s="12" t="n">
        <v>6193</v>
      </c>
      <c r="R52" s="12" t="n">
        <v>5706</v>
      </c>
      <c r="S52" s="12" t="n">
        <v>6472</v>
      </c>
      <c r="T52" s="12" t="n">
        <v>5090</v>
      </c>
      <c r="U52" s="12" t="n">
        <v>1639</v>
      </c>
      <c r="V52" s="12" t="n">
        <v>7524</v>
      </c>
      <c r="W52" s="12" t="n">
        <v>6774</v>
      </c>
      <c r="X52" s="12" t="n">
        <v>8603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593</v>
      </c>
      <c r="D54" s="20" t="n">
        <v>697</v>
      </c>
      <c r="E54" s="20" t="n">
        <v>746</v>
      </c>
      <c r="F54" s="20" t="n">
        <v>446</v>
      </c>
      <c r="G54" s="20" t="n">
        <v>260</v>
      </c>
      <c r="H54" s="20" t="n">
        <v>287</v>
      </c>
      <c r="I54" s="20" t="n">
        <v>292</v>
      </c>
      <c r="J54" s="20" t="n">
        <v>263</v>
      </c>
      <c r="K54" s="20" t="n">
        <v>571</v>
      </c>
      <c r="L54" s="20" t="n">
        <v>724</v>
      </c>
      <c r="M54" s="20" t="n">
        <v>632</v>
      </c>
      <c r="N54" s="20" t="n">
        <v>795</v>
      </c>
      <c r="O54" s="19" t="n">
        <v>1265</v>
      </c>
      <c r="P54" s="20" t="n">
        <v>1197</v>
      </c>
      <c r="Q54" s="20" t="n">
        <v>1538</v>
      </c>
      <c r="R54" s="20" t="n">
        <v>1866</v>
      </c>
      <c r="S54" s="20" t="n">
        <v>1972</v>
      </c>
      <c r="T54" s="20" t="n">
        <v>1401</v>
      </c>
      <c r="U54" s="20" t="n">
        <v>596</v>
      </c>
      <c r="V54" s="20" t="n">
        <v>2410</v>
      </c>
      <c r="W54" s="20" t="n">
        <v>1285</v>
      </c>
      <c r="X54" s="20" t="n">
        <v>2190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1099</v>
      </c>
      <c r="D56" s="12" t="n">
        <v>1262</v>
      </c>
      <c r="E56" s="12" t="n">
        <v>1823</v>
      </c>
      <c r="F56" s="12" t="n">
        <v>1337</v>
      </c>
      <c r="G56" s="12" t="n">
        <v>1835</v>
      </c>
      <c r="H56" s="12" t="n">
        <v>633</v>
      </c>
      <c r="I56" s="12" t="n">
        <v>1683</v>
      </c>
      <c r="J56" s="12" t="n">
        <v>1645</v>
      </c>
      <c r="K56" s="12" t="n">
        <v>1278</v>
      </c>
      <c r="L56" s="12" t="n">
        <v>1707</v>
      </c>
      <c r="M56" s="12" t="n">
        <v>1782</v>
      </c>
      <c r="N56" s="12" t="n">
        <v>1779</v>
      </c>
      <c r="O56" s="11" t="n">
        <v>3989</v>
      </c>
      <c r="P56" s="12" t="n">
        <v>3008</v>
      </c>
      <c r="Q56" s="12" t="n">
        <v>4654</v>
      </c>
      <c r="R56" s="12" t="n">
        <v>3840</v>
      </c>
      <c r="S56" s="12" t="n">
        <v>4500</v>
      </c>
      <c r="T56" s="12" t="n">
        <v>3689</v>
      </c>
      <c r="U56" s="12" t="n">
        <v>1042</v>
      </c>
      <c r="V56" s="12" t="n">
        <v>5113</v>
      </c>
      <c r="W56" s="12" t="n">
        <v>5488</v>
      </c>
      <c r="X56" s="12" t="n">
        <v>6412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1068</v>
      </c>
      <c r="D58" s="12" t="n">
        <v>1268</v>
      </c>
      <c r="E58" s="12" t="n">
        <v>1827</v>
      </c>
      <c r="F58" s="12" t="n">
        <v>1304</v>
      </c>
      <c r="G58" s="12" t="n">
        <v>1788</v>
      </c>
      <c r="H58" s="12" t="n">
        <v>619</v>
      </c>
      <c r="I58" s="12" t="n">
        <v>1676</v>
      </c>
      <c r="J58" s="12" t="n">
        <v>1637</v>
      </c>
      <c r="K58" s="12" t="n">
        <v>1236</v>
      </c>
      <c r="L58" s="12" t="n">
        <v>1712</v>
      </c>
      <c r="M58" s="12" t="n">
        <v>1792</v>
      </c>
      <c r="N58" s="12" t="n">
        <v>1761</v>
      </c>
      <c r="O58" s="11" t="n">
        <v>3937</v>
      </c>
      <c r="P58" s="12" t="n">
        <v>2971</v>
      </c>
      <c r="Q58" s="12" t="n">
        <v>4657</v>
      </c>
      <c r="R58" s="12" t="n">
        <v>3842</v>
      </c>
      <c r="S58" s="12" t="n">
        <v>4438</v>
      </c>
      <c r="T58" s="12" t="n">
        <v>3659</v>
      </c>
      <c r="U58" s="12" t="n">
        <v>1030</v>
      </c>
      <c r="V58" s="12" t="n">
        <v>5084</v>
      </c>
      <c r="W58" s="12" t="n">
        <v>5387</v>
      </c>
      <c r="X58" s="12" t="n">
        <v>6377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1398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38477128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76863</v>
      </c>
      <c r="D93" s="12" t="n">
        <v>81724</v>
      </c>
      <c r="E93" s="12" t="n">
        <v>75506</v>
      </c>
      <c r="F93" s="12" t="n">
        <v>74288</v>
      </c>
      <c r="G93" s="12" t="n">
        <v>74010</v>
      </c>
      <c r="H93" s="12" t="n">
        <v>77223</v>
      </c>
      <c r="I93" s="12" t="n">
        <v>70524</v>
      </c>
      <c r="J93" s="12" t="n">
        <v>71973</v>
      </c>
      <c r="K93" s="12" t="n">
        <v>70371</v>
      </c>
      <c r="L93" s="12" t="n">
        <v>76728</v>
      </c>
      <c r="M93" s="12" t="n">
        <v>71603</v>
      </c>
      <c r="N93" s="12" t="n">
        <v>78443</v>
      </c>
      <c r="T93" s="12" t="n">
        <v>60445</v>
      </c>
      <c r="U93" s="12" t="n">
        <v>79165</v>
      </c>
      <c r="V93" s="12" t="n">
        <v>75506</v>
      </c>
      <c r="W93" s="12" t="n">
        <v>70524</v>
      </c>
      <c r="X93" s="12" t="n">
        <v>71603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69719</v>
      </c>
      <c r="D95" s="20" t="n">
        <v>73546</v>
      </c>
      <c r="E95" s="20" t="n">
        <v>66786</v>
      </c>
      <c r="F95" s="20" t="n">
        <v>66483</v>
      </c>
      <c r="G95" s="20" t="n">
        <v>65671</v>
      </c>
      <c r="H95" s="20" t="n">
        <v>69650</v>
      </c>
      <c r="I95" s="20" t="n">
        <v>62367</v>
      </c>
      <c r="J95" s="20" t="n">
        <v>64111</v>
      </c>
      <c r="K95" s="20" t="n">
        <v>62246</v>
      </c>
      <c r="L95" s="20" t="n">
        <v>67575</v>
      </c>
      <c r="M95" s="20" t="n">
        <v>62896</v>
      </c>
      <c r="N95" s="20" t="n">
        <v>69818</v>
      </c>
      <c r="T95" s="20" t="n">
        <v>55588</v>
      </c>
      <c r="U95" s="20" t="n">
        <v>73225</v>
      </c>
      <c r="V95" s="20" t="n">
        <v>66786</v>
      </c>
      <c r="W95" s="20" t="n">
        <v>62367</v>
      </c>
      <c r="X95" s="20" t="n">
        <v>62896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7145</v>
      </c>
      <c r="D97" s="12" t="n">
        <v>8177</v>
      </c>
      <c r="E97" s="12" t="n">
        <v>8720</v>
      </c>
      <c r="F97" s="12" t="n">
        <v>7804</v>
      </c>
      <c r="G97" s="12" t="n">
        <v>8339</v>
      </c>
      <c r="H97" s="12" t="n">
        <v>7573</v>
      </c>
      <c r="I97" s="12" t="n">
        <v>8158</v>
      </c>
      <c r="J97" s="12" t="n">
        <v>7861</v>
      </c>
      <c r="K97" s="12" t="n">
        <v>8126</v>
      </c>
      <c r="L97" s="12" t="n">
        <v>9152</v>
      </c>
      <c r="M97" s="12" t="n">
        <v>8708</v>
      </c>
      <c r="N97" s="12" t="n">
        <v>8625</v>
      </c>
      <c r="T97" s="12" t="n">
        <v>4858</v>
      </c>
      <c r="U97" s="12" t="n">
        <v>5941</v>
      </c>
      <c r="V97" s="12" t="n">
        <v>8720</v>
      </c>
      <c r="W97" s="12" t="n">
        <v>8158</v>
      </c>
      <c r="X97" s="12" t="n">
        <v>8708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판매비와 관리비</t>
        </is>
      </c>
      <c r="C99" s="20" t="n">
        <v>5487</v>
      </c>
      <c r="D99" s="20" t="n">
        <v>5958</v>
      </c>
      <c r="E99" s="20" t="n">
        <v>6034</v>
      </c>
      <c r="F99" s="20" t="n">
        <v>6507</v>
      </c>
      <c r="G99" s="20" t="n">
        <v>6280</v>
      </c>
      <c r="H99" s="20" t="n">
        <v>6657</v>
      </c>
      <c r="I99" s="20" t="n">
        <v>6087</v>
      </c>
      <c r="J99" s="20" t="n">
        <v>6385</v>
      </c>
      <c r="K99" s="20" t="n">
        <v>6345</v>
      </c>
      <c r="L99" s="20" t="n">
        <v>6777</v>
      </c>
      <c r="M99" s="20" t="n">
        <v>6248</v>
      </c>
      <c r="N99" s="20" t="n">
        <v>6484</v>
      </c>
      <c r="T99" s="20" t="n">
        <v>4649</v>
      </c>
      <c r="U99" s="20" t="n">
        <v>5274</v>
      </c>
      <c r="V99" s="20" t="n">
        <v>6034</v>
      </c>
      <c r="W99" s="20" t="n">
        <v>6087</v>
      </c>
      <c r="X99" s="20" t="n">
        <v>6248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IF(OR(G99="",C99=""),"",IF(G99*C99&lt;=0,"",IFERROR(G99/C99-1,"")))</f>
        <v/>
      </c>
      <c r="H100" s="15">
        <f>IF(OR(H99="",D99=""),"",IF(H99*D99&lt;=0,"",IFERROR(H99/D99-1,"")))</f>
        <v/>
      </c>
      <c r="I100" s="15">
        <f>IF(OR(I99="",E99=""),"",IF(I99*E99&lt;=0,"",IFERROR(I99/E99-1,"")))</f>
        <v/>
      </c>
      <c r="J100" s="15">
        <f>IF(OR(J99="",F99=""),"",IF(J99*F99&lt;=0,"",IFERROR(J99/F99-1,"")))</f>
        <v/>
      </c>
      <c r="K100" s="15">
        <f>IF(OR(K99="",G99=""),"",IF(K99*G99&lt;=0,"",IFERROR(K99/G99-1,"")))</f>
        <v/>
      </c>
      <c r="L100" s="15">
        <f>IF(OR(L99="",H99=""),"",IF(L99*H99&lt;=0,"",IFERROR(L99/H99-1,"")))</f>
        <v/>
      </c>
      <c r="M100" s="15">
        <f>IF(OR(M99="",I99=""),"",IF(M99*I99&lt;=0,"",IFERROR(M99/I99-1,"")))</f>
        <v/>
      </c>
      <c r="N100" s="15">
        <f>IF(OR(N99="",J99=""),"",IF(N99*J99&lt;=0,"",IFERROR(N99/J99-1,"")))</f>
        <v/>
      </c>
      <c r="T100" s="15">
        <f>IF(OR(T99="",S99=""),"",IF(T99*S99&lt;=0,"",IFERROR(T99/S99-1,"")))</f>
        <v/>
      </c>
      <c r="U100" s="15">
        <f>IF(OR(U99="",T99=""),"",IF(U99*T99&lt;=0,"",IFERROR(U99/T99-1,"")))</f>
        <v/>
      </c>
      <c r="V100" s="15">
        <f>IF(OR(V99="",U99=""),"",IF(V99*U99&lt;=0,"",IFERROR(V99/U99-1,"")))</f>
        <v/>
      </c>
      <c r="W100" s="15">
        <f>IF(OR(W99="",V99=""),"",IF(W99*V99&lt;=0,"",IFERROR(W99/V99-1,"")))</f>
        <v/>
      </c>
      <c r="X100" s="15">
        <f>IF(OR(X99="",W99=""),"",IF(X99*W99&lt;=0,"",IFERROR(X99/W99-1,"")))</f>
        <v/>
      </c>
    </row>
    <row r="101">
      <c r="A101" s="9" t="inlineStr">
        <is>
          <t>영업이익</t>
        </is>
      </c>
      <c r="C101" s="12" t="n">
        <v>1658</v>
      </c>
      <c r="D101" s="12" t="n">
        <v>2219</v>
      </c>
      <c r="E101" s="12" t="n">
        <v>2685</v>
      </c>
      <c r="F101" s="12" t="n">
        <v>1297</v>
      </c>
      <c r="G101" s="12" t="n">
        <v>2058</v>
      </c>
      <c r="H101" s="12" t="n">
        <v>916</v>
      </c>
      <c r="I101" s="12" t="n">
        <v>2072</v>
      </c>
      <c r="J101" s="12" t="n">
        <v>1476</v>
      </c>
      <c r="K101" s="12" t="n">
        <v>1781</v>
      </c>
      <c r="L101" s="12" t="n">
        <v>2375</v>
      </c>
      <c r="M101" s="12" t="n">
        <v>2459</v>
      </c>
      <c r="N101" s="12" t="n">
        <v>2140</v>
      </c>
      <c r="T101" s="12" t="n">
        <v>208</v>
      </c>
      <c r="U101" s="12" t="n">
        <v>666</v>
      </c>
      <c r="V101" s="12" t="n">
        <v>2685</v>
      </c>
      <c r="W101" s="12" t="n">
        <v>2072</v>
      </c>
      <c r="X101" s="12" t="n">
        <v>2459</v>
      </c>
    </row>
    <row r="102">
      <c r="A102" s="43" t="inlineStr">
        <is>
          <t>OPM</t>
        </is>
      </c>
      <c r="B102" s="3" t="inlineStr">
        <is>
          <t>영업이익 ÷ 매출</t>
        </is>
      </c>
      <c r="C102" s="15">
        <f>IF(OR(C101="",C93=""),"",IF(C93&lt;=0,"",IFERROR(C101/C93,"")))</f>
        <v/>
      </c>
      <c r="D102" s="15">
        <f>IF(OR(D101="",D93=""),"",IF(D93&lt;=0,"",IFERROR(D101/D93,"")))</f>
        <v/>
      </c>
      <c r="E102" s="15">
        <f>IF(OR(E101="",E93=""),"",IF(E93&lt;=0,"",IFERROR(E101/E93,"")))</f>
        <v/>
      </c>
      <c r="F102" s="15">
        <f>IF(OR(F101="",F93=""),"",IF(F93&lt;=0,"",IFERROR(F101/F93,"")))</f>
        <v/>
      </c>
      <c r="G102" s="15">
        <f>IF(OR(G101="",G93=""),"",IF(G93&lt;=0,"",IFERROR(G101/G93,"")))</f>
        <v/>
      </c>
      <c r="H102" s="15">
        <f>IF(OR(H101="",H93=""),"",IF(H93&lt;=0,"",IFERROR(H101/H93,"")))</f>
        <v/>
      </c>
      <c r="I102" s="15">
        <f>IF(OR(I101="",I93=""),"",IF(I93&lt;=0,"",IFERROR(I101/I93,"")))</f>
        <v/>
      </c>
      <c r="J102" s="15">
        <f>IF(OR(J101="",J93=""),"",IF(J93&lt;=0,"",IFERROR(J101/J93,"")))</f>
        <v/>
      </c>
      <c r="K102" s="15">
        <f>IF(OR(K101="",K93=""),"",IF(K93&lt;=0,"",IFERROR(K101/K93,"")))</f>
        <v/>
      </c>
      <c r="L102" s="15">
        <f>IF(OR(L101="",L93=""),"",IF(L93&lt;=0,"",IFERROR(L101/L93,"")))</f>
        <v/>
      </c>
      <c r="M102" s="15">
        <f>IF(OR(M101="",M93=""),"",IF(M93&lt;=0,"",IFERROR(M101/M93,"")))</f>
        <v/>
      </c>
      <c r="N102" s="15">
        <f>IF(OR(N101="",N93=""),"",IF(N93&lt;=0,"",IFERROR(N101/N93,"")))</f>
        <v/>
      </c>
      <c r="T102" s="15">
        <f>IF(OR(T101="",T93=""),"",IF(T93&lt;=0,"",IFERROR(T101/T93,"")))</f>
        <v/>
      </c>
      <c r="U102" s="15">
        <f>IF(OR(U101="",U93=""),"",IF(U93&lt;=0,"",IFERROR(U101/U93,"")))</f>
        <v/>
      </c>
      <c r="V102" s="15">
        <f>IF(OR(V101="",V93=""),"",IF(V93&lt;=0,"",IFERROR(V101/V93,"")))</f>
        <v/>
      </c>
      <c r="W102" s="15">
        <f>IF(OR(W101="",W93=""),"",IF(W93&lt;=0,"",IFERROR(W101/W93,"")))</f>
        <v/>
      </c>
      <c r="X102" s="15">
        <f>IF(OR(X101="",X93=""),"",IF(X93&lt;=0,"",IFERROR(X101/X93,"")))</f>
        <v/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IF(OR(G101="",C101=""),"",IF(C101&lt;=0,"",IFERROR(G101/C101-1,"")))</f>
        <v/>
      </c>
      <c r="H103" s="15">
        <f>IF(OR(H101="",D101=""),"",IF(D101&lt;=0,"",IFERROR(H101/D101-1,"")))</f>
        <v/>
      </c>
      <c r="I103" s="15">
        <f>IF(OR(I101="",E101=""),"",IF(E101&lt;=0,"",IFERROR(I101/E101-1,"")))</f>
        <v/>
      </c>
      <c r="J103" s="15">
        <f>IF(OR(J101="",F101=""),"",IF(F101&lt;=0,"",IFERROR(J101/F101-1,"")))</f>
        <v/>
      </c>
      <c r="K103" s="15">
        <f>IF(OR(K101="",G101=""),"",IF(G101&lt;=0,"",IFERROR(K101/G101-1,"")))</f>
        <v/>
      </c>
      <c r="L103" s="15">
        <f>IF(OR(L101="",H101=""),"",IF(H101&lt;=0,"",IFERROR(L101/H101-1,"")))</f>
        <v/>
      </c>
      <c r="M103" s="15">
        <f>IF(OR(M101="",I101=""),"",IF(I101&lt;=0,"",IFERROR(M101/I101-1,"")))</f>
        <v/>
      </c>
      <c r="N103" s="15">
        <f>IF(OR(N101="",J101=""),"",IF(J101&lt;=0,"",IFERROR(N101/J101-1,"")))</f>
        <v/>
      </c>
      <c r="T103" s="15">
        <f>IF(OR(T101="",S101=""),"",IF(S101&lt;=0,"",IFERROR(T101/S101-1,"")))</f>
        <v/>
      </c>
      <c r="U103" s="15">
        <f>IF(OR(U101="",T101=""),"",IF(T101&lt;=0,"",IFERROR(U101/T101-1,"")))</f>
        <v/>
      </c>
      <c r="V103" s="15">
        <f>IF(OR(V101="",U101=""),"",IF(U101&lt;=0,"",IFERROR(V101/U101-1,"")))</f>
        <v/>
      </c>
      <c r="W103" s="15">
        <f>IF(OR(W101="",V101=""),"",IF(V101&lt;=0,"",IFERROR(W101/V101-1,"")))</f>
        <v/>
      </c>
      <c r="X103" s="15">
        <f>IF(OR(X101="",W101=""),"",IF(W101&lt;=0,"",IFERROR(X101/W101-1,"")))</f>
        <v/>
      </c>
    </row>
    <row r="104">
      <c r="A104" s="18" t="inlineStr">
        <is>
          <t>이자수익</t>
        </is>
      </c>
      <c r="C104" s="20" t="n">
        <v>3</v>
      </c>
      <c r="D104" s="20" t="n">
        <v>2</v>
      </c>
      <c r="E104" s="20" t="n">
        <v>1</v>
      </c>
      <c r="F104" s="20" t="n">
        <v>0</v>
      </c>
      <c r="G104" s="20" t="n">
        <v>2</v>
      </c>
      <c r="H104" s="20" t="n">
        <v>0</v>
      </c>
      <c r="I104" s="20" t="n">
        <v>4</v>
      </c>
      <c r="J104" s="20" t="n">
        <v>0</v>
      </c>
      <c r="K104" s="20" t="n">
        <v>7</v>
      </c>
      <c r="L104" s="20" t="n">
        <v>1</v>
      </c>
      <c r="M104" s="20" t="n">
        <v>8</v>
      </c>
      <c r="N104" s="20" t="n">
        <v>0</v>
      </c>
      <c r="T104" s="20" t="n">
        <v>3</v>
      </c>
      <c r="U104" s="20" t="n">
        <v>2</v>
      </c>
      <c r="V104" s="20" t="n">
        <v>1</v>
      </c>
      <c r="W104" s="20" t="n">
        <v>4</v>
      </c>
      <c r="X104" s="20" t="n">
        <v>8</v>
      </c>
    </row>
    <row r="105">
      <c r="A105" s="18" t="inlineStr">
        <is>
          <t>배당금수익</t>
        </is>
      </c>
      <c r="C105" s="20" t="n">
        <v>1</v>
      </c>
      <c r="D105" s="20" t="n">
        <v>44</v>
      </c>
      <c r="E105" s="20" t="n">
        <v>0</v>
      </c>
      <c r="F105" s="20" t="n">
        <v>116</v>
      </c>
      <c r="G105" s="20" t="n">
        <v>1</v>
      </c>
      <c r="H105" s="20" t="n">
        <v>33</v>
      </c>
      <c r="I105" s="20" t="n">
        <v>14</v>
      </c>
      <c r="J105" s="20" t="n">
        <v>129</v>
      </c>
      <c r="K105" s="20" t="n">
        <v>13</v>
      </c>
      <c r="L105" s="20" t="n">
        <v>56</v>
      </c>
      <c r="M105" s="20" t="n">
        <v>0</v>
      </c>
      <c r="N105" s="20" t="n">
        <v>172</v>
      </c>
      <c r="T105" s="20" t="n">
        <v>0</v>
      </c>
      <c r="U105" s="20" t="n">
        <v>0</v>
      </c>
      <c r="V105" s="20" t="n">
        <v>0</v>
      </c>
      <c r="W105" s="20" t="n">
        <v>14</v>
      </c>
      <c r="X105" s="20" t="n">
        <v>0</v>
      </c>
    </row>
    <row r="106">
      <c r="A106" s="18" t="inlineStr">
        <is>
          <t>지분법이익</t>
        </is>
      </c>
      <c r="C106" s="20" t="n">
        <v>12</v>
      </c>
      <c r="D106" s="20" t="n">
        <v>-130</v>
      </c>
      <c r="E106" s="20" t="n">
        <v>0</v>
      </c>
      <c r="F106" s="20" t="n">
        <v>143</v>
      </c>
      <c r="G106" s="20" t="n">
        <v>95</v>
      </c>
      <c r="H106" s="20" t="n">
        <v>-37</v>
      </c>
      <c r="I106" s="20" t="n">
        <v>-72</v>
      </c>
      <c r="J106" s="20" t="n">
        <v>288</v>
      </c>
      <c r="K106" s="20" t="n">
        <v>28</v>
      </c>
      <c r="L106" s="20" t="n">
        <v>14</v>
      </c>
      <c r="M106" s="20" t="n">
        <v>9</v>
      </c>
      <c r="N106" s="20" t="n">
        <v>51</v>
      </c>
      <c r="T106" s="20" t="n">
        <v>9</v>
      </c>
      <c r="U106" s="20" t="n">
        <v>-25</v>
      </c>
      <c r="V106" s="20" t="n">
        <v>0</v>
      </c>
      <c r="W106" s="20" t="n">
        <v>-72</v>
      </c>
      <c r="X106" s="20" t="n">
        <v>9</v>
      </c>
    </row>
    <row r="107">
      <c r="A107" s="18" t="inlineStr">
        <is>
          <t>Stockpile Storage Revenue NOI</t>
        </is>
      </c>
      <c r="C107" s="20" t="n">
        <v>35</v>
      </c>
      <c r="D107" s="20" t="n">
        <v>33</v>
      </c>
      <c r="E107" s="20" t="n">
        <v>34</v>
      </c>
      <c r="F107" s="20" t="n">
        <v>36</v>
      </c>
      <c r="G107" s="20" t="n">
        <v>35</v>
      </c>
      <c r="H107" s="20" t="n">
        <v>36</v>
      </c>
      <c r="I107" s="20" t="n">
        <v>35</v>
      </c>
      <c r="J107" s="20" t="n">
        <v>34</v>
      </c>
      <c r="K107" s="20" t="n">
        <v>36</v>
      </c>
      <c r="L107" s="20" t="n">
        <v>36</v>
      </c>
      <c r="M107" s="20" t="n">
        <v>34</v>
      </c>
      <c r="N107" s="20" t="n">
        <v>36</v>
      </c>
      <c r="T107" s="20" t="n">
        <v>32</v>
      </c>
      <c r="U107" s="20" t="n">
        <v>36</v>
      </c>
      <c r="V107" s="20" t="n">
        <v>34</v>
      </c>
      <c r="W107" s="20" t="n">
        <v>35</v>
      </c>
      <c r="X107" s="20" t="n">
        <v>34</v>
      </c>
    </row>
    <row r="108">
      <c r="A108" s="18" t="inlineStr">
        <is>
          <t>보조금 수입</t>
        </is>
      </c>
      <c r="T108" s="20" t="n">
        <v>27</v>
      </c>
      <c r="U108" s="20" t="n">
        <v>21</v>
      </c>
    </row>
    <row r="109">
      <c r="A109" s="18" t="inlineStr">
        <is>
          <t>기타</t>
        </is>
      </c>
      <c r="C109" s="20" t="n">
        <v>66</v>
      </c>
      <c r="D109" s="20" t="n">
        <v>50</v>
      </c>
      <c r="E109" s="20" t="n">
        <v>55</v>
      </c>
      <c r="F109" s="20" t="n">
        <v>77</v>
      </c>
      <c r="G109" s="20" t="n">
        <v>73</v>
      </c>
      <c r="H109" s="20" t="n">
        <v>39</v>
      </c>
      <c r="I109" s="20" t="n">
        <v>97</v>
      </c>
      <c r="J109" s="20" t="n">
        <v>60</v>
      </c>
      <c r="K109" s="20" t="n">
        <v>69</v>
      </c>
      <c r="L109" s="20" t="n">
        <v>42</v>
      </c>
      <c r="M109" s="20" t="n">
        <v>52</v>
      </c>
      <c r="N109" s="20" t="n">
        <v>41</v>
      </c>
      <c r="T109" s="20" t="n">
        <v>66</v>
      </c>
      <c r="U109" s="20" t="n">
        <v>90</v>
      </c>
      <c r="V109" s="20" t="n">
        <v>55</v>
      </c>
      <c r="W109" s="20" t="n">
        <v>97</v>
      </c>
      <c r="X109" s="20" t="n">
        <v>52</v>
      </c>
    </row>
    <row r="110">
      <c r="A110" s="18" t="inlineStr">
        <is>
          <t>영업외수익 합계</t>
        </is>
      </c>
      <c r="C110" s="20" t="n">
        <v>117</v>
      </c>
      <c r="D110" s="20" t="n">
        <v>0</v>
      </c>
      <c r="E110" s="20" t="n">
        <v>90</v>
      </c>
      <c r="F110" s="20" t="n">
        <v>373</v>
      </c>
      <c r="G110" s="20" t="n">
        <v>206</v>
      </c>
      <c r="H110" s="20" t="n">
        <v>72</v>
      </c>
      <c r="I110" s="20" t="n">
        <v>79</v>
      </c>
      <c r="J110" s="20" t="n">
        <v>513</v>
      </c>
      <c r="K110" s="20" t="n">
        <v>152</v>
      </c>
      <c r="L110" s="20" t="n">
        <v>149</v>
      </c>
      <c r="M110" s="20" t="n">
        <v>104</v>
      </c>
      <c r="N110" s="20" t="n">
        <v>302</v>
      </c>
      <c r="T110" s="20" t="n">
        <v>138</v>
      </c>
      <c r="U110" s="20" t="n">
        <v>102</v>
      </c>
      <c r="V110" s="20" t="n">
        <v>90</v>
      </c>
      <c r="W110" s="20" t="n">
        <v>79</v>
      </c>
      <c r="X110" s="20" t="n">
        <v>104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T111" s="15">
        <f>IF(OR(T110="",S110=""),"",IF(T110*S110&lt;=0,"",IFERROR(T110/S110-1,"")))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18" t="inlineStr">
        <is>
          <t>이자비용</t>
        </is>
      </c>
      <c r="C112" s="20" t="n">
        <v>46</v>
      </c>
      <c r="D112" s="20" t="n">
        <v>46</v>
      </c>
      <c r="E112" s="20" t="n">
        <v>43</v>
      </c>
      <c r="F112" s="20" t="n">
        <v>37</v>
      </c>
      <c r="G112" s="20" t="n">
        <v>46</v>
      </c>
      <c r="H112" s="20" t="n">
        <v>48</v>
      </c>
      <c r="I112" s="20" t="n">
        <v>59</v>
      </c>
      <c r="J112" s="20" t="n">
        <v>56</v>
      </c>
      <c r="K112" s="20" t="n">
        <v>65</v>
      </c>
      <c r="L112" s="20" t="n">
        <v>61</v>
      </c>
      <c r="M112" s="20" t="n">
        <v>68</v>
      </c>
      <c r="N112" s="20" t="n">
        <v>67</v>
      </c>
      <c r="T112" s="20" t="n">
        <v>15</v>
      </c>
      <c r="U112" s="20" t="n">
        <v>51</v>
      </c>
      <c r="V112" s="20" t="n">
        <v>43</v>
      </c>
      <c r="W112" s="20" t="n">
        <v>59</v>
      </c>
      <c r="X112" s="20" t="n">
        <v>68</v>
      </c>
    </row>
    <row r="113">
      <c r="A113" s="18" t="inlineStr">
        <is>
          <t>지분법손실</t>
        </is>
      </c>
      <c r="E113" s="20" t="n">
        <v>125</v>
      </c>
      <c r="I113" s="20" t="n">
        <v>0</v>
      </c>
      <c r="U113" s="20" t="n">
        <v>42</v>
      </c>
      <c r="V113" s="20" t="n">
        <v>125</v>
      </c>
      <c r="W113" s="20" t="n">
        <v>0</v>
      </c>
    </row>
    <row r="114">
      <c r="A114" s="18" t="inlineStr">
        <is>
          <t>지급수수료</t>
        </is>
      </c>
      <c r="D114" s="20" t="n">
        <v>4</v>
      </c>
      <c r="E114" s="20" t="n">
        <v>4</v>
      </c>
      <c r="F114" s="20" t="n">
        <v>3</v>
      </c>
      <c r="G114" s="20" t="n">
        <v>24</v>
      </c>
      <c r="H114" s="20" t="n">
        <v>4</v>
      </c>
      <c r="I114" s="20" t="n">
        <v>3</v>
      </c>
      <c r="J114" s="20" t="n">
        <v>53</v>
      </c>
      <c r="K114" s="20" t="n">
        <v>4</v>
      </c>
      <c r="L114" s="20" t="n">
        <v>4</v>
      </c>
      <c r="M114" s="20" t="n">
        <v>2</v>
      </c>
      <c r="T114" s="20" t="n">
        <v>1</v>
      </c>
      <c r="U114" s="20" t="n">
        <v>3</v>
      </c>
      <c r="V114" s="20" t="n">
        <v>4</v>
      </c>
      <c r="W114" s="20" t="n">
        <v>3</v>
      </c>
      <c r="X114" s="20" t="n">
        <v>2</v>
      </c>
    </row>
    <row r="115">
      <c r="A115" s="18" t="inlineStr">
        <is>
          <t>기타</t>
        </is>
      </c>
      <c r="C115" s="20" t="n">
        <v>7</v>
      </c>
      <c r="D115" s="20" t="n">
        <v>5</v>
      </c>
      <c r="E115" s="20" t="n">
        <v>13</v>
      </c>
      <c r="F115" s="20" t="n">
        <v>6</v>
      </c>
      <c r="G115" s="20" t="n">
        <v>12</v>
      </c>
      <c r="H115" s="20" t="n">
        <v>14</v>
      </c>
      <c r="I115" s="20" t="n">
        <v>26</v>
      </c>
      <c r="J115" s="20" t="n">
        <v>71</v>
      </c>
      <c r="K115" s="20" t="n">
        <v>-42</v>
      </c>
      <c r="L115" s="20" t="n">
        <v>24</v>
      </c>
      <c r="M115" s="20" t="n">
        <v>29</v>
      </c>
      <c r="N115" s="20" t="n">
        <v>15</v>
      </c>
      <c r="T115" s="20" t="n">
        <v>-7</v>
      </c>
      <c r="U115" s="20" t="n">
        <v>4</v>
      </c>
      <c r="V115" s="20" t="n">
        <v>13</v>
      </c>
      <c r="W115" s="20" t="n">
        <v>26</v>
      </c>
      <c r="X115" s="20" t="n">
        <v>29</v>
      </c>
    </row>
    <row r="116">
      <c r="A116" s="18" t="inlineStr">
        <is>
          <t>영업외비용 합계</t>
        </is>
      </c>
      <c r="C116" s="20" t="n">
        <v>60</v>
      </c>
      <c r="D116" s="20" t="n">
        <v>242</v>
      </c>
      <c r="E116" s="20" t="n">
        <v>185</v>
      </c>
      <c r="F116" s="20" t="n">
        <v>47</v>
      </c>
      <c r="G116" s="20" t="n">
        <v>82</v>
      </c>
      <c r="H116" s="20" t="n">
        <v>66</v>
      </c>
      <c r="I116" s="20" t="n">
        <v>88</v>
      </c>
      <c r="J116" s="20" t="n">
        <v>127</v>
      </c>
      <c r="K116" s="20" t="n">
        <v>81</v>
      </c>
      <c r="L116" s="20" t="n">
        <v>88</v>
      </c>
      <c r="M116" s="20" t="n">
        <v>100</v>
      </c>
      <c r="N116" s="20" t="n">
        <v>82</v>
      </c>
      <c r="T116" s="20" t="n">
        <v>42</v>
      </c>
      <c r="U116" s="20" t="n">
        <v>98</v>
      </c>
      <c r="V116" s="20" t="n">
        <v>185</v>
      </c>
      <c r="W116" s="20" t="n">
        <v>88</v>
      </c>
      <c r="X116" s="20" t="n">
        <v>100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T117" s="15">
        <f>IF(OR(T116="",S116=""),"",IF(T116*S116&lt;=0,"",IFERROR(T116/S116-1,"")))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경상이익</t>
        </is>
      </c>
      <c r="C118" s="12" t="n">
        <v>1715</v>
      </c>
      <c r="D118" s="12" t="n">
        <v>1977</v>
      </c>
      <c r="E118" s="12" t="n">
        <v>2589</v>
      </c>
      <c r="F118" s="12" t="n">
        <v>1623</v>
      </c>
      <c r="G118" s="12" t="n">
        <v>2182</v>
      </c>
      <c r="H118" s="12" t="n">
        <v>923</v>
      </c>
      <c r="I118" s="12" t="n">
        <v>2061</v>
      </c>
      <c r="J118" s="12" t="n">
        <v>1862</v>
      </c>
      <c r="K118" s="12" t="n">
        <v>1852</v>
      </c>
      <c r="L118" s="12" t="n">
        <v>2435</v>
      </c>
      <c r="M118" s="12" t="n">
        <v>2463</v>
      </c>
      <c r="N118" s="12" t="n">
        <v>2360</v>
      </c>
      <c r="T118" s="12" t="n">
        <v>304</v>
      </c>
      <c r="U118" s="12" t="n">
        <v>672</v>
      </c>
      <c r="V118" s="12" t="n">
        <v>2589</v>
      </c>
      <c r="W118" s="12" t="n">
        <v>2061</v>
      </c>
      <c r="X118" s="12" t="n">
        <v>2463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고정자산 매각이익</t>
        </is>
      </c>
      <c r="C120" s="20" t="n">
        <v>3</v>
      </c>
      <c r="D120" s="20" t="n">
        <v>6</v>
      </c>
      <c r="E120" s="20" t="n">
        <v>3</v>
      </c>
      <c r="F120" s="20" t="n">
        <v>3</v>
      </c>
      <c r="G120" s="20" t="n">
        <v>4</v>
      </c>
      <c r="H120" s="20" t="n">
        <v>2</v>
      </c>
      <c r="I120" s="20" t="n">
        <v>2</v>
      </c>
      <c r="J120" s="20" t="n">
        <v>91</v>
      </c>
      <c r="K120" s="20" t="n">
        <v>9</v>
      </c>
      <c r="L120" s="20" t="n">
        <v>2</v>
      </c>
      <c r="M120" s="20" t="n">
        <v>1</v>
      </c>
      <c r="N120" s="20" t="n">
        <v>3</v>
      </c>
      <c r="T120" s="20" t="n">
        <v>2</v>
      </c>
      <c r="U120" s="20" t="n">
        <v>2</v>
      </c>
      <c r="V120" s="20" t="n">
        <v>3</v>
      </c>
      <c r="W120" s="20" t="n">
        <v>2</v>
      </c>
      <c r="X120" s="20" t="n">
        <v>1</v>
      </c>
    </row>
    <row r="121">
      <c r="A121" s="18" t="inlineStr">
        <is>
          <t>사업 양도 이익</t>
        </is>
      </c>
      <c r="E121" s="20" t="n">
        <v>0</v>
      </c>
      <c r="I121" s="20" t="n">
        <v>0</v>
      </c>
      <c r="M121" s="20" t="n">
        <v>0</v>
      </c>
      <c r="V121" s="20" t="n">
        <v>0</v>
      </c>
      <c r="W121" s="20" t="n">
        <v>0</v>
      </c>
      <c r="X121" s="20" t="n">
        <v>0</v>
      </c>
    </row>
    <row r="122">
      <c r="A122" s="18" t="inlineStr">
        <is>
          <t>보험금 수익</t>
        </is>
      </c>
      <c r="T122" s="20" t="n">
        <v>0</v>
      </c>
      <c r="U122" s="20" t="n">
        <v>0</v>
      </c>
    </row>
    <row r="123">
      <c r="A123" s="18" t="inlineStr">
        <is>
          <t>부의 영업권 발생이익</t>
        </is>
      </c>
      <c r="C123" s="20" t="n">
        <v>0</v>
      </c>
      <c r="D123" s="20" t="n">
        <v>0</v>
      </c>
      <c r="E123" s="20" t="n">
        <v>0</v>
      </c>
      <c r="F123" s="20" t="n">
        <v>338</v>
      </c>
      <c r="G123" s="20" t="n">
        <v>0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0</v>
      </c>
      <c r="M123" s="20" t="n">
        <v>0</v>
      </c>
      <c r="V123" s="20" t="n">
        <v>0</v>
      </c>
      <c r="W123" s="20" t="n">
        <v>0</v>
      </c>
      <c r="X123" s="20" t="n">
        <v>0</v>
      </c>
    </row>
    <row r="124">
      <c r="A124" s="18" t="inlineStr">
        <is>
          <t>투자유가증권 매각이익</t>
        </is>
      </c>
      <c r="E124" s="20" t="n">
        <v>132</v>
      </c>
      <c r="I124" s="20" t="n">
        <v>0</v>
      </c>
      <c r="J124" s="20" t="n">
        <v>0</v>
      </c>
      <c r="N124" s="20" t="n">
        <v>216</v>
      </c>
      <c r="T124" s="20" t="n">
        <v>0</v>
      </c>
      <c r="U124" s="20" t="n">
        <v>101</v>
      </c>
      <c r="V124" s="20" t="n">
        <v>132</v>
      </c>
      <c r="W124" s="20" t="n">
        <v>0</v>
      </c>
    </row>
    <row r="125">
      <c r="A125" s="18" t="inlineStr">
        <is>
          <t>보조금 수입</t>
        </is>
      </c>
      <c r="E125" s="20" t="n">
        <v>0</v>
      </c>
      <c r="T125" s="20" t="n">
        <v>0</v>
      </c>
      <c r="U125" s="20" t="n">
        <v>60</v>
      </c>
      <c r="V125" s="20" t="n">
        <v>0</v>
      </c>
    </row>
    <row r="126">
      <c r="A126" s="18" t="inlineStr">
        <is>
          <t>특별이익 합계</t>
        </is>
      </c>
      <c r="C126" s="20" t="n">
        <v>3</v>
      </c>
      <c r="D126" s="20" t="n">
        <v>81</v>
      </c>
      <c r="E126" s="20" t="n">
        <v>134</v>
      </c>
      <c r="F126" s="20" t="n">
        <v>341</v>
      </c>
      <c r="G126" s="20" t="n">
        <v>4</v>
      </c>
      <c r="H126" s="20" t="n">
        <v>12</v>
      </c>
      <c r="I126" s="20" t="n">
        <v>21</v>
      </c>
      <c r="J126" s="20" t="n">
        <v>91</v>
      </c>
      <c r="K126" s="20" t="n">
        <v>9</v>
      </c>
      <c r="L126" s="20" t="n">
        <v>2</v>
      </c>
      <c r="M126" s="20" t="n">
        <v>1</v>
      </c>
      <c r="N126" s="20" t="n">
        <v>219</v>
      </c>
      <c r="T126" s="20" t="n">
        <v>2</v>
      </c>
      <c r="U126" s="20" t="n">
        <v>163</v>
      </c>
      <c r="V126" s="20" t="n">
        <v>134</v>
      </c>
      <c r="W126" s="20" t="n">
        <v>21</v>
      </c>
      <c r="X126" s="20" t="n">
        <v>1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IF(OR(G126="",C126=""),"",IF(G126*C126&lt;=0,"",IFERROR(G126/C126-1,"")))</f>
        <v/>
      </c>
      <c r="H127" s="15">
        <f>IF(OR(H126="",D126=""),"",IF(H126*D126&lt;=0,"",IFERROR(H126/D126-1,"")))</f>
        <v/>
      </c>
      <c r="I127" s="15">
        <f>IF(OR(I126="",E126=""),"",IF(I126*E126&lt;=0,"",IFERROR(I126/E126-1,"")))</f>
        <v/>
      </c>
      <c r="J127" s="15">
        <f>IF(OR(J126="",F126=""),"",IF(J126*F126&lt;=0,"",IFERROR(J126/F126-1,"")))</f>
        <v/>
      </c>
      <c r="K127" s="15">
        <f>IF(OR(K126="",G126=""),"",IF(K126*G126&lt;=0,"",IFERROR(K126/G126-1,"")))</f>
        <v/>
      </c>
      <c r="L127" s="15">
        <f>IF(OR(L126="",H126=""),"",IF(L126*H126&lt;=0,"",IFERROR(L126/H126-1,"")))</f>
        <v/>
      </c>
      <c r="M127" s="15">
        <f>IF(OR(M126="",I126=""),"",IF(M126*I126&lt;=0,"",IFERROR(M126/I126-1,"")))</f>
        <v/>
      </c>
      <c r="N127" s="15">
        <f>IF(OR(N126="",J126=""),"",IF(N126*J126&lt;=0,"",IFERROR(N126/J126-1,"")))</f>
        <v/>
      </c>
      <c r="T127" s="15">
        <f>IF(OR(T126="",S126=""),"",IF(T126*S126&lt;=0,"",IFERROR(T126/S126-1,"")))</f>
        <v/>
      </c>
      <c r="U127" s="15">
        <f>IF(OR(U126="",T126=""),"",IF(U126*T126&lt;=0,"",IFERROR(U126/T126-1,"")))</f>
        <v/>
      </c>
      <c r="V127" s="15">
        <f>IF(OR(V126="",U126=""),"",IF(V126*U126&lt;=0,"",IFERROR(V126/U126-1,"")))</f>
        <v/>
      </c>
      <c r="W127" s="15">
        <f>IF(OR(W126="",V126=""),"",IF(W126*V126&lt;=0,"",IFERROR(W126/V126-1,"")))</f>
        <v/>
      </c>
      <c r="X127" s="15">
        <f>IF(OR(X126="",W126=""),"",IF(X126*W126&lt;=0,"",IFERROR(X126/W126-1,"")))</f>
        <v/>
      </c>
    </row>
    <row r="128">
      <c r="A128" s="18" t="inlineStr">
        <is>
          <t>고정자산 매각손실</t>
        </is>
      </c>
      <c r="C128" s="20" t="n">
        <v>4</v>
      </c>
      <c r="D128" s="20" t="n">
        <v>2</v>
      </c>
      <c r="E128" s="20" t="n">
        <v>11</v>
      </c>
      <c r="F128" s="20" t="n">
        <v>1</v>
      </c>
      <c r="G128" s="20" t="n">
        <v>2</v>
      </c>
      <c r="H128" s="20" t="n">
        <v>3</v>
      </c>
      <c r="I128" s="20" t="n">
        <v>25</v>
      </c>
      <c r="J128" s="20" t="n">
        <v>41</v>
      </c>
      <c r="K128" s="20" t="n">
        <v>2</v>
      </c>
      <c r="L128" s="20" t="n">
        <v>2</v>
      </c>
      <c r="M128" s="20" t="n">
        <v>4</v>
      </c>
      <c r="N128" s="20" t="n">
        <v>1</v>
      </c>
      <c r="T128" s="20" t="n">
        <v>4</v>
      </c>
      <c r="U128" s="20" t="n">
        <v>6</v>
      </c>
      <c r="V128" s="20" t="n">
        <v>11</v>
      </c>
      <c r="W128" s="20" t="n">
        <v>25</v>
      </c>
      <c r="X128" s="20" t="n">
        <v>4</v>
      </c>
    </row>
    <row r="129">
      <c r="A129" s="18" t="inlineStr">
        <is>
          <t>고정자산 제각손실</t>
        </is>
      </c>
      <c r="C129" s="20" t="n">
        <v>16</v>
      </c>
      <c r="D129" s="20" t="n">
        <v>6</v>
      </c>
      <c r="E129" s="20" t="n">
        <v>19</v>
      </c>
      <c r="F129" s="20" t="n">
        <v>12</v>
      </c>
      <c r="G129" s="20" t="n">
        <v>12</v>
      </c>
      <c r="H129" s="20" t="n">
        <v>9</v>
      </c>
      <c r="I129" s="20" t="n">
        <v>32</v>
      </c>
      <c r="J129" s="20" t="n">
        <v>3</v>
      </c>
      <c r="K129" s="20" t="n">
        <v>5</v>
      </c>
      <c r="L129" s="20" t="n">
        <v>5</v>
      </c>
      <c r="M129" s="20" t="n">
        <v>45</v>
      </c>
      <c r="N129" s="20" t="n">
        <v>2</v>
      </c>
      <c r="T129" s="20" t="n">
        <v>20</v>
      </c>
      <c r="U129" s="20" t="n">
        <v>13</v>
      </c>
      <c r="V129" s="20" t="n">
        <v>19</v>
      </c>
      <c r="W129" s="20" t="n">
        <v>32</v>
      </c>
      <c r="X129" s="20" t="n">
        <v>45</v>
      </c>
    </row>
    <row r="130">
      <c r="A130" s="18" t="inlineStr">
        <is>
          <t>고정자산 압축손실</t>
        </is>
      </c>
      <c r="T130" s="20" t="n">
        <v>0</v>
      </c>
      <c r="U130" s="20" t="n">
        <v>0</v>
      </c>
    </row>
    <row r="131">
      <c r="A131" s="18" t="inlineStr">
        <is>
          <t>손상차손</t>
        </is>
      </c>
      <c r="C131" s="20" t="n">
        <v>6</v>
      </c>
      <c r="D131" s="20" t="n">
        <v>88</v>
      </c>
      <c r="E131" s="20" t="n">
        <v>110</v>
      </c>
      <c r="H131" s="20" t="n">
        <v>0</v>
      </c>
      <c r="I131" s="20" t="n">
        <v>41</v>
      </c>
      <c r="L131" s="20" t="n">
        <v>0</v>
      </c>
      <c r="M131" s="20" t="n">
        <v>0</v>
      </c>
      <c r="T131" s="20" t="n">
        <v>0</v>
      </c>
      <c r="U131" s="20" t="n">
        <v>0</v>
      </c>
      <c r="V131" s="20" t="n">
        <v>110</v>
      </c>
      <c r="W131" s="20" t="n">
        <v>41</v>
      </c>
      <c r="X131" s="20" t="n">
        <v>0</v>
      </c>
    </row>
    <row r="132">
      <c r="A132" s="18" t="inlineStr">
        <is>
          <t>리스해약 손실</t>
        </is>
      </c>
      <c r="D132" s="20" t="n">
        <v>0</v>
      </c>
      <c r="E132" s="20" t="n">
        <v>0</v>
      </c>
      <c r="H132" s="20" t="n">
        <v>0</v>
      </c>
      <c r="I132" s="20" t="n">
        <v>0</v>
      </c>
      <c r="U132" s="20" t="n">
        <v>0</v>
      </c>
      <c r="V132" s="20" t="n">
        <v>0</v>
      </c>
      <c r="W132" s="20" t="n">
        <v>0</v>
      </c>
    </row>
    <row r="133">
      <c r="A133" s="18" t="inlineStr">
        <is>
          <t>자회사 정리손실</t>
        </is>
      </c>
      <c r="C133" s="20" t="n">
        <v>0</v>
      </c>
      <c r="D133" s="20" t="n">
        <v>0</v>
      </c>
      <c r="E133" s="20" t="n">
        <v>0</v>
      </c>
      <c r="T133" s="20" t="n">
        <v>0</v>
      </c>
      <c r="U133" s="20" t="n">
        <v>0</v>
      </c>
      <c r="V133" s="20" t="n">
        <v>0</v>
      </c>
    </row>
    <row r="134">
      <c r="A134" s="18" t="inlineStr">
        <is>
          <t>투자유가증권 평가손실</t>
        </is>
      </c>
      <c r="C134" s="20" t="n">
        <v>0</v>
      </c>
      <c r="D134" s="20" t="n">
        <v>0</v>
      </c>
      <c r="E134" s="20" t="n">
        <v>0</v>
      </c>
      <c r="F134" s="20" t="n">
        <v>0</v>
      </c>
      <c r="G134" s="20" t="n">
        <v>0</v>
      </c>
      <c r="H134" s="20" t="n">
        <v>0</v>
      </c>
      <c r="I134" s="20" t="n">
        <v>0</v>
      </c>
      <c r="U134" s="20" t="n">
        <v>0</v>
      </c>
      <c r="V134" s="20" t="n">
        <v>0</v>
      </c>
      <c r="W134" s="20" t="n">
        <v>0</v>
      </c>
    </row>
    <row r="135">
      <c r="A135" s="18" t="inlineStr">
        <is>
          <t>관계회사 주식 매각손실</t>
        </is>
      </c>
      <c r="D135" s="20" t="n">
        <v>0</v>
      </c>
      <c r="E135" s="20" t="n">
        <v>0</v>
      </c>
      <c r="H135" s="20" t="n">
        <v>0</v>
      </c>
      <c r="I135" s="20" t="n">
        <v>0</v>
      </c>
      <c r="L135" s="20" t="n">
        <v>0</v>
      </c>
      <c r="M135" s="20" t="n">
        <v>0</v>
      </c>
      <c r="V135" s="20" t="n">
        <v>0</v>
      </c>
      <c r="W135" s="20" t="n">
        <v>0</v>
      </c>
      <c r="X135" s="20" t="n">
        <v>0</v>
      </c>
    </row>
    <row r="136">
      <c r="A136" s="18" t="inlineStr">
        <is>
          <t>Loss On Closing Of Factory EL</t>
        </is>
      </c>
      <c r="C136" s="20" t="n">
        <v>1</v>
      </c>
      <c r="D136" s="20" t="n">
        <v>1</v>
      </c>
      <c r="E136" s="20" t="n">
        <v>4</v>
      </c>
      <c r="F136" s="20" t="n">
        <v>0</v>
      </c>
      <c r="G136" s="20" t="n">
        <v>0</v>
      </c>
      <c r="H136" s="20" t="n">
        <v>0</v>
      </c>
      <c r="I136" s="20" t="n">
        <v>0</v>
      </c>
      <c r="U136" s="20" t="n">
        <v>211</v>
      </c>
      <c r="V136" s="20" t="n">
        <v>4</v>
      </c>
      <c r="W136" s="20" t="n">
        <v>0</v>
      </c>
    </row>
    <row r="137">
      <c r="A137" s="18" t="inlineStr">
        <is>
          <t>단계적 취득 차손</t>
        </is>
      </c>
      <c r="C137" s="20" t="n">
        <v>0</v>
      </c>
      <c r="D137" s="20" t="n">
        <v>0</v>
      </c>
      <c r="E137" s="20" t="n">
        <v>0</v>
      </c>
      <c r="F137" s="20" t="n">
        <v>158</v>
      </c>
      <c r="G137" s="20" t="n">
        <v>0</v>
      </c>
      <c r="H137" s="20" t="n">
        <v>0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V137" s="20" t="n">
        <v>0</v>
      </c>
      <c r="W137" s="20" t="n">
        <v>0</v>
      </c>
      <c r="X137" s="20" t="n">
        <v>0</v>
      </c>
    </row>
    <row r="138">
      <c r="A138" s="18" t="inlineStr">
        <is>
          <t>본사 이전 비용</t>
        </is>
      </c>
      <c r="C138" s="20" t="n">
        <v>0</v>
      </c>
      <c r="D138" s="20" t="n">
        <v>0</v>
      </c>
      <c r="E138" s="20" t="n">
        <v>0</v>
      </c>
      <c r="F138" s="20" t="n">
        <v>8</v>
      </c>
      <c r="G138" s="20" t="n">
        <v>21</v>
      </c>
      <c r="H138" s="20" t="n">
        <v>3</v>
      </c>
      <c r="I138" s="20" t="n">
        <v>0</v>
      </c>
      <c r="J138" s="20" t="n">
        <v>0</v>
      </c>
      <c r="K138" s="20" t="n">
        <v>0</v>
      </c>
      <c r="L138" s="20" t="n">
        <v>0</v>
      </c>
      <c r="M138" s="20" t="n">
        <v>0</v>
      </c>
      <c r="V138" s="20" t="n">
        <v>0</v>
      </c>
      <c r="W138" s="20" t="n">
        <v>0</v>
      </c>
      <c r="X138" s="20" t="n">
        <v>0</v>
      </c>
    </row>
    <row r="139">
      <c r="A139" s="18" t="inlineStr">
        <is>
          <t>특별손실 합계</t>
        </is>
      </c>
      <c r="C139" s="20" t="n">
        <v>27</v>
      </c>
      <c r="D139" s="20" t="n">
        <v>98</v>
      </c>
      <c r="E139" s="20" t="n">
        <v>154</v>
      </c>
      <c r="F139" s="20" t="n">
        <v>180</v>
      </c>
      <c r="G139" s="20" t="n">
        <v>91</v>
      </c>
      <c r="H139" s="20" t="n">
        <v>16</v>
      </c>
      <c r="I139" s="20" t="n">
        <v>106</v>
      </c>
      <c r="J139" s="20" t="n">
        <v>44</v>
      </c>
      <c r="K139" s="20" t="n">
        <v>12</v>
      </c>
      <c r="L139" s="20" t="n">
        <v>7</v>
      </c>
      <c r="M139" s="20" t="n">
        <v>49</v>
      </c>
      <c r="N139" s="20" t="n">
        <v>4</v>
      </c>
      <c r="T139" s="20" t="n">
        <v>26</v>
      </c>
      <c r="U139" s="20" t="n">
        <v>230</v>
      </c>
      <c r="V139" s="20" t="n">
        <v>154</v>
      </c>
      <c r="W139" s="20" t="n">
        <v>106</v>
      </c>
      <c r="X139" s="20" t="n">
        <v>49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IF(OR(G139="",C139=""),"",IF(G139*C139&lt;=0,"",IFERROR(G139/C139-1,"")))</f>
        <v/>
      </c>
      <c r="H140" s="15">
        <f>IF(OR(H139="",D139=""),"",IF(H139*D139&lt;=0,"",IFERROR(H139/D139-1,"")))</f>
        <v/>
      </c>
      <c r="I140" s="15">
        <f>IF(OR(I139="",E139=""),"",IF(I139*E139&lt;=0,"",IFERROR(I139/E139-1,"")))</f>
        <v/>
      </c>
      <c r="J140" s="15">
        <f>IF(OR(J139="",F139=""),"",IF(J139*F139&lt;=0,"",IFERROR(J139/F139-1,"")))</f>
        <v/>
      </c>
      <c r="K140" s="15">
        <f>IF(OR(K139="",G139=""),"",IF(K139*G139&lt;=0,"",IFERROR(K139/G139-1,"")))</f>
        <v/>
      </c>
      <c r="L140" s="15">
        <f>IF(OR(L139="",H139=""),"",IF(L139*H139&lt;=0,"",IFERROR(L139/H139-1,"")))</f>
        <v/>
      </c>
      <c r="M140" s="15">
        <f>IF(OR(M139="",I139=""),"",IF(M139*I139&lt;=0,"",IFERROR(M139/I139-1,"")))</f>
        <v/>
      </c>
      <c r="N140" s="15">
        <f>IF(OR(N139="",J139=""),"",IF(N139*J139&lt;=0,"",IFERROR(N139/J139-1,"")))</f>
        <v/>
      </c>
      <c r="T140" s="15">
        <f>IF(OR(T139="",S139=""),"",IF(T139*S139&lt;=0,"",IFERROR(T139/S139-1,"")))</f>
        <v/>
      </c>
      <c r="U140" s="15">
        <f>IF(OR(U139="",T139=""),"",IF(U139*T139&lt;=0,"",IFERROR(U139/T139-1,"")))</f>
        <v/>
      </c>
      <c r="V140" s="15">
        <f>IF(OR(V139="",U139=""),"",IF(V139*U139&lt;=0,"",IFERROR(V139/U139-1,"")))</f>
        <v/>
      </c>
      <c r="W140" s="15">
        <f>IF(OR(W139="",V139=""),"",IF(W139*V139&lt;=0,"",IFERROR(W139/V139-1,"")))</f>
        <v/>
      </c>
      <c r="X140" s="15">
        <f>IF(OR(X139="",W139=""),"",IF(X139*W139&lt;=0,"",IFERROR(X139/W139-1,"")))</f>
        <v/>
      </c>
    </row>
    <row r="141">
      <c r="A141" s="9" t="inlineStr">
        <is>
          <t>법인세차감전 순이익</t>
        </is>
      </c>
      <c r="C141" s="12" t="n">
        <v>1692</v>
      </c>
      <c r="D141" s="12" t="n">
        <v>1959</v>
      </c>
      <c r="E141" s="12" t="n">
        <v>2569</v>
      </c>
      <c r="F141" s="12" t="n">
        <v>1783</v>
      </c>
      <c r="G141" s="12" t="n">
        <v>2096</v>
      </c>
      <c r="H141" s="12" t="n">
        <v>919</v>
      </c>
      <c r="I141" s="12" t="n">
        <v>1976</v>
      </c>
      <c r="J141" s="12" t="n">
        <v>1909</v>
      </c>
      <c r="K141" s="12" t="n">
        <v>1848</v>
      </c>
      <c r="L141" s="12" t="n">
        <v>2432</v>
      </c>
      <c r="M141" s="12" t="n">
        <v>2414</v>
      </c>
      <c r="N141" s="12" t="n">
        <v>2575</v>
      </c>
      <c r="T141" s="12" t="n">
        <v>280</v>
      </c>
      <c r="U141" s="12" t="n">
        <v>604</v>
      </c>
      <c r="V141" s="12" t="n">
        <v>2569</v>
      </c>
      <c r="W141" s="12" t="n">
        <v>1976</v>
      </c>
      <c r="X141" s="12" t="n">
        <v>2414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법인세·주민세·사업세</t>
        </is>
      </c>
      <c r="C143" s="20" t="n">
        <v>429</v>
      </c>
      <c r="D143" s="20" t="n">
        <v>622</v>
      </c>
      <c r="E143" s="20" t="n">
        <v>898</v>
      </c>
      <c r="F143" s="20" t="n">
        <v>483</v>
      </c>
      <c r="G143" s="20" t="n">
        <v>532</v>
      </c>
      <c r="H143" s="20" t="n">
        <v>-333</v>
      </c>
      <c r="I143" s="20" t="n">
        <v>565</v>
      </c>
      <c r="J143" s="20" t="n">
        <v>483</v>
      </c>
      <c r="K143" s="20" t="n">
        <v>377</v>
      </c>
      <c r="L143" s="20" t="n">
        <v>607</v>
      </c>
      <c r="M143" s="20" t="n">
        <v>999</v>
      </c>
      <c r="N143" s="20" t="n">
        <v>852</v>
      </c>
      <c r="T143" s="20" t="n">
        <v>133</v>
      </c>
      <c r="U143" s="20" t="n">
        <v>278</v>
      </c>
      <c r="V143" s="20" t="n">
        <v>898</v>
      </c>
      <c r="W143" s="20" t="n">
        <v>565</v>
      </c>
      <c r="X143" s="20" t="n">
        <v>999</v>
      </c>
    </row>
    <row r="144">
      <c r="A144" s="18" t="inlineStr">
        <is>
          <t>법인세 조정액</t>
        </is>
      </c>
      <c r="C144" s="20" t="n">
        <v>162</v>
      </c>
      <c r="D144" s="20" t="n">
        <v>76</v>
      </c>
      <c r="E144" s="20" t="n">
        <v>-153</v>
      </c>
      <c r="F144" s="20" t="n">
        <v>-36</v>
      </c>
      <c r="G144" s="20" t="n">
        <v>-272</v>
      </c>
      <c r="H144" s="20" t="n">
        <v>618</v>
      </c>
      <c r="I144" s="20" t="n">
        <v>-272</v>
      </c>
      <c r="J144" s="20" t="n">
        <v>-219</v>
      </c>
      <c r="K144" s="20" t="n">
        <v>194</v>
      </c>
      <c r="L144" s="20" t="n">
        <v>115</v>
      </c>
      <c r="M144" s="20" t="n">
        <v>-365</v>
      </c>
      <c r="N144" s="20" t="n">
        <v>-56</v>
      </c>
      <c r="T144" s="20" t="n">
        <v>-197</v>
      </c>
      <c r="U144" s="20" t="n">
        <v>-61</v>
      </c>
      <c r="V144" s="20" t="n">
        <v>-153</v>
      </c>
      <c r="W144" s="20" t="n">
        <v>-272</v>
      </c>
      <c r="X144" s="20" t="n">
        <v>-365</v>
      </c>
    </row>
    <row r="145">
      <c r="A145" s="18" t="inlineStr">
        <is>
          <t>법인세 등 합계</t>
        </is>
      </c>
      <c r="C145" s="20" t="n">
        <v>593</v>
      </c>
      <c r="D145" s="20" t="n">
        <v>697</v>
      </c>
      <c r="E145" s="20" t="n">
        <v>746</v>
      </c>
      <c r="F145" s="20" t="n">
        <v>446</v>
      </c>
      <c r="G145" s="20" t="n">
        <v>260</v>
      </c>
      <c r="H145" s="20" t="n">
        <v>287</v>
      </c>
      <c r="I145" s="20" t="n">
        <v>292</v>
      </c>
      <c r="J145" s="20" t="n">
        <v>263</v>
      </c>
      <c r="K145" s="20" t="n">
        <v>571</v>
      </c>
      <c r="L145" s="20" t="n">
        <v>724</v>
      </c>
      <c r="M145" s="20" t="n">
        <v>632</v>
      </c>
      <c r="N145" s="20" t="n">
        <v>795</v>
      </c>
      <c r="T145" s="20" t="n">
        <v>-63</v>
      </c>
      <c r="U145" s="20" t="n">
        <v>217</v>
      </c>
      <c r="V145" s="20" t="n">
        <v>746</v>
      </c>
      <c r="W145" s="20" t="n">
        <v>292</v>
      </c>
      <c r="X145" s="20" t="n">
        <v>632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IF(OR(G145="",C145=""),"",IF(G145*C145&lt;=0,"",IFERROR(G145/C145-1,"")))</f>
        <v/>
      </c>
      <c r="H146" s="15">
        <f>IF(OR(H145="",D145=""),"",IF(H145*D145&lt;=0,"",IFERROR(H145/D145-1,"")))</f>
        <v/>
      </c>
      <c r="I146" s="15">
        <f>IF(OR(I145="",E145=""),"",IF(I145*E145&lt;=0,"",IFERROR(I145/E145-1,"")))</f>
        <v/>
      </c>
      <c r="J146" s="15">
        <f>IF(OR(J145="",F145=""),"",IF(J145*F145&lt;=0,"",IFERROR(J145/F145-1,"")))</f>
        <v/>
      </c>
      <c r="K146" s="15">
        <f>IF(OR(K145="",G145=""),"",IF(K145*G145&lt;=0,"",IFERROR(K145/G145-1,"")))</f>
        <v/>
      </c>
      <c r="L146" s="15">
        <f>IF(OR(L145="",H145=""),"",IF(L145*H145&lt;=0,"",IFERROR(L145/H145-1,"")))</f>
        <v/>
      </c>
      <c r="M146" s="15">
        <f>IF(OR(M145="",I145=""),"",IF(M145*I145&lt;=0,"",IFERROR(M145/I145-1,"")))</f>
        <v/>
      </c>
      <c r="N146" s="15">
        <f>IF(OR(N145="",J145=""),"",IF(N145*J145&lt;=0,"",IFERROR(N145/J145-1,"")))</f>
        <v/>
      </c>
      <c r="T146" s="15">
        <f>IF(OR(T145="",S145=""),"",IF(T145*S145&lt;=0,"",IFERROR(T145/S145-1,"")))</f>
        <v/>
      </c>
      <c r="U146" s="15">
        <f>IF(OR(U145="",T145=""),"",IF(U145*T145&lt;=0,"",IFERROR(U145/T145-1,"")))</f>
        <v/>
      </c>
      <c r="V146" s="15">
        <f>IF(OR(V145="",U145=""),"",IF(V145*U145&lt;=0,"",IFERROR(V145/U145-1,"")))</f>
        <v/>
      </c>
      <c r="W146" s="15">
        <f>IF(OR(W145="",V145=""),"",IF(W145*V145&lt;=0,"",IFERROR(W145/V145-1,"")))</f>
        <v/>
      </c>
      <c r="X146" s="15">
        <f>IF(OR(X145="",W145=""),"",IF(X145*W145&lt;=0,"",IFERROR(X145/W145-1,"")))</f>
        <v/>
      </c>
    </row>
    <row r="147">
      <c r="A147" s="9" t="inlineStr">
        <is>
          <t>순이익</t>
        </is>
      </c>
      <c r="C147" s="12" t="n">
        <v>1099</v>
      </c>
      <c r="D147" s="12" t="n">
        <v>1262</v>
      </c>
      <c r="E147" s="12" t="n">
        <v>1823</v>
      </c>
      <c r="F147" s="12" t="n">
        <v>1337</v>
      </c>
      <c r="G147" s="12" t="n">
        <v>1835</v>
      </c>
      <c r="H147" s="12" t="n">
        <v>633</v>
      </c>
      <c r="I147" s="12" t="n">
        <v>1683</v>
      </c>
      <c r="J147" s="12" t="n">
        <v>1645</v>
      </c>
      <c r="K147" s="12" t="n">
        <v>1278</v>
      </c>
      <c r="L147" s="12" t="n">
        <v>1707</v>
      </c>
      <c r="M147" s="12" t="n">
        <v>1782</v>
      </c>
      <c r="N147" s="12" t="n">
        <v>1779</v>
      </c>
      <c r="T147" s="12" t="n">
        <v>344</v>
      </c>
      <c r="U147" s="12" t="n">
        <v>386</v>
      </c>
      <c r="V147" s="12" t="n">
        <v>1823</v>
      </c>
      <c r="W147" s="12" t="n">
        <v>1683</v>
      </c>
      <c r="X147" s="12" t="n">
        <v>1782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T148" s="15">
        <f>IF(OR(T147="",S147=""),"",IF(S147&lt;=0,"",IFERROR(T147/S147-1,"")))</f>
        <v/>
      </c>
      <c r="U148" s="15">
        <f>IF(OR(U147="",T147=""),"",IF(T147&lt;=0,"",IFERROR(U147/T147-1,"")))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9" t="inlineStr">
        <is>
          <t>비지배주주 순이익</t>
        </is>
      </c>
      <c r="C149" s="12" t="n">
        <v>30</v>
      </c>
      <c r="D149" s="12" t="n">
        <v>-6</v>
      </c>
      <c r="E149" s="12" t="n">
        <v>-3</v>
      </c>
      <c r="F149" s="12" t="n">
        <v>32</v>
      </c>
      <c r="G149" s="12" t="n">
        <v>48</v>
      </c>
      <c r="H149" s="12" t="n">
        <v>13</v>
      </c>
      <c r="I149" s="12" t="n">
        <v>8</v>
      </c>
      <c r="J149" s="12" t="n">
        <v>7</v>
      </c>
      <c r="K149" s="12" t="n">
        <v>42</v>
      </c>
      <c r="L149" s="12" t="n">
        <v>-5</v>
      </c>
      <c r="M149" s="12" t="n">
        <v>-9</v>
      </c>
      <c r="N149" s="12" t="n">
        <v>18</v>
      </c>
      <c r="T149" s="12" t="n">
        <v>-7</v>
      </c>
      <c r="U149" s="12" t="n">
        <v>-7</v>
      </c>
      <c r="V149" s="12" t="n">
        <v>-3</v>
      </c>
      <c r="W149" s="12" t="n">
        <v>8</v>
      </c>
      <c r="X149" s="12" t="n">
        <v>-9</v>
      </c>
    </row>
    <row r="150">
      <c r="A150" s="9" t="inlineStr">
        <is>
          <t>지배주주 순이익</t>
        </is>
      </c>
      <c r="C150" s="12" t="n">
        <v>1068</v>
      </c>
      <c r="D150" s="12" t="n">
        <v>1268</v>
      </c>
      <c r="E150" s="12" t="n">
        <v>1827</v>
      </c>
      <c r="F150" s="12" t="n">
        <v>1304</v>
      </c>
      <c r="G150" s="12" t="n">
        <v>1788</v>
      </c>
      <c r="H150" s="12" t="n">
        <v>619</v>
      </c>
      <c r="I150" s="12" t="n">
        <v>1676</v>
      </c>
      <c r="J150" s="12" t="n">
        <v>1637</v>
      </c>
      <c r="K150" s="12" t="n">
        <v>1236</v>
      </c>
      <c r="L150" s="12" t="n">
        <v>1712</v>
      </c>
      <c r="M150" s="12" t="n">
        <v>1792</v>
      </c>
      <c r="N150" s="12" t="n">
        <v>1761</v>
      </c>
      <c r="T150" s="12" t="n">
        <v>350</v>
      </c>
      <c r="U150" s="12" t="n">
        <v>394</v>
      </c>
      <c r="V150" s="12" t="n">
        <v>1827</v>
      </c>
      <c r="W150" s="12" t="n">
        <v>1676</v>
      </c>
      <c r="X150" s="12" t="n">
        <v>1792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T151" s="15">
        <f>IF(OR(T150="",S150=""),"",IF(S150&lt;=0,"",IFERROR(T150/S150-1,"")))</f>
        <v/>
      </c>
      <c r="U151" s="15">
        <f>IF(OR(U150="",T150=""),"",IF(T150&lt;=0,"",IFERROR(U150/T150-1,"")))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3">
      <c r="A153" s="16" t="inlineStr">
        <is>
          <t>포괄손익 · 전 항목</t>
        </is>
      </c>
      <c r="B153" s="42" t="inlineStr">
        <is>
          <t>분기 = 3개월 단독</t>
        </is>
      </c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</row>
    <row r="154">
      <c r="A154" s="5" t="inlineStr">
        <is>
          <t>항목</t>
        </is>
      </c>
      <c r="B154" s="5" t="inlineStr">
        <is>
          <t>참고</t>
        </is>
      </c>
      <c r="C154" s="5" t="inlineStr">
        <is>
          <t>2024.2Q</t>
        </is>
      </c>
      <c r="D154" s="5" t="inlineStr">
        <is>
          <t>2024.3Q</t>
        </is>
      </c>
      <c r="E154" s="5" t="inlineStr">
        <is>
          <t>2024.4Q</t>
        </is>
      </c>
      <c r="F154" s="5" t="inlineStr">
        <is>
          <t>2025.1Q</t>
        </is>
      </c>
      <c r="G154" s="5" t="inlineStr">
        <is>
          <t>2025.2Q</t>
        </is>
      </c>
      <c r="H154" s="5" t="inlineStr">
        <is>
          <t>2025.3Q</t>
        </is>
      </c>
      <c r="I154" s="5" t="inlineStr">
        <is>
          <t>2025.4Q</t>
        </is>
      </c>
      <c r="J154" s="5" t="inlineStr">
        <is>
          <t>2026.1Q</t>
        </is>
      </c>
      <c r="K154" s="5" t="inlineStr">
        <is>
          <t>2026.2Q</t>
        </is>
      </c>
      <c r="L154" s="5" t="inlineStr">
        <is>
          <t>2026.3Q</t>
        </is>
      </c>
      <c r="M154" s="5" t="inlineStr">
        <is>
          <t>2026.4Q</t>
        </is>
      </c>
      <c r="N154" s="5" t="inlineStr">
        <is>
          <t>2027.1Q</t>
        </is>
      </c>
      <c r="O154" s="5" t="inlineStr">
        <is>
          <t>2017</t>
        </is>
      </c>
      <c r="P154" s="5" t="inlineStr">
        <is>
          <t>2018</t>
        </is>
      </c>
      <c r="Q154" s="5" t="inlineStr">
        <is>
          <t>2019</t>
        </is>
      </c>
      <c r="R154" s="5" t="inlineStr">
        <is>
          <t>2020</t>
        </is>
      </c>
      <c r="S154" s="5" t="inlineStr">
        <is>
          <t>2021</t>
        </is>
      </c>
      <c r="T154" s="5" t="inlineStr">
        <is>
          <t>2022</t>
        </is>
      </c>
      <c r="U154" s="5" t="inlineStr">
        <is>
          <t>2023</t>
        </is>
      </c>
      <c r="V154" s="5" t="inlineStr">
        <is>
          <t>2024</t>
        </is>
      </c>
      <c r="W154" s="5" t="inlineStr">
        <is>
          <t>2025</t>
        </is>
      </c>
      <c r="X154" s="5" t="inlineStr">
        <is>
          <t>2026</t>
        </is>
      </c>
      <c r="Y154" s="5" t="inlineStr">
        <is>
          <t>2027(MW)</t>
        </is>
      </c>
      <c r="Z154" s="5" t="inlineStr">
        <is>
          <t>2028(MW)</t>
        </is>
      </c>
      <c r="AA154" s="5" t="inlineStr">
        <is>
          <t>2029(MW)</t>
        </is>
      </c>
      <c r="AB154" s="5" t="inlineStr">
        <is>
          <t>2030(MW)</t>
        </is>
      </c>
      <c r="AC154" s="5" t="inlineStr">
        <is>
          <t>2031(MW)</t>
        </is>
      </c>
    </row>
    <row r="155">
      <c r="A155" s="9" t="inlineStr">
        <is>
          <t>순이익</t>
        </is>
      </c>
      <c r="C155" s="12" t="n">
        <v>1099</v>
      </c>
      <c r="D155" s="12" t="n">
        <v>1262</v>
      </c>
      <c r="E155" s="12" t="n">
        <v>1823</v>
      </c>
      <c r="F155" s="12" t="n">
        <v>1337</v>
      </c>
      <c r="G155" s="12" t="n">
        <v>1835</v>
      </c>
      <c r="H155" s="12" t="n">
        <v>633</v>
      </c>
      <c r="I155" s="12" t="n">
        <v>1683</v>
      </c>
      <c r="J155" s="12" t="n">
        <v>1645</v>
      </c>
      <c r="K155" s="12" t="n">
        <v>1278</v>
      </c>
      <c r="L155" s="12" t="n">
        <v>1707</v>
      </c>
      <c r="M155" s="12" t="n">
        <v>1782</v>
      </c>
      <c r="N155" s="12" t="n">
        <v>1779</v>
      </c>
      <c r="T155" s="12" t="n">
        <v>344</v>
      </c>
      <c r="U155" s="12" t="n">
        <v>386</v>
      </c>
      <c r="V155" s="12" t="n">
        <v>1823</v>
      </c>
      <c r="W155" s="12" t="n">
        <v>1683</v>
      </c>
      <c r="X155" s="12" t="n">
        <v>1782</v>
      </c>
    </row>
    <row r="156">
      <c r="A156" s="18" t="inlineStr">
        <is>
          <t>기타유가증권 평가차액</t>
        </is>
      </c>
      <c r="C156" s="20" t="n">
        <v>312</v>
      </c>
      <c r="D156" s="20" t="n">
        <v>-97</v>
      </c>
      <c r="E156" s="20" t="n">
        <v>392</v>
      </c>
      <c r="F156" s="20" t="n">
        <v>295</v>
      </c>
      <c r="G156" s="20" t="n">
        <v>-234</v>
      </c>
      <c r="H156" s="20" t="n">
        <v>252</v>
      </c>
      <c r="I156" s="20" t="n">
        <v>30</v>
      </c>
      <c r="J156" s="20" t="n">
        <v>292</v>
      </c>
      <c r="K156" s="20" t="n">
        <v>657</v>
      </c>
      <c r="L156" s="20" t="n">
        <v>559</v>
      </c>
      <c r="M156" s="20" t="n">
        <v>265</v>
      </c>
      <c r="N156" s="20" t="n">
        <v>-17</v>
      </c>
      <c r="T156" s="20" t="n">
        <v>164</v>
      </c>
      <c r="U156" s="20" t="n">
        <v>4</v>
      </c>
      <c r="V156" s="20" t="n">
        <v>392</v>
      </c>
      <c r="W156" s="20" t="n">
        <v>30</v>
      </c>
      <c r="X156" s="20" t="n">
        <v>265</v>
      </c>
    </row>
    <row r="157">
      <c r="A157" s="18" t="inlineStr">
        <is>
          <t>이연헤지손익</t>
        </is>
      </c>
      <c r="C157" s="20" t="n">
        <v>-247</v>
      </c>
      <c r="D157" s="20" t="n">
        <v>-399</v>
      </c>
      <c r="E157" s="20" t="n">
        <v>372</v>
      </c>
      <c r="F157" s="20" t="n">
        <v>93</v>
      </c>
      <c r="G157" s="20" t="n">
        <v>-351</v>
      </c>
      <c r="H157" s="20" t="n">
        <v>347</v>
      </c>
      <c r="I157" s="20" t="n">
        <v>-261</v>
      </c>
      <c r="J157" s="20" t="n">
        <v>68</v>
      </c>
      <c r="K157" s="20" t="n">
        <v>36</v>
      </c>
      <c r="L157" s="20" t="n">
        <v>-47</v>
      </c>
      <c r="M157" s="20" t="n">
        <v>91</v>
      </c>
      <c r="N157" s="20" t="n">
        <v>36</v>
      </c>
      <c r="T157" s="20" t="n">
        <v>43</v>
      </c>
      <c r="U157" s="20" t="n">
        <v>366</v>
      </c>
      <c r="V157" s="20" t="n">
        <v>372</v>
      </c>
      <c r="W157" s="20" t="n">
        <v>-261</v>
      </c>
      <c r="X157" s="20" t="n">
        <v>91</v>
      </c>
    </row>
    <row r="158">
      <c r="A158" s="18" t="inlineStr">
        <is>
          <t>퇴직급여 조정액</t>
        </is>
      </c>
      <c r="C158" s="20" t="n">
        <v>1</v>
      </c>
      <c r="D158" s="20" t="n">
        <v>1</v>
      </c>
      <c r="E158" s="20" t="n">
        <v>-29</v>
      </c>
      <c r="F158" s="20" t="n">
        <v>2</v>
      </c>
      <c r="G158" s="20" t="n">
        <v>2</v>
      </c>
      <c r="H158" s="20" t="n">
        <v>2</v>
      </c>
      <c r="I158" s="20" t="n">
        <v>-5</v>
      </c>
      <c r="J158" s="20" t="n">
        <v>1</v>
      </c>
      <c r="K158" s="20" t="n">
        <v>2</v>
      </c>
      <c r="L158" s="20" t="n">
        <v>2</v>
      </c>
      <c r="M158" s="20" t="n">
        <v>194</v>
      </c>
      <c r="N158" s="20" t="n">
        <v>-3</v>
      </c>
      <c r="T158" s="20" t="n">
        <v>-20</v>
      </c>
      <c r="U158" s="20" t="n">
        <v>52</v>
      </c>
      <c r="V158" s="20" t="n">
        <v>-29</v>
      </c>
      <c r="W158" s="20" t="n">
        <v>-5</v>
      </c>
      <c r="X158" s="20" t="n">
        <v>194</v>
      </c>
    </row>
    <row r="159">
      <c r="A159" s="18" t="inlineStr">
        <is>
          <t>지분법 적용회사 지분 해당액</t>
        </is>
      </c>
      <c r="C159" s="20" t="n">
        <v>29</v>
      </c>
      <c r="D159" s="20" t="n">
        <v>-67</v>
      </c>
      <c r="E159" s="20" t="n">
        <v>86</v>
      </c>
      <c r="F159" s="20" t="n">
        <v>76</v>
      </c>
      <c r="G159" s="20" t="n">
        <v>-169</v>
      </c>
      <c r="H159" s="20" t="n">
        <v>143</v>
      </c>
      <c r="I159" s="20" t="n">
        <v>-123</v>
      </c>
      <c r="J159" s="20" t="n">
        <v>-62</v>
      </c>
      <c r="K159" s="20" t="n">
        <v>38</v>
      </c>
      <c r="L159" s="20" t="n">
        <v>86</v>
      </c>
      <c r="M159" s="20" t="n">
        <v>45</v>
      </c>
      <c r="N159" s="20" t="n">
        <v>21</v>
      </c>
      <c r="T159" s="20" t="n">
        <v>68</v>
      </c>
      <c r="U159" s="20" t="n">
        <v>10</v>
      </c>
      <c r="V159" s="20" t="n">
        <v>86</v>
      </c>
      <c r="W159" s="20" t="n">
        <v>-123</v>
      </c>
      <c r="X159" s="20" t="n">
        <v>45</v>
      </c>
    </row>
    <row r="160">
      <c r="A160" s="18" t="inlineStr">
        <is>
          <t>기타포괄손익 합계</t>
        </is>
      </c>
      <c r="C160" s="20" t="n">
        <v>94</v>
      </c>
      <c r="D160" s="20" t="n">
        <v>-564</v>
      </c>
      <c r="E160" s="20" t="n">
        <v>821</v>
      </c>
      <c r="F160" s="20" t="n">
        <v>467</v>
      </c>
      <c r="G160" s="20" t="n">
        <v>-753</v>
      </c>
      <c r="H160" s="20" t="n">
        <v>745</v>
      </c>
      <c r="I160" s="20" t="n">
        <v>-361</v>
      </c>
      <c r="J160" s="20" t="n">
        <v>300</v>
      </c>
      <c r="K160" s="20" t="n">
        <v>734</v>
      </c>
      <c r="L160" s="20" t="n">
        <v>599</v>
      </c>
      <c r="M160" s="20" t="n">
        <v>596</v>
      </c>
      <c r="N160" s="20" t="n">
        <v>37</v>
      </c>
      <c r="T160" s="20" t="n">
        <v>255</v>
      </c>
      <c r="U160" s="20" t="n">
        <v>431</v>
      </c>
      <c r="V160" s="20" t="n">
        <v>821</v>
      </c>
      <c r="W160" s="20" t="n">
        <v>-361</v>
      </c>
      <c r="X160" s="20" t="n">
        <v>596</v>
      </c>
    </row>
    <row r="161">
      <c r="A161" s="9" t="inlineStr">
        <is>
          <t>포괄이익</t>
        </is>
      </c>
      <c r="C161" s="12" t="n">
        <v>1193</v>
      </c>
      <c r="D161" s="12" t="n">
        <v>699</v>
      </c>
      <c r="E161" s="12" t="n">
        <v>2644</v>
      </c>
      <c r="F161" s="12" t="n">
        <v>1805</v>
      </c>
      <c r="G161" s="12" t="n">
        <v>1081</v>
      </c>
      <c r="H161" s="12" t="n">
        <v>1378</v>
      </c>
      <c r="I161" s="12" t="n">
        <v>1323</v>
      </c>
      <c r="J161" s="12" t="n">
        <v>1946</v>
      </c>
      <c r="K161" s="12" t="n">
        <v>2011</v>
      </c>
      <c r="L161" s="12" t="n">
        <v>2307</v>
      </c>
      <c r="M161" s="12" t="n">
        <v>2378</v>
      </c>
      <c r="N161" s="12" t="n">
        <v>1816</v>
      </c>
      <c r="T161" s="12" t="n">
        <v>599</v>
      </c>
      <c r="U161" s="12" t="n">
        <v>819</v>
      </c>
      <c r="V161" s="12" t="n">
        <v>2644</v>
      </c>
      <c r="W161" s="12" t="n">
        <v>1323</v>
      </c>
      <c r="X161" s="12" t="n">
        <v>2378</v>
      </c>
    </row>
    <row r="162">
      <c r="A162" s="9" t="inlineStr">
        <is>
          <t>지배주주 포괄이익</t>
        </is>
      </c>
      <c r="C162" s="12" t="n">
        <v>1162</v>
      </c>
      <c r="D162" s="12" t="n">
        <v>705</v>
      </c>
      <c r="E162" s="12" t="n">
        <v>2647</v>
      </c>
      <c r="F162" s="12" t="n">
        <v>1772</v>
      </c>
      <c r="G162" s="12" t="n">
        <v>1033</v>
      </c>
      <c r="H162" s="12" t="n">
        <v>1365</v>
      </c>
      <c r="I162" s="12" t="n">
        <v>1315</v>
      </c>
      <c r="J162" s="12" t="n">
        <v>1938</v>
      </c>
      <c r="K162" s="12" t="n">
        <v>1969</v>
      </c>
      <c r="L162" s="12" t="n">
        <v>2312</v>
      </c>
      <c r="M162" s="12" t="n">
        <v>2387</v>
      </c>
      <c r="N162" s="12" t="n">
        <v>1798</v>
      </c>
      <c r="T162" s="12" t="n">
        <v>605</v>
      </c>
      <c r="U162" s="12" t="n">
        <v>826</v>
      </c>
      <c r="V162" s="12" t="n">
        <v>2647</v>
      </c>
      <c r="W162" s="12" t="n">
        <v>1315</v>
      </c>
      <c r="X162" s="12" t="n">
        <v>2387</v>
      </c>
    </row>
    <row r="163">
      <c r="A163" s="9" t="inlineStr">
        <is>
          <t>비지배주주 포괄이익</t>
        </is>
      </c>
      <c r="C163" s="12" t="n">
        <v>30</v>
      </c>
      <c r="D163" s="12" t="n">
        <v>-6</v>
      </c>
      <c r="E163" s="12" t="n">
        <v>-3</v>
      </c>
      <c r="F163" s="12" t="n">
        <v>32</v>
      </c>
      <c r="G163" s="12" t="n">
        <v>48</v>
      </c>
      <c r="H163" s="12" t="n">
        <v>13</v>
      </c>
      <c r="I163" s="12" t="n">
        <v>8</v>
      </c>
      <c r="J163" s="12" t="n">
        <v>7</v>
      </c>
      <c r="K163" s="12" t="n">
        <v>42</v>
      </c>
      <c r="L163" s="12" t="n">
        <v>-5</v>
      </c>
      <c r="M163" s="12" t="n">
        <v>-9</v>
      </c>
      <c r="N163" s="12" t="n">
        <v>18</v>
      </c>
      <c r="T163" s="12" t="n">
        <v>-7</v>
      </c>
      <c r="U163" s="12" t="n">
        <v>-7</v>
      </c>
      <c r="V163" s="12" t="n">
        <v>-3</v>
      </c>
      <c r="W163" s="12" t="n">
        <v>8</v>
      </c>
      <c r="X163" s="12" t="n">
        <v>-9</v>
      </c>
    </row>
    <row r="165">
      <c r="A165" s="16" t="inlineStr">
        <is>
          <t>부문 · 전 항목</t>
        </is>
      </c>
      <c r="B165" s="42" t="inlineStr">
        <is>
          <t>부문 · 항목</t>
        </is>
      </c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</row>
    <row r="166">
      <c r="A166" s="5" t="inlineStr">
        <is>
          <t>항목</t>
        </is>
      </c>
      <c r="B166" s="5" t="inlineStr">
        <is>
          <t>참고</t>
        </is>
      </c>
      <c r="C166" s="5" t="inlineStr">
        <is>
          <t>2024.2Q</t>
        </is>
      </c>
      <c r="D166" s="5" t="inlineStr">
        <is>
          <t>2024.3Q</t>
        </is>
      </c>
      <c r="E166" s="5" t="inlineStr">
        <is>
          <t>2024.4Q</t>
        </is>
      </c>
      <c r="F166" s="5" t="inlineStr">
        <is>
          <t>2025.1Q</t>
        </is>
      </c>
      <c r="G166" s="5" t="inlineStr">
        <is>
          <t>2025.2Q</t>
        </is>
      </c>
      <c r="H166" s="5" t="inlineStr">
        <is>
          <t>2025.3Q</t>
        </is>
      </c>
      <c r="I166" s="5" t="inlineStr">
        <is>
          <t>2025.4Q</t>
        </is>
      </c>
      <c r="J166" s="5" t="inlineStr">
        <is>
          <t>2026.1Q</t>
        </is>
      </c>
      <c r="K166" s="5" t="inlineStr">
        <is>
          <t>2026.2Q</t>
        </is>
      </c>
      <c r="L166" s="5" t="inlineStr">
        <is>
          <t>2026.3Q</t>
        </is>
      </c>
      <c r="M166" s="5" t="inlineStr">
        <is>
          <t>2026.4Q</t>
        </is>
      </c>
      <c r="N166" s="5" t="inlineStr">
        <is>
          <t>2027.1Q</t>
        </is>
      </c>
      <c r="O166" s="5" t="inlineStr">
        <is>
          <t>2017</t>
        </is>
      </c>
      <c r="P166" s="5" t="inlineStr">
        <is>
          <t>2018</t>
        </is>
      </c>
      <c r="Q166" s="5" t="inlineStr">
        <is>
          <t>2019</t>
        </is>
      </c>
      <c r="R166" s="5" t="inlineStr">
        <is>
          <t>2020</t>
        </is>
      </c>
      <c r="S166" s="5" t="inlineStr">
        <is>
          <t>2021</t>
        </is>
      </c>
      <c r="T166" s="5" t="inlineStr">
        <is>
          <t>2022</t>
        </is>
      </c>
      <c r="U166" s="5" t="inlineStr">
        <is>
          <t>2023</t>
        </is>
      </c>
      <c r="V166" s="5" t="inlineStr">
        <is>
          <t>2024</t>
        </is>
      </c>
      <c r="W166" s="5" t="inlineStr">
        <is>
          <t>2025</t>
        </is>
      </c>
      <c r="X166" s="5" t="inlineStr">
        <is>
          <t>2026</t>
        </is>
      </c>
      <c r="Y166" s="5" t="inlineStr">
        <is>
          <t>2027(MW)</t>
        </is>
      </c>
      <c r="Z166" s="5" t="inlineStr">
        <is>
          <t>2028(MW)</t>
        </is>
      </c>
      <c r="AA166" s="5" t="inlineStr">
        <is>
          <t>2029(MW)</t>
        </is>
      </c>
      <c r="AB166" s="5" t="inlineStr">
        <is>
          <t>2030(MW)</t>
        </is>
      </c>
      <c r="AC166" s="5" t="inlineStr">
        <is>
          <t>2031(MW)</t>
        </is>
      </c>
    </row>
    <row r="167">
      <c r="A167" s="18" t="inlineStr">
        <is>
          <t>부문 · Revenues From External Customers</t>
        </is>
      </c>
      <c r="C167" s="20" t="n">
        <v>59424</v>
      </c>
      <c r="D167" s="20" t="n">
        <v>63224</v>
      </c>
      <c r="E167" s="20" t="n">
        <v>61133</v>
      </c>
      <c r="F167" s="20" t="n">
        <v>58592</v>
      </c>
      <c r="G167" s="20" t="n">
        <v>57683</v>
      </c>
      <c r="H167" s="20" t="n">
        <v>59674</v>
      </c>
      <c r="I167" s="20" t="n">
        <v>56310</v>
      </c>
      <c r="J167" s="20" t="n">
        <v>56415</v>
      </c>
      <c r="K167" s="20" t="n">
        <v>53072</v>
      </c>
      <c r="L167" s="20" t="n">
        <v>58272</v>
      </c>
      <c r="M167" s="20" t="n">
        <v>55985</v>
      </c>
      <c r="N167" s="20" t="n">
        <v>59012</v>
      </c>
      <c r="V167" s="20" t="n">
        <v>61133</v>
      </c>
      <c r="W167" s="20" t="n">
        <v>56310</v>
      </c>
      <c r="X167" s="20" t="n">
        <v>55985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부문 · Revenues From External Customers</t>
        </is>
      </c>
      <c r="C169" s="20" t="n">
        <v>6973</v>
      </c>
      <c r="D169" s="20" t="n">
        <v>8210</v>
      </c>
      <c r="E169" s="20" t="n">
        <v>5645</v>
      </c>
      <c r="F169" s="20" t="n">
        <v>6709</v>
      </c>
      <c r="G169" s="20" t="n">
        <v>6824</v>
      </c>
      <c r="H169" s="20" t="n">
        <v>7571</v>
      </c>
      <c r="I169" s="20" t="n">
        <v>4536</v>
      </c>
      <c r="J169" s="20" t="n">
        <v>5208</v>
      </c>
      <c r="K169" s="20" t="n">
        <v>6603</v>
      </c>
      <c r="L169" s="20" t="n">
        <v>7630</v>
      </c>
      <c r="M169" s="20" t="n">
        <v>5422</v>
      </c>
      <c r="N169" s="20" t="n">
        <v>7818</v>
      </c>
      <c r="V169" s="20" t="n">
        <v>5645</v>
      </c>
      <c r="W169" s="20" t="n">
        <v>4536</v>
      </c>
      <c r="X169" s="20" t="n">
        <v>5422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부문 · Revenues From External Customers</t>
        </is>
      </c>
      <c r="C171" s="20" t="n">
        <v>10465</v>
      </c>
      <c r="D171" s="20" t="n">
        <v>10287</v>
      </c>
      <c r="E171" s="20" t="n">
        <v>8726</v>
      </c>
      <c r="F171" s="20" t="n">
        <v>8982</v>
      </c>
      <c r="G171" s="20" t="n">
        <v>9500</v>
      </c>
      <c r="H171" s="20" t="n">
        <v>9974</v>
      </c>
      <c r="I171" s="20" t="n">
        <v>9675</v>
      </c>
      <c r="J171" s="20" t="n">
        <v>10345</v>
      </c>
      <c r="K171" s="20" t="n">
        <v>10694</v>
      </c>
      <c r="L171" s="20" t="n">
        <v>10821</v>
      </c>
      <c r="M171" s="20" t="n">
        <v>10193</v>
      </c>
      <c r="N171" s="20" t="n">
        <v>11610</v>
      </c>
      <c r="V171" s="20" t="n">
        <v>8726</v>
      </c>
      <c r="W171" s="20" t="n">
        <v>9675</v>
      </c>
      <c r="X171" s="20" t="n">
        <v>10193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보고부문 합계 · Revenues From External Customers</t>
        </is>
      </c>
      <c r="C173" s="20" t="n">
        <v>76862</v>
      </c>
      <c r="D173" s="20" t="n">
        <v>81720</v>
      </c>
      <c r="E173" s="20" t="n">
        <v>75503</v>
      </c>
      <c r="F173" s="20" t="n">
        <v>74284</v>
      </c>
      <c r="G173" s="20" t="n">
        <v>74007</v>
      </c>
      <c r="H173" s="20" t="n">
        <v>77218</v>
      </c>
      <c r="I173" s="20" t="n">
        <v>70521</v>
      </c>
      <c r="J173" s="20" t="n">
        <v>71969</v>
      </c>
      <c r="K173" s="20" t="n">
        <v>70369</v>
      </c>
      <c r="L173" s="20" t="n">
        <v>76723</v>
      </c>
      <c r="M173" s="20" t="n">
        <v>71600</v>
      </c>
      <c r="N173" s="20" t="n">
        <v>78441</v>
      </c>
      <c r="V173" s="20" t="n">
        <v>75503</v>
      </c>
      <c r="W173" s="20" t="n">
        <v>70521</v>
      </c>
      <c r="X173" s="20" t="n">
        <v>71600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기타 · Revenues From External Customers</t>
        </is>
      </c>
      <c r="C175" s="20" t="n">
        <v>2</v>
      </c>
      <c r="D175" s="20" t="n">
        <v>3</v>
      </c>
      <c r="E175" s="20" t="n">
        <v>3</v>
      </c>
      <c r="F175" s="20" t="n">
        <v>3</v>
      </c>
      <c r="G175" s="20" t="n">
        <v>3</v>
      </c>
      <c r="H175" s="20" t="n">
        <v>5</v>
      </c>
      <c r="I175" s="20" t="n">
        <v>3</v>
      </c>
      <c r="J175" s="20" t="n">
        <v>3</v>
      </c>
      <c r="K175" s="20" t="n">
        <v>3</v>
      </c>
      <c r="L175" s="20" t="n">
        <v>4</v>
      </c>
      <c r="M175" s="20" t="n">
        <v>3</v>
      </c>
      <c r="N175" s="20" t="n">
        <v>1</v>
      </c>
      <c r="V175" s="20" t="n">
        <v>3</v>
      </c>
      <c r="W175" s="20" t="n">
        <v>3</v>
      </c>
      <c r="X175" s="20" t="n">
        <v>3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합계 · Revenues From External Customers</t>
        </is>
      </c>
      <c r="C177" s="20" t="n">
        <v>76863</v>
      </c>
      <c r="D177" s="20" t="n">
        <v>81724</v>
      </c>
      <c r="E177" s="20" t="n">
        <v>75506</v>
      </c>
      <c r="F177" s="20" t="n">
        <v>74288</v>
      </c>
      <c r="G177" s="20" t="n">
        <v>74010</v>
      </c>
      <c r="H177" s="20" t="n">
        <v>77223</v>
      </c>
      <c r="I177" s="20" t="n">
        <v>70524</v>
      </c>
      <c r="J177" s="20" t="n">
        <v>71973</v>
      </c>
      <c r="K177" s="20" t="n">
        <v>70371</v>
      </c>
      <c r="L177" s="20" t="n">
        <v>76728</v>
      </c>
      <c r="M177" s="20" t="n">
        <v>71603</v>
      </c>
      <c r="N177" s="20" t="n">
        <v>78443</v>
      </c>
      <c r="V177" s="20" t="n">
        <v>75506</v>
      </c>
      <c r="W177" s="20" t="n">
        <v>70524</v>
      </c>
      <c r="X177" s="20" t="n">
        <v>71603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조정액 · Revenues From External Customers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J179" s="20" t="n">
        <v>0</v>
      </c>
      <c r="K179" s="20" t="n">
        <v>0</v>
      </c>
      <c r="L179" s="20" t="n">
        <v>0</v>
      </c>
      <c r="M179" s="20" t="n">
        <v>0</v>
      </c>
      <c r="N179" s="20" t="n">
        <v>0</v>
      </c>
      <c r="V179" s="20" t="n">
        <v>0</v>
      </c>
      <c r="W179" s="20" t="n">
        <v>0</v>
      </c>
      <c r="X179" s="20" t="n">
        <v>0</v>
      </c>
    </row>
    <row r="180">
      <c r="A180" s="9" t="inlineStr">
        <is>
          <t>Revenues From External Customers</t>
        </is>
      </c>
      <c r="C180" s="12" t="n">
        <v>76863</v>
      </c>
      <c r="D180" s="12" t="n">
        <v>81724</v>
      </c>
      <c r="E180" s="12" t="n">
        <v>75506</v>
      </c>
      <c r="F180" s="12" t="n">
        <v>74288</v>
      </c>
      <c r="G180" s="12" t="n">
        <v>74010</v>
      </c>
      <c r="H180" s="12" t="n">
        <v>77223</v>
      </c>
      <c r="I180" s="12" t="n">
        <v>70524</v>
      </c>
      <c r="J180" s="12" t="n">
        <v>71973</v>
      </c>
      <c r="K180" s="12" t="n">
        <v>70371</v>
      </c>
      <c r="L180" s="12" t="n">
        <v>76728</v>
      </c>
      <c r="M180" s="12" t="n">
        <v>71603</v>
      </c>
      <c r="N180" s="12" t="n">
        <v>78443</v>
      </c>
      <c r="V180" s="12" t="n">
        <v>75506</v>
      </c>
      <c r="W180" s="12" t="n">
        <v>70524</v>
      </c>
      <c r="X180" s="12" t="n">
        <v>71603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부문 · 부문 간 내부매출·대체</t>
        </is>
      </c>
      <c r="C182" s="20" t="n">
        <v>1318</v>
      </c>
      <c r="D182" s="20" t="n">
        <v>1260</v>
      </c>
      <c r="E182" s="20" t="n">
        <v>999</v>
      </c>
      <c r="F182" s="20" t="n">
        <v>1007</v>
      </c>
      <c r="G182" s="20" t="n">
        <v>1096</v>
      </c>
      <c r="H182" s="20" t="n">
        <v>1281</v>
      </c>
      <c r="I182" s="20" t="n">
        <v>1263</v>
      </c>
      <c r="J182" s="20" t="n">
        <v>1392</v>
      </c>
      <c r="K182" s="20" t="n">
        <v>1136</v>
      </c>
      <c r="L182" s="20" t="n">
        <v>1201</v>
      </c>
      <c r="M182" s="20" t="n">
        <v>1027</v>
      </c>
      <c r="N182" s="20" t="n">
        <v>100</v>
      </c>
      <c r="V182" s="20" t="n">
        <v>999</v>
      </c>
      <c r="W182" s="20" t="n">
        <v>1263</v>
      </c>
      <c r="X182" s="20" t="n">
        <v>1027</v>
      </c>
    </row>
    <row r="183">
      <c r="A183" s="18" t="inlineStr">
        <is>
          <t>부문 · 부문 간 내부매출·대체</t>
        </is>
      </c>
      <c r="C183" s="20" t="n">
        <v>8</v>
      </c>
      <c r="D183" s="20" t="n">
        <v>193</v>
      </c>
      <c r="E183" s="20" t="n">
        <v>9</v>
      </c>
      <c r="F183" s="20" t="n">
        <v>11</v>
      </c>
      <c r="G183" s="20" t="n">
        <v>53</v>
      </c>
      <c r="H183" s="20" t="n">
        <v>182</v>
      </c>
      <c r="I183" s="20" t="n">
        <v>48</v>
      </c>
      <c r="J183" s="20" t="n">
        <v>35</v>
      </c>
      <c r="K183" s="20" t="n">
        <v>35</v>
      </c>
      <c r="L183" s="20" t="n">
        <v>178</v>
      </c>
      <c r="M183" s="20" t="n">
        <v>25</v>
      </c>
      <c r="N183" s="20" t="n">
        <v>27</v>
      </c>
      <c r="V183" s="20" t="n">
        <v>9</v>
      </c>
      <c r="W183" s="20" t="n">
        <v>48</v>
      </c>
      <c r="X183" s="20" t="n">
        <v>25</v>
      </c>
    </row>
    <row r="184">
      <c r="A184" s="18" t="inlineStr">
        <is>
          <t>부문 · 부문 간 내부매출·대체</t>
        </is>
      </c>
      <c r="C184" s="20" t="n">
        <v>7</v>
      </c>
      <c r="D184" s="20" t="n">
        <v>8</v>
      </c>
      <c r="E184" s="20" t="n">
        <v>7</v>
      </c>
      <c r="F184" s="20" t="n">
        <v>6</v>
      </c>
      <c r="G184" s="20" t="n">
        <v>8</v>
      </c>
      <c r="H184" s="20" t="n">
        <v>2</v>
      </c>
      <c r="I184" s="20" t="n">
        <v>3</v>
      </c>
      <c r="J184" s="20" t="n">
        <v>4</v>
      </c>
      <c r="K184" s="20" t="n">
        <v>4</v>
      </c>
      <c r="L184" s="20" t="n">
        <v>5</v>
      </c>
      <c r="M184" s="20" t="n">
        <v>5</v>
      </c>
      <c r="N184" s="20" t="n">
        <v>4</v>
      </c>
      <c r="V184" s="20" t="n">
        <v>7</v>
      </c>
      <c r="W184" s="20" t="n">
        <v>3</v>
      </c>
      <c r="X184" s="20" t="n">
        <v>5</v>
      </c>
    </row>
    <row r="185">
      <c r="A185" s="18" t="inlineStr">
        <is>
          <t>보고부문 합계 · 부문 간 내부매출·대체</t>
        </is>
      </c>
      <c r="C185" s="20" t="n">
        <v>1333</v>
      </c>
      <c r="D185" s="20" t="n">
        <v>1462</v>
      </c>
      <c r="E185" s="20" t="n">
        <v>1014</v>
      </c>
      <c r="F185" s="20" t="n">
        <v>1025</v>
      </c>
      <c r="G185" s="20" t="n">
        <v>1157</v>
      </c>
      <c r="H185" s="20" t="n">
        <v>1464</v>
      </c>
      <c r="I185" s="20" t="n">
        <v>1315</v>
      </c>
      <c r="J185" s="20" t="n">
        <v>1431</v>
      </c>
      <c r="K185" s="20" t="n">
        <v>1176</v>
      </c>
      <c r="L185" s="20" t="n">
        <v>1384</v>
      </c>
      <c r="M185" s="20" t="n">
        <v>1056</v>
      </c>
      <c r="N185" s="20" t="n">
        <v>132</v>
      </c>
      <c r="V185" s="20" t="n">
        <v>1014</v>
      </c>
      <c r="W185" s="20" t="n">
        <v>1315</v>
      </c>
      <c r="X185" s="20" t="n">
        <v>1056</v>
      </c>
    </row>
    <row r="186">
      <c r="A186" s="18" t="inlineStr">
        <is>
          <t>기타 · 부문 간 내부매출·대체</t>
        </is>
      </c>
      <c r="C186" s="20" t="n">
        <v>0</v>
      </c>
      <c r="D186" s="20" t="n">
        <v>1</v>
      </c>
      <c r="E186" s="20" t="n">
        <v>0</v>
      </c>
      <c r="F186" s="20" t="n">
        <v>0</v>
      </c>
      <c r="G186" s="20" t="n">
        <v>0</v>
      </c>
      <c r="H186" s="20" t="n">
        <v>1</v>
      </c>
      <c r="I186" s="20" t="n">
        <v>0</v>
      </c>
      <c r="J186" s="20" t="n">
        <v>0</v>
      </c>
      <c r="K186" s="20" t="n">
        <v>0</v>
      </c>
      <c r="L186" s="20" t="n">
        <v>1</v>
      </c>
      <c r="M186" s="20" t="n">
        <v>0</v>
      </c>
      <c r="N186" s="20" t="n">
        <v>0</v>
      </c>
      <c r="V186" s="20" t="n">
        <v>0</v>
      </c>
      <c r="W186" s="20" t="n">
        <v>0</v>
      </c>
      <c r="X186" s="20" t="n">
        <v>0</v>
      </c>
    </row>
    <row r="187">
      <c r="A187" s="18" t="inlineStr">
        <is>
          <t>합계 · 부문 간 내부매출·대체</t>
        </is>
      </c>
      <c r="C187" s="20" t="n">
        <v>1333</v>
      </c>
      <c r="D187" s="20" t="n">
        <v>1462</v>
      </c>
      <c r="E187" s="20" t="n">
        <v>1015</v>
      </c>
      <c r="F187" s="20" t="n">
        <v>1026</v>
      </c>
      <c r="G187" s="20" t="n">
        <v>1157</v>
      </c>
      <c r="H187" s="20" t="n">
        <v>1464</v>
      </c>
      <c r="I187" s="20" t="n">
        <v>1315</v>
      </c>
      <c r="J187" s="20" t="n">
        <v>1431</v>
      </c>
      <c r="K187" s="20" t="n">
        <v>1176</v>
      </c>
      <c r="L187" s="20" t="n">
        <v>1385</v>
      </c>
      <c r="M187" s="20" t="n">
        <v>1057</v>
      </c>
      <c r="N187" s="20" t="n">
        <v>132</v>
      </c>
      <c r="V187" s="20" t="n">
        <v>1015</v>
      </c>
      <c r="W187" s="20" t="n">
        <v>1315</v>
      </c>
      <c r="X187" s="20" t="n">
        <v>1057</v>
      </c>
    </row>
    <row r="188">
      <c r="A188" s="18" t="inlineStr">
        <is>
          <t>조정액 · 부문 간 내부매출·대체</t>
        </is>
      </c>
      <c r="C188" s="20" t="n">
        <v>-1333</v>
      </c>
      <c r="D188" s="20" t="n">
        <v>-1462</v>
      </c>
      <c r="E188" s="20" t="n">
        <v>-1015</v>
      </c>
      <c r="F188" s="20" t="n">
        <v>-1026</v>
      </c>
      <c r="G188" s="20" t="n">
        <v>-1157</v>
      </c>
      <c r="H188" s="20" t="n">
        <v>-1464</v>
      </c>
      <c r="I188" s="20" t="n">
        <v>-1315</v>
      </c>
      <c r="J188" s="20" t="n">
        <v>-1431</v>
      </c>
      <c r="K188" s="20" t="n">
        <v>-1176</v>
      </c>
      <c r="L188" s="20" t="n">
        <v>-1385</v>
      </c>
      <c r="M188" s="20" t="n">
        <v>-1057</v>
      </c>
      <c r="N188" s="20" t="n">
        <v>-132</v>
      </c>
      <c r="V188" s="20" t="n">
        <v>-1015</v>
      </c>
      <c r="W188" s="20" t="n">
        <v>-1315</v>
      </c>
      <c r="X188" s="20" t="n">
        <v>-1057</v>
      </c>
    </row>
    <row r="189">
      <c r="A189" s="18" t="inlineStr">
        <is>
          <t>부문 간 내부매출·대체</t>
        </is>
      </c>
      <c r="C189" s="20" t="n">
        <v>0</v>
      </c>
      <c r="D189" s="20" t="n">
        <v>0</v>
      </c>
      <c r="E189" s="20" t="n">
        <v>0</v>
      </c>
      <c r="F189" s="20" t="n">
        <v>0</v>
      </c>
      <c r="G189" s="20" t="n">
        <v>0</v>
      </c>
      <c r="H189" s="20" t="n">
        <v>0</v>
      </c>
      <c r="I189" s="20" t="n">
        <v>0</v>
      </c>
      <c r="J189" s="20" t="n">
        <v>0</v>
      </c>
      <c r="K189" s="20" t="n">
        <v>0</v>
      </c>
      <c r="L189" s="20" t="n">
        <v>0</v>
      </c>
      <c r="M189" s="20" t="n">
        <v>0</v>
      </c>
      <c r="N189" s="20" t="n">
        <v>0</v>
      </c>
      <c r="V189" s="20" t="n">
        <v>0</v>
      </c>
      <c r="W189" s="20" t="n">
        <v>0</v>
      </c>
      <c r="X189" s="20" t="n">
        <v>0</v>
      </c>
    </row>
    <row r="190">
      <c r="A190" s="18" t="inlineStr">
        <is>
          <t>부문 · 계</t>
        </is>
      </c>
      <c r="C190" s="20" t="n">
        <v>60741</v>
      </c>
      <c r="D190" s="20" t="n">
        <v>64485</v>
      </c>
      <c r="E190" s="20" t="n">
        <v>62132</v>
      </c>
      <c r="F190" s="20" t="n">
        <v>59600</v>
      </c>
      <c r="G190" s="20" t="n">
        <v>58779</v>
      </c>
      <c r="H190" s="20" t="n">
        <v>60954</v>
      </c>
      <c r="I190" s="20" t="n">
        <v>57573</v>
      </c>
      <c r="J190" s="20" t="n">
        <v>57808</v>
      </c>
      <c r="K190" s="20" t="n">
        <v>54208</v>
      </c>
      <c r="L190" s="20" t="n">
        <v>59473</v>
      </c>
      <c r="M190" s="20" t="n">
        <v>57011</v>
      </c>
      <c r="N190" s="20" t="n">
        <v>59112</v>
      </c>
      <c r="V190" s="20" t="n">
        <v>62132</v>
      </c>
      <c r="W190" s="20" t="n">
        <v>57573</v>
      </c>
      <c r="X190" s="20" t="n">
        <v>57011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부문 · 계</t>
        </is>
      </c>
      <c r="C192" s="20" t="n">
        <v>6980</v>
      </c>
      <c r="D192" s="20" t="n">
        <v>8404</v>
      </c>
      <c r="E192" s="20" t="n">
        <v>5653</v>
      </c>
      <c r="F192" s="20" t="n">
        <v>6720</v>
      </c>
      <c r="G192" s="20" t="n">
        <v>6877</v>
      </c>
      <c r="H192" s="20" t="n">
        <v>7753</v>
      </c>
      <c r="I192" s="20" t="n">
        <v>4584</v>
      </c>
      <c r="J192" s="20" t="n">
        <v>5244</v>
      </c>
      <c r="K192" s="20" t="n">
        <v>6637</v>
      </c>
      <c r="L192" s="20" t="n">
        <v>7808</v>
      </c>
      <c r="M192" s="20" t="n">
        <v>5447</v>
      </c>
      <c r="N192" s="20" t="n">
        <v>7846</v>
      </c>
      <c r="V192" s="20" t="n">
        <v>5653</v>
      </c>
      <c r="W192" s="20" t="n">
        <v>4584</v>
      </c>
      <c r="X192" s="20" t="n">
        <v>5447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부문 · 계</t>
        </is>
      </c>
      <c r="C194" s="20" t="n">
        <v>10472</v>
      </c>
      <c r="D194" s="20" t="n">
        <v>10295</v>
      </c>
      <c r="E194" s="20" t="n">
        <v>8732</v>
      </c>
      <c r="F194" s="20" t="n">
        <v>8989</v>
      </c>
      <c r="G194" s="20" t="n">
        <v>9507</v>
      </c>
      <c r="H194" s="20" t="n">
        <v>9976</v>
      </c>
      <c r="I194" s="20" t="n">
        <v>9679</v>
      </c>
      <c r="J194" s="20" t="n">
        <v>10349</v>
      </c>
      <c r="K194" s="20" t="n">
        <v>10698</v>
      </c>
      <c r="L194" s="20" t="n">
        <v>10827</v>
      </c>
      <c r="M194" s="20" t="n">
        <v>10198</v>
      </c>
      <c r="N194" s="20" t="n">
        <v>11614</v>
      </c>
      <c r="V194" s="20" t="n">
        <v>8732</v>
      </c>
      <c r="W194" s="20" t="n">
        <v>9679</v>
      </c>
      <c r="X194" s="20" t="n">
        <v>10198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보고부문 합계 · 계</t>
        </is>
      </c>
      <c r="C196" s="20" t="n">
        <v>78194</v>
      </c>
      <c r="D196" s="20" t="n">
        <v>83183</v>
      </c>
      <c r="E196" s="20" t="n">
        <v>76517</v>
      </c>
      <c r="F196" s="20" t="n">
        <v>75310</v>
      </c>
      <c r="G196" s="20" t="n">
        <v>75163</v>
      </c>
      <c r="H196" s="20" t="n">
        <v>78683</v>
      </c>
      <c r="I196" s="20" t="n">
        <v>71836</v>
      </c>
      <c r="J196" s="20" t="n">
        <v>73401</v>
      </c>
      <c r="K196" s="20" t="n">
        <v>71544</v>
      </c>
      <c r="L196" s="20" t="n">
        <v>78108</v>
      </c>
      <c r="M196" s="20" t="n">
        <v>72656</v>
      </c>
      <c r="N196" s="20" t="n">
        <v>78573</v>
      </c>
      <c r="V196" s="20" t="n">
        <v>76517</v>
      </c>
      <c r="W196" s="20" t="n">
        <v>71836</v>
      </c>
      <c r="X196" s="20" t="n">
        <v>72656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H197" s="15">
        <f>IF(OR(H196="",D196=""),"",IF(D196&lt;=0,"",IFERROR(H196/D196-1,"")))</f>
        <v/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L197" s="15">
        <f>IF(OR(L196="",H196=""),"",IF(H196&lt;=0,"",IFERROR(L196/H196-1,"")))</f>
        <v/>
      </c>
      <c r="M197" s="15">
        <f>IF(OR(M196="",I196=""),"",IF(I196&lt;=0,"",IFERROR(M196/I196-1,"")))</f>
        <v/>
      </c>
      <c r="N197" s="15">
        <f>IF(OR(N196="",J196=""),"",IF(J196&lt;=0,"",IFERROR(N196/J196-1,"")))</f>
        <v/>
      </c>
      <c r="V197" s="15">
        <f>IF(OR(V196="",U196=""),"",IF(U196&lt;=0,"",IFERROR(V196/U196-1,"")))</f>
        <v/>
      </c>
      <c r="W197" s="15">
        <f>IF(OR(W196="",V196=""),"",IF(V196&lt;=0,"",IFERROR(W196/V196-1,"")))</f>
        <v/>
      </c>
      <c r="X197" s="15">
        <f>IF(OR(X196="",W196=""),"",IF(W196&lt;=0,"",IFERROR(X196/W196-1,"")))</f>
        <v/>
      </c>
    </row>
    <row r="198">
      <c r="A198" s="18" t="inlineStr">
        <is>
          <t>기타 · 계</t>
        </is>
      </c>
      <c r="C198" s="20" t="n">
        <v>3</v>
      </c>
      <c r="D198" s="20" t="n">
        <v>4</v>
      </c>
      <c r="E198" s="20" t="n">
        <v>2</v>
      </c>
      <c r="F198" s="20" t="n">
        <v>3</v>
      </c>
      <c r="G198" s="20" t="n">
        <v>4</v>
      </c>
      <c r="H198" s="20" t="n">
        <v>5</v>
      </c>
      <c r="I198" s="20" t="n">
        <v>4</v>
      </c>
      <c r="J198" s="20" t="n">
        <v>3</v>
      </c>
      <c r="K198" s="20" t="n">
        <v>4</v>
      </c>
      <c r="L198" s="20" t="n">
        <v>4</v>
      </c>
      <c r="M198" s="20" t="n">
        <v>3</v>
      </c>
      <c r="N198" s="20" t="n">
        <v>2</v>
      </c>
      <c r="V198" s="20" t="n">
        <v>2</v>
      </c>
      <c r="W198" s="20" t="n">
        <v>4</v>
      </c>
      <c r="X198" s="20" t="n">
        <v>3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합계 · 계</t>
        </is>
      </c>
      <c r="C200" s="20" t="n">
        <v>78197</v>
      </c>
      <c r="D200" s="20" t="n">
        <v>83186</v>
      </c>
      <c r="E200" s="20" t="n">
        <v>76520</v>
      </c>
      <c r="F200" s="20" t="n">
        <v>75314</v>
      </c>
      <c r="G200" s="20" t="n">
        <v>75167</v>
      </c>
      <c r="H200" s="20" t="n">
        <v>78687</v>
      </c>
      <c r="I200" s="20" t="n">
        <v>71840</v>
      </c>
      <c r="J200" s="20" t="n">
        <v>73405</v>
      </c>
      <c r="K200" s="20" t="n">
        <v>71547</v>
      </c>
      <c r="L200" s="20" t="n">
        <v>78112</v>
      </c>
      <c r="M200" s="20" t="n">
        <v>72660</v>
      </c>
      <c r="N200" s="20" t="n">
        <v>78575</v>
      </c>
      <c r="V200" s="20" t="n">
        <v>76520</v>
      </c>
      <c r="W200" s="20" t="n">
        <v>71840</v>
      </c>
      <c r="X200" s="20" t="n">
        <v>72660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H201" s="15">
        <f>IF(OR(H200="",D200=""),"",IF(D200&lt;=0,"",IFERROR(H200/D200-1,"")))</f>
        <v/>
      </c>
      <c r="I201" s="15">
        <f>IF(OR(I200="",E200=""),"",IF(E200&lt;=0,"",IFERROR(I200/E200-1,"")))</f>
        <v/>
      </c>
      <c r="J201" s="15">
        <f>IF(OR(J200="",F200=""),"",IF(F200&lt;=0,"",IFERROR(J200/F200-1,"")))</f>
        <v/>
      </c>
      <c r="K201" s="15">
        <f>IF(OR(K200="",G200=""),"",IF(G200&lt;=0,"",IFERROR(K200/G200-1,"")))</f>
        <v/>
      </c>
      <c r="L201" s="15">
        <f>IF(OR(L200="",H200=""),"",IF(H200&lt;=0,"",IFERROR(L200/H200-1,"")))</f>
        <v/>
      </c>
      <c r="M201" s="15">
        <f>IF(OR(M200="",I200=""),"",IF(I200&lt;=0,"",IFERROR(M200/I200-1,"")))</f>
        <v/>
      </c>
      <c r="N201" s="15">
        <f>IF(OR(N200="",J200=""),"",IF(J200&lt;=0,"",IFERROR(N200/J200-1,"")))</f>
        <v/>
      </c>
      <c r="V201" s="15">
        <f>IF(OR(V200="",U200=""),"",IF(U200&lt;=0,"",IFERROR(V200/U200-1,"")))</f>
        <v/>
      </c>
      <c r="W201" s="15">
        <f>IF(OR(W200="",V200=""),"",IF(V200&lt;=0,"",IFERROR(W200/V200-1,"")))</f>
        <v/>
      </c>
      <c r="X201" s="15">
        <f>IF(OR(X200="",W200=""),"",IF(W200&lt;=0,"",IFERROR(X200/W200-1,"")))</f>
        <v/>
      </c>
    </row>
    <row r="202">
      <c r="A202" s="18" t="inlineStr">
        <is>
          <t>조정액 · 계</t>
        </is>
      </c>
      <c r="C202" s="20" t="n">
        <v>-1333</v>
      </c>
      <c r="D202" s="20" t="n">
        <v>-1462</v>
      </c>
      <c r="E202" s="20" t="n">
        <v>-1015</v>
      </c>
      <c r="F202" s="20" t="n">
        <v>-1026</v>
      </c>
      <c r="G202" s="20" t="n">
        <v>-1157</v>
      </c>
      <c r="H202" s="20" t="n">
        <v>-1464</v>
      </c>
      <c r="I202" s="20" t="n">
        <v>-1315</v>
      </c>
      <c r="J202" s="20" t="n">
        <v>-1431</v>
      </c>
      <c r="K202" s="20" t="n">
        <v>-1176</v>
      </c>
      <c r="L202" s="20" t="n">
        <v>-1385</v>
      </c>
      <c r="M202" s="20" t="n">
        <v>-1057</v>
      </c>
      <c r="N202" s="20" t="n">
        <v>-132</v>
      </c>
      <c r="V202" s="20" t="n">
        <v>-1015</v>
      </c>
      <c r="W202" s="20" t="n">
        <v>-1315</v>
      </c>
      <c r="X202" s="20" t="n">
        <v>-1057</v>
      </c>
    </row>
    <row r="203">
      <c r="A203" s="9" t="inlineStr">
        <is>
          <t>계</t>
        </is>
      </c>
      <c r="C203" s="12" t="n">
        <v>76863</v>
      </c>
      <c r="D203" s="12" t="n">
        <v>81724</v>
      </c>
      <c r="E203" s="12" t="n">
        <v>75506</v>
      </c>
      <c r="F203" s="12" t="n">
        <v>74288</v>
      </c>
      <c r="G203" s="12" t="n">
        <v>74010</v>
      </c>
      <c r="H203" s="12" t="n">
        <v>77223</v>
      </c>
      <c r="I203" s="12" t="n">
        <v>70524</v>
      </c>
      <c r="J203" s="12" t="n">
        <v>71973</v>
      </c>
      <c r="K203" s="12" t="n">
        <v>70371</v>
      </c>
      <c r="L203" s="12" t="n">
        <v>76728</v>
      </c>
      <c r="M203" s="12" t="n">
        <v>71603</v>
      </c>
      <c r="N203" s="12" t="n">
        <v>78443</v>
      </c>
      <c r="V203" s="12" t="n">
        <v>75506</v>
      </c>
      <c r="W203" s="12" t="n">
        <v>70524</v>
      </c>
      <c r="X203" s="12" t="n">
        <v>71603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IF(OR(G203="",C203=""),"",IF(C203&lt;=0,"",IFERROR(G203/C203-1,"")))</f>
        <v/>
      </c>
      <c r="H204" s="15">
        <f>IF(OR(H203="",D203=""),"",IF(D203&lt;=0,"",IFERROR(H203/D203-1,"")))</f>
        <v/>
      </c>
      <c r="I204" s="15">
        <f>IF(OR(I203="",E203=""),"",IF(E203&lt;=0,"",IFERROR(I203/E203-1,"")))</f>
        <v/>
      </c>
      <c r="J204" s="15">
        <f>IF(OR(J203="",F203=""),"",IF(F203&lt;=0,"",IFERROR(J203/F203-1,"")))</f>
        <v/>
      </c>
      <c r="K204" s="15">
        <f>IF(OR(K203="",G203=""),"",IF(G203&lt;=0,"",IFERROR(K203/G203-1,"")))</f>
        <v/>
      </c>
      <c r="L204" s="15">
        <f>IF(OR(L203="",H203=""),"",IF(H203&lt;=0,"",IFERROR(L203/H203-1,"")))</f>
        <v/>
      </c>
      <c r="M204" s="15">
        <f>IF(OR(M203="",I203=""),"",IF(I203&lt;=0,"",IFERROR(M203/I203-1,"")))</f>
        <v/>
      </c>
      <c r="N204" s="15">
        <f>IF(OR(N203="",J203=""),"",IF(J203&lt;=0,"",IFERROR(N203/J203-1,"")))</f>
        <v/>
      </c>
      <c r="V204" s="15">
        <f>IF(OR(V203="",U203=""),"",IF(U203&lt;=0,"",IFERROR(V203/U203-1,"")))</f>
        <v/>
      </c>
      <c r="W204" s="15">
        <f>IF(OR(W203="",V203=""),"",IF(V203&lt;=0,"",IFERROR(W203/V203-1,"")))</f>
        <v/>
      </c>
      <c r="X204" s="15">
        <f>IF(OR(X203="",W203=""),"",IF(W203&lt;=0,"",IFERROR(X203/W203-1,"")))</f>
        <v/>
      </c>
    </row>
    <row r="205">
      <c r="A205" s="18" t="inlineStr">
        <is>
          <t>부문 · 부문 이익(손실)</t>
        </is>
      </c>
      <c r="C205" s="20" t="n">
        <v>1804</v>
      </c>
      <c r="D205" s="20" t="n">
        <v>2181</v>
      </c>
      <c r="E205" s="20" t="n">
        <v>3251</v>
      </c>
      <c r="F205" s="20" t="n">
        <v>2096</v>
      </c>
      <c r="G205" s="20" t="n">
        <v>2845</v>
      </c>
      <c r="H205" s="20" t="n">
        <v>1036</v>
      </c>
      <c r="I205" s="20" t="n">
        <v>2556</v>
      </c>
      <c r="J205" s="20" t="n">
        <v>2318</v>
      </c>
      <c r="K205" s="20" t="n">
        <v>2218</v>
      </c>
      <c r="L205" s="20" t="n">
        <v>2527</v>
      </c>
      <c r="M205" s="20" t="n">
        <v>3180</v>
      </c>
      <c r="N205" s="20" t="n">
        <v>2702</v>
      </c>
      <c r="V205" s="20" t="n">
        <v>3251</v>
      </c>
      <c r="W205" s="20" t="n">
        <v>2556</v>
      </c>
      <c r="X205" s="20" t="n">
        <v>3180</v>
      </c>
    </row>
    <row r="206">
      <c r="A206" s="18" t="inlineStr">
        <is>
          <t>부문 · 부문 이익(손실)</t>
        </is>
      </c>
      <c r="C206" s="20" t="n">
        <v>435</v>
      </c>
      <c r="D206" s="20" t="n">
        <v>143</v>
      </c>
      <c r="E206" s="20" t="n">
        <v>109</v>
      </c>
      <c r="F206" s="20" t="n">
        <v>205</v>
      </c>
      <c r="G206" s="20" t="n">
        <v>239</v>
      </c>
      <c r="H206" s="20" t="n">
        <v>532</v>
      </c>
      <c r="I206" s="20" t="n">
        <v>188</v>
      </c>
      <c r="J206" s="20" t="n">
        <v>302</v>
      </c>
      <c r="K206" s="20" t="n">
        <v>367</v>
      </c>
      <c r="L206" s="20" t="n">
        <v>638</v>
      </c>
      <c r="M206" s="20" t="n">
        <v>119</v>
      </c>
      <c r="N206" s="20" t="n">
        <v>210</v>
      </c>
      <c r="V206" s="20" t="n">
        <v>109</v>
      </c>
      <c r="W206" s="20" t="n">
        <v>188</v>
      </c>
      <c r="X206" s="20" t="n">
        <v>119</v>
      </c>
    </row>
    <row r="207">
      <c r="A207" s="18" t="inlineStr">
        <is>
          <t>부문 · 부문 이익(손실)</t>
        </is>
      </c>
      <c r="C207" s="20" t="n">
        <v>93</v>
      </c>
      <c r="D207" s="20" t="n">
        <v>303</v>
      </c>
      <c r="E207" s="20" t="n">
        <v>311</v>
      </c>
      <c r="F207" s="20" t="n">
        <v>73</v>
      </c>
      <c r="G207" s="20" t="n">
        <v>-54</v>
      </c>
      <c r="H207" s="20" t="n">
        <v>97</v>
      </c>
      <c r="I207" s="20" t="n">
        <v>168</v>
      </c>
      <c r="J207" s="20" t="n">
        <v>-14</v>
      </c>
      <c r="K207" s="20" t="n">
        <v>69</v>
      </c>
      <c r="L207" s="20" t="n">
        <v>59</v>
      </c>
      <c r="M207" s="20" t="n">
        <v>49</v>
      </c>
      <c r="N207" s="20" t="n">
        <v>110</v>
      </c>
      <c r="V207" s="20" t="n">
        <v>311</v>
      </c>
      <c r="W207" s="20" t="n">
        <v>168</v>
      </c>
      <c r="X207" s="20" t="n">
        <v>49</v>
      </c>
    </row>
    <row r="208">
      <c r="A208" s="18" t="inlineStr">
        <is>
          <t>보고부문 합계 · 부문 이익(손실)</t>
        </is>
      </c>
      <c r="C208" s="20" t="n">
        <v>2332</v>
      </c>
      <c r="D208" s="20" t="n">
        <v>2628</v>
      </c>
      <c r="E208" s="20" t="n">
        <v>3671</v>
      </c>
      <c r="F208" s="20" t="n">
        <v>2375</v>
      </c>
      <c r="G208" s="20" t="n">
        <v>3031</v>
      </c>
      <c r="H208" s="20" t="n">
        <v>1663</v>
      </c>
      <c r="I208" s="20" t="n">
        <v>2913</v>
      </c>
      <c r="J208" s="20" t="n">
        <v>2606</v>
      </c>
      <c r="K208" s="20" t="n">
        <v>2654</v>
      </c>
      <c r="L208" s="20" t="n">
        <v>3224</v>
      </c>
      <c r="M208" s="20" t="n">
        <v>3350</v>
      </c>
      <c r="N208" s="20" t="n">
        <v>3023</v>
      </c>
      <c r="V208" s="20" t="n">
        <v>3671</v>
      </c>
      <c r="W208" s="20" t="n">
        <v>2913</v>
      </c>
      <c r="X208" s="20" t="n">
        <v>3350</v>
      </c>
    </row>
    <row r="209">
      <c r="A209" s="18" t="inlineStr">
        <is>
          <t>기타 · 부문 이익(손실)</t>
        </is>
      </c>
      <c r="C209" s="20" t="n">
        <v>10</v>
      </c>
      <c r="D209" s="20" t="n">
        <v>23</v>
      </c>
      <c r="E209" s="20" t="n">
        <v>-186</v>
      </c>
      <c r="F209" s="20" t="n">
        <v>80</v>
      </c>
      <c r="G209" s="20" t="n">
        <v>5</v>
      </c>
      <c r="H209" s="20" t="n">
        <v>-11</v>
      </c>
      <c r="I209" s="20" t="n">
        <v>29</v>
      </c>
      <c r="J209" s="20" t="n">
        <v>17</v>
      </c>
      <c r="K209" s="20" t="n">
        <v>-2</v>
      </c>
      <c r="L209" s="20" t="n">
        <v>7</v>
      </c>
      <c r="M209" s="20" t="n">
        <v>18</v>
      </c>
      <c r="N209" s="20" t="n">
        <v>33</v>
      </c>
      <c r="V209" s="20" t="n">
        <v>-186</v>
      </c>
      <c r="W209" s="20" t="n">
        <v>29</v>
      </c>
      <c r="X209" s="20" t="n">
        <v>18</v>
      </c>
    </row>
    <row r="210">
      <c r="A210" s="18" t="inlineStr">
        <is>
          <t>합계 · 부문 이익(손실)</t>
        </is>
      </c>
      <c r="C210" s="20" t="n">
        <v>2343</v>
      </c>
      <c r="D210" s="20" t="n">
        <v>2651</v>
      </c>
      <c r="E210" s="20" t="n">
        <v>3483</v>
      </c>
      <c r="F210" s="20" t="n">
        <v>2456</v>
      </c>
      <c r="G210" s="20" t="n">
        <v>3035</v>
      </c>
      <c r="H210" s="20" t="n">
        <v>1653</v>
      </c>
      <c r="I210" s="20" t="n">
        <v>2942</v>
      </c>
      <c r="J210" s="20" t="n">
        <v>2623</v>
      </c>
      <c r="K210" s="20" t="n">
        <v>2653</v>
      </c>
      <c r="L210" s="20" t="n">
        <v>3231</v>
      </c>
      <c r="M210" s="20" t="n">
        <v>3367</v>
      </c>
      <c r="N210" s="20" t="n">
        <v>3056</v>
      </c>
      <c r="V210" s="20" t="n">
        <v>3483</v>
      </c>
      <c r="W210" s="20" t="n">
        <v>2942</v>
      </c>
      <c r="X210" s="20" t="n">
        <v>3367</v>
      </c>
    </row>
    <row r="211">
      <c r="A211" s="18" t="inlineStr">
        <is>
          <t>조정액 · 부문 이익(손실)</t>
        </is>
      </c>
      <c r="C211" s="20" t="n">
        <v>-627</v>
      </c>
      <c r="D211" s="20" t="n">
        <v>-674</v>
      </c>
      <c r="E211" s="20" t="n">
        <v>-894</v>
      </c>
      <c r="F211" s="20" t="n">
        <v>-833</v>
      </c>
      <c r="G211" s="20" t="n">
        <v>-853</v>
      </c>
      <c r="H211" s="20" t="n">
        <v>-729</v>
      </c>
      <c r="I211" s="20" t="n">
        <v>-881</v>
      </c>
      <c r="J211" s="20" t="n">
        <v>-760</v>
      </c>
      <c r="K211" s="20" t="n">
        <v>-802</v>
      </c>
      <c r="L211" s="20" t="n">
        <v>-795</v>
      </c>
      <c r="M211" s="20" t="n">
        <v>-904</v>
      </c>
      <c r="N211" s="20" t="n">
        <v>-696</v>
      </c>
      <c r="V211" s="20" t="n">
        <v>-894</v>
      </c>
      <c r="W211" s="20" t="n">
        <v>-881</v>
      </c>
      <c r="X211" s="20" t="n">
        <v>-904</v>
      </c>
    </row>
    <row r="212">
      <c r="A212" s="9" t="inlineStr">
        <is>
          <t>부문 이익(손실)</t>
        </is>
      </c>
      <c r="C212" s="12" t="n">
        <v>1715</v>
      </c>
      <c r="D212" s="12" t="n">
        <v>1977</v>
      </c>
      <c r="E212" s="12" t="n">
        <v>2589</v>
      </c>
      <c r="F212" s="12" t="n">
        <v>1623</v>
      </c>
      <c r="G212" s="12" t="n">
        <v>2182</v>
      </c>
      <c r="H212" s="12" t="n">
        <v>923</v>
      </c>
      <c r="I212" s="12" t="n">
        <v>2061</v>
      </c>
      <c r="J212" s="12" t="n">
        <v>1862</v>
      </c>
      <c r="K212" s="12" t="n">
        <v>1852</v>
      </c>
      <c r="L212" s="12" t="n">
        <v>2435</v>
      </c>
      <c r="M212" s="12" t="n">
        <v>2463</v>
      </c>
      <c r="N212" s="12" t="n">
        <v>2360</v>
      </c>
      <c r="V212" s="12" t="n">
        <v>2589</v>
      </c>
      <c r="W212" s="12" t="n">
        <v>2061</v>
      </c>
      <c r="X212" s="12" t="n">
        <v>2463</v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IF(OR(G212="",C212=""),"",IF(C212&lt;=0,"",IFERROR(G212/C212-1,"")))</f>
        <v/>
      </c>
      <c r="H213" s="15">
        <f>IF(OR(H212="",D212=""),"",IF(D212&lt;=0,"",IFERROR(H212/D212-1,"")))</f>
        <v/>
      </c>
      <c r="I213" s="15">
        <f>IF(OR(I212="",E212=""),"",IF(E212&lt;=0,"",IFERROR(I212/E212-1,"")))</f>
        <v/>
      </c>
      <c r="J213" s="15">
        <f>IF(OR(J212="",F212=""),"",IF(F212&lt;=0,"",IFERROR(J212/F212-1,"")))</f>
        <v/>
      </c>
      <c r="K213" s="15">
        <f>IF(OR(K212="",G212=""),"",IF(G212&lt;=0,"",IFERROR(K212/G212-1,"")))</f>
        <v/>
      </c>
      <c r="L213" s="15">
        <f>IF(OR(L212="",H212=""),"",IF(H212&lt;=0,"",IFERROR(L212/H212-1,"")))</f>
        <v/>
      </c>
      <c r="M213" s="15">
        <f>IF(OR(M212="",I212=""),"",IF(I212&lt;=0,"",IFERROR(M212/I212-1,"")))</f>
        <v/>
      </c>
      <c r="N213" s="15">
        <f>IF(OR(N212="",J212=""),"",IF(J212&lt;=0,"",IFERROR(N212/J212-1,"")))</f>
        <v/>
      </c>
      <c r="V213" s="15">
        <f>IF(OR(V212="",U212=""),"",IF(U212&lt;=0,"",IFERROR(V212/U212-1,"")))</f>
        <v/>
      </c>
      <c r="W213" s="15">
        <f>IF(OR(W212="",V212=""),"",IF(V212&lt;=0,"",IFERROR(W212/V212-1,"")))</f>
        <v/>
      </c>
      <c r="X213" s="15">
        <f>IF(OR(X212="",W212=""),"",IF(W212&lt;=0,"",IFERROR(X212/W212-1,"")))</f>
        <v/>
      </c>
    </row>
    <row r="215">
      <c r="A215" s="16" t="inlineStr">
        <is>
          <t>현금흐름표 · 전 항목</t>
        </is>
      </c>
      <c r="B215" s="42" t="inlineStr">
        <is>
          <t>분기 = 결산기 첫날부터 누계(공시 그대로)</t>
        </is>
      </c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  <c r="AA215" s="16" t="n"/>
      <c r="AB215" s="16" t="n"/>
      <c r="AC215" s="16" t="n"/>
    </row>
    <row r="216">
      <c r="A216" s="5" t="inlineStr">
        <is>
          <t>항목</t>
        </is>
      </c>
      <c r="B216" s="5" t="inlineStr">
        <is>
          <t>참고</t>
        </is>
      </c>
      <c r="C216" s="5" t="inlineStr">
        <is>
          <t>2024.2Q</t>
        </is>
      </c>
      <c r="D216" s="5" t="inlineStr">
        <is>
          <t>2024.3Q</t>
        </is>
      </c>
      <c r="E216" s="5" t="inlineStr">
        <is>
          <t>2024.4Q</t>
        </is>
      </c>
      <c r="F216" s="5" t="inlineStr">
        <is>
          <t>2025.1Q</t>
        </is>
      </c>
      <c r="G216" s="5" t="inlineStr">
        <is>
          <t>2025.2Q</t>
        </is>
      </c>
      <c r="H216" s="5" t="inlineStr">
        <is>
          <t>2025.3Q</t>
        </is>
      </c>
      <c r="I216" s="5" t="inlineStr">
        <is>
          <t>2025.4Q</t>
        </is>
      </c>
      <c r="J216" s="5" t="inlineStr">
        <is>
          <t>2026.1Q</t>
        </is>
      </c>
      <c r="K216" s="5" t="inlineStr">
        <is>
          <t>2026.2Q</t>
        </is>
      </c>
      <c r="L216" s="5" t="inlineStr">
        <is>
          <t>2026.3Q</t>
        </is>
      </c>
      <c r="M216" s="5" t="inlineStr">
        <is>
          <t>2026.4Q</t>
        </is>
      </c>
      <c r="N216" s="5" t="inlineStr">
        <is>
          <t>2027.1Q</t>
        </is>
      </c>
      <c r="O216" s="5" t="inlineStr">
        <is>
          <t>2017</t>
        </is>
      </c>
      <c r="P216" s="5" t="inlineStr">
        <is>
          <t>2018</t>
        </is>
      </c>
      <c r="Q216" s="5" t="inlineStr">
        <is>
          <t>2019</t>
        </is>
      </c>
      <c r="R216" s="5" t="inlineStr">
        <is>
          <t>2020</t>
        </is>
      </c>
      <c r="S216" s="5" t="inlineStr">
        <is>
          <t>2021</t>
        </is>
      </c>
      <c r="T216" s="5" t="inlineStr">
        <is>
          <t>2022</t>
        </is>
      </c>
      <c r="U216" s="5" t="inlineStr">
        <is>
          <t>2023</t>
        </is>
      </c>
      <c r="V216" s="5" t="inlineStr">
        <is>
          <t>2024</t>
        </is>
      </c>
      <c r="W216" s="5" t="inlineStr">
        <is>
          <t>2025</t>
        </is>
      </c>
      <c r="X216" s="5" t="inlineStr">
        <is>
          <t>2026</t>
        </is>
      </c>
      <c r="Y216" s="5" t="inlineStr">
        <is>
          <t>2027(MW)</t>
        </is>
      </c>
      <c r="Z216" s="5" t="inlineStr">
        <is>
          <t>2028(MW)</t>
        </is>
      </c>
      <c r="AA216" s="5" t="inlineStr">
        <is>
          <t>2029(MW)</t>
        </is>
      </c>
      <c r="AB216" s="5" t="inlineStr">
        <is>
          <t>2030(MW)</t>
        </is>
      </c>
      <c r="AC216" s="5" t="inlineStr">
        <is>
          <t>2031(MW)</t>
        </is>
      </c>
    </row>
    <row r="217">
      <c r="A217" s="9" t="inlineStr">
        <is>
          <t>법인세차감전 순이익</t>
        </is>
      </c>
      <c r="C217" s="12" t="n">
        <v>2996</v>
      </c>
      <c r="E217" s="12" t="n">
        <v>7524</v>
      </c>
      <c r="G217" s="12" t="n">
        <v>3879</v>
      </c>
      <c r="I217" s="12" t="n">
        <v>6774</v>
      </c>
      <c r="K217" s="12" t="n">
        <v>3757</v>
      </c>
      <c r="M217" s="12" t="n">
        <v>8603</v>
      </c>
      <c r="O217" s="12" t="n">
        <v>5254</v>
      </c>
      <c r="P217" s="12" t="n">
        <v>4205</v>
      </c>
      <c r="Q217" s="12" t="n">
        <v>6193</v>
      </c>
      <c r="R217" s="12" t="n">
        <v>5706</v>
      </c>
      <c r="S217" s="12" t="n">
        <v>6472</v>
      </c>
      <c r="T217" s="12" t="n">
        <v>5090</v>
      </c>
      <c r="U217" s="12" t="n">
        <v>1639</v>
      </c>
      <c r="V217" s="12" t="n">
        <v>7524</v>
      </c>
      <c r="W217" s="12" t="n">
        <v>6774</v>
      </c>
      <c r="X217" s="12" t="n">
        <v>8603</v>
      </c>
    </row>
    <row r="218">
      <c r="A218" s="18" t="inlineStr">
        <is>
          <t>감가상각비</t>
        </is>
      </c>
      <c r="C218" s="20" t="n">
        <v>1598</v>
      </c>
      <c r="E218" s="20" t="n">
        <v>3291</v>
      </c>
      <c r="G218" s="20" t="n">
        <v>1810</v>
      </c>
      <c r="I218" s="20" t="n">
        <v>3621</v>
      </c>
      <c r="K218" s="20" t="n">
        <v>1931</v>
      </c>
      <c r="M218" s="20" t="n">
        <v>3932</v>
      </c>
      <c r="O218" s="20" t="n">
        <v>1855</v>
      </c>
      <c r="P218" s="20" t="n">
        <v>2370</v>
      </c>
      <c r="Q218" s="20" t="n">
        <v>2395</v>
      </c>
      <c r="R218" s="20" t="n">
        <v>2513</v>
      </c>
      <c r="S218" s="20" t="n">
        <v>3157</v>
      </c>
      <c r="T218" s="20" t="n">
        <v>3198</v>
      </c>
      <c r="U218" s="20" t="n">
        <v>3235</v>
      </c>
      <c r="V218" s="20" t="n">
        <v>3291</v>
      </c>
      <c r="W218" s="20" t="n">
        <v>3621</v>
      </c>
      <c r="X218" s="20" t="n">
        <v>3932</v>
      </c>
    </row>
    <row r="219">
      <c r="A219" s="18" t="inlineStr">
        <is>
          <t>손상차손</t>
        </is>
      </c>
      <c r="C219" s="20" t="n">
        <v>6</v>
      </c>
      <c r="E219" s="20" t="n">
        <v>204</v>
      </c>
      <c r="G219" s="20" t="n">
        <v>47</v>
      </c>
      <c r="I219" s="20" t="n">
        <v>88</v>
      </c>
      <c r="K219" s="20" t="n">
        <v>4</v>
      </c>
      <c r="M219" s="20" t="n">
        <v>4</v>
      </c>
      <c r="O219" s="20" t="n">
        <v>163</v>
      </c>
      <c r="P219" s="20" t="n">
        <v>92</v>
      </c>
      <c r="Q219" s="20" t="n">
        <v>212</v>
      </c>
      <c r="R219" s="20" t="n">
        <v>4</v>
      </c>
      <c r="S219" s="20" t="n">
        <v>42</v>
      </c>
      <c r="T219" s="20" t="n">
        <v>143</v>
      </c>
      <c r="U219" s="20" t="n">
        <v>208</v>
      </c>
      <c r="V219" s="20" t="n">
        <v>204</v>
      </c>
      <c r="W219" s="20" t="n">
        <v>88</v>
      </c>
      <c r="X219" s="20" t="n">
        <v>4</v>
      </c>
    </row>
    <row r="220">
      <c r="A220" s="18" t="inlineStr">
        <is>
          <t>영업권 상각</t>
        </is>
      </c>
      <c r="O220" s="20" t="n">
        <v>2</v>
      </c>
      <c r="P220" s="20" t="n">
        <v>2</v>
      </c>
      <c r="Q220" s="20" t="n">
        <v>0</v>
      </c>
    </row>
    <row r="221">
      <c r="A221" s="18" t="inlineStr">
        <is>
          <t>지분법손익</t>
        </is>
      </c>
      <c r="C221" s="20" t="n">
        <v>-130</v>
      </c>
      <c r="E221" s="20" t="n">
        <v>312</v>
      </c>
      <c r="G221" s="20" t="n">
        <v>-238</v>
      </c>
      <c r="I221" s="20" t="n">
        <v>-129</v>
      </c>
      <c r="K221" s="20" t="n">
        <v>-316</v>
      </c>
      <c r="M221" s="20" t="n">
        <v>-339</v>
      </c>
      <c r="O221" s="20" t="n">
        <v>10</v>
      </c>
      <c r="P221" s="20" t="n">
        <v>-153</v>
      </c>
      <c r="Q221" s="20" t="n">
        <v>21</v>
      </c>
      <c r="R221" s="20" t="n">
        <v>50</v>
      </c>
      <c r="S221" s="20" t="n">
        <v>-17</v>
      </c>
      <c r="T221" s="20" t="n">
        <v>-109</v>
      </c>
      <c r="U221" s="20" t="n">
        <v>42</v>
      </c>
      <c r="V221" s="20" t="n">
        <v>312</v>
      </c>
      <c r="W221" s="20" t="n">
        <v>-129</v>
      </c>
      <c r="X221" s="20" t="n">
        <v>-339</v>
      </c>
    </row>
    <row r="222">
      <c r="A222" s="18" t="inlineStr">
        <is>
          <t>대손충당금 증감</t>
        </is>
      </c>
      <c r="C222" s="20" t="n">
        <v>-31</v>
      </c>
      <c r="E222" s="20" t="n">
        <v>125</v>
      </c>
      <c r="G222" s="20" t="n">
        <v>-112</v>
      </c>
      <c r="I222" s="20" t="n">
        <v>-135</v>
      </c>
      <c r="K222" s="20" t="n">
        <v>82</v>
      </c>
      <c r="M222" s="20" t="n">
        <v>93</v>
      </c>
      <c r="O222" s="20" t="n">
        <v>-49</v>
      </c>
      <c r="P222" s="20" t="n">
        <v>-92</v>
      </c>
      <c r="Q222" s="20" t="n">
        <v>55</v>
      </c>
      <c r="R222" s="20" t="n">
        <v>2</v>
      </c>
      <c r="S222" s="20" t="n">
        <v>-24</v>
      </c>
      <c r="T222" s="20" t="n">
        <v>1</v>
      </c>
      <c r="U222" s="20" t="n">
        <v>242</v>
      </c>
      <c r="V222" s="20" t="n">
        <v>125</v>
      </c>
      <c r="W222" s="20" t="n">
        <v>-135</v>
      </c>
      <c r="X222" s="20" t="n">
        <v>93</v>
      </c>
    </row>
    <row r="223">
      <c r="A223" s="18" t="inlineStr">
        <is>
          <t>상여충당금 증감</t>
        </is>
      </c>
      <c r="C223" s="20" t="n">
        <v>26</v>
      </c>
      <c r="E223" s="20" t="n">
        <v>214</v>
      </c>
      <c r="G223" s="20" t="n">
        <v>65</v>
      </c>
      <c r="I223" s="20" t="n">
        <v>18</v>
      </c>
      <c r="K223" s="20" t="n">
        <v>70</v>
      </c>
      <c r="M223" s="20" t="n">
        <v>120</v>
      </c>
      <c r="O223" s="20" t="n">
        <v>45</v>
      </c>
      <c r="P223" s="20" t="n">
        <v>27</v>
      </c>
      <c r="Q223" s="20" t="n">
        <v>-132</v>
      </c>
      <c r="R223" s="20" t="n">
        <v>102</v>
      </c>
      <c r="S223" s="20" t="n">
        <v>-17</v>
      </c>
      <c r="T223" s="20" t="n">
        <v>-49</v>
      </c>
      <c r="U223" s="20" t="n">
        <v>-127</v>
      </c>
      <c r="V223" s="20" t="n">
        <v>214</v>
      </c>
      <c r="W223" s="20" t="n">
        <v>18</v>
      </c>
      <c r="X223" s="20" t="n">
        <v>120</v>
      </c>
    </row>
    <row r="224">
      <c r="A224" s="18" t="inlineStr">
        <is>
          <t>퇴직급여부채 증감</t>
        </is>
      </c>
      <c r="C224" s="20" t="n">
        <v>20</v>
      </c>
      <c r="E224" s="20" t="n">
        <v>39</v>
      </c>
      <c r="G224" s="20" t="n">
        <v>88</v>
      </c>
      <c r="I224" s="20" t="n">
        <v>140</v>
      </c>
      <c r="K224" s="20" t="n">
        <v>21</v>
      </c>
      <c r="M224" s="20" t="n">
        <v>99</v>
      </c>
      <c r="O224" s="20" t="n">
        <v>61</v>
      </c>
      <c r="P224" s="20" t="n">
        <v>149</v>
      </c>
      <c r="Q224" s="20" t="n">
        <v>80</v>
      </c>
      <c r="R224" s="20" t="n">
        <v>95</v>
      </c>
      <c r="S224" s="20" t="n">
        <v>27</v>
      </c>
      <c r="T224" s="20" t="n">
        <v>74</v>
      </c>
      <c r="U224" s="20" t="n">
        <v>127</v>
      </c>
      <c r="V224" s="20" t="n">
        <v>39</v>
      </c>
      <c r="W224" s="20" t="n">
        <v>140</v>
      </c>
      <c r="X224" s="20" t="n">
        <v>99</v>
      </c>
    </row>
    <row r="225">
      <c r="A225" s="18" t="inlineStr">
        <is>
          <t>임원 퇴직위로 충당금 증감</t>
        </is>
      </c>
      <c r="O225" s="20" t="n">
        <v>0</v>
      </c>
      <c r="P225" s="20" t="n">
        <v>9</v>
      </c>
      <c r="Q225" s="20" t="n">
        <v>0</v>
      </c>
      <c r="R225" s="20" t="n">
        <v>-2</v>
      </c>
      <c r="S225" s="20" t="n">
        <v>-45</v>
      </c>
      <c r="T225" s="20" t="n">
        <v>0</v>
      </c>
    </row>
    <row r="226">
      <c r="A226" s="18" t="inlineStr">
        <is>
          <t>임원 주식급여 충당금 증감</t>
        </is>
      </c>
      <c r="P226" s="20" t="n">
        <v>0</v>
      </c>
      <c r="Q226" s="20" t="n">
        <v>29</v>
      </c>
    </row>
    <row r="227">
      <c r="A227" s="18" t="inlineStr">
        <is>
          <t>임원 주식급여 충당금 증감</t>
        </is>
      </c>
      <c r="C227" s="20" t="n">
        <v>-57</v>
      </c>
      <c r="E227" s="20" t="n">
        <v>-62</v>
      </c>
      <c r="G227" s="20" t="n">
        <v>-6</v>
      </c>
      <c r="I227" s="20" t="n">
        <v>6</v>
      </c>
      <c r="K227" s="20" t="n">
        <v>-9</v>
      </c>
      <c r="M227" s="20" t="n">
        <v>4</v>
      </c>
      <c r="Q227" s="20" t="n">
        <v>29</v>
      </c>
      <c r="R227" s="20" t="n">
        <v>37</v>
      </c>
      <c r="S227" s="20" t="n">
        <v>36</v>
      </c>
      <c r="T227" s="20" t="n">
        <v>52</v>
      </c>
      <c r="U227" s="20" t="n">
        <v>16</v>
      </c>
      <c r="V227" s="20" t="n">
        <v>-62</v>
      </c>
      <c r="W227" s="20" t="n">
        <v>6</v>
      </c>
      <c r="X227" s="20" t="n">
        <v>4</v>
      </c>
    </row>
    <row r="228">
      <c r="A228" s="18" t="inlineStr">
        <is>
          <t>환경대책 충당금 증감</t>
        </is>
      </c>
      <c r="O228" s="20" t="n">
        <v>0</v>
      </c>
      <c r="P228" s="20" t="n">
        <v>-2</v>
      </c>
      <c r="Q228" s="20" t="n">
        <v>-27</v>
      </c>
      <c r="R228" s="20" t="n">
        <v>0</v>
      </c>
    </row>
    <row r="229">
      <c r="A229" s="18" t="inlineStr">
        <is>
          <t>이자·배당금 수익</t>
        </is>
      </c>
      <c r="C229" s="20" t="n">
        <v>-117</v>
      </c>
      <c r="E229" s="20" t="n">
        <v>-165</v>
      </c>
      <c r="G229" s="20" t="n">
        <v>-119</v>
      </c>
      <c r="I229" s="20" t="n">
        <v>-170</v>
      </c>
      <c r="K229" s="20" t="n">
        <v>-149</v>
      </c>
      <c r="M229" s="20" t="n">
        <v>-214</v>
      </c>
      <c r="O229" s="20" t="n">
        <v>-156</v>
      </c>
      <c r="P229" s="20" t="n">
        <v>-160</v>
      </c>
      <c r="Q229" s="20" t="n">
        <v>-174</v>
      </c>
      <c r="R229" s="20" t="n">
        <v>-176</v>
      </c>
      <c r="S229" s="20" t="n">
        <v>-168</v>
      </c>
      <c r="T229" s="20" t="n">
        <v>-153</v>
      </c>
      <c r="U229" s="20" t="n">
        <v>-155</v>
      </c>
      <c r="V229" s="20" t="n">
        <v>-165</v>
      </c>
      <c r="W229" s="20" t="n">
        <v>-170</v>
      </c>
      <c r="X229" s="20" t="n">
        <v>-214</v>
      </c>
    </row>
    <row r="230">
      <c r="A230" s="18" t="inlineStr">
        <is>
          <t>이자비용</t>
        </is>
      </c>
      <c r="C230" s="20" t="n">
        <v>94</v>
      </c>
      <c r="E230" s="20" t="n">
        <v>183</v>
      </c>
      <c r="G230" s="20" t="n">
        <v>83</v>
      </c>
      <c r="I230" s="20" t="n">
        <v>190</v>
      </c>
      <c r="K230" s="20" t="n">
        <v>121</v>
      </c>
      <c r="M230" s="20" t="n">
        <v>250</v>
      </c>
      <c r="O230" s="20" t="n">
        <v>193</v>
      </c>
      <c r="P230" s="20" t="n">
        <v>144</v>
      </c>
      <c r="Q230" s="20" t="n">
        <v>118</v>
      </c>
      <c r="R230" s="20" t="n">
        <v>103</v>
      </c>
      <c r="S230" s="20" t="n">
        <v>99</v>
      </c>
      <c r="T230" s="20" t="n">
        <v>94</v>
      </c>
      <c r="U230" s="20" t="n">
        <v>158</v>
      </c>
      <c r="V230" s="20" t="n">
        <v>183</v>
      </c>
      <c r="W230" s="20" t="n">
        <v>190</v>
      </c>
      <c r="X230" s="20" t="n">
        <v>250</v>
      </c>
    </row>
    <row r="231">
      <c r="A231" s="18" t="inlineStr">
        <is>
          <t>부의 영업권 발생이익</t>
        </is>
      </c>
      <c r="C231" s="20" t="n">
        <v>0</v>
      </c>
      <c r="E231" s="20" t="n">
        <v>0</v>
      </c>
      <c r="G231" s="20" t="n">
        <v>-338</v>
      </c>
      <c r="I231" s="20" t="n">
        <v>-338</v>
      </c>
      <c r="K231" s="20" t="n">
        <v>0</v>
      </c>
      <c r="M231" s="20" t="n">
        <v>0</v>
      </c>
      <c r="V231" s="20" t="n">
        <v>0</v>
      </c>
      <c r="W231" s="20" t="n">
        <v>-338</v>
      </c>
      <c r="X231" s="20" t="n">
        <v>0</v>
      </c>
    </row>
    <row r="232">
      <c r="A232" s="18" t="inlineStr">
        <is>
          <t>투자유가증권 평가손익</t>
        </is>
      </c>
      <c r="C232" s="20" t="n">
        <v>2</v>
      </c>
      <c r="E232" s="20" t="n">
        <v>2</v>
      </c>
      <c r="G232" s="20" t="n">
        <v>0</v>
      </c>
      <c r="I232" s="20" t="n">
        <v>0</v>
      </c>
      <c r="U232" s="20" t="n">
        <v>0</v>
      </c>
      <c r="V232" s="20" t="n">
        <v>2</v>
      </c>
      <c r="W232" s="20" t="n">
        <v>0</v>
      </c>
    </row>
    <row r="233">
      <c r="A233" s="18" t="inlineStr">
        <is>
          <t>투자유가증권 매각손익</t>
        </is>
      </c>
      <c r="E233" s="20" t="n">
        <v>-206</v>
      </c>
      <c r="I233" s="20" t="n">
        <v>0</v>
      </c>
      <c r="O233" s="20" t="n">
        <v>0</v>
      </c>
      <c r="P233" s="20" t="n">
        <v>-117</v>
      </c>
      <c r="Q233" s="20" t="n">
        <v>-327</v>
      </c>
      <c r="R233" s="20" t="n">
        <v>-106</v>
      </c>
      <c r="S233" s="20" t="n">
        <v>74</v>
      </c>
      <c r="T233" s="20" t="n">
        <v>-45</v>
      </c>
      <c r="U233" s="20" t="n">
        <v>-305</v>
      </c>
      <c r="V233" s="20" t="n">
        <v>-206</v>
      </c>
      <c r="W233" s="20" t="n">
        <v>0</v>
      </c>
    </row>
    <row r="234">
      <c r="A234" s="18" t="inlineStr">
        <is>
          <t>자회사 주식 매각손익</t>
        </is>
      </c>
      <c r="O234" s="20" t="n">
        <v>0</v>
      </c>
      <c r="P234" s="20" t="n">
        <v>49</v>
      </c>
      <c r="Q234" s="20" t="n">
        <v>0</v>
      </c>
    </row>
    <row r="235">
      <c r="A235" s="18" t="inlineStr">
        <is>
          <t>자회사 정리손실</t>
        </is>
      </c>
      <c r="C235" s="20" t="n">
        <v>0</v>
      </c>
      <c r="E235" s="20" t="n">
        <v>0</v>
      </c>
      <c r="T235" s="20" t="n">
        <v>0</v>
      </c>
      <c r="U235" s="20" t="n">
        <v>0</v>
      </c>
      <c r="V235" s="20" t="n">
        <v>0</v>
      </c>
    </row>
    <row r="236">
      <c r="A236" s="18" t="inlineStr">
        <is>
          <t>관계회사 주식 평가손실</t>
        </is>
      </c>
      <c r="R236" s="20" t="n">
        <v>0</v>
      </c>
      <c r="S236" s="20" t="n">
        <v>8</v>
      </c>
      <c r="T236" s="20" t="n">
        <v>2</v>
      </c>
      <c r="U236" s="20" t="n">
        <v>0</v>
      </c>
    </row>
    <row r="237">
      <c r="A237" s="18" t="inlineStr">
        <is>
          <t>지급수수료</t>
        </is>
      </c>
      <c r="C237" s="20" t="n">
        <v>6</v>
      </c>
      <c r="E237" s="20" t="n">
        <v>14</v>
      </c>
      <c r="G237" s="20" t="n">
        <v>27</v>
      </c>
      <c r="I237" s="20" t="n">
        <v>34</v>
      </c>
      <c r="K237" s="20" t="n">
        <v>57</v>
      </c>
      <c r="M237" s="20" t="n">
        <v>63</v>
      </c>
      <c r="O237" s="20" t="n">
        <v>0</v>
      </c>
      <c r="P237" s="20" t="n">
        <v>91</v>
      </c>
      <c r="Q237" s="20" t="n">
        <v>0</v>
      </c>
      <c r="T237" s="20" t="n">
        <v>1</v>
      </c>
      <c r="U237" s="20" t="n">
        <v>78</v>
      </c>
      <c r="V237" s="20" t="n">
        <v>14</v>
      </c>
      <c r="W237" s="20" t="n">
        <v>34</v>
      </c>
      <c r="X237" s="20" t="n">
        <v>63</v>
      </c>
    </row>
    <row r="238">
      <c r="A238" s="18" t="inlineStr">
        <is>
          <t>재해 손실</t>
        </is>
      </c>
      <c r="P238" s="20" t="n">
        <v>0</v>
      </c>
      <c r="Q238" s="20" t="n">
        <v>56</v>
      </c>
    </row>
    <row r="239">
      <c r="A239" s="18" t="inlineStr">
        <is>
          <t>관계회사 주식 매각손익</t>
        </is>
      </c>
      <c r="C239" s="20" t="n">
        <v>0</v>
      </c>
      <c r="E239" s="20" t="n">
        <v>0</v>
      </c>
      <c r="G239" s="20" t="n">
        <v>8</v>
      </c>
      <c r="I239" s="20" t="n">
        <v>8</v>
      </c>
      <c r="K239" s="20" t="n">
        <v>0</v>
      </c>
      <c r="M239" s="20" t="n">
        <v>0</v>
      </c>
      <c r="Q239" s="20" t="n">
        <v>0</v>
      </c>
      <c r="R239" s="20" t="n">
        <v>-22</v>
      </c>
      <c r="S239" s="20" t="n">
        <v>5</v>
      </c>
      <c r="T239" s="20" t="n">
        <v>0</v>
      </c>
      <c r="V239" s="20" t="n">
        <v>0</v>
      </c>
      <c r="W239" s="20" t="n">
        <v>8</v>
      </c>
      <c r="X239" s="20" t="n">
        <v>0</v>
      </c>
    </row>
    <row r="240">
      <c r="A240" s="18" t="inlineStr">
        <is>
          <t>사업분리 이전이익</t>
        </is>
      </c>
      <c r="P240" s="20" t="n">
        <v>0</v>
      </c>
      <c r="Q240" s="20" t="n">
        <v>-11</v>
      </c>
      <c r="R240" s="20" t="n">
        <v>0</v>
      </c>
    </row>
    <row r="241">
      <c r="A241" s="18" t="inlineStr">
        <is>
          <t>사업양도 손익</t>
        </is>
      </c>
      <c r="E241" s="20" t="n">
        <v>0</v>
      </c>
      <c r="I241" s="20" t="n">
        <v>-10</v>
      </c>
      <c r="M241" s="20" t="n">
        <v>0</v>
      </c>
      <c r="O241" s="20" t="n">
        <v>-5</v>
      </c>
      <c r="P241" s="20" t="n">
        <v>0</v>
      </c>
      <c r="R241" s="20" t="n">
        <v>0</v>
      </c>
      <c r="S241" s="20" t="n">
        <v>-21</v>
      </c>
      <c r="T241" s="20" t="n">
        <v>0</v>
      </c>
      <c r="V241" s="20" t="n">
        <v>0</v>
      </c>
      <c r="W241" s="20" t="n">
        <v>-10</v>
      </c>
      <c r="X241" s="20" t="n">
        <v>0</v>
      </c>
    </row>
    <row r="242">
      <c r="A242" s="18" t="inlineStr">
        <is>
          <t>고정자산 제각·매각손익</t>
        </is>
      </c>
      <c r="C242" s="20" t="n">
        <v>22</v>
      </c>
      <c r="E242" s="20" t="n">
        <v>51</v>
      </c>
      <c r="G242" s="20" t="n">
        <v>20</v>
      </c>
      <c r="I242" s="20" t="n">
        <v>85</v>
      </c>
      <c r="K242" s="20" t="n">
        <v>-48</v>
      </c>
      <c r="M242" s="20" t="n">
        <v>4</v>
      </c>
      <c r="O242" s="20" t="n">
        <v>-503</v>
      </c>
      <c r="P242" s="20" t="n">
        <v>57</v>
      </c>
      <c r="Q242" s="20" t="n">
        <v>-1788</v>
      </c>
      <c r="R242" s="20" t="n">
        <v>48</v>
      </c>
      <c r="S242" s="20" t="n">
        <v>-10</v>
      </c>
      <c r="T242" s="20" t="n">
        <v>77</v>
      </c>
      <c r="U242" s="20" t="n">
        <v>19</v>
      </c>
      <c r="V242" s="20" t="n">
        <v>51</v>
      </c>
      <c r="W242" s="20" t="n">
        <v>85</v>
      </c>
      <c r="X242" s="20" t="n">
        <v>4</v>
      </c>
    </row>
    <row r="243">
      <c r="A243" s="18" t="inlineStr">
        <is>
          <t>화재손실</t>
        </is>
      </c>
      <c r="O243" s="20" t="n">
        <v>342</v>
      </c>
      <c r="P243" s="20" t="n">
        <v>0</v>
      </c>
    </row>
    <row r="244">
      <c r="A244" s="18" t="inlineStr">
        <is>
          <t>보조금 수입</t>
        </is>
      </c>
      <c r="E244" s="20" t="n">
        <v>0</v>
      </c>
      <c r="O244" s="20" t="n">
        <v>0</v>
      </c>
      <c r="P244" s="20" t="n">
        <v>-267</v>
      </c>
      <c r="Q244" s="20" t="n">
        <v>-2</v>
      </c>
      <c r="R244" s="20" t="n">
        <v>0</v>
      </c>
      <c r="S244" s="20" t="n">
        <v>-535</v>
      </c>
      <c r="T244" s="20" t="n">
        <v>-196</v>
      </c>
      <c r="U244" s="20" t="n">
        <v>-61</v>
      </c>
      <c r="V244" s="20" t="n">
        <v>0</v>
      </c>
    </row>
    <row r="245">
      <c r="A245" s="18" t="inlineStr">
        <is>
          <t>수취 손해배상금</t>
        </is>
      </c>
      <c r="P245" s="20" t="n">
        <v>0</v>
      </c>
      <c r="Q245" s="20" t="n">
        <v>-48</v>
      </c>
      <c r="R245" s="20" t="n">
        <v>0</v>
      </c>
    </row>
    <row r="246">
      <c r="A246" s="18" t="inlineStr">
        <is>
          <t>재해 손실</t>
        </is>
      </c>
      <c r="Q246" s="20" t="n">
        <v>56</v>
      </c>
      <c r="R246" s="20" t="n">
        <v>0</v>
      </c>
    </row>
    <row r="247">
      <c r="A247" s="18" t="inlineStr">
        <is>
          <t>Loss On Retirement Of Inventories Ope CF</t>
        </is>
      </c>
      <c r="P247" s="20" t="n">
        <v>0</v>
      </c>
      <c r="Q247" s="20" t="n">
        <v>40</v>
      </c>
      <c r="R247" s="20" t="n">
        <v>0</v>
      </c>
    </row>
    <row r="248">
      <c r="A248" s="18" t="inlineStr">
        <is>
          <t>위약금 손실</t>
        </is>
      </c>
      <c r="P248" s="20" t="n">
        <v>0</v>
      </c>
      <c r="Q248" s="20" t="n">
        <v>52</v>
      </c>
      <c r="R248" s="20" t="n">
        <v>0</v>
      </c>
    </row>
    <row r="249">
      <c r="A249" s="18" t="inlineStr">
        <is>
          <t>Nonrecurring Loss Ope CF</t>
        </is>
      </c>
      <c r="Q249" s="20" t="n">
        <v>0</v>
      </c>
      <c r="R249" s="20" t="n">
        <v>62</v>
      </c>
      <c r="S249" s="20" t="n">
        <v>0</v>
      </c>
    </row>
    <row r="250">
      <c r="A250" s="18" t="inlineStr">
        <is>
          <t>고정자산 수증이익</t>
        </is>
      </c>
      <c r="E250" s="20" t="n">
        <v>0</v>
      </c>
      <c r="I250" s="20" t="n">
        <v>-8</v>
      </c>
      <c r="M250" s="20" t="n">
        <v>0</v>
      </c>
      <c r="V250" s="20" t="n">
        <v>0</v>
      </c>
      <c r="W250" s="20" t="n">
        <v>-8</v>
      </c>
      <c r="X250" s="20" t="n">
        <v>0</v>
      </c>
    </row>
    <row r="251">
      <c r="A251" s="18" t="inlineStr">
        <is>
          <t>고정자산 압축손실</t>
        </is>
      </c>
      <c r="E251" s="20" t="n">
        <v>0</v>
      </c>
      <c r="I251" s="20" t="n">
        <v>8</v>
      </c>
      <c r="M251" s="20" t="n">
        <v>0</v>
      </c>
      <c r="P251" s="20" t="n">
        <v>0</v>
      </c>
      <c r="Q251" s="20" t="n">
        <v>2</v>
      </c>
      <c r="R251" s="20" t="n">
        <v>0</v>
      </c>
      <c r="S251" s="20" t="n">
        <v>26</v>
      </c>
      <c r="T251" s="20" t="n">
        <v>12</v>
      </c>
      <c r="U251" s="20" t="n">
        <v>0</v>
      </c>
      <c r="V251" s="20" t="n">
        <v>0</v>
      </c>
      <c r="W251" s="20" t="n">
        <v>8</v>
      </c>
      <c r="X251" s="20" t="n">
        <v>0</v>
      </c>
    </row>
    <row r="252">
      <c r="A252" s="18" t="inlineStr">
        <is>
          <t>Loss On Valuation Of Investments In Capital Ope CF</t>
        </is>
      </c>
      <c r="P252" s="20" t="n">
        <v>0</v>
      </c>
      <c r="Q252" s="20" t="n">
        <v>24</v>
      </c>
      <c r="R252" s="20" t="n">
        <v>0</v>
      </c>
    </row>
    <row r="253">
      <c r="A253" s="18" t="inlineStr">
        <is>
          <t>골프회원권 평가손실</t>
        </is>
      </c>
      <c r="Q253" s="20" t="n">
        <v>0</v>
      </c>
      <c r="R253" s="20" t="n">
        <v>14</v>
      </c>
      <c r="S253" s="20" t="n">
        <v>0</v>
      </c>
    </row>
    <row r="254">
      <c r="A254" s="18" t="inlineStr">
        <is>
          <t>보험금 수익</t>
        </is>
      </c>
      <c r="E254" s="20" t="n">
        <v>0</v>
      </c>
      <c r="I254" s="20" t="n">
        <v>-10</v>
      </c>
      <c r="M254" s="20" t="n">
        <v>0</v>
      </c>
      <c r="O254" s="20" t="n">
        <v>-307</v>
      </c>
      <c r="P254" s="20" t="n">
        <v>0</v>
      </c>
      <c r="Q254" s="20" t="n">
        <v>-15</v>
      </c>
      <c r="R254" s="20" t="n">
        <v>0</v>
      </c>
      <c r="S254" s="20" t="n">
        <v>0</v>
      </c>
      <c r="T254" s="20" t="n">
        <v>-18</v>
      </c>
      <c r="U254" s="20" t="n">
        <v>0</v>
      </c>
      <c r="V254" s="20" t="n">
        <v>0</v>
      </c>
      <c r="W254" s="20" t="n">
        <v>-10</v>
      </c>
      <c r="X254" s="20" t="n">
        <v>0</v>
      </c>
    </row>
    <row r="255">
      <c r="A255" s="18" t="inlineStr">
        <is>
          <t>Loss Gain On Sales Of Membership Ope CF</t>
        </is>
      </c>
      <c r="E255" s="20" t="n">
        <v>11</v>
      </c>
      <c r="I255" s="20" t="n">
        <v>0</v>
      </c>
      <c r="U255" s="20" t="n">
        <v>0</v>
      </c>
      <c r="V255" s="20" t="n">
        <v>11</v>
      </c>
      <c r="W255" s="20" t="n">
        <v>0</v>
      </c>
    </row>
    <row r="256">
      <c r="A256" s="18" t="inlineStr">
        <is>
          <t>본사 이전 비용</t>
        </is>
      </c>
      <c r="C256" s="20" t="n">
        <v>0</v>
      </c>
      <c r="E256" s="20" t="n">
        <v>0</v>
      </c>
      <c r="G256" s="20" t="n">
        <v>29</v>
      </c>
      <c r="I256" s="20" t="n">
        <v>32</v>
      </c>
      <c r="K256" s="20" t="n">
        <v>0</v>
      </c>
      <c r="M256" s="20" t="n">
        <v>0</v>
      </c>
      <c r="V256" s="20" t="n">
        <v>0</v>
      </c>
      <c r="W256" s="20" t="n">
        <v>32</v>
      </c>
      <c r="X256" s="20" t="n">
        <v>0</v>
      </c>
    </row>
    <row r="257">
      <c r="A257" s="18" t="inlineStr">
        <is>
          <t>단계적 취득 차손익</t>
        </is>
      </c>
      <c r="C257" s="20" t="n">
        <v>0</v>
      </c>
      <c r="E257" s="20" t="n">
        <v>0</v>
      </c>
      <c r="G257" s="20" t="n">
        <v>158</v>
      </c>
      <c r="I257" s="20" t="n">
        <v>158</v>
      </c>
      <c r="K257" s="20" t="n">
        <v>0</v>
      </c>
      <c r="M257" s="20" t="n">
        <v>0</v>
      </c>
      <c r="V257" s="20" t="n">
        <v>0</v>
      </c>
      <c r="W257" s="20" t="n">
        <v>158</v>
      </c>
      <c r="X257" s="20" t="n">
        <v>0</v>
      </c>
    </row>
    <row r="258">
      <c r="A258" s="18" t="inlineStr">
        <is>
          <t>매출채권 증감</t>
        </is>
      </c>
      <c r="C258" s="20" t="n">
        <v>-2907</v>
      </c>
      <c r="E258" s="20" t="n">
        <v>-1759</v>
      </c>
      <c r="G258" s="20" t="n">
        <v>8440</v>
      </c>
      <c r="I258" s="20" t="n">
        <v>9861</v>
      </c>
      <c r="K258" s="20" t="n">
        <v>1534</v>
      </c>
      <c r="M258" s="20" t="n">
        <v>583</v>
      </c>
      <c r="O258" s="20" t="n">
        <v>2130</v>
      </c>
      <c r="P258" s="20" t="n">
        <v>-2718</v>
      </c>
      <c r="Q258" s="20" t="n">
        <v>-1484</v>
      </c>
      <c r="R258" s="20" t="n">
        <v>3339</v>
      </c>
      <c r="S258" s="20" t="n">
        <v>-2868</v>
      </c>
      <c r="T258" s="20" t="n">
        <v>-6483</v>
      </c>
      <c r="U258" s="20" t="n">
        <v>-12565</v>
      </c>
      <c r="V258" s="20" t="n">
        <v>-1759</v>
      </c>
      <c r="W258" s="20" t="n">
        <v>9861</v>
      </c>
      <c r="X258" s="20" t="n">
        <v>583</v>
      </c>
    </row>
    <row r="259">
      <c r="A259" s="18" t="inlineStr">
        <is>
          <t>재고자산 증감</t>
        </is>
      </c>
      <c r="C259" s="20" t="n">
        <v>1348</v>
      </c>
      <c r="E259" s="20" t="n">
        <v>3278</v>
      </c>
      <c r="G259" s="20" t="n">
        <v>-1645</v>
      </c>
      <c r="I259" s="20" t="n">
        <v>-2065</v>
      </c>
      <c r="K259" s="20" t="n">
        <v>3251</v>
      </c>
      <c r="M259" s="20" t="n">
        <v>1722</v>
      </c>
      <c r="O259" s="20" t="n">
        <v>812</v>
      </c>
      <c r="P259" s="20" t="n">
        <v>-616</v>
      </c>
      <c r="Q259" s="20" t="n">
        <v>-1721</v>
      </c>
      <c r="R259" s="20" t="n">
        <v>-250</v>
      </c>
      <c r="S259" s="20" t="n">
        <v>-278</v>
      </c>
      <c r="T259" s="20" t="n">
        <v>-3362</v>
      </c>
      <c r="U259" s="20" t="n">
        <v>-4635</v>
      </c>
      <c r="V259" s="20" t="n">
        <v>3278</v>
      </c>
      <c r="W259" s="20" t="n">
        <v>-2065</v>
      </c>
      <c r="X259" s="20" t="n">
        <v>1722</v>
      </c>
    </row>
    <row r="260">
      <c r="A260" s="18" t="inlineStr">
        <is>
          <t>매입채무 증감</t>
        </is>
      </c>
      <c r="C260" s="20" t="n">
        <v>8710</v>
      </c>
      <c r="E260" s="20" t="n">
        <v>-2114</v>
      </c>
      <c r="G260" s="20" t="n">
        <v>-4762</v>
      </c>
      <c r="I260" s="20" t="n">
        <v>-5617</v>
      </c>
      <c r="K260" s="20" t="n">
        <v>-2335</v>
      </c>
      <c r="M260" s="20" t="n">
        <v>1973</v>
      </c>
      <c r="O260" s="20" t="n">
        <v>527</v>
      </c>
      <c r="P260" s="20" t="n">
        <v>6007</v>
      </c>
      <c r="Q260" s="20" t="n">
        <v>2256</v>
      </c>
      <c r="R260" s="20" t="n">
        <v>-8296</v>
      </c>
      <c r="S260" s="20" t="n">
        <v>5198</v>
      </c>
      <c r="T260" s="20" t="n">
        <v>5358</v>
      </c>
      <c r="U260" s="20" t="n">
        <v>5579</v>
      </c>
      <c r="V260" s="20" t="n">
        <v>-2114</v>
      </c>
      <c r="W260" s="20" t="n">
        <v>-5617</v>
      </c>
      <c r="X260" s="20" t="n">
        <v>1973</v>
      </c>
    </row>
    <row r="261">
      <c r="A261" s="18" t="inlineStr">
        <is>
          <t>기타</t>
        </is>
      </c>
      <c r="C261" s="20" t="n">
        <v>1199</v>
      </c>
      <c r="E261" s="20" t="n">
        <v>712</v>
      </c>
      <c r="G261" s="20" t="n">
        <v>-826</v>
      </c>
      <c r="I261" s="20" t="n">
        <v>-630</v>
      </c>
      <c r="K261" s="20" t="n">
        <v>277</v>
      </c>
      <c r="M261" s="20" t="n">
        <v>884</v>
      </c>
      <c r="O261" s="20" t="n">
        <v>1559</v>
      </c>
      <c r="P261" s="20" t="n">
        <v>878</v>
      </c>
      <c r="Q261" s="20" t="n">
        <v>-113</v>
      </c>
      <c r="R261" s="20" t="n">
        <v>14</v>
      </c>
      <c r="S261" s="20" t="n">
        <v>-1305</v>
      </c>
      <c r="T261" s="20" t="n">
        <v>1058</v>
      </c>
      <c r="U261" s="20" t="n">
        <v>-696</v>
      </c>
      <c r="V261" s="20" t="n">
        <v>712</v>
      </c>
      <c r="W261" s="20" t="n">
        <v>-630</v>
      </c>
      <c r="X261" s="20" t="n">
        <v>884</v>
      </c>
    </row>
    <row r="262">
      <c r="A262" s="18" t="inlineStr">
        <is>
          <t>소계</t>
        </is>
      </c>
      <c r="C262" s="20" t="n">
        <v>12787</v>
      </c>
      <c r="E262" s="20" t="n">
        <v>11658</v>
      </c>
      <c r="G262" s="20" t="n">
        <v>6609</v>
      </c>
      <c r="I262" s="20" t="n">
        <v>11913</v>
      </c>
      <c r="K262" s="20" t="n">
        <v>8251</v>
      </c>
      <c r="M262" s="20" t="n">
        <v>17785</v>
      </c>
      <c r="O262" s="20" t="n">
        <v>11936</v>
      </c>
      <c r="P262" s="20" t="n">
        <v>9955</v>
      </c>
      <c r="Q262" s="20" t="n">
        <v>5693</v>
      </c>
      <c r="R262" s="20" t="n">
        <v>3239</v>
      </c>
      <c r="S262" s="20" t="n">
        <v>9857</v>
      </c>
      <c r="T262" s="20" t="n">
        <v>4748</v>
      </c>
      <c r="U262" s="20" t="n">
        <v>-7278</v>
      </c>
      <c r="V262" s="20" t="n">
        <v>11658</v>
      </c>
      <c r="W262" s="20" t="n">
        <v>11913</v>
      </c>
      <c r="X262" s="20" t="n">
        <v>17785</v>
      </c>
    </row>
    <row r="263">
      <c r="A263" s="18" t="inlineStr">
        <is>
          <t>법인세 납부</t>
        </is>
      </c>
      <c r="C263" s="20" t="n">
        <v>-288</v>
      </c>
      <c r="E263" s="20" t="n">
        <v>-519</v>
      </c>
      <c r="G263" s="20" t="n">
        <v>-2129</v>
      </c>
      <c r="I263" s="20" t="n">
        <v>-3321</v>
      </c>
      <c r="K263" s="20" t="n">
        <v>-79</v>
      </c>
      <c r="M263" s="20" t="n">
        <v>-695</v>
      </c>
      <c r="O263" s="20" t="n">
        <v>-466</v>
      </c>
      <c r="P263" s="20" t="n">
        <v>-755</v>
      </c>
      <c r="Q263" s="20" t="n">
        <v>-806</v>
      </c>
      <c r="R263" s="20" t="n">
        <v>-2050</v>
      </c>
      <c r="S263" s="20" t="n">
        <v>-2120</v>
      </c>
      <c r="T263" s="20" t="n">
        <v>-2025</v>
      </c>
      <c r="U263" s="20" t="n">
        <v>-538</v>
      </c>
      <c r="V263" s="20" t="n">
        <v>-519</v>
      </c>
      <c r="W263" s="20" t="n">
        <v>-3321</v>
      </c>
      <c r="X263" s="20" t="n">
        <v>-695</v>
      </c>
    </row>
    <row r="264">
      <c r="A264" s="18" t="inlineStr">
        <is>
          <t>재해손실 지급</t>
        </is>
      </c>
      <c r="P264" s="20" t="n">
        <v>0</v>
      </c>
      <c r="Q264" s="20" t="n">
        <v>-56</v>
      </c>
      <c r="R264" s="20" t="n">
        <v>0</v>
      </c>
    </row>
    <row r="265">
      <c r="A265" s="18" t="inlineStr">
        <is>
          <t>위약금 지급액</t>
        </is>
      </c>
      <c r="P265" s="20" t="n">
        <v>0</v>
      </c>
      <c r="Q265" s="20" t="n">
        <v>-52</v>
      </c>
      <c r="R265" s="20" t="n">
        <v>0</v>
      </c>
    </row>
    <row r="266">
      <c r="A266" s="18" t="inlineStr">
        <is>
          <t>손해배상금 수취액</t>
        </is>
      </c>
      <c r="P266" s="20" t="n">
        <v>0</v>
      </c>
      <c r="Q266" s="20" t="n">
        <v>48</v>
      </c>
      <c r="R266" s="20" t="n">
        <v>0</v>
      </c>
    </row>
    <row r="267">
      <c r="A267" s="18" t="inlineStr">
        <is>
          <t>Nonrecurring Loss Paid Ope CF</t>
        </is>
      </c>
      <c r="Q267" s="20" t="n">
        <v>0</v>
      </c>
      <c r="R267" s="20" t="n">
        <v>-62</v>
      </c>
      <c r="S267" s="20" t="n">
        <v>0</v>
      </c>
    </row>
    <row r="268">
      <c r="A268" s="18" t="inlineStr">
        <is>
          <t>Payments For Head Office Relocation Expenses Ope CF</t>
        </is>
      </c>
      <c r="C268" s="20" t="n">
        <v>0</v>
      </c>
      <c r="E268" s="20" t="n">
        <v>0</v>
      </c>
      <c r="G268" s="20" t="n">
        <v>-24</v>
      </c>
      <c r="I268" s="20" t="n">
        <v>-32</v>
      </c>
      <c r="K268" s="20" t="n">
        <v>0</v>
      </c>
      <c r="M268" s="20" t="n">
        <v>0</v>
      </c>
      <c r="V268" s="20" t="n">
        <v>0</v>
      </c>
      <c r="W268" s="20" t="n">
        <v>-32</v>
      </c>
      <c r="X268" s="20" t="n">
        <v>0</v>
      </c>
    </row>
    <row r="269">
      <c r="A269" s="18" t="inlineStr">
        <is>
          <t>보험금 수취</t>
        </is>
      </c>
      <c r="E269" s="20" t="n">
        <v>0</v>
      </c>
      <c r="I269" s="20" t="n">
        <v>10</v>
      </c>
      <c r="M269" s="20" t="n">
        <v>0</v>
      </c>
      <c r="O269" s="20" t="n">
        <v>307</v>
      </c>
      <c r="P269" s="20" t="n">
        <v>0</v>
      </c>
      <c r="Q269" s="20" t="n">
        <v>15</v>
      </c>
      <c r="R269" s="20" t="n">
        <v>0</v>
      </c>
      <c r="S269" s="20" t="n">
        <v>0</v>
      </c>
      <c r="T269" s="20" t="n">
        <v>18</v>
      </c>
      <c r="U269" s="20" t="n">
        <v>0</v>
      </c>
      <c r="V269" s="20" t="n">
        <v>0</v>
      </c>
      <c r="W269" s="20" t="n">
        <v>10</v>
      </c>
      <c r="X269" s="20" t="n">
        <v>0</v>
      </c>
    </row>
    <row r="270">
      <c r="A270" s="9" t="inlineStr">
        <is>
          <t>영업활동 현금흐름</t>
        </is>
      </c>
      <c r="C270" s="12" t="n">
        <v>12499</v>
      </c>
      <c r="E270" s="12" t="n">
        <v>11138</v>
      </c>
      <c r="G270" s="12" t="n">
        <v>4455</v>
      </c>
      <c r="I270" s="12" t="n">
        <v>8570</v>
      </c>
      <c r="K270" s="12" t="n">
        <v>8172</v>
      </c>
      <c r="M270" s="12" t="n">
        <v>17090</v>
      </c>
      <c r="O270" s="12" t="n">
        <v>11777</v>
      </c>
      <c r="P270" s="12" t="n">
        <v>9199</v>
      </c>
      <c r="Q270" s="12" t="n">
        <v>4842</v>
      </c>
      <c r="R270" s="12" t="n">
        <v>1127</v>
      </c>
      <c r="S270" s="12" t="n">
        <v>7737</v>
      </c>
      <c r="T270" s="12" t="n">
        <v>2740</v>
      </c>
      <c r="U270" s="12" t="n">
        <v>-7816</v>
      </c>
      <c r="V270" s="12" t="n">
        <v>11138</v>
      </c>
      <c r="W270" s="12" t="n">
        <v>8570</v>
      </c>
      <c r="X270" s="12" t="n">
        <v>17090</v>
      </c>
    </row>
    <row r="271">
      <c r="A271" s="18" t="inlineStr">
        <is>
          <t>Purchase Of Property Plant And Equipment And Intangible Assets Inv CF</t>
        </is>
      </c>
      <c r="C271" s="20" t="n">
        <v>-1260</v>
      </c>
      <c r="E271" s="20" t="n">
        <v>-2649</v>
      </c>
      <c r="G271" s="20" t="n">
        <v>-1717</v>
      </c>
      <c r="I271" s="20" t="n">
        <v>-3659</v>
      </c>
      <c r="K271" s="20" t="n">
        <v>-7294</v>
      </c>
      <c r="M271" s="20" t="n">
        <v>-12315</v>
      </c>
      <c r="O271" s="20" t="n">
        <v>-2733</v>
      </c>
      <c r="P271" s="20" t="n">
        <v>-8123</v>
      </c>
      <c r="Q271" s="20" t="n">
        <v>-3746</v>
      </c>
      <c r="R271" s="20" t="n">
        <v>-7356</v>
      </c>
      <c r="S271" s="20" t="n">
        <v>-7036</v>
      </c>
      <c r="T271" s="20" t="n">
        <v>-2623</v>
      </c>
      <c r="U271" s="20" t="n">
        <v>-2070</v>
      </c>
      <c r="V271" s="20" t="n">
        <v>-2649</v>
      </c>
      <c r="W271" s="20" t="n">
        <v>-3659</v>
      </c>
      <c r="X271" s="20" t="n">
        <v>-12315</v>
      </c>
    </row>
    <row r="272">
      <c r="A272" s="18" t="inlineStr">
        <is>
          <t>Proceeds From Sales Of Property Plant And Equipment And Intangible Assets Inv CF</t>
        </is>
      </c>
      <c r="C272" s="20" t="n">
        <v>16</v>
      </c>
      <c r="E272" s="20" t="n">
        <v>59</v>
      </c>
      <c r="G272" s="20" t="n">
        <v>13</v>
      </c>
      <c r="I272" s="20" t="n">
        <v>60</v>
      </c>
      <c r="K272" s="20" t="n">
        <v>602</v>
      </c>
      <c r="M272" s="20" t="n">
        <v>614</v>
      </c>
      <c r="O272" s="20" t="n">
        <v>1641</v>
      </c>
      <c r="P272" s="20" t="n">
        <v>299</v>
      </c>
      <c r="Q272" s="20" t="n">
        <v>2421</v>
      </c>
      <c r="R272" s="20" t="n">
        <v>28</v>
      </c>
      <c r="S272" s="20" t="n">
        <v>219</v>
      </c>
      <c r="T272" s="20" t="n">
        <v>166</v>
      </c>
      <c r="U272" s="20" t="n">
        <v>101</v>
      </c>
      <c r="V272" s="20" t="n">
        <v>59</v>
      </c>
      <c r="W272" s="20" t="n">
        <v>60</v>
      </c>
      <c r="X272" s="20" t="n">
        <v>614</v>
      </c>
    </row>
    <row r="273">
      <c r="A273" s="18" t="inlineStr">
        <is>
          <t>자산복구부채 이행 지출</t>
        </is>
      </c>
      <c r="C273" s="20" t="n">
        <v>0</v>
      </c>
      <c r="E273" s="20" t="n">
        <v>0</v>
      </c>
      <c r="G273" s="20" t="n">
        <v>-75</v>
      </c>
      <c r="I273" s="20" t="n">
        <v>-75</v>
      </c>
      <c r="K273" s="20" t="n">
        <v>0</v>
      </c>
      <c r="M273" s="20" t="n">
        <v>0</v>
      </c>
      <c r="O273" s="20" t="n">
        <v>-23</v>
      </c>
      <c r="P273" s="20" t="n">
        <v>-5</v>
      </c>
      <c r="Q273" s="20" t="n">
        <v>-32</v>
      </c>
      <c r="R273" s="20" t="n">
        <v>0</v>
      </c>
      <c r="V273" s="20" t="n">
        <v>0</v>
      </c>
      <c r="W273" s="20" t="n">
        <v>-75</v>
      </c>
      <c r="X273" s="20" t="n">
        <v>0</v>
      </c>
    </row>
    <row r="274">
      <c r="A274" s="18" t="inlineStr">
        <is>
          <t>투자유가증권 취득</t>
        </is>
      </c>
      <c r="C274" s="20" t="n">
        <v>-2</v>
      </c>
      <c r="E274" s="20" t="n">
        <v>-4</v>
      </c>
      <c r="G274" s="20" t="n">
        <v>-2</v>
      </c>
      <c r="I274" s="20" t="n">
        <v>-5</v>
      </c>
      <c r="K274" s="20" t="n">
        <v>-2</v>
      </c>
      <c r="M274" s="20" t="n">
        <v>-5</v>
      </c>
      <c r="O274" s="20" t="n">
        <v>-28</v>
      </c>
      <c r="P274" s="20" t="n">
        <v>-4</v>
      </c>
      <c r="Q274" s="20" t="n">
        <v>-4</v>
      </c>
      <c r="R274" s="20" t="n">
        <v>-242</v>
      </c>
      <c r="S274" s="20" t="n">
        <v>-4</v>
      </c>
      <c r="T274" s="20" t="n">
        <v>-20</v>
      </c>
      <c r="U274" s="20" t="n">
        <v>-4</v>
      </c>
      <c r="V274" s="20" t="n">
        <v>-4</v>
      </c>
      <c r="W274" s="20" t="n">
        <v>-5</v>
      </c>
      <c r="X274" s="20" t="n">
        <v>-5</v>
      </c>
    </row>
    <row r="275">
      <c r="A275" s="18" t="inlineStr">
        <is>
          <t>투자유가증권 매각</t>
        </is>
      </c>
      <c r="E275" s="20" t="n">
        <v>432</v>
      </c>
      <c r="I275" s="20" t="n">
        <v>1</v>
      </c>
      <c r="M275" s="20" t="n">
        <v>0</v>
      </c>
      <c r="O275" s="20" t="n">
        <v>0</v>
      </c>
      <c r="P275" s="20" t="n">
        <v>193</v>
      </c>
      <c r="Q275" s="20" t="n">
        <v>468</v>
      </c>
      <c r="R275" s="20" t="n">
        <v>149</v>
      </c>
      <c r="S275" s="20" t="n">
        <v>663</v>
      </c>
      <c r="T275" s="20" t="n">
        <v>282</v>
      </c>
      <c r="U275" s="20" t="n">
        <v>484</v>
      </c>
      <c r="V275" s="20" t="n">
        <v>432</v>
      </c>
      <c r="W275" s="20" t="n">
        <v>1</v>
      </c>
      <c r="X275" s="20" t="n">
        <v>0</v>
      </c>
    </row>
    <row r="276">
      <c r="A276" s="18" t="inlineStr">
        <is>
          <t>Payments For Acquisition Of Investments In Capital Inv CF</t>
        </is>
      </c>
      <c r="P276" s="20" t="n">
        <v>-0</v>
      </c>
      <c r="Q276" s="20" t="n">
        <v>-0</v>
      </c>
    </row>
    <row r="277">
      <c r="A277" s="18" t="inlineStr">
        <is>
          <t>Proceeds From Sales Of Investments In Capital Inv CF</t>
        </is>
      </c>
      <c r="P277" s="20" t="n">
        <v>0</v>
      </c>
      <c r="Q277" s="20" t="n">
        <v>21</v>
      </c>
    </row>
    <row r="278">
      <c r="A278" s="18" t="inlineStr">
        <is>
          <t>연결범위 변경 자회사 주식 매각(지출)</t>
        </is>
      </c>
      <c r="O278" s="20" t="n">
        <v>0</v>
      </c>
      <c r="P278" s="20" t="n">
        <v>-51</v>
      </c>
      <c r="Q278" s="20" t="n">
        <v>0</v>
      </c>
    </row>
    <row r="279">
      <c r="A279" s="18" t="inlineStr">
        <is>
          <t>자회사 청산 수입</t>
        </is>
      </c>
      <c r="C279" s="20" t="n">
        <v>0</v>
      </c>
      <c r="E279" s="20" t="n">
        <v>0</v>
      </c>
      <c r="T279" s="20" t="n">
        <v>0</v>
      </c>
      <c r="U279" s="20" t="n">
        <v>6</v>
      </c>
      <c r="V279" s="20" t="n">
        <v>0</v>
      </c>
    </row>
    <row r="280">
      <c r="A280" s="18" t="inlineStr">
        <is>
          <t>관계회사 주식 취득</t>
        </is>
      </c>
      <c r="G280" s="20" t="n">
        <v>0</v>
      </c>
      <c r="I280" s="20" t="n">
        <v>0</v>
      </c>
      <c r="K280" s="20" t="n">
        <v>-50</v>
      </c>
      <c r="M280" s="20" t="n">
        <v>-50</v>
      </c>
      <c r="W280" s="20" t="n">
        <v>0</v>
      </c>
      <c r="X280" s="20" t="n">
        <v>-50</v>
      </c>
    </row>
    <row r="281">
      <c r="A281" s="18" t="inlineStr">
        <is>
          <t>관계회사 주식 매각</t>
        </is>
      </c>
      <c r="C281" s="20" t="n">
        <v>0</v>
      </c>
      <c r="E281" s="20" t="n">
        <v>0</v>
      </c>
      <c r="G281" s="20" t="n">
        <v>4</v>
      </c>
      <c r="I281" s="20" t="n">
        <v>4</v>
      </c>
      <c r="K281" s="20" t="n">
        <v>0</v>
      </c>
      <c r="M281" s="20" t="n">
        <v>0</v>
      </c>
      <c r="Q281" s="20" t="n">
        <v>0</v>
      </c>
      <c r="R281" s="20" t="n">
        <v>1</v>
      </c>
      <c r="S281" s="20" t="n">
        <v>12</v>
      </c>
      <c r="T281" s="20" t="n">
        <v>0</v>
      </c>
      <c r="V281" s="20" t="n">
        <v>0</v>
      </c>
      <c r="W281" s="20" t="n">
        <v>4</v>
      </c>
      <c r="X281" s="20" t="n">
        <v>0</v>
      </c>
    </row>
    <row r="282">
      <c r="A282" s="18" t="inlineStr">
        <is>
          <t>연결범위 변경 자회사 주식 취득(수입)</t>
        </is>
      </c>
      <c r="C282" s="20" t="n">
        <v>0</v>
      </c>
      <c r="E282" s="20" t="n">
        <v>0</v>
      </c>
      <c r="G282" s="20" t="n">
        <v>189</v>
      </c>
      <c r="I282" s="20" t="n">
        <v>189</v>
      </c>
      <c r="K282" s="20" t="n">
        <v>0</v>
      </c>
      <c r="M282" s="20" t="n">
        <v>0</v>
      </c>
      <c r="P282" s="20" t="n">
        <v>0</v>
      </c>
      <c r="Q282" s="20" t="n">
        <v>3</v>
      </c>
      <c r="R282" s="20" t="n">
        <v>0</v>
      </c>
      <c r="V282" s="20" t="n">
        <v>0</v>
      </c>
      <c r="W282" s="20" t="n">
        <v>189</v>
      </c>
      <c r="X282" s="20" t="n">
        <v>0</v>
      </c>
    </row>
    <row r="283">
      <c r="A283" s="18" t="inlineStr">
        <is>
          <t>연결범위 변동 없는 자회사 주식 매각 수입</t>
        </is>
      </c>
      <c r="P283" s="20" t="n">
        <v>0</v>
      </c>
      <c r="Q283" s="20" t="n">
        <v>345</v>
      </c>
      <c r="R283" s="20" t="n">
        <v>0</v>
      </c>
    </row>
    <row r="284">
      <c r="A284" s="18" t="inlineStr">
        <is>
          <t>Proceeds From Absorption Type Company Split Inv CF</t>
        </is>
      </c>
      <c r="P284" s="20" t="n">
        <v>0</v>
      </c>
      <c r="Q284" s="20" t="n">
        <v>300</v>
      </c>
      <c r="R284" s="20" t="n">
        <v>0</v>
      </c>
    </row>
    <row r="285">
      <c r="A285" s="18" t="inlineStr">
        <is>
          <t>대여</t>
        </is>
      </c>
      <c r="C285" s="20" t="n">
        <v>-105</v>
      </c>
      <c r="E285" s="20" t="n">
        <v>-150</v>
      </c>
      <c r="G285" s="20" t="n">
        <v>-4</v>
      </c>
      <c r="I285" s="20" t="n">
        <v>-4</v>
      </c>
      <c r="K285" s="20" t="n">
        <v>-1</v>
      </c>
      <c r="M285" s="20" t="n">
        <v>-1</v>
      </c>
      <c r="O285" s="20" t="n">
        <v>-312</v>
      </c>
      <c r="P285" s="20" t="n">
        <v>-387</v>
      </c>
      <c r="Q285" s="20" t="n">
        <v>-341</v>
      </c>
      <c r="R285" s="20" t="n">
        <v>-448</v>
      </c>
      <c r="S285" s="20" t="n">
        <v>-305</v>
      </c>
      <c r="T285" s="20" t="n">
        <v>-200</v>
      </c>
      <c r="U285" s="20" t="n">
        <v>-25</v>
      </c>
      <c r="V285" s="20" t="n">
        <v>-150</v>
      </c>
      <c r="W285" s="20" t="n">
        <v>-4</v>
      </c>
      <c r="X285" s="20" t="n">
        <v>-1</v>
      </c>
    </row>
    <row r="286">
      <c r="A286" s="18" t="inlineStr">
        <is>
          <t>대여금 회수</t>
        </is>
      </c>
      <c r="C286" s="20" t="n">
        <v>1</v>
      </c>
      <c r="E286" s="20" t="n">
        <v>12</v>
      </c>
      <c r="G286" s="20" t="n">
        <v>4</v>
      </c>
      <c r="I286" s="20" t="n">
        <v>96</v>
      </c>
      <c r="K286" s="20" t="n">
        <v>8</v>
      </c>
      <c r="M286" s="20" t="n">
        <v>13</v>
      </c>
      <c r="O286" s="20" t="n">
        <v>185</v>
      </c>
      <c r="P286" s="20" t="n">
        <v>233</v>
      </c>
      <c r="Q286" s="20" t="n">
        <v>272</v>
      </c>
      <c r="R286" s="20" t="n">
        <v>271</v>
      </c>
      <c r="S286" s="20" t="n">
        <v>293</v>
      </c>
      <c r="T286" s="20" t="n">
        <v>603</v>
      </c>
      <c r="U286" s="20" t="n">
        <v>168</v>
      </c>
      <c r="V286" s="20" t="n">
        <v>12</v>
      </c>
      <c r="W286" s="20" t="n">
        <v>96</v>
      </c>
      <c r="X286" s="20" t="n">
        <v>13</v>
      </c>
    </row>
    <row r="287">
      <c r="A287" s="18" t="inlineStr">
        <is>
          <t>Proceeds From Subsidy Income Inv CF</t>
        </is>
      </c>
      <c r="E287" s="20" t="n">
        <v>0</v>
      </c>
      <c r="O287" s="20" t="n">
        <v>0</v>
      </c>
      <c r="P287" s="20" t="n">
        <v>267</v>
      </c>
      <c r="Q287" s="20" t="n">
        <v>2</v>
      </c>
      <c r="R287" s="20" t="n">
        <v>0</v>
      </c>
      <c r="S287" s="20" t="n">
        <v>35</v>
      </c>
      <c r="T287" s="20" t="n">
        <v>696</v>
      </c>
      <c r="U287" s="20" t="n">
        <v>1</v>
      </c>
      <c r="V287" s="20" t="n">
        <v>0</v>
      </c>
    </row>
    <row r="288">
      <c r="A288" s="18" t="inlineStr">
        <is>
          <t>사업양도 수입</t>
        </is>
      </c>
      <c r="E288" s="20" t="n">
        <v>0</v>
      </c>
      <c r="I288" s="20" t="n">
        <v>10</v>
      </c>
      <c r="M288" s="20" t="n">
        <v>0</v>
      </c>
      <c r="O288" s="20" t="n">
        <v>255</v>
      </c>
      <c r="P288" s="20" t="n">
        <v>0</v>
      </c>
      <c r="R288" s="20" t="n">
        <v>0</v>
      </c>
      <c r="S288" s="20" t="n">
        <v>15</v>
      </c>
      <c r="T288" s="20" t="n">
        <v>0</v>
      </c>
      <c r="V288" s="20" t="n">
        <v>0</v>
      </c>
      <c r="W288" s="20" t="n">
        <v>10</v>
      </c>
      <c r="X288" s="20" t="n">
        <v>0</v>
      </c>
    </row>
    <row r="289">
      <c r="A289" s="18" t="inlineStr">
        <is>
          <t>이자·배당금 수취</t>
        </is>
      </c>
      <c r="C289" s="20" t="n">
        <v>125</v>
      </c>
      <c r="E289" s="20" t="n">
        <v>175</v>
      </c>
      <c r="G289" s="20" t="n">
        <v>132</v>
      </c>
      <c r="I289" s="20" t="n">
        <v>183</v>
      </c>
      <c r="K289" s="20" t="n">
        <v>165</v>
      </c>
      <c r="M289" s="20" t="n">
        <v>230</v>
      </c>
      <c r="O289" s="20" t="n">
        <v>158</v>
      </c>
      <c r="P289" s="20" t="n">
        <v>168</v>
      </c>
      <c r="Q289" s="20" t="n">
        <v>179</v>
      </c>
      <c r="R289" s="20" t="n">
        <v>179</v>
      </c>
      <c r="S289" s="20" t="n">
        <v>180</v>
      </c>
      <c r="T289" s="20" t="n">
        <v>164</v>
      </c>
      <c r="U289" s="20" t="n">
        <v>162</v>
      </c>
      <c r="V289" s="20" t="n">
        <v>175</v>
      </c>
      <c r="W289" s="20" t="n">
        <v>183</v>
      </c>
      <c r="X289" s="20" t="n">
        <v>230</v>
      </c>
    </row>
    <row r="290">
      <c r="A290" s="18" t="inlineStr">
        <is>
          <t>기타</t>
        </is>
      </c>
      <c r="C290" s="20" t="n">
        <v>13</v>
      </c>
      <c r="E290" s="20" t="n">
        <v>-44</v>
      </c>
      <c r="G290" s="20" t="n">
        <v>-0</v>
      </c>
      <c r="I290" s="20" t="n">
        <v>109</v>
      </c>
      <c r="K290" s="20" t="n">
        <v>-1</v>
      </c>
      <c r="M290" s="20" t="n">
        <v>-37</v>
      </c>
      <c r="O290" s="20" t="n">
        <v>-34</v>
      </c>
      <c r="P290" s="20" t="n">
        <v>-44</v>
      </c>
      <c r="Q290" s="20" t="n">
        <v>-26</v>
      </c>
      <c r="R290" s="20" t="n">
        <v>-59</v>
      </c>
      <c r="S290" s="20" t="n">
        <v>-64</v>
      </c>
      <c r="T290" s="20" t="n">
        <v>-21</v>
      </c>
      <c r="U290" s="20" t="n">
        <v>-12</v>
      </c>
      <c r="V290" s="20" t="n">
        <v>-44</v>
      </c>
      <c r="W290" s="20" t="n">
        <v>109</v>
      </c>
      <c r="X290" s="20" t="n">
        <v>-37</v>
      </c>
    </row>
    <row r="291">
      <c r="A291" s="9" t="inlineStr">
        <is>
          <t>투자활동 현금흐름</t>
        </is>
      </c>
      <c r="C291" s="12" t="n">
        <v>-1210</v>
      </c>
      <c r="E291" s="12" t="n">
        <v>-2168</v>
      </c>
      <c r="G291" s="12" t="n">
        <v>-1457</v>
      </c>
      <c r="I291" s="12" t="n">
        <v>-3088</v>
      </c>
      <c r="K291" s="12" t="n">
        <v>-6572</v>
      </c>
      <c r="M291" s="12" t="n">
        <v>-11552</v>
      </c>
      <c r="O291" s="12" t="n">
        <v>-891</v>
      </c>
      <c r="P291" s="12" t="n">
        <v>-7454</v>
      </c>
      <c r="Q291" s="12" t="n">
        <v>-158</v>
      </c>
      <c r="R291" s="12" t="n">
        <v>-7475</v>
      </c>
      <c r="S291" s="12" t="n">
        <v>-5989</v>
      </c>
      <c r="T291" s="12" t="n">
        <v>-952</v>
      </c>
      <c r="U291" s="12" t="n">
        <v>-1187</v>
      </c>
      <c r="V291" s="12" t="n">
        <v>-2168</v>
      </c>
      <c r="W291" s="12" t="n">
        <v>-3088</v>
      </c>
      <c r="X291" s="12" t="n">
        <v>-11552</v>
      </c>
    </row>
    <row r="292">
      <c r="A292" s="18" t="inlineStr">
        <is>
          <t>단기차입금 순증감</t>
        </is>
      </c>
      <c r="C292" s="20" t="n">
        <v>-9485</v>
      </c>
      <c r="E292" s="20" t="n">
        <v>-6287</v>
      </c>
      <c r="G292" s="20" t="n">
        <v>-2678</v>
      </c>
      <c r="I292" s="20" t="n">
        <v>-1998</v>
      </c>
      <c r="K292" s="20" t="n">
        <v>-5260</v>
      </c>
      <c r="M292" s="20" t="n">
        <v>-6570</v>
      </c>
      <c r="O292" s="20" t="n">
        <v>-3925</v>
      </c>
      <c r="P292" s="20" t="n">
        <v>3970</v>
      </c>
      <c r="Q292" s="20" t="n">
        <v>-3004</v>
      </c>
      <c r="R292" s="20" t="n">
        <v>6436</v>
      </c>
      <c r="S292" s="20" t="n">
        <v>-6705</v>
      </c>
      <c r="T292" s="20" t="n">
        <v>1740</v>
      </c>
      <c r="U292" s="20" t="n">
        <v>5560</v>
      </c>
      <c r="V292" s="20" t="n">
        <v>-6287</v>
      </c>
      <c r="W292" s="20" t="n">
        <v>-1998</v>
      </c>
      <c r="X292" s="20" t="n">
        <v>-6570</v>
      </c>
    </row>
    <row r="293">
      <c r="A293" s="18" t="inlineStr">
        <is>
          <t>장기차입</t>
        </is>
      </c>
      <c r="C293" s="20" t="n">
        <v>3650</v>
      </c>
      <c r="E293" s="20" t="n">
        <v>3850</v>
      </c>
      <c r="G293" s="20" t="n">
        <v>0</v>
      </c>
      <c r="I293" s="20" t="n">
        <v>1350</v>
      </c>
      <c r="K293" s="20" t="n">
        <v>10000</v>
      </c>
      <c r="M293" s="20" t="n">
        <v>10000</v>
      </c>
      <c r="O293" s="20" t="n">
        <v>1117</v>
      </c>
      <c r="P293" s="20" t="n">
        <v>320</v>
      </c>
      <c r="Q293" s="20" t="n">
        <v>2214</v>
      </c>
      <c r="R293" s="20" t="n">
        <v>3933</v>
      </c>
      <c r="S293" s="20" t="n">
        <v>7650</v>
      </c>
      <c r="T293" s="20" t="n">
        <v>1145</v>
      </c>
      <c r="U293" s="20" t="n">
        <v>10500</v>
      </c>
      <c r="V293" s="20" t="n">
        <v>3850</v>
      </c>
      <c r="W293" s="20" t="n">
        <v>1350</v>
      </c>
      <c r="X293" s="20" t="n">
        <v>10000</v>
      </c>
    </row>
    <row r="294">
      <c r="A294" s="18" t="inlineStr">
        <is>
          <t>장기차입금 상환</t>
        </is>
      </c>
      <c r="C294" s="20" t="n">
        <v>-877</v>
      </c>
      <c r="E294" s="20" t="n">
        <v>-1815</v>
      </c>
      <c r="G294" s="20" t="n">
        <v>-945</v>
      </c>
      <c r="I294" s="20" t="n">
        <v>-3838</v>
      </c>
      <c r="K294" s="20" t="n">
        <v>-5546</v>
      </c>
      <c r="M294" s="20" t="n">
        <v>-6088</v>
      </c>
      <c r="O294" s="20" t="n">
        <v>-6521</v>
      </c>
      <c r="P294" s="20" t="n">
        <v>-4665</v>
      </c>
      <c r="Q294" s="20" t="n">
        <v>-3055</v>
      </c>
      <c r="R294" s="20" t="n">
        <v>-2821</v>
      </c>
      <c r="S294" s="20" t="n">
        <v>-1345</v>
      </c>
      <c r="T294" s="20" t="n">
        <v>-1958</v>
      </c>
      <c r="U294" s="20" t="n">
        <v>-1877</v>
      </c>
      <c r="V294" s="20" t="n">
        <v>-1815</v>
      </c>
      <c r="W294" s="20" t="n">
        <v>-3838</v>
      </c>
      <c r="X294" s="20" t="n">
        <v>-6088</v>
      </c>
    </row>
    <row r="295">
      <c r="A295" s="18" t="inlineStr">
        <is>
          <t>이자 지급</t>
        </is>
      </c>
      <c r="C295" s="20" t="n">
        <v>-95</v>
      </c>
      <c r="E295" s="20" t="n">
        <v>-186</v>
      </c>
      <c r="G295" s="20" t="n">
        <v>-77</v>
      </c>
      <c r="I295" s="20" t="n">
        <v>-186</v>
      </c>
      <c r="K295" s="20" t="n">
        <v>-126</v>
      </c>
      <c r="M295" s="20" t="n">
        <v>-255</v>
      </c>
      <c r="O295" s="20" t="n">
        <v>-190</v>
      </c>
      <c r="P295" s="20" t="n">
        <v>-143</v>
      </c>
      <c r="Q295" s="20" t="n">
        <v>-114</v>
      </c>
      <c r="R295" s="20" t="n">
        <v>-106</v>
      </c>
      <c r="S295" s="20" t="n">
        <v>-98</v>
      </c>
      <c r="T295" s="20" t="n">
        <v>-96</v>
      </c>
      <c r="U295" s="20" t="n">
        <v>-147</v>
      </c>
      <c r="V295" s="20" t="n">
        <v>-186</v>
      </c>
      <c r="W295" s="20" t="n">
        <v>-186</v>
      </c>
      <c r="X295" s="20" t="n">
        <v>-255</v>
      </c>
    </row>
    <row r="296">
      <c r="A296" s="18" t="inlineStr">
        <is>
          <t>배당금 지급</t>
        </is>
      </c>
      <c r="C296" s="20" t="n">
        <v>-482</v>
      </c>
      <c r="E296" s="20" t="n">
        <v>-963</v>
      </c>
      <c r="G296" s="20" t="n">
        <v>-558</v>
      </c>
      <c r="I296" s="20" t="n">
        <v>-1114</v>
      </c>
      <c r="K296" s="20" t="n">
        <v>-808</v>
      </c>
      <c r="M296" s="20" t="n">
        <v>-1614</v>
      </c>
      <c r="O296" s="20" t="n">
        <v>-788</v>
      </c>
      <c r="P296" s="20" t="n">
        <v>-886</v>
      </c>
      <c r="Q296" s="20" t="n">
        <v>-886</v>
      </c>
      <c r="R296" s="20" t="n">
        <v>-888</v>
      </c>
      <c r="S296" s="20" t="n">
        <v>-1475</v>
      </c>
      <c r="T296" s="20" t="n">
        <v>-971</v>
      </c>
      <c r="U296" s="20" t="n">
        <v>-967</v>
      </c>
      <c r="V296" s="20" t="n">
        <v>-963</v>
      </c>
      <c r="W296" s="20" t="n">
        <v>-1114</v>
      </c>
      <c r="X296" s="20" t="n">
        <v>-1614</v>
      </c>
    </row>
    <row r="297">
      <c r="A297" s="18" t="inlineStr">
        <is>
          <t>비지배주주 배당금 지급</t>
        </is>
      </c>
      <c r="C297" s="20" t="n">
        <v>0</v>
      </c>
      <c r="E297" s="20" t="n">
        <v>0</v>
      </c>
      <c r="G297" s="20" t="n">
        <v>-7</v>
      </c>
      <c r="I297" s="20" t="n">
        <v>-7</v>
      </c>
      <c r="K297" s="20" t="n">
        <v>-6</v>
      </c>
      <c r="M297" s="20" t="n">
        <v>-6</v>
      </c>
      <c r="V297" s="20" t="n">
        <v>0</v>
      </c>
      <c r="W297" s="20" t="n">
        <v>-7</v>
      </c>
      <c r="X297" s="20" t="n">
        <v>-6</v>
      </c>
    </row>
    <row r="298">
      <c r="A298" s="18" t="inlineStr">
        <is>
          <t>리스부채 상환</t>
        </is>
      </c>
      <c r="C298" s="20" t="n">
        <v>-64</v>
      </c>
      <c r="E298" s="20" t="n">
        <v>-129</v>
      </c>
      <c r="G298" s="20" t="n">
        <v>-71</v>
      </c>
      <c r="I298" s="20" t="n">
        <v>-141</v>
      </c>
      <c r="K298" s="20" t="n">
        <v>-70</v>
      </c>
      <c r="M298" s="20" t="n">
        <v>-144</v>
      </c>
      <c r="O298" s="20" t="n">
        <v>-64</v>
      </c>
      <c r="P298" s="20" t="n">
        <v>-60</v>
      </c>
      <c r="Q298" s="20" t="n">
        <v>-36</v>
      </c>
      <c r="R298" s="20" t="n">
        <v>-45</v>
      </c>
      <c r="S298" s="20" t="n">
        <v>-112</v>
      </c>
      <c r="T298" s="20" t="n">
        <v>-136</v>
      </c>
      <c r="U298" s="20" t="n">
        <v>-132</v>
      </c>
      <c r="V298" s="20" t="n">
        <v>-129</v>
      </c>
      <c r="W298" s="20" t="n">
        <v>-141</v>
      </c>
      <c r="X298" s="20" t="n">
        <v>-144</v>
      </c>
    </row>
    <row r="299">
      <c r="A299" s="18" t="inlineStr">
        <is>
          <t>세일앤리스백 수입</t>
        </is>
      </c>
      <c r="R299" s="20" t="n">
        <v>0</v>
      </c>
      <c r="S299" s="20" t="n">
        <v>543</v>
      </c>
      <c r="T299" s="20" t="n">
        <v>0</v>
      </c>
    </row>
    <row r="300">
      <c r="A300" s="18" t="inlineStr">
        <is>
          <t>지급수수료 지급</t>
        </is>
      </c>
      <c r="C300" s="20" t="n">
        <v>-8</v>
      </c>
      <c r="G300" s="20" t="n">
        <v>-30</v>
      </c>
      <c r="K300" s="20" t="n">
        <v>-64</v>
      </c>
    </row>
    <row r="301">
      <c r="A301" s="18" t="inlineStr">
        <is>
          <t>연결범위 변경 없는 자회사 주식 취득</t>
        </is>
      </c>
      <c r="E301" s="20" t="n">
        <v>0</v>
      </c>
      <c r="I301" s="20" t="n">
        <v>-8</v>
      </c>
      <c r="M301" s="20" t="n">
        <v>-19</v>
      </c>
      <c r="V301" s="20" t="n">
        <v>0</v>
      </c>
      <c r="W301" s="20" t="n">
        <v>-8</v>
      </c>
      <c r="X301" s="20" t="n">
        <v>-19</v>
      </c>
    </row>
    <row r="302">
      <c r="A302" s="18" t="inlineStr">
        <is>
          <t>지급수수료 지급</t>
        </is>
      </c>
      <c r="E302" s="20" t="n">
        <v>-14</v>
      </c>
      <c r="I302" s="20" t="n">
        <v>-36</v>
      </c>
      <c r="M302" s="20" t="n">
        <v>-70</v>
      </c>
      <c r="T302" s="20" t="n">
        <v>-1</v>
      </c>
      <c r="U302" s="20" t="n">
        <v>-78</v>
      </c>
      <c r="V302" s="20" t="n">
        <v>-14</v>
      </c>
      <c r="W302" s="20" t="n">
        <v>-36</v>
      </c>
      <c r="X302" s="20" t="n">
        <v>-70</v>
      </c>
    </row>
    <row r="303">
      <c r="A303" s="18" t="inlineStr">
        <is>
          <t>자기주식 취득</t>
        </is>
      </c>
      <c r="C303" s="20" t="n">
        <v>-1</v>
      </c>
      <c r="E303" s="20" t="n">
        <v>-1</v>
      </c>
      <c r="G303" s="20" t="n">
        <v>-0</v>
      </c>
      <c r="I303" s="20" t="n">
        <v>-88</v>
      </c>
      <c r="K303" s="20" t="n">
        <v>-0</v>
      </c>
      <c r="M303" s="20" t="n">
        <v>-0</v>
      </c>
      <c r="P303" s="20" t="n">
        <v>-0</v>
      </c>
      <c r="Q303" s="20" t="n">
        <v>-117</v>
      </c>
      <c r="R303" s="20" t="n">
        <v>-0</v>
      </c>
      <c r="S303" s="20" t="n">
        <v>-10</v>
      </c>
      <c r="T303" s="20" t="n">
        <v>-1027</v>
      </c>
      <c r="U303" s="20" t="n">
        <v>-1</v>
      </c>
      <c r="V303" s="20" t="n">
        <v>-1</v>
      </c>
      <c r="W303" s="20" t="n">
        <v>-88</v>
      </c>
      <c r="X303" s="20" t="n">
        <v>-0</v>
      </c>
    </row>
    <row r="304">
      <c r="A304" s="18" t="inlineStr">
        <is>
          <t>자기주식 매각</t>
        </is>
      </c>
      <c r="C304" s="20" t="n">
        <v>73</v>
      </c>
      <c r="E304" s="20" t="n">
        <v>73</v>
      </c>
      <c r="G304" s="20" t="n">
        <v>17</v>
      </c>
      <c r="I304" s="20" t="n">
        <v>56</v>
      </c>
      <c r="K304" s="20" t="n">
        <v>38</v>
      </c>
      <c r="M304" s="20" t="n">
        <v>38</v>
      </c>
      <c r="P304" s="20" t="n">
        <v>0</v>
      </c>
      <c r="Q304" s="20" t="n">
        <v>63</v>
      </c>
      <c r="R304" s="20" t="n">
        <v>4</v>
      </c>
      <c r="S304" s="20" t="n">
        <v>3</v>
      </c>
      <c r="T304" s="20" t="n">
        <v>132</v>
      </c>
      <c r="U304" s="20" t="n">
        <v>27</v>
      </c>
      <c r="V304" s="20" t="n">
        <v>73</v>
      </c>
      <c r="W304" s="20" t="n">
        <v>56</v>
      </c>
      <c r="X304" s="20" t="n">
        <v>38</v>
      </c>
    </row>
    <row r="305">
      <c r="A305" s="18" t="inlineStr">
        <is>
          <t>기타</t>
        </is>
      </c>
      <c r="O305" s="20" t="n">
        <v>-0</v>
      </c>
      <c r="P305" s="20" t="n">
        <v>135</v>
      </c>
      <c r="Q305" s="20" t="n">
        <v>0</v>
      </c>
    </row>
    <row r="306">
      <c r="A306" s="9" t="inlineStr">
        <is>
          <t>재무활동 현금흐름</t>
        </is>
      </c>
      <c r="C306" s="12" t="n">
        <v>-7290</v>
      </c>
      <c r="E306" s="12" t="n">
        <v>-5474</v>
      </c>
      <c r="G306" s="12" t="n">
        <v>-4351</v>
      </c>
      <c r="I306" s="12" t="n">
        <v>-6011</v>
      </c>
      <c r="K306" s="12" t="n">
        <v>-1843</v>
      </c>
      <c r="M306" s="12" t="n">
        <v>-4732</v>
      </c>
      <c r="O306" s="12" t="n">
        <v>-10373</v>
      </c>
      <c r="P306" s="12" t="n">
        <v>-1330</v>
      </c>
      <c r="Q306" s="12" t="n">
        <v>-4937</v>
      </c>
      <c r="R306" s="12" t="n">
        <v>6512</v>
      </c>
      <c r="S306" s="12" t="n">
        <v>-1550</v>
      </c>
      <c r="T306" s="12" t="n">
        <v>-1174</v>
      </c>
      <c r="U306" s="12" t="n">
        <v>12881</v>
      </c>
      <c r="V306" s="12" t="n">
        <v>-5474</v>
      </c>
      <c r="W306" s="12" t="n">
        <v>-6011</v>
      </c>
      <c r="X306" s="12" t="n">
        <v>-4732</v>
      </c>
    </row>
    <row r="307">
      <c r="A307" s="18" t="inlineStr">
        <is>
          <t>현금성자산 증감</t>
        </is>
      </c>
      <c r="C307" s="20" t="n">
        <v>3998</v>
      </c>
      <c r="E307" s="20" t="n">
        <v>3495</v>
      </c>
      <c r="G307" s="20" t="n">
        <v>-1353</v>
      </c>
      <c r="I307" s="20" t="n">
        <v>-530</v>
      </c>
      <c r="K307" s="20" t="n">
        <v>-244</v>
      </c>
      <c r="M307" s="20" t="n">
        <v>806</v>
      </c>
      <c r="O307" s="20" t="n">
        <v>513</v>
      </c>
      <c r="P307" s="20" t="n">
        <v>414</v>
      </c>
      <c r="Q307" s="20" t="n">
        <v>-253</v>
      </c>
      <c r="R307" s="20" t="n">
        <v>164</v>
      </c>
      <c r="S307" s="20" t="n">
        <v>197</v>
      </c>
      <c r="T307" s="20" t="n">
        <v>614</v>
      </c>
      <c r="U307" s="20" t="n">
        <v>3877</v>
      </c>
      <c r="V307" s="20" t="n">
        <v>3495</v>
      </c>
      <c r="W307" s="20" t="n">
        <v>-530</v>
      </c>
      <c r="X307" s="20" t="n">
        <v>806</v>
      </c>
    </row>
    <row r="308">
      <c r="A308" s="18" t="inlineStr">
        <is>
          <t>Decrease In Cash And Cash Equivalents Resulting From Corporate Division CF</t>
        </is>
      </c>
      <c r="P308" s="20" t="n">
        <v>0</v>
      </c>
      <c r="Q308" s="20" t="n">
        <v>-2</v>
      </c>
      <c r="R308" s="20" t="n">
        <v>0</v>
      </c>
    </row>
    <row r="309">
      <c r="A309" s="18" t="inlineStr">
        <is>
          <t>연결 제외 현금성자산 감소</t>
        </is>
      </c>
      <c r="R309" s="20" t="n">
        <v>0</v>
      </c>
      <c r="S309" s="20" t="n">
        <v>-23</v>
      </c>
      <c r="T30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2060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77206</v>
      </c>
      <c r="D5" s="12" t="n">
        <v>75135</v>
      </c>
      <c r="E5" s="12" t="n">
        <v>87759</v>
      </c>
      <c r="F5" s="12" t="n">
        <v>78472</v>
      </c>
      <c r="G5" s="12" t="n">
        <v>81325</v>
      </c>
      <c r="H5" s="11" t="n">
        <v>65303</v>
      </c>
      <c r="I5" s="12" t="n">
        <v>85836</v>
      </c>
      <c r="J5" s="12" t="n">
        <v>88204</v>
      </c>
      <c r="K5" s="12" t="n">
        <v>80085</v>
      </c>
      <c r="L5" s="12" t="n">
        <v>78472</v>
      </c>
    </row>
    <row r="6">
      <c r="A6" s="18" t="inlineStr">
        <is>
          <t>현금및현금성자산</t>
        </is>
      </c>
      <c r="B6" s="10" t="n"/>
      <c r="C6" s="19" t="n">
        <v>9812</v>
      </c>
      <c r="D6" s="20" t="n">
        <v>10098</v>
      </c>
      <c r="E6" s="20" t="n">
        <v>12238</v>
      </c>
      <c r="F6" s="20" t="n">
        <v>11138</v>
      </c>
      <c r="G6" s="20" t="n">
        <v>11876</v>
      </c>
      <c r="H6" s="19" t="n">
        <v>3500</v>
      </c>
      <c r="I6" s="20" t="n">
        <v>7379</v>
      </c>
      <c r="J6" s="20" t="n">
        <v>10876</v>
      </c>
      <c r="K6" s="20" t="n">
        <v>10342</v>
      </c>
      <c r="L6" s="20" t="n">
        <v>11138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41528</v>
      </c>
      <c r="D8" s="20" t="n">
        <v>40345</v>
      </c>
      <c r="E8" s="20" t="n">
        <v>49147</v>
      </c>
      <c r="F8" s="20" t="n">
        <v>40443</v>
      </c>
      <c r="G8" s="20" t="n">
        <v>42881</v>
      </c>
      <c r="H8" s="19" t="n">
        <v>40359</v>
      </c>
      <c r="I8" s="20" t="n">
        <v>51375</v>
      </c>
      <c r="J8" s="20" t="n">
        <v>51829</v>
      </c>
      <c r="K8" s="20" t="n">
        <v>43211</v>
      </c>
      <c r="L8" s="20" t="n">
        <v>40443</v>
      </c>
    </row>
    <row r="9">
      <c r="A9" s="18" t="inlineStr">
        <is>
          <t>재고자산</t>
        </is>
      </c>
      <c r="B9" s="10" t="n"/>
      <c r="C9" s="19" t="n">
        <v>17256</v>
      </c>
      <c r="D9" s="20" t="n">
        <v>15738</v>
      </c>
      <c r="E9" s="20" t="n">
        <v>16132</v>
      </c>
      <c r="F9" s="20" t="n">
        <v>17289</v>
      </c>
      <c r="G9" s="20" t="n">
        <v>16615</v>
      </c>
      <c r="H9" s="19" t="n">
        <v>15614</v>
      </c>
      <c r="I9" s="20" t="n">
        <v>20226</v>
      </c>
      <c r="J9" s="20" t="n">
        <v>16897</v>
      </c>
      <c r="K9" s="20" t="n">
        <v>19021</v>
      </c>
      <c r="L9" s="20" t="n">
        <v>17289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48940</v>
      </c>
      <c r="D11" s="12" t="n">
        <v>50300</v>
      </c>
      <c r="E11" s="12" t="n">
        <v>51434</v>
      </c>
      <c r="F11" s="12" t="n">
        <v>54547</v>
      </c>
      <c r="G11" s="12" t="n">
        <v>54457</v>
      </c>
      <c r="H11" s="11" t="n">
        <v>43200</v>
      </c>
      <c r="I11" s="12" t="n">
        <v>42076</v>
      </c>
      <c r="J11" s="12" t="n">
        <v>42834</v>
      </c>
      <c r="K11" s="12" t="n">
        <v>44086</v>
      </c>
      <c r="L11" s="12" t="n">
        <v>54547</v>
      </c>
    </row>
    <row r="12">
      <c r="A12" s="18" t="inlineStr">
        <is>
          <t>유형자산</t>
        </is>
      </c>
      <c r="B12" s="10" t="n"/>
      <c r="C12" s="19" t="n">
        <v>35507</v>
      </c>
      <c r="D12" s="20" t="n">
        <v>35967</v>
      </c>
      <c r="E12" s="20" t="n">
        <v>36244</v>
      </c>
      <c r="F12" s="20" t="n">
        <v>38797</v>
      </c>
      <c r="G12" s="20" t="n">
        <v>38807</v>
      </c>
      <c r="H12" s="19" t="n">
        <v>33513</v>
      </c>
      <c r="I12" s="20" t="n">
        <v>31668</v>
      </c>
      <c r="J12" s="20" t="n">
        <v>30181</v>
      </c>
      <c r="K12" s="20" t="n">
        <v>31308</v>
      </c>
      <c r="L12" s="20" t="n">
        <v>38797</v>
      </c>
    </row>
    <row r="13">
      <c r="A13" s="18" t="inlineStr">
        <is>
          <t>무형자산</t>
        </is>
      </c>
      <c r="B13" s="10" t="n"/>
      <c r="C13" s="19" t="n">
        <v>1503</v>
      </c>
      <c r="D13" s="20" t="n">
        <v>1437</v>
      </c>
      <c r="E13" s="20" t="n">
        <v>1346</v>
      </c>
      <c r="F13" s="20" t="n">
        <v>1345</v>
      </c>
      <c r="G13" s="20" t="n">
        <v>1299</v>
      </c>
      <c r="H13" s="19" t="n">
        <v>530</v>
      </c>
      <c r="I13" s="20" t="n">
        <v>916</v>
      </c>
      <c r="J13" s="20" t="n">
        <v>1542</v>
      </c>
      <c r="K13" s="20" t="n">
        <v>1552</v>
      </c>
      <c r="L13" s="20" t="n">
        <v>1345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126147</v>
      </c>
      <c r="D16" s="12" t="n">
        <v>125436</v>
      </c>
      <c r="E16" s="12" t="n">
        <v>139193</v>
      </c>
      <c r="F16" s="12" t="n">
        <v>133020</v>
      </c>
      <c r="G16" s="12" t="n">
        <v>135783</v>
      </c>
      <c r="H16" s="11" t="n">
        <v>108504</v>
      </c>
      <c r="I16" s="12" t="n">
        <v>127913</v>
      </c>
      <c r="J16" s="12" t="n">
        <v>131038</v>
      </c>
      <c r="K16" s="12" t="n">
        <v>124172</v>
      </c>
      <c r="L16" s="12" t="n">
        <v>133020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46302</v>
      </c>
      <c r="D18" s="12" t="n">
        <v>38320</v>
      </c>
      <c r="E18" s="12" t="n">
        <v>50454</v>
      </c>
      <c r="F18" s="12" t="n">
        <v>42497</v>
      </c>
      <c r="G18" s="12" t="n">
        <v>44659</v>
      </c>
      <c r="H18" s="11" t="n">
        <v>50022</v>
      </c>
      <c r="I18" s="12" t="n">
        <v>60074</v>
      </c>
      <c r="J18" s="12" t="n">
        <v>55121</v>
      </c>
      <c r="K18" s="12" t="n">
        <v>50168</v>
      </c>
      <c r="L18" s="12" t="n">
        <v>42497</v>
      </c>
    </row>
    <row r="19">
      <c r="A19" s="18" t="inlineStr">
        <is>
          <t>매입채무</t>
        </is>
      </c>
      <c r="B19" s="10" t="n"/>
      <c r="C19" s="19" t="n">
        <v>27997</v>
      </c>
      <c r="D19" s="20" t="n">
        <v>26750</v>
      </c>
      <c r="E19" s="20" t="n">
        <v>35008</v>
      </c>
      <c r="F19" s="20" t="n">
        <v>31060</v>
      </c>
      <c r="G19" s="20" t="n">
        <v>33778</v>
      </c>
      <c r="H19" s="19" t="n">
        <v>30903</v>
      </c>
      <c r="I19" s="20" t="n">
        <v>36482</v>
      </c>
      <c r="J19" s="20" t="n">
        <v>34360</v>
      </c>
      <c r="K19" s="20" t="n">
        <v>29106</v>
      </c>
      <c r="L19" s="20" t="n">
        <v>31060</v>
      </c>
    </row>
    <row r="20">
      <c r="A20" s="18" t="inlineStr">
        <is>
          <t>단기차입금</t>
        </is>
      </c>
      <c r="B20" s="10" t="n"/>
      <c r="C20" s="19" t="n">
        <v>9829</v>
      </c>
      <c r="D20" s="20" t="n">
        <v>2620</v>
      </c>
      <c r="E20" s="20" t="n">
        <v>5903</v>
      </c>
      <c r="F20" s="20" t="n">
        <v>1294</v>
      </c>
      <c r="G20" s="20" t="n">
        <v>1293</v>
      </c>
      <c r="H20" s="19" t="n">
        <v>11350</v>
      </c>
      <c r="I20" s="20" t="n">
        <v>16803</v>
      </c>
      <c r="J20" s="20" t="n">
        <v>10580</v>
      </c>
      <c r="K20" s="20" t="n">
        <v>12878</v>
      </c>
      <c r="L20" s="20" t="n">
        <v>1294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23365</v>
      </c>
      <c r="D23" s="12" t="n">
        <v>28587</v>
      </c>
      <c r="E23" s="12" t="n">
        <v>28731</v>
      </c>
      <c r="F23" s="12" t="n">
        <v>28136</v>
      </c>
      <c r="G23" s="12" t="n">
        <v>27870</v>
      </c>
      <c r="H23" s="11" t="n">
        <v>13641</v>
      </c>
      <c r="I23" s="12" t="n">
        <v>22523</v>
      </c>
      <c r="J23" s="12" t="n">
        <v>25060</v>
      </c>
      <c r="K23" s="12" t="n">
        <v>18656</v>
      </c>
      <c r="L23" s="12" t="n">
        <v>28136</v>
      </c>
    </row>
    <row r="24">
      <c r="A24" s="18" t="inlineStr">
        <is>
          <t>장기차입금</t>
        </is>
      </c>
      <c r="B24" s="10" t="n"/>
      <c r="C24" s="19" t="n">
        <v>19117</v>
      </c>
      <c r="D24" s="20" t="n">
        <v>23852</v>
      </c>
      <c r="E24" s="20" t="n">
        <v>23631</v>
      </c>
      <c r="F24" s="20" t="n">
        <v>23326</v>
      </c>
      <c r="G24" s="20" t="n">
        <v>23153</v>
      </c>
      <c r="H24" s="19" t="n">
        <v>10478</v>
      </c>
      <c r="I24" s="20" t="n">
        <v>19208</v>
      </c>
      <c r="J24" s="20" t="n">
        <v>21178</v>
      </c>
      <c r="K24" s="20" t="n">
        <v>14400</v>
      </c>
      <c r="L24" s="20" t="n">
        <v>23326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69668</v>
      </c>
      <c r="D27" s="12" t="n">
        <v>66907</v>
      </c>
      <c r="E27" s="12" t="n">
        <v>79185</v>
      </c>
      <c r="F27" s="12" t="n">
        <v>70634</v>
      </c>
      <c r="G27" s="12" t="n">
        <v>72529</v>
      </c>
      <c r="H27" s="11" t="n">
        <v>63663</v>
      </c>
      <c r="I27" s="12" t="n">
        <v>82598</v>
      </c>
      <c r="J27" s="12" t="n">
        <v>80182</v>
      </c>
      <c r="K27" s="12" t="n">
        <v>68825</v>
      </c>
      <c r="L27" s="12" t="n">
        <v>70634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55754</v>
      </c>
      <c r="D31" s="12" t="n">
        <v>57762</v>
      </c>
      <c r="E31" s="12" t="n">
        <v>59299</v>
      </c>
      <c r="F31" s="12" t="n">
        <v>61687</v>
      </c>
      <c r="G31" s="12" t="n">
        <v>62543</v>
      </c>
      <c r="H31" s="11" t="n">
        <v>44306</v>
      </c>
      <c r="I31" s="12" t="n">
        <v>44768</v>
      </c>
      <c r="J31" s="12" t="n">
        <v>50280</v>
      </c>
      <c r="K31" s="12" t="n">
        <v>54624</v>
      </c>
      <c r="L31" s="12" t="n">
        <v>61687</v>
      </c>
    </row>
    <row r="32">
      <c r="A32" s="18" t="inlineStr">
        <is>
          <t>자본금</t>
        </is>
      </c>
      <c r="B32" s="10" t="n"/>
      <c r="C32" s="19" t="n">
        <v>10000</v>
      </c>
      <c r="D32" s="20" t="n">
        <v>10000</v>
      </c>
      <c r="E32" s="20" t="n">
        <v>10000</v>
      </c>
      <c r="F32" s="20" t="n">
        <v>10000</v>
      </c>
      <c r="G32" s="20" t="n">
        <v>10000</v>
      </c>
      <c r="H32" s="19" t="n">
        <v>10000</v>
      </c>
      <c r="I32" s="20" t="n">
        <v>10000</v>
      </c>
      <c r="J32" s="20" t="n">
        <v>10000</v>
      </c>
      <c r="K32" s="20" t="n">
        <v>10000</v>
      </c>
      <c r="L32" s="20" t="n">
        <v>10000</v>
      </c>
    </row>
    <row r="33">
      <c r="A33" s="18" t="inlineStr">
        <is>
          <t>이익잉여금</t>
        </is>
      </c>
      <c r="B33" s="10" t="n"/>
      <c r="C33" s="19" t="n">
        <v>33167</v>
      </c>
      <c r="D33" s="20" t="n">
        <v>34403</v>
      </c>
      <c r="E33" s="20" t="n">
        <v>35307</v>
      </c>
      <c r="F33" s="20" t="n">
        <v>37099</v>
      </c>
      <c r="G33" s="20" t="n">
        <v>37918</v>
      </c>
      <c r="H33" s="19" t="n">
        <v>23882</v>
      </c>
      <c r="I33" s="20" t="n">
        <v>23952</v>
      </c>
      <c r="J33" s="20" t="n">
        <v>28075</v>
      </c>
      <c r="K33" s="20" t="n">
        <v>32338</v>
      </c>
      <c r="L33" s="20" t="n">
        <v>37099</v>
      </c>
    </row>
    <row r="34">
      <c r="A34" s="18" t="inlineStr">
        <is>
          <t>비지배지분</t>
        </is>
      </c>
      <c r="B34" s="10" t="n"/>
      <c r="C34" s="19" t="n">
        <v>725</v>
      </c>
      <c r="D34" s="20" t="n">
        <v>766</v>
      </c>
      <c r="E34" s="20" t="n">
        <v>708</v>
      </c>
      <c r="F34" s="20" t="n">
        <v>698</v>
      </c>
      <c r="G34" s="20" t="n">
        <v>711</v>
      </c>
      <c r="H34" s="19" t="n">
        <v>534</v>
      </c>
      <c r="I34" s="20" t="n">
        <v>546</v>
      </c>
      <c r="J34" s="20" t="n">
        <v>576</v>
      </c>
      <c r="K34" s="20" t="n">
        <v>723</v>
      </c>
      <c r="L34" s="20" t="n">
        <v>698</v>
      </c>
    </row>
    <row r="35">
      <c r="A35" s="9" t="inlineStr">
        <is>
          <t>자본총계</t>
        </is>
      </c>
      <c r="B35" s="10" t="n"/>
      <c r="C35" s="11" t="n">
        <v>56479</v>
      </c>
      <c r="D35" s="12" t="n">
        <v>58528</v>
      </c>
      <c r="E35" s="12" t="n">
        <v>60007</v>
      </c>
      <c r="F35" s="12" t="n">
        <v>62385</v>
      </c>
      <c r="G35" s="12" t="n">
        <v>63254</v>
      </c>
      <c r="H35" s="11" t="n">
        <v>44840</v>
      </c>
      <c r="I35" s="12" t="n">
        <v>45314</v>
      </c>
      <c r="J35" s="12" t="n">
        <v>50856</v>
      </c>
      <c r="K35" s="12" t="n">
        <v>55347</v>
      </c>
      <c r="L35" s="12" t="n">
        <v>62385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12287</v>
      </c>
      <c r="E37" s="12" t="n"/>
      <c r="F37" s="12" t="n">
        <v>17090</v>
      </c>
      <c r="G37" s="12" t="n"/>
      <c r="H37" s="11" t="n">
        <v>2740</v>
      </c>
      <c r="I37" s="12" t="n">
        <v>-7816</v>
      </c>
      <c r="J37" s="12" t="n">
        <v>11138</v>
      </c>
      <c r="K37" s="12" t="n">
        <v>8570</v>
      </c>
      <c r="L37" s="12" t="n">
        <v>17090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1364</v>
      </c>
      <c r="E40" s="20" t="n"/>
      <c r="F40" s="20" t="n">
        <v>1614</v>
      </c>
      <c r="G40" s="20" t="n"/>
      <c r="H40" s="19" t="n">
        <v>971</v>
      </c>
      <c r="I40" s="20" t="n">
        <v>967</v>
      </c>
      <c r="J40" s="20" t="n">
        <v>963</v>
      </c>
      <c r="K40" s="20" t="n">
        <v>1114</v>
      </c>
      <c r="L40" s="20" t="n">
        <v>1614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9812</v>
      </c>
      <c r="D71" s="20" t="n">
        <v>10098</v>
      </c>
      <c r="E71" s="20" t="n">
        <v>12238</v>
      </c>
      <c r="F71" s="20" t="n">
        <v>11138</v>
      </c>
      <c r="G71" s="20" t="n">
        <v>11876</v>
      </c>
      <c r="H71" s="20" t="n">
        <v>3500</v>
      </c>
      <c r="I71" s="20" t="n">
        <v>7379</v>
      </c>
      <c r="J71" s="20" t="n">
        <v>10876</v>
      </c>
      <c r="K71" s="20" t="n">
        <v>10342</v>
      </c>
      <c r="L71" s="20" t="n">
        <v>11138</v>
      </c>
    </row>
    <row r="72">
      <c r="A72" s="18" t="inlineStr">
        <is>
          <t>받을어음·매출채권</t>
        </is>
      </c>
      <c r="C72" s="20" t="n">
        <v>41528</v>
      </c>
      <c r="D72" s="20" t="n">
        <v>40345</v>
      </c>
      <c r="E72" s="20" t="n">
        <v>49147</v>
      </c>
      <c r="F72" s="20" t="n">
        <v>40443</v>
      </c>
      <c r="G72" s="20" t="n">
        <v>42881</v>
      </c>
      <c r="H72" s="20" t="n">
        <v>40359</v>
      </c>
      <c r="I72" s="20" t="n">
        <v>51375</v>
      </c>
      <c r="J72" s="20" t="n">
        <v>51829</v>
      </c>
      <c r="K72" s="20" t="n">
        <v>43211</v>
      </c>
      <c r="L72" s="20" t="n">
        <v>40443</v>
      </c>
    </row>
    <row r="73">
      <c r="A73" s="18" t="inlineStr">
        <is>
          <t>전자기록채권</t>
        </is>
      </c>
      <c r="C73" s="20" t="n">
        <v>5679</v>
      </c>
      <c r="D73" s="20" t="n">
        <v>5733</v>
      </c>
      <c r="E73" s="20" t="n">
        <v>7122</v>
      </c>
      <c r="F73" s="20" t="n">
        <v>6541</v>
      </c>
      <c r="G73" s="20" t="n">
        <v>6812</v>
      </c>
      <c r="H73" s="20" t="n">
        <v>2427</v>
      </c>
      <c r="I73" s="20" t="n">
        <v>3885</v>
      </c>
      <c r="J73" s="20" t="n">
        <v>5149</v>
      </c>
      <c r="K73" s="20" t="n">
        <v>4437</v>
      </c>
      <c r="L73" s="20" t="n">
        <v>6541</v>
      </c>
    </row>
    <row r="74">
      <c r="A74" s="18" t="inlineStr">
        <is>
          <t>상품·제품</t>
        </is>
      </c>
      <c r="C74" s="20" t="n">
        <v>2742</v>
      </c>
      <c r="D74" s="20" t="n">
        <v>2779</v>
      </c>
      <c r="E74" s="20" t="n">
        <v>2857</v>
      </c>
      <c r="F74" s="20" t="n">
        <v>2656</v>
      </c>
      <c r="G74" s="20" t="n">
        <v>2553</v>
      </c>
      <c r="H74" s="20" t="n">
        <v>2345</v>
      </c>
      <c r="I74" s="20" t="n">
        <v>3070</v>
      </c>
      <c r="J74" s="20" t="n">
        <v>2856</v>
      </c>
      <c r="K74" s="20" t="n">
        <v>2570</v>
      </c>
      <c r="L74" s="20" t="n">
        <v>2656</v>
      </c>
    </row>
    <row r="75">
      <c r="A75" s="18" t="inlineStr">
        <is>
          <t>원재료·저장품</t>
        </is>
      </c>
      <c r="C75" s="20" t="n">
        <v>14514</v>
      </c>
      <c r="D75" s="20" t="n">
        <v>12959</v>
      </c>
      <c r="E75" s="20" t="n">
        <v>13275</v>
      </c>
      <c r="F75" s="20" t="n">
        <v>14633</v>
      </c>
      <c r="G75" s="20" t="n">
        <v>14062</v>
      </c>
      <c r="H75" s="20" t="n">
        <v>13269</v>
      </c>
      <c r="I75" s="20" t="n">
        <v>17156</v>
      </c>
      <c r="J75" s="20" t="n">
        <v>14041</v>
      </c>
      <c r="K75" s="20" t="n">
        <v>16451</v>
      </c>
      <c r="L75" s="20" t="n">
        <v>14633</v>
      </c>
    </row>
    <row r="76">
      <c r="A76" s="18" t="inlineStr">
        <is>
          <t>Animals CA</t>
        </is>
      </c>
      <c r="F76" s="20" t="n">
        <v>402</v>
      </c>
      <c r="K76" s="20" t="n">
        <v>392</v>
      </c>
      <c r="L76" s="20" t="n">
        <v>402</v>
      </c>
    </row>
    <row r="77">
      <c r="A77" s="18" t="inlineStr">
        <is>
          <t>Animals</t>
        </is>
      </c>
      <c r="C77" s="20" t="n">
        <v>411</v>
      </c>
      <c r="D77" s="20" t="n">
        <v>423</v>
      </c>
      <c r="E77" s="20" t="n">
        <v>417</v>
      </c>
      <c r="F77" s="20" t="n">
        <v>402</v>
      </c>
      <c r="G77" s="20" t="n">
        <v>392</v>
      </c>
      <c r="H77" s="20" t="n">
        <v>335</v>
      </c>
      <c r="I77" s="20" t="n">
        <v>357</v>
      </c>
      <c r="J77" s="20" t="n">
        <v>408</v>
      </c>
      <c r="K77" s="20" t="n">
        <v>392</v>
      </c>
      <c r="L77" s="20" t="n">
        <v>402</v>
      </c>
    </row>
    <row r="78">
      <c r="A78" s="18" t="inlineStr">
        <is>
          <t>기타</t>
        </is>
      </c>
      <c r="C78" s="20" t="n">
        <v>2640</v>
      </c>
      <c r="D78" s="20" t="n">
        <v>2906</v>
      </c>
      <c r="E78" s="20" t="n">
        <v>2861</v>
      </c>
      <c r="F78" s="20" t="n">
        <v>2755</v>
      </c>
      <c r="G78" s="20" t="n">
        <v>2849</v>
      </c>
      <c r="H78" s="20" t="n">
        <v>3100</v>
      </c>
      <c r="I78" s="20" t="n">
        <v>2791</v>
      </c>
      <c r="J78" s="20" t="n">
        <v>3335</v>
      </c>
      <c r="K78" s="20" t="n">
        <v>2832</v>
      </c>
      <c r="L78" s="20" t="n">
        <v>2755</v>
      </c>
    </row>
    <row r="79">
      <c r="A79" s="18" t="inlineStr">
        <is>
          <t>대손충당금</t>
        </is>
      </c>
      <c r="C79" s="20" t="n">
        <v>-123</v>
      </c>
      <c r="D79" s="20" t="n">
        <v>-109</v>
      </c>
      <c r="E79" s="20" t="n">
        <v>-160</v>
      </c>
      <c r="F79" s="20" t="n">
        <v>-98</v>
      </c>
      <c r="G79" s="20" t="n">
        <v>-102</v>
      </c>
      <c r="H79" s="20" t="n">
        <v>-34</v>
      </c>
      <c r="I79" s="20" t="n">
        <v>-180</v>
      </c>
      <c r="J79" s="20" t="n">
        <v>-292</v>
      </c>
      <c r="K79" s="20" t="n">
        <v>-152</v>
      </c>
      <c r="L79" s="20" t="n">
        <v>-98</v>
      </c>
    </row>
    <row r="80">
      <c r="A80" s="9" t="inlineStr">
        <is>
          <t>유동자산 합계</t>
        </is>
      </c>
      <c r="C80" s="12" t="n">
        <v>77206</v>
      </c>
      <c r="D80" s="12" t="n">
        <v>75135</v>
      </c>
      <c r="E80" s="12" t="n">
        <v>87759</v>
      </c>
      <c r="F80" s="12" t="n">
        <v>78472</v>
      </c>
      <c r="G80" s="12" t="n">
        <v>81325</v>
      </c>
      <c r="H80" s="12" t="n">
        <v>65303</v>
      </c>
      <c r="I80" s="12" t="n">
        <v>85836</v>
      </c>
      <c r="J80" s="12" t="n">
        <v>88204</v>
      </c>
      <c r="K80" s="12" t="n">
        <v>80085</v>
      </c>
      <c r="L80" s="12" t="n">
        <v>78472</v>
      </c>
    </row>
    <row r="81">
      <c r="A81" s="18" t="inlineStr">
        <is>
          <t>건물·구축물</t>
        </is>
      </c>
      <c r="F81" s="20" t="n">
        <v>26251</v>
      </c>
      <c r="H81" s="20" t="n">
        <v>25521</v>
      </c>
      <c r="I81" s="20" t="n">
        <v>24177</v>
      </c>
      <c r="J81" s="20" t="n">
        <v>24195</v>
      </c>
      <c r="K81" s="20" t="n">
        <v>25386</v>
      </c>
      <c r="L81" s="20" t="n">
        <v>26251</v>
      </c>
    </row>
    <row r="82">
      <c r="A82" s="18" t="inlineStr">
        <is>
          <t>감가상각누계액</t>
        </is>
      </c>
      <c r="F82" s="20" t="n">
        <v>-13131</v>
      </c>
      <c r="H82" s="20" t="n">
        <v>-12082</v>
      </c>
      <c r="I82" s="20" t="n">
        <v>-11174</v>
      </c>
      <c r="J82" s="20" t="n">
        <v>-11793</v>
      </c>
      <c r="K82" s="20" t="n">
        <v>-12366</v>
      </c>
      <c r="L82" s="20" t="n">
        <v>-13131</v>
      </c>
    </row>
    <row r="83">
      <c r="A83" s="18" t="inlineStr">
        <is>
          <t>건물·구축물(순액)</t>
        </is>
      </c>
      <c r="C83" s="20" t="n">
        <v>12949</v>
      </c>
      <c r="D83" s="20" t="n">
        <v>12946</v>
      </c>
      <c r="E83" s="20" t="n">
        <v>13182</v>
      </c>
      <c r="F83" s="20" t="n">
        <v>13119</v>
      </c>
      <c r="G83" s="20" t="n">
        <v>13572</v>
      </c>
      <c r="H83" s="20" t="n">
        <v>13438</v>
      </c>
      <c r="I83" s="20" t="n">
        <v>13002</v>
      </c>
      <c r="J83" s="20" t="n">
        <v>12401</v>
      </c>
      <c r="K83" s="20" t="n">
        <v>13019</v>
      </c>
      <c r="L83" s="20" t="n">
        <v>13119</v>
      </c>
    </row>
    <row r="84">
      <c r="A84" s="18" t="inlineStr">
        <is>
          <t>기계장치·운반구</t>
        </is>
      </c>
      <c r="F84" s="20" t="n">
        <v>32590</v>
      </c>
      <c r="H84" s="20" t="n">
        <v>30322</v>
      </c>
      <c r="I84" s="20" t="n">
        <v>29123</v>
      </c>
      <c r="J84" s="20" t="n">
        <v>29792</v>
      </c>
      <c r="K84" s="20" t="n">
        <v>31457</v>
      </c>
      <c r="L84" s="20" t="n">
        <v>32590</v>
      </c>
    </row>
    <row r="85">
      <c r="A85" s="18" t="inlineStr">
        <is>
          <t>감가상각누계액</t>
        </is>
      </c>
      <c r="F85" s="20" t="n">
        <v>-23181</v>
      </c>
      <c r="H85" s="20" t="n">
        <v>-18050</v>
      </c>
      <c r="I85" s="20" t="n">
        <v>-17905</v>
      </c>
      <c r="J85" s="20" t="n">
        <v>-19613</v>
      </c>
      <c r="K85" s="20" t="n">
        <v>-21489</v>
      </c>
      <c r="L85" s="20" t="n">
        <v>-23181</v>
      </c>
    </row>
    <row r="86">
      <c r="A86" s="18" t="inlineStr">
        <is>
          <t>기계장치·운반구(순액)</t>
        </is>
      </c>
      <c r="C86" s="20" t="n">
        <v>9626</v>
      </c>
      <c r="D86" s="20" t="n">
        <v>9600</v>
      </c>
      <c r="E86" s="20" t="n">
        <v>9586</v>
      </c>
      <c r="F86" s="20" t="n">
        <v>9408</v>
      </c>
      <c r="G86" s="20" t="n">
        <v>9761</v>
      </c>
      <c r="H86" s="20" t="n">
        <v>12271</v>
      </c>
      <c r="I86" s="20" t="n">
        <v>11217</v>
      </c>
      <c r="J86" s="20" t="n">
        <v>10179</v>
      </c>
      <c r="K86" s="20" t="n">
        <v>9967</v>
      </c>
      <c r="L86" s="20" t="n">
        <v>9408</v>
      </c>
    </row>
    <row r="87">
      <c r="A87" s="18" t="inlineStr">
        <is>
          <t>토지</t>
        </is>
      </c>
      <c r="C87" s="20" t="n">
        <v>6549</v>
      </c>
      <c r="D87" s="20" t="n">
        <v>6535</v>
      </c>
      <c r="E87" s="20" t="n">
        <v>6532</v>
      </c>
      <c r="F87" s="20" t="n">
        <v>6532</v>
      </c>
      <c r="G87" s="20" t="n">
        <v>6532</v>
      </c>
      <c r="H87" s="20" t="n">
        <v>6355</v>
      </c>
      <c r="I87" s="20" t="n">
        <v>6114</v>
      </c>
      <c r="J87" s="20" t="n">
        <v>6265</v>
      </c>
      <c r="K87" s="20" t="n">
        <v>6255</v>
      </c>
      <c r="L87" s="20" t="n">
        <v>6532</v>
      </c>
    </row>
    <row r="88">
      <c r="A88" s="18" t="inlineStr">
        <is>
          <t>리스자산</t>
        </is>
      </c>
      <c r="F88" s="20" t="n">
        <v>1226</v>
      </c>
      <c r="H88" s="20" t="n">
        <v>1046</v>
      </c>
      <c r="I88" s="20" t="n">
        <v>1045</v>
      </c>
      <c r="J88" s="20" t="n">
        <v>1089</v>
      </c>
      <c r="K88" s="20" t="n">
        <v>1064</v>
      </c>
      <c r="L88" s="20" t="n">
        <v>1226</v>
      </c>
    </row>
    <row r="89">
      <c r="A89" s="18" t="inlineStr">
        <is>
          <t>감가상각누계액</t>
        </is>
      </c>
      <c r="F89" s="20" t="n">
        <v>-549</v>
      </c>
      <c r="H89" s="20" t="n">
        <v>-227</v>
      </c>
      <c r="I89" s="20" t="n">
        <v>-318</v>
      </c>
      <c r="J89" s="20" t="n">
        <v>-401</v>
      </c>
      <c r="K89" s="20" t="n">
        <v>-435</v>
      </c>
      <c r="L89" s="20" t="n">
        <v>-549</v>
      </c>
    </row>
    <row r="90">
      <c r="A90" s="18" t="inlineStr">
        <is>
          <t>리스자산(순액)</t>
        </is>
      </c>
      <c r="C90" s="20" t="n">
        <v>665</v>
      </c>
      <c r="D90" s="20" t="n">
        <v>664</v>
      </c>
      <c r="E90" s="20" t="n">
        <v>659</v>
      </c>
      <c r="F90" s="20" t="n">
        <v>676</v>
      </c>
      <c r="G90" s="20" t="n">
        <v>668</v>
      </c>
      <c r="H90" s="20" t="n">
        <v>818</v>
      </c>
      <c r="I90" s="20" t="n">
        <v>727</v>
      </c>
      <c r="J90" s="20" t="n">
        <v>687</v>
      </c>
      <c r="K90" s="20" t="n">
        <v>629</v>
      </c>
      <c r="L90" s="20" t="n">
        <v>676</v>
      </c>
    </row>
    <row r="91">
      <c r="A91" s="18" t="inlineStr">
        <is>
          <t>건설중인자산</t>
        </is>
      </c>
      <c r="C91" s="20" t="n">
        <v>4792</v>
      </c>
      <c r="D91" s="20" t="n">
        <v>5241</v>
      </c>
      <c r="E91" s="20" t="n">
        <v>5206</v>
      </c>
      <c r="F91" s="20" t="n">
        <v>8004</v>
      </c>
      <c r="G91" s="20" t="n">
        <v>7220</v>
      </c>
      <c r="H91" s="20" t="n">
        <v>45</v>
      </c>
      <c r="I91" s="20" t="n">
        <v>68</v>
      </c>
      <c r="J91" s="20" t="n">
        <v>167</v>
      </c>
      <c r="K91" s="20" t="n">
        <v>648</v>
      </c>
      <c r="L91" s="20" t="n">
        <v>8004</v>
      </c>
    </row>
    <row r="92">
      <c r="A92" s="18" t="inlineStr">
        <is>
          <t>기타</t>
        </is>
      </c>
      <c r="F92" s="20" t="n">
        <v>2927</v>
      </c>
      <c r="H92" s="20" t="n">
        <v>2211</v>
      </c>
      <c r="I92" s="20" t="n">
        <v>2137</v>
      </c>
      <c r="J92" s="20" t="n">
        <v>2205</v>
      </c>
      <c r="K92" s="20" t="n">
        <v>2499</v>
      </c>
      <c r="L92" s="20" t="n">
        <v>2927</v>
      </c>
    </row>
    <row r="93">
      <c r="A93" s="18" t="inlineStr">
        <is>
          <t>감가상각누계액</t>
        </is>
      </c>
      <c r="F93" s="20" t="n">
        <v>-1871</v>
      </c>
      <c r="H93" s="20" t="n">
        <v>-1627</v>
      </c>
      <c r="I93" s="20" t="n">
        <v>-1599</v>
      </c>
      <c r="J93" s="20" t="n">
        <v>-1725</v>
      </c>
      <c r="K93" s="20" t="n">
        <v>-1711</v>
      </c>
      <c r="L93" s="20" t="n">
        <v>-1871</v>
      </c>
    </row>
    <row r="94">
      <c r="A94" s="18" t="inlineStr">
        <is>
          <t>기타(순액)</t>
        </is>
      </c>
      <c r="C94" s="20" t="n">
        <v>924</v>
      </c>
      <c r="D94" s="20" t="n">
        <v>979</v>
      </c>
      <c r="E94" s="20" t="n">
        <v>1076</v>
      </c>
      <c r="F94" s="20" t="n">
        <v>1056</v>
      </c>
      <c r="G94" s="20" t="n">
        <v>1052</v>
      </c>
      <c r="H94" s="20" t="n">
        <v>583</v>
      </c>
      <c r="I94" s="20" t="n">
        <v>538</v>
      </c>
      <c r="J94" s="20" t="n">
        <v>480</v>
      </c>
      <c r="K94" s="20" t="n">
        <v>787</v>
      </c>
      <c r="L94" s="20" t="n">
        <v>1056</v>
      </c>
    </row>
    <row r="95">
      <c r="A95" s="18" t="inlineStr">
        <is>
          <t>유형자산 합계</t>
        </is>
      </c>
      <c r="C95" s="20" t="n">
        <v>35507</v>
      </c>
      <c r="D95" s="20" t="n">
        <v>35967</v>
      </c>
      <c r="E95" s="20" t="n">
        <v>36244</v>
      </c>
      <c r="F95" s="20" t="n">
        <v>38797</v>
      </c>
      <c r="G95" s="20" t="n">
        <v>38807</v>
      </c>
      <c r="H95" s="20" t="n">
        <v>33513</v>
      </c>
      <c r="I95" s="20" t="n">
        <v>31668</v>
      </c>
      <c r="J95" s="20" t="n">
        <v>30181</v>
      </c>
      <c r="K95" s="20" t="n">
        <v>31308</v>
      </c>
      <c r="L95" s="20" t="n">
        <v>38797</v>
      </c>
    </row>
    <row r="96">
      <c r="A96" s="18" t="inlineStr">
        <is>
          <t>기타</t>
        </is>
      </c>
      <c r="C96" s="20" t="n">
        <v>1503</v>
      </c>
      <c r="D96" s="20" t="n">
        <v>1437</v>
      </c>
      <c r="E96" s="20" t="n">
        <v>1346</v>
      </c>
      <c r="F96" s="20" t="n">
        <v>1345</v>
      </c>
      <c r="G96" s="20" t="n">
        <v>1299</v>
      </c>
      <c r="H96" s="20" t="n">
        <v>530</v>
      </c>
      <c r="I96" s="20" t="n">
        <v>916</v>
      </c>
      <c r="J96" s="20" t="n">
        <v>1542</v>
      </c>
      <c r="K96" s="20" t="n">
        <v>1552</v>
      </c>
      <c r="L96" s="20" t="n">
        <v>1345</v>
      </c>
    </row>
    <row r="97">
      <c r="A97" s="18" t="inlineStr">
        <is>
          <t>무형자산 합계</t>
        </is>
      </c>
      <c r="C97" s="20" t="n">
        <v>1503</v>
      </c>
      <c r="D97" s="20" t="n">
        <v>1437</v>
      </c>
      <c r="E97" s="20" t="n">
        <v>1346</v>
      </c>
      <c r="F97" s="20" t="n">
        <v>1345</v>
      </c>
      <c r="G97" s="20" t="n">
        <v>1299</v>
      </c>
      <c r="H97" s="20" t="n">
        <v>530</v>
      </c>
      <c r="I97" s="20" t="n">
        <v>916</v>
      </c>
      <c r="J97" s="20" t="n">
        <v>1542</v>
      </c>
      <c r="K97" s="20" t="n">
        <v>1552</v>
      </c>
      <c r="L97" s="20" t="n">
        <v>1345</v>
      </c>
    </row>
    <row r="98">
      <c r="A98" s="18" t="inlineStr">
        <is>
          <t>투자유가증권</t>
        </is>
      </c>
      <c r="C98" s="20" t="n">
        <v>11139</v>
      </c>
      <c r="D98" s="20" t="n">
        <v>12172</v>
      </c>
      <c r="E98" s="20" t="n">
        <v>13118</v>
      </c>
      <c r="F98" s="20" t="n">
        <v>13566</v>
      </c>
      <c r="G98" s="20" t="n">
        <v>13527</v>
      </c>
      <c r="H98" s="20" t="n">
        <v>8215</v>
      </c>
      <c r="I98" s="20" t="n">
        <v>8531</v>
      </c>
      <c r="J98" s="20" t="n">
        <v>10143</v>
      </c>
      <c r="K98" s="20" t="n">
        <v>10450</v>
      </c>
      <c r="L98" s="20" t="n">
        <v>13566</v>
      </c>
    </row>
    <row r="99">
      <c r="A99" s="18" t="inlineStr">
        <is>
          <t>장기대여금</t>
        </is>
      </c>
      <c r="C99" s="20" t="n">
        <v>85</v>
      </c>
      <c r="D99" s="20" t="n">
        <v>91</v>
      </c>
      <c r="E99" s="20" t="n">
        <v>89</v>
      </c>
      <c r="F99" s="20" t="n">
        <v>87</v>
      </c>
      <c r="G99" s="20" t="n">
        <v>87</v>
      </c>
      <c r="H99" s="20" t="n">
        <v>16</v>
      </c>
      <c r="I99" s="20" t="n">
        <v>12</v>
      </c>
      <c r="J99" s="20" t="n">
        <v>1</v>
      </c>
      <c r="K99" s="20" t="n">
        <v>8</v>
      </c>
      <c r="L99" s="20" t="n">
        <v>87</v>
      </c>
    </row>
    <row r="100">
      <c r="A100" s="18" t="inlineStr">
        <is>
          <t>파산갱생채권 등</t>
        </is>
      </c>
      <c r="C100" s="20" t="n">
        <v>168</v>
      </c>
      <c r="D100" s="20" t="n">
        <v>180</v>
      </c>
      <c r="E100" s="20" t="n">
        <v>232</v>
      </c>
      <c r="F100" s="20" t="n">
        <v>226</v>
      </c>
      <c r="G100" s="20" t="n">
        <v>197</v>
      </c>
      <c r="H100" s="20" t="n">
        <v>239</v>
      </c>
      <c r="I100" s="20" t="n">
        <v>327</v>
      </c>
      <c r="J100" s="20" t="n">
        <v>252</v>
      </c>
      <c r="K100" s="20" t="n">
        <v>171</v>
      </c>
      <c r="L100" s="20" t="n">
        <v>226</v>
      </c>
    </row>
    <row r="101">
      <c r="A101" s="18" t="inlineStr">
        <is>
          <t>이연법인세자산</t>
        </is>
      </c>
      <c r="C101" s="20" t="n">
        <v>211</v>
      </c>
      <c r="D101" s="20" t="n">
        <v>182</v>
      </c>
      <c r="E101" s="20" t="n">
        <v>165</v>
      </c>
      <c r="F101" s="20" t="n">
        <v>195</v>
      </c>
      <c r="G101" s="20" t="n">
        <v>199</v>
      </c>
      <c r="H101" s="20" t="n">
        <v>315</v>
      </c>
      <c r="I101" s="20" t="n">
        <v>274</v>
      </c>
      <c r="J101" s="20" t="n">
        <v>199</v>
      </c>
      <c r="K101" s="20" t="n">
        <v>205</v>
      </c>
      <c r="L101" s="20" t="n">
        <v>195</v>
      </c>
    </row>
    <row r="102">
      <c r="A102" s="18" t="inlineStr">
        <is>
          <t>기타</t>
        </is>
      </c>
      <c r="C102" s="20" t="n">
        <v>543</v>
      </c>
      <c r="D102" s="20" t="n">
        <v>534</v>
      </c>
      <c r="E102" s="20" t="n">
        <v>535</v>
      </c>
      <c r="F102" s="20" t="n">
        <v>617</v>
      </c>
      <c r="G102" s="20" t="n">
        <v>619</v>
      </c>
      <c r="H102" s="20" t="n">
        <v>630</v>
      </c>
      <c r="I102" s="20" t="n">
        <v>702</v>
      </c>
      <c r="J102" s="20" t="n">
        <v>681</v>
      </c>
      <c r="K102" s="20" t="n">
        <v>531</v>
      </c>
      <c r="L102" s="20" t="n">
        <v>617</v>
      </c>
    </row>
    <row r="103">
      <c r="A103" s="18" t="inlineStr">
        <is>
          <t>대손충당금</t>
        </is>
      </c>
      <c r="C103" s="20" t="n">
        <v>-217</v>
      </c>
      <c r="D103" s="20" t="n">
        <v>-266</v>
      </c>
      <c r="E103" s="20" t="n">
        <v>-298</v>
      </c>
      <c r="F103" s="20" t="n">
        <v>-288</v>
      </c>
      <c r="G103" s="20" t="n">
        <v>-280</v>
      </c>
      <c r="H103" s="20" t="n">
        <v>-259</v>
      </c>
      <c r="I103" s="20" t="n">
        <v>-356</v>
      </c>
      <c r="J103" s="20" t="n">
        <v>-169</v>
      </c>
      <c r="K103" s="20" t="n">
        <v>-141</v>
      </c>
      <c r="L103" s="20" t="n">
        <v>-288</v>
      </c>
    </row>
    <row r="104">
      <c r="A104" s="18" t="inlineStr">
        <is>
          <t>투자 및 기타자산 합계</t>
        </is>
      </c>
      <c r="C104" s="20" t="n">
        <v>11930</v>
      </c>
      <c r="D104" s="20" t="n">
        <v>12895</v>
      </c>
      <c r="E104" s="20" t="n">
        <v>13843</v>
      </c>
      <c r="F104" s="20" t="n">
        <v>14404</v>
      </c>
      <c r="G104" s="20" t="n">
        <v>14350</v>
      </c>
      <c r="H104" s="20" t="n">
        <v>9157</v>
      </c>
      <c r="I104" s="20" t="n">
        <v>9491</v>
      </c>
      <c r="J104" s="20" t="n">
        <v>11109</v>
      </c>
      <c r="K104" s="20" t="n">
        <v>11225</v>
      </c>
      <c r="L104" s="20" t="n">
        <v>14404</v>
      </c>
    </row>
    <row r="105">
      <c r="A105" s="9" t="inlineStr">
        <is>
          <t>비유동자산 합계</t>
        </is>
      </c>
      <c r="C105" s="12" t="n">
        <v>48940</v>
      </c>
      <c r="D105" s="12" t="n">
        <v>50300</v>
      </c>
      <c r="E105" s="12" t="n">
        <v>51434</v>
      </c>
      <c r="F105" s="12" t="n">
        <v>54547</v>
      </c>
      <c r="G105" s="12" t="n">
        <v>54457</v>
      </c>
      <c r="H105" s="12" t="n">
        <v>43200</v>
      </c>
      <c r="I105" s="12" t="n">
        <v>42076</v>
      </c>
      <c r="J105" s="12" t="n">
        <v>42834</v>
      </c>
      <c r="K105" s="12" t="n">
        <v>44086</v>
      </c>
      <c r="L105" s="12" t="n">
        <v>54547</v>
      </c>
    </row>
    <row r="106">
      <c r="A106" s="9" t="inlineStr">
        <is>
          <t>자산 합계</t>
        </is>
      </c>
      <c r="C106" s="12" t="n">
        <v>126147</v>
      </c>
      <c r="D106" s="12" t="n">
        <v>125436</v>
      </c>
      <c r="E106" s="12" t="n">
        <v>139193</v>
      </c>
      <c r="F106" s="12" t="n">
        <v>133020</v>
      </c>
      <c r="G106" s="12" t="n">
        <v>135783</v>
      </c>
      <c r="H106" s="12" t="n">
        <v>108504</v>
      </c>
      <c r="I106" s="12" t="n">
        <v>127913</v>
      </c>
      <c r="J106" s="12" t="n">
        <v>131038</v>
      </c>
      <c r="K106" s="12" t="n">
        <v>124172</v>
      </c>
      <c r="L106" s="12" t="n">
        <v>133020</v>
      </c>
    </row>
    <row r="107">
      <c r="A107" s="18" t="inlineStr">
        <is>
          <t>지급어음·매입채무</t>
        </is>
      </c>
      <c r="C107" s="20" t="n">
        <v>27997</v>
      </c>
      <c r="D107" s="20" t="n">
        <v>26750</v>
      </c>
      <c r="E107" s="20" t="n">
        <v>35008</v>
      </c>
      <c r="F107" s="20" t="n">
        <v>31060</v>
      </c>
      <c r="G107" s="20" t="n">
        <v>33778</v>
      </c>
      <c r="H107" s="20" t="n">
        <v>30903</v>
      </c>
      <c r="I107" s="20" t="n">
        <v>36482</v>
      </c>
      <c r="J107" s="20" t="n">
        <v>34360</v>
      </c>
      <c r="K107" s="20" t="n">
        <v>29106</v>
      </c>
      <c r="L107" s="20" t="n">
        <v>31060</v>
      </c>
    </row>
    <row r="108">
      <c r="A108" s="18" t="inlineStr">
        <is>
          <t>단기차입금</t>
        </is>
      </c>
      <c r="C108" s="20" t="n">
        <v>9829</v>
      </c>
      <c r="D108" s="20" t="n">
        <v>2620</v>
      </c>
      <c r="E108" s="20" t="n">
        <v>5903</v>
      </c>
      <c r="F108" s="20" t="n">
        <v>1294</v>
      </c>
      <c r="G108" s="20" t="n">
        <v>1293</v>
      </c>
      <c r="H108" s="20" t="n">
        <v>11350</v>
      </c>
      <c r="I108" s="20" t="n">
        <v>16803</v>
      </c>
      <c r="J108" s="20" t="n">
        <v>10580</v>
      </c>
      <c r="K108" s="20" t="n">
        <v>12878</v>
      </c>
      <c r="L108" s="20" t="n">
        <v>1294</v>
      </c>
    </row>
    <row r="109">
      <c r="A109" s="18" t="inlineStr">
        <is>
          <t>리스부채</t>
        </is>
      </c>
      <c r="C109" s="20" t="n">
        <v>137</v>
      </c>
      <c r="D109" s="20" t="n">
        <v>140</v>
      </c>
      <c r="E109" s="20" t="n">
        <v>144</v>
      </c>
      <c r="F109" s="20" t="n">
        <v>153</v>
      </c>
      <c r="G109" s="20" t="n">
        <v>156</v>
      </c>
      <c r="H109" s="20" t="n">
        <v>128</v>
      </c>
      <c r="I109" s="20" t="n">
        <v>126</v>
      </c>
      <c r="J109" s="20" t="n">
        <v>133</v>
      </c>
      <c r="K109" s="20" t="n">
        <v>129</v>
      </c>
      <c r="L109" s="20" t="n">
        <v>153</v>
      </c>
    </row>
    <row r="110">
      <c r="A110" s="18" t="inlineStr">
        <is>
          <t>미지급법인세</t>
        </is>
      </c>
      <c r="C110" s="20" t="n">
        <v>355</v>
      </c>
      <c r="D110" s="20" t="n">
        <v>949</v>
      </c>
      <c r="E110" s="20" t="n">
        <v>938</v>
      </c>
      <c r="F110" s="20" t="n">
        <v>2002</v>
      </c>
      <c r="G110" s="20" t="n">
        <v>891</v>
      </c>
      <c r="H110" s="20" t="n">
        <v>441</v>
      </c>
      <c r="I110" s="20" t="n">
        <v>467</v>
      </c>
      <c r="J110" s="20" t="n">
        <v>2262</v>
      </c>
      <c r="K110" s="20" t="n">
        <v>187</v>
      </c>
      <c r="L110" s="20" t="n">
        <v>2002</v>
      </c>
    </row>
    <row r="111">
      <c r="A111" s="18" t="inlineStr">
        <is>
          <t>상여충당금</t>
        </is>
      </c>
      <c r="C111" s="20" t="n">
        <v>1200</v>
      </c>
      <c r="D111" s="20" t="n">
        <v>861</v>
      </c>
      <c r="E111" s="20" t="n">
        <v>440</v>
      </c>
      <c r="F111" s="20" t="n">
        <v>911</v>
      </c>
      <c r="G111" s="20" t="n">
        <v>1354</v>
      </c>
      <c r="H111" s="20" t="n">
        <v>685</v>
      </c>
      <c r="I111" s="20" t="n">
        <v>558</v>
      </c>
      <c r="J111" s="20" t="n">
        <v>772</v>
      </c>
      <c r="K111" s="20" t="n">
        <v>790</v>
      </c>
      <c r="L111" s="20" t="n">
        <v>911</v>
      </c>
    </row>
    <row r="112">
      <c r="A112" s="18" t="inlineStr">
        <is>
          <t>자산복구부채</t>
        </is>
      </c>
      <c r="I112" s="20" t="n">
        <v>0</v>
      </c>
      <c r="J112" s="20" t="n">
        <v>77</v>
      </c>
      <c r="K112" s="20" t="n">
        <v>0</v>
      </c>
    </row>
    <row r="113">
      <c r="A113" s="18" t="inlineStr">
        <is>
          <t>기타</t>
        </is>
      </c>
      <c r="C113" s="20" t="n">
        <v>6781</v>
      </c>
      <c r="D113" s="20" t="n">
        <v>6996</v>
      </c>
      <c r="E113" s="20" t="n">
        <v>8018</v>
      </c>
      <c r="F113" s="20" t="n">
        <v>7076</v>
      </c>
      <c r="G113" s="20" t="n">
        <v>7184</v>
      </c>
      <c r="H113" s="20" t="n">
        <v>6513</v>
      </c>
      <c r="I113" s="20" t="n">
        <v>5636</v>
      </c>
      <c r="J113" s="20" t="n">
        <v>6933</v>
      </c>
      <c r="K113" s="20" t="n">
        <v>7075</v>
      </c>
      <c r="L113" s="20" t="n">
        <v>7076</v>
      </c>
    </row>
    <row r="114">
      <c r="A114" s="9" t="inlineStr">
        <is>
          <t>유동부채 합계</t>
        </is>
      </c>
      <c r="C114" s="12" t="n">
        <v>46302</v>
      </c>
      <c r="D114" s="12" t="n">
        <v>38320</v>
      </c>
      <c r="E114" s="12" t="n">
        <v>50454</v>
      </c>
      <c r="F114" s="12" t="n">
        <v>42497</v>
      </c>
      <c r="G114" s="12" t="n">
        <v>44659</v>
      </c>
      <c r="H114" s="12" t="n">
        <v>50022</v>
      </c>
      <c r="I114" s="12" t="n">
        <v>60074</v>
      </c>
      <c r="J114" s="12" t="n">
        <v>55121</v>
      </c>
      <c r="K114" s="12" t="n">
        <v>50168</v>
      </c>
      <c r="L114" s="12" t="n">
        <v>42497</v>
      </c>
    </row>
    <row r="115">
      <c r="A115" s="18" t="inlineStr">
        <is>
          <t>장기차입금</t>
        </is>
      </c>
      <c r="C115" s="20" t="n">
        <v>19117</v>
      </c>
      <c r="D115" s="20" t="n">
        <v>23852</v>
      </c>
      <c r="E115" s="20" t="n">
        <v>23631</v>
      </c>
      <c r="F115" s="20" t="n">
        <v>23326</v>
      </c>
      <c r="G115" s="20" t="n">
        <v>23153</v>
      </c>
      <c r="H115" s="20" t="n">
        <v>10478</v>
      </c>
      <c r="I115" s="20" t="n">
        <v>19208</v>
      </c>
      <c r="J115" s="20" t="n">
        <v>21178</v>
      </c>
      <c r="K115" s="20" t="n">
        <v>14400</v>
      </c>
      <c r="L115" s="20" t="n">
        <v>23326</v>
      </c>
    </row>
    <row r="116">
      <c r="A116" s="18" t="inlineStr">
        <is>
          <t>리스부채</t>
        </is>
      </c>
      <c r="C116" s="20" t="n">
        <v>570</v>
      </c>
      <c r="D116" s="20" t="n">
        <v>563</v>
      </c>
      <c r="E116" s="20" t="n">
        <v>553</v>
      </c>
      <c r="F116" s="20" t="n">
        <v>562</v>
      </c>
      <c r="G116" s="20" t="n">
        <v>548</v>
      </c>
      <c r="H116" s="20" t="n">
        <v>759</v>
      </c>
      <c r="I116" s="20" t="n">
        <v>658</v>
      </c>
      <c r="J116" s="20" t="n">
        <v>602</v>
      </c>
      <c r="K116" s="20" t="n">
        <v>538</v>
      </c>
      <c r="L116" s="20" t="n">
        <v>562</v>
      </c>
    </row>
    <row r="117">
      <c r="A117" s="18" t="inlineStr">
        <is>
          <t>이연법인세부채</t>
        </is>
      </c>
      <c r="C117" s="20" t="n">
        <v>806</v>
      </c>
      <c r="D117" s="20" t="n">
        <v>1288</v>
      </c>
      <c r="E117" s="20" t="n">
        <v>1627</v>
      </c>
      <c r="F117" s="20" t="n">
        <v>1538</v>
      </c>
      <c r="G117" s="20" t="n">
        <v>1479</v>
      </c>
      <c r="H117" s="20" t="n">
        <v>10</v>
      </c>
      <c r="I117" s="20" t="n">
        <v>203</v>
      </c>
      <c r="J117" s="20" t="n">
        <v>685</v>
      </c>
      <c r="K117" s="20" t="n">
        <v>858</v>
      </c>
      <c r="L117" s="20" t="n">
        <v>1538</v>
      </c>
    </row>
    <row r="118">
      <c r="A118" s="18" t="inlineStr">
        <is>
          <t>임원 주식급여 충당금</t>
        </is>
      </c>
      <c r="C118" s="20" t="n">
        <v>124</v>
      </c>
      <c r="D118" s="20" t="n">
        <v>108</v>
      </c>
      <c r="E118" s="20" t="n">
        <v>114</v>
      </c>
      <c r="F118" s="20" t="n">
        <v>122</v>
      </c>
      <c r="G118" s="20" t="n">
        <v>128</v>
      </c>
      <c r="H118" s="20" t="n">
        <v>156</v>
      </c>
      <c r="I118" s="20" t="n">
        <v>173</v>
      </c>
      <c r="J118" s="20" t="n">
        <v>111</v>
      </c>
      <c r="K118" s="20" t="n">
        <v>118</v>
      </c>
      <c r="L118" s="20" t="n">
        <v>122</v>
      </c>
    </row>
    <row r="119">
      <c r="A119" s="18" t="inlineStr">
        <is>
          <t>퇴직급여부채</t>
        </is>
      </c>
      <c r="C119" s="20" t="n">
        <v>2478</v>
      </c>
      <c r="D119" s="20" t="n">
        <v>2493</v>
      </c>
      <c r="E119" s="20" t="n">
        <v>2523</v>
      </c>
      <c r="F119" s="20" t="n">
        <v>2286</v>
      </c>
      <c r="G119" s="20" t="n">
        <v>2283</v>
      </c>
      <c r="H119" s="20" t="n">
        <v>2194</v>
      </c>
      <c r="I119" s="20" t="n">
        <v>2234</v>
      </c>
      <c r="J119" s="20" t="n">
        <v>2313</v>
      </c>
      <c r="K119" s="20" t="n">
        <v>2478</v>
      </c>
      <c r="L119" s="20" t="n">
        <v>2286</v>
      </c>
    </row>
    <row r="120">
      <c r="A120" s="18" t="inlineStr">
        <is>
          <t>자산복구부채</t>
        </is>
      </c>
      <c r="C120" s="20" t="n">
        <v>59</v>
      </c>
      <c r="D120" s="20" t="n">
        <v>59</v>
      </c>
      <c r="E120" s="20" t="n">
        <v>59</v>
      </c>
      <c r="F120" s="20" t="n">
        <v>59</v>
      </c>
      <c r="G120" s="20" t="n">
        <v>59</v>
      </c>
      <c r="H120" s="20" t="n">
        <v>3</v>
      </c>
      <c r="I120" s="20" t="n">
        <v>3</v>
      </c>
      <c r="J120" s="20" t="n">
        <v>3</v>
      </c>
      <c r="K120" s="20" t="n">
        <v>58</v>
      </c>
      <c r="L120" s="20" t="n">
        <v>59</v>
      </c>
    </row>
    <row r="121">
      <c r="A121" s="18" t="inlineStr">
        <is>
          <t>지분법 적용 관련 부채</t>
        </is>
      </c>
      <c r="C121" s="20" t="n">
        <v>122</v>
      </c>
      <c r="D121" s="20" t="n">
        <v>130</v>
      </c>
      <c r="E121" s="20" t="n">
        <v>156</v>
      </c>
      <c r="F121" s="20" t="n">
        <v>167</v>
      </c>
      <c r="G121" s="20" t="n">
        <v>148</v>
      </c>
      <c r="I121" s="20" t="n">
        <v>0</v>
      </c>
      <c r="J121" s="20" t="n">
        <v>119</v>
      </c>
      <c r="K121" s="20" t="n">
        <v>117</v>
      </c>
      <c r="L121" s="20" t="n">
        <v>167</v>
      </c>
    </row>
    <row r="122">
      <c r="A122" s="18" t="inlineStr">
        <is>
          <t>기타</t>
        </is>
      </c>
      <c r="C122" s="20" t="n">
        <v>88</v>
      </c>
      <c r="D122" s="20" t="n">
        <v>90</v>
      </c>
      <c r="E122" s="20" t="n">
        <v>65</v>
      </c>
      <c r="F122" s="20" t="n">
        <v>73</v>
      </c>
      <c r="G122" s="20" t="n">
        <v>66</v>
      </c>
      <c r="H122" s="20" t="n">
        <v>38</v>
      </c>
      <c r="I122" s="20" t="n">
        <v>42</v>
      </c>
      <c r="J122" s="20" t="n">
        <v>46</v>
      </c>
      <c r="K122" s="20" t="n">
        <v>85</v>
      </c>
      <c r="L122" s="20" t="n">
        <v>73</v>
      </c>
    </row>
    <row r="123">
      <c r="A123" s="9" t="inlineStr">
        <is>
          <t>비유동부채 합계</t>
        </is>
      </c>
      <c r="C123" s="12" t="n">
        <v>23365</v>
      </c>
      <c r="D123" s="12" t="n">
        <v>28587</v>
      </c>
      <c r="E123" s="12" t="n">
        <v>28731</v>
      </c>
      <c r="F123" s="12" t="n">
        <v>28136</v>
      </c>
      <c r="G123" s="12" t="n">
        <v>27870</v>
      </c>
      <c r="H123" s="12" t="n">
        <v>13641</v>
      </c>
      <c r="I123" s="12" t="n">
        <v>22523</v>
      </c>
      <c r="J123" s="12" t="n">
        <v>25060</v>
      </c>
      <c r="K123" s="12" t="n">
        <v>18656</v>
      </c>
      <c r="L123" s="12" t="n">
        <v>28136</v>
      </c>
    </row>
    <row r="124">
      <c r="A124" s="9" t="inlineStr">
        <is>
          <t>부채 합계</t>
        </is>
      </c>
      <c r="C124" s="12" t="n">
        <v>69668</v>
      </c>
      <c r="D124" s="12" t="n">
        <v>66907</v>
      </c>
      <c r="E124" s="12" t="n">
        <v>79185</v>
      </c>
      <c r="F124" s="12" t="n">
        <v>70634</v>
      </c>
      <c r="G124" s="12" t="n">
        <v>72529</v>
      </c>
      <c r="H124" s="12" t="n">
        <v>63663</v>
      </c>
      <c r="I124" s="12" t="n">
        <v>82598</v>
      </c>
      <c r="J124" s="12" t="n">
        <v>80182</v>
      </c>
      <c r="K124" s="12" t="n">
        <v>68825</v>
      </c>
      <c r="L124" s="12" t="n">
        <v>70634</v>
      </c>
    </row>
    <row r="125">
      <c r="A125" s="18" t="inlineStr">
        <is>
          <t>자본금</t>
        </is>
      </c>
      <c r="C125" s="20" t="n">
        <v>10000</v>
      </c>
      <c r="D125" s="20" t="n">
        <v>10000</v>
      </c>
      <c r="E125" s="20" t="n">
        <v>10000</v>
      </c>
      <c r="F125" s="20" t="n">
        <v>10000</v>
      </c>
      <c r="G125" s="20" t="n">
        <v>10000</v>
      </c>
      <c r="H125" s="20" t="n">
        <v>10000</v>
      </c>
      <c r="I125" s="20" t="n">
        <v>10000</v>
      </c>
      <c r="J125" s="20" t="n">
        <v>10000</v>
      </c>
      <c r="K125" s="20" t="n">
        <v>10000</v>
      </c>
      <c r="L125" s="20" t="n">
        <v>10000</v>
      </c>
    </row>
    <row r="126">
      <c r="A126" s="18" t="inlineStr">
        <is>
          <t>자본잉여금</t>
        </is>
      </c>
      <c r="C126" s="20" t="n">
        <v>9757</v>
      </c>
      <c r="D126" s="20" t="n">
        <v>9757</v>
      </c>
      <c r="E126" s="20" t="n">
        <v>9791</v>
      </c>
      <c r="F126" s="20" t="n">
        <v>9791</v>
      </c>
      <c r="G126" s="20" t="n">
        <v>9791</v>
      </c>
      <c r="H126" s="20" t="n">
        <v>9737</v>
      </c>
      <c r="I126" s="20" t="n">
        <v>9737</v>
      </c>
      <c r="J126" s="20" t="n">
        <v>9737</v>
      </c>
      <c r="K126" s="20" t="n">
        <v>9757</v>
      </c>
      <c r="L126" s="20" t="n">
        <v>9791</v>
      </c>
    </row>
    <row r="127">
      <c r="A127" s="18" t="inlineStr">
        <is>
          <t>이익잉여금</t>
        </is>
      </c>
      <c r="C127" s="20" t="n">
        <v>33167</v>
      </c>
      <c r="D127" s="20" t="n">
        <v>34403</v>
      </c>
      <c r="E127" s="20" t="n">
        <v>35307</v>
      </c>
      <c r="F127" s="20" t="n">
        <v>37099</v>
      </c>
      <c r="G127" s="20" t="n">
        <v>37918</v>
      </c>
      <c r="H127" s="20" t="n">
        <v>23882</v>
      </c>
      <c r="I127" s="20" t="n">
        <v>23952</v>
      </c>
      <c r="J127" s="20" t="n">
        <v>28075</v>
      </c>
      <c r="K127" s="20" t="n">
        <v>32338</v>
      </c>
      <c r="L127" s="20" t="n">
        <v>37099</v>
      </c>
    </row>
    <row r="128">
      <c r="A128" s="18" t="inlineStr">
        <is>
          <t>자기주식</t>
        </is>
      </c>
      <c r="C128" s="20" t="n">
        <v>-210</v>
      </c>
      <c r="D128" s="20" t="n">
        <v>-172</v>
      </c>
      <c r="E128" s="20" t="n">
        <v>-172</v>
      </c>
      <c r="F128" s="20" t="n">
        <v>-172</v>
      </c>
      <c r="G128" s="20" t="n">
        <v>-173</v>
      </c>
      <c r="H128" s="20" t="n">
        <v>-271</v>
      </c>
      <c r="I128" s="20" t="n">
        <v>-244</v>
      </c>
      <c r="J128" s="20" t="n">
        <v>-173</v>
      </c>
      <c r="K128" s="20" t="n">
        <v>-210</v>
      </c>
      <c r="L128" s="20" t="n">
        <v>-172</v>
      </c>
    </row>
    <row r="129">
      <c r="A129" s="9" t="inlineStr">
        <is>
          <t>주주자본 합계</t>
        </is>
      </c>
      <c r="C129" s="12" t="n">
        <v>52714</v>
      </c>
      <c r="D129" s="12" t="n">
        <v>53988</v>
      </c>
      <c r="E129" s="12" t="n">
        <v>54926</v>
      </c>
      <c r="F129" s="12" t="n">
        <v>56718</v>
      </c>
      <c r="G129" s="12" t="n">
        <v>57537</v>
      </c>
      <c r="H129" s="12" t="n">
        <v>43348</v>
      </c>
      <c r="I129" s="12" t="n">
        <v>43445</v>
      </c>
      <c r="J129" s="12" t="n">
        <v>47639</v>
      </c>
      <c r="K129" s="12" t="n">
        <v>51884</v>
      </c>
      <c r="L129" s="12" t="n">
        <v>56718</v>
      </c>
    </row>
    <row r="130">
      <c r="A130" s="18" t="inlineStr">
        <is>
          <t>기타유가증권 평가차액</t>
        </is>
      </c>
      <c r="C130" s="20" t="n">
        <v>2952</v>
      </c>
      <c r="D130" s="20" t="n">
        <v>3609</v>
      </c>
      <c r="E130" s="20" t="n">
        <v>4168</v>
      </c>
      <c r="F130" s="20" t="n">
        <v>4433</v>
      </c>
      <c r="G130" s="20" t="n">
        <v>4415</v>
      </c>
      <c r="H130" s="20" t="n">
        <v>948</v>
      </c>
      <c r="I130" s="20" t="n">
        <v>1229</v>
      </c>
      <c r="J130" s="20" t="n">
        <v>2316</v>
      </c>
      <c r="K130" s="20" t="n">
        <v>2659</v>
      </c>
      <c r="L130" s="20" t="n">
        <v>4433</v>
      </c>
    </row>
    <row r="131">
      <c r="A131" s="18" t="inlineStr">
        <is>
          <t>이연헤지손익</t>
        </is>
      </c>
      <c r="C131" s="20" t="n">
        <v>35</v>
      </c>
      <c r="D131" s="20" t="n">
        <v>71</v>
      </c>
      <c r="E131" s="20" t="n">
        <v>23</v>
      </c>
      <c r="F131" s="20" t="n">
        <v>115</v>
      </c>
      <c r="G131" s="20" t="n">
        <v>152</v>
      </c>
      <c r="H131" s="20" t="n">
        <v>72</v>
      </c>
      <c r="I131" s="20" t="n">
        <v>32</v>
      </c>
      <c r="J131" s="20" t="n">
        <v>139</v>
      </c>
      <c r="K131" s="20" t="n">
        <v>-33</v>
      </c>
      <c r="L131" s="20" t="n">
        <v>115</v>
      </c>
    </row>
    <row r="132">
      <c r="A132" s="18" t="inlineStr">
        <is>
          <t>해외사업환산조정</t>
        </is>
      </c>
      <c r="C132" s="20" t="n">
        <v>77</v>
      </c>
      <c r="D132" s="20" t="n">
        <v>115</v>
      </c>
      <c r="E132" s="20" t="n">
        <v>202</v>
      </c>
      <c r="F132" s="20" t="n">
        <v>247</v>
      </c>
      <c r="G132" s="20" t="n">
        <v>269</v>
      </c>
      <c r="H132" s="20" t="n">
        <v>-1</v>
      </c>
      <c r="I132" s="20" t="n">
        <v>61</v>
      </c>
      <c r="J132" s="20" t="n">
        <v>213</v>
      </c>
      <c r="K132" s="20" t="n">
        <v>140</v>
      </c>
      <c r="L132" s="20" t="n">
        <v>247</v>
      </c>
    </row>
    <row r="133">
      <c r="A133" s="18" t="inlineStr">
        <is>
          <t>퇴직급여 조정누계액</t>
        </is>
      </c>
      <c r="C133" s="20" t="n">
        <v>-25</v>
      </c>
      <c r="D133" s="20" t="n">
        <v>-23</v>
      </c>
      <c r="E133" s="20" t="n">
        <v>-21</v>
      </c>
      <c r="F133" s="20" t="n">
        <v>171</v>
      </c>
      <c r="G133" s="20" t="n">
        <v>168</v>
      </c>
      <c r="H133" s="20" t="n">
        <v>-61</v>
      </c>
      <c r="I133" s="20" t="n">
        <v>-0</v>
      </c>
      <c r="J133" s="20" t="n">
        <v>-28</v>
      </c>
      <c r="K133" s="20" t="n">
        <v>-27</v>
      </c>
      <c r="L133" s="20" t="n">
        <v>171</v>
      </c>
    </row>
    <row r="134">
      <c r="A134" s="18" t="inlineStr">
        <is>
          <t>기타포괄손익누계액 합계</t>
        </is>
      </c>
      <c r="C134" s="20" t="n">
        <v>3039</v>
      </c>
      <c r="D134" s="20" t="n">
        <v>3773</v>
      </c>
      <c r="E134" s="20" t="n">
        <v>4372</v>
      </c>
      <c r="F134" s="20" t="n">
        <v>4968</v>
      </c>
      <c r="G134" s="20" t="n">
        <v>5005</v>
      </c>
      <c r="H134" s="20" t="n">
        <v>957</v>
      </c>
      <c r="I134" s="20" t="n">
        <v>1323</v>
      </c>
      <c r="J134" s="20" t="n">
        <v>2640</v>
      </c>
      <c r="K134" s="20" t="n">
        <v>2739</v>
      </c>
      <c r="L134" s="20" t="n">
        <v>4968</v>
      </c>
    </row>
    <row r="135">
      <c r="A135" s="18" t="inlineStr">
        <is>
          <t>비지배지분</t>
        </is>
      </c>
      <c r="C135" s="20" t="n">
        <v>725</v>
      </c>
      <c r="D135" s="20" t="n">
        <v>766</v>
      </c>
      <c r="E135" s="20" t="n">
        <v>708</v>
      </c>
      <c r="F135" s="20" t="n">
        <v>698</v>
      </c>
      <c r="G135" s="20" t="n">
        <v>711</v>
      </c>
      <c r="H135" s="20" t="n">
        <v>534</v>
      </c>
      <c r="I135" s="20" t="n">
        <v>546</v>
      </c>
      <c r="J135" s="20" t="n">
        <v>576</v>
      </c>
      <c r="K135" s="20" t="n">
        <v>723</v>
      </c>
      <c r="L135" s="20" t="n">
        <v>698</v>
      </c>
    </row>
    <row r="136">
      <c r="A136" s="9" t="inlineStr">
        <is>
          <t>순자산 합계</t>
        </is>
      </c>
      <c r="C136" s="12" t="n">
        <v>56479</v>
      </c>
      <c r="D136" s="12" t="n">
        <v>58528</v>
      </c>
      <c r="E136" s="12" t="n">
        <v>60007</v>
      </c>
      <c r="F136" s="12" t="n">
        <v>62385</v>
      </c>
      <c r="G136" s="12" t="n">
        <v>63254</v>
      </c>
      <c r="H136" s="12" t="n">
        <v>44840</v>
      </c>
      <c r="I136" s="12" t="n">
        <v>45314</v>
      </c>
      <c r="J136" s="12" t="n">
        <v>50856</v>
      </c>
      <c r="K136" s="12" t="n">
        <v>55347</v>
      </c>
      <c r="L136" s="12" t="n">
        <v>62385</v>
      </c>
    </row>
    <row r="137">
      <c r="A137" s="9" t="inlineStr">
        <is>
          <t>부채·순자산 합계</t>
        </is>
      </c>
      <c r="C137" s="12" t="n">
        <v>126147</v>
      </c>
      <c r="D137" s="12" t="n">
        <v>125436</v>
      </c>
      <c r="E137" s="12" t="n">
        <v>139193</v>
      </c>
      <c r="F137" s="12" t="n">
        <v>133020</v>
      </c>
      <c r="G137" s="12" t="n">
        <v>135783</v>
      </c>
      <c r="H137" s="12" t="n">
        <v>108504</v>
      </c>
      <c r="I137" s="12" t="n">
        <v>127913</v>
      </c>
      <c r="J137" s="12" t="n">
        <v>131038</v>
      </c>
      <c r="K137" s="12" t="n">
        <v>124172</v>
      </c>
      <c r="L137" s="12" t="n">
        <v>133020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https://www2.jpx.co.jp/disc/20600/140120260715594637.pdf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https://www2.jpx.co.jp/disc/20600/140120260428513562.pdf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https://www2.jpx.co.jp/disc/20600/140120260115534196.pdf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https://www2.jpx.co.jp/disc/20600/140120251030583125.pdf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https://www2.jpx.co.jp/disc/20600/140120250728521331.pdf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https://www2.jpx.co.jp/disc/20600/140120250507532466.pdf</t>
        </is>
      </c>
    </row>
    <row r="10">
      <c r="A10" t="inlineStr">
        <is>
          <t>2025-02-14</t>
        </is>
      </c>
      <c r="B10" t="inlineStr">
        <is>
          <t>2025년 3월 결산기 ３분기 결산단신</t>
        </is>
      </c>
      <c r="C10" t="inlineStr">
        <is>
          <t>https://www2.jpx.co.jp/disc/20600/140120250213573860.pdf</t>
        </is>
      </c>
    </row>
    <row r="11">
      <c r="A11" t="inlineStr">
        <is>
          <t>2025-02-06</t>
        </is>
      </c>
      <c r="B11" t="inlineStr">
        <is>
          <t>2025년 3월 결산기 ３분기 결산단신</t>
        </is>
      </c>
      <c r="C11" t="inlineStr">
        <is>
          <t>https://www2.jpx.co.jp/disc/20600/140120250205563855.pdf</t>
        </is>
      </c>
    </row>
    <row r="12">
      <c r="A12" t="inlineStr">
        <is>
          <t>2024-11-08</t>
        </is>
      </c>
      <c r="B12" t="inlineStr">
        <is>
          <t>2025년 3월 결산기 ２분기 결산단신</t>
        </is>
      </c>
      <c r="C12" t="inlineStr">
        <is>
          <t>https://www2.jpx.co.jp/disc/20600/140120241107513751.pdf</t>
        </is>
      </c>
    </row>
    <row r="13">
      <c r="A13" t="inlineStr">
        <is>
          <t>2024-08-09</t>
        </is>
      </c>
      <c r="B13" t="inlineStr">
        <is>
          <t>2025년 3월 결산기 １분기 결산단신</t>
        </is>
      </c>
      <c r="C13" t="inlineStr">
        <is>
          <t>https://www2.jpx.co.jp/disc/20600/140120240808567681.pdf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https://www2.jpx.co.jp/disc/20600/140120240509587048.pdf</t>
        </is>
      </c>
    </row>
    <row r="15">
      <c r="A15" t="inlineStr">
        <is>
          <t>2024-02-08</t>
        </is>
      </c>
      <c r="B15" t="inlineStr">
        <is>
          <t>2024년 3월 결산기 ３분기 결산단신</t>
        </is>
      </c>
      <c r="C15" t="inlineStr">
        <is>
          <t>https://www2.jpx.co.jp/disc/20600/140120240207528753.pdf</t>
        </is>
      </c>
    </row>
    <row r="16">
      <c r="A16" t="inlineStr">
        <is>
          <t>2023-11-08</t>
        </is>
      </c>
      <c r="B16" t="inlineStr">
        <is>
          <t>2024년 3월 결산기 ２분기 결산단신</t>
        </is>
      </c>
      <c r="C16" t="inlineStr">
        <is>
          <t>https://www2.jpx.co.jp/disc/20600/140120231106580096.pdf</t>
        </is>
      </c>
    </row>
    <row r="17">
      <c r="A17" t="inlineStr">
        <is>
          <t>2023-08-09</t>
        </is>
      </c>
      <c r="B17" t="inlineStr">
        <is>
          <t>2024년 3월 결산기 １분기 결산단신</t>
        </is>
      </c>
      <c r="C17" t="inlineStr">
        <is>
          <t>https://www2.jpx.co.jp/disc/20600/140120230808537300.pdf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https://www2.jpx.co.jp/disc/20600/140120230511564901.pdf</t>
        </is>
      </c>
    </row>
    <row r="19">
      <c r="A19" t="inlineStr">
        <is>
          <t>2023-02-08</t>
        </is>
      </c>
      <c r="B19" t="inlineStr">
        <is>
          <t>2023년 3월 결산기 ３분기 결산단신</t>
        </is>
      </c>
      <c r="C19" t="inlineStr">
        <is>
          <t>https://www2.jpx.co.jp/disc/20600/140120230206501235.pdf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https://www2.jpx.co.jp/disc/20600/140120220510536502.pdf</t>
        </is>
      </c>
    </row>
    <row r="21">
      <c r="A21" t="inlineStr">
        <is>
          <t>2021-05-11</t>
        </is>
      </c>
      <c r="B21" t="inlineStr">
        <is>
          <t>2021년 3월 결산기 연간 결산단신</t>
        </is>
      </c>
      <c r="C21" t="inlineStr">
        <is>
          <t>https://www2.jpx.co.jp/disc/20600/140120210511410535.pdf</t>
        </is>
      </c>
    </row>
    <row r="22">
      <c r="A22" t="inlineStr">
        <is>
          <t>2020-05-12</t>
        </is>
      </c>
      <c r="B22" t="inlineStr">
        <is>
          <t>2020년 3월 결산기 연간 결산단신</t>
        </is>
      </c>
      <c r="C22" t="inlineStr">
        <is>
          <t>https://www2.jpx.co.jp/disc/20600/140120200512410271.pdf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https://www2.jpx.co.jp/disc/20600/140120190510420967.pdf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https://www2.jpx.co.jp/disc/20600/140120180511434239.pdf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2026-10-28T07:01:40Z</dcterms:created>
  <dcterms:modified xmlns:dcterms="http://purl.org/dc/terms/" xmlns:xsi="http://www.w3.org/2001/XMLSchema-instance" xsi:type="dcterms:W3CDTF">2026-10-28T07:01:41Z</dcterms:modified>
</cp:coreProperties>
</file>