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1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8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북오프 그룹 홀딩스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2027.1Q = 2027년 5월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26751</v>
      </c>
      <c r="D4" s="12" t="n">
        <v>29454</v>
      </c>
      <c r="E4" s="12" t="n">
        <v>29269</v>
      </c>
      <c r="F4" s="12" t="n">
        <v>28292</v>
      </c>
      <c r="G4" s="12" t="n">
        <v>28489</v>
      </c>
      <c r="H4" s="12" t="n">
        <v>31599</v>
      </c>
      <c r="I4" s="12" t="n">
        <v>30825</v>
      </c>
      <c r="J4" s="12" t="n">
        <v>29511</v>
      </c>
      <c r="K4" s="12" t="n">
        <v>31593</v>
      </c>
      <c r="L4" s="12" t="n">
        <v>34678</v>
      </c>
      <c r="M4" s="12" t="n">
        <v>34341</v>
      </c>
      <c r="N4" s="12" t="n">
        <v>32620</v>
      </c>
      <c r="O4" s="11" t="n"/>
      <c r="P4" s="12" t="n"/>
      <c r="Q4" s="12" t="n">
        <v>80796</v>
      </c>
      <c r="R4" s="12" t="n">
        <v>84389</v>
      </c>
      <c r="S4" s="12" t="n"/>
      <c r="T4" s="12" t="n">
        <v>91538</v>
      </c>
      <c r="U4" s="12" t="n">
        <v>101843</v>
      </c>
      <c r="V4" s="12" t="n">
        <v>111657</v>
      </c>
      <c r="W4" s="12" t="n">
        <v>119205</v>
      </c>
      <c r="X4" s="12" t="n">
        <v>130123</v>
      </c>
      <c r="Y4" s="11">
        <f>IF(COUNT(Y7,Y10,Y13,Y16)=0,"",SUM(Y7,Y10,Y13,Y16))</f>
        <v/>
      </c>
      <c r="Z4" s="12">
        <f>IF(COUNT(Z7,Z10,Z13,Z16)=0,"",SUM(Z7,Z10,Z13,Z16))</f>
        <v/>
      </c>
      <c r="AA4" s="12">
        <f>IF(COUNT(AA7,AA10,AA13,AA16)=0,"",SUM(AA7,AA10,AA13,AA16))</f>
        <v/>
      </c>
      <c r="AB4" s="12">
        <f>IF(COUNT(AB7,AB10,AB13,AB16)=0,"",SUM(AB7,AB10,AB13,AB16))</f>
        <v/>
      </c>
      <c r="AC4" s="12">
        <f>IF(COUNT(AC7,AC10,AC13,AC16)=0,"",SUM(AC7,AC10,AC13,AC16))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국내 북오프 사업</t>
        </is>
      </c>
      <c r="B7" s="10" t="n"/>
      <c r="C7" s="19" t="n">
        <v>23592</v>
      </c>
      <c r="D7" s="20" t="n">
        <v>26337</v>
      </c>
      <c r="E7" s="20" t="n">
        <v>25906</v>
      </c>
      <c r="F7" s="20" t="n">
        <v>24794</v>
      </c>
      <c r="G7" s="20" t="n">
        <v>24911</v>
      </c>
      <c r="H7" s="20" t="n">
        <v>27785</v>
      </c>
      <c r="I7" s="20" t="n">
        <v>26819</v>
      </c>
      <c r="J7" s="20" t="n">
        <v>25858</v>
      </c>
      <c r="K7" s="20" t="n">
        <v>27094</v>
      </c>
      <c r="L7" s="20" t="n">
        <v>30166</v>
      </c>
      <c r="M7" s="20" t="n">
        <v>29547</v>
      </c>
      <c r="N7" s="20" t="n">
        <v>28407</v>
      </c>
      <c r="O7" s="19" t="n"/>
      <c r="P7" s="20" t="n"/>
      <c r="Q7" s="20" t="n"/>
      <c r="R7" s="20" t="n"/>
      <c r="S7" s="20" t="n"/>
      <c r="T7" s="20" t="n"/>
      <c r="U7" s="20" t="n"/>
      <c r="V7" s="20" t="n">
        <v>99036</v>
      </c>
      <c r="W7" s="20" t="n">
        <v>104309</v>
      </c>
      <c r="X7" s="20" t="n">
        <v>112665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프리미엄 서비스 사업</t>
        </is>
      </c>
      <c r="B10" s="10" t="n"/>
      <c r="C10" s="19" t="n">
        <v>1682</v>
      </c>
      <c r="D10" s="20" t="n">
        <v>1628</v>
      </c>
      <c r="E10" s="20" t="n">
        <v>1776</v>
      </c>
      <c r="F10" s="20" t="n">
        <v>1766</v>
      </c>
      <c r="G10" s="20" t="n">
        <v>1661</v>
      </c>
      <c r="H10" s="20" t="n">
        <v>1775</v>
      </c>
      <c r="I10" s="20" t="n">
        <v>1975</v>
      </c>
      <c r="J10" s="20" t="n">
        <v>1626</v>
      </c>
      <c r="K10" s="20" t="n">
        <v>2403</v>
      </c>
      <c r="L10" s="20" t="n">
        <v>2251</v>
      </c>
      <c r="M10" s="20" t="n">
        <v>2247</v>
      </c>
      <c r="N10" s="20" t="n">
        <v>1468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6750</v>
      </c>
      <c r="W10" s="20" t="n">
        <v>7177</v>
      </c>
      <c r="X10" s="20" t="n">
        <v>8527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해외 사업</t>
        </is>
      </c>
      <c r="B13" s="10" t="n"/>
      <c r="C13" s="19" t="n">
        <v>1192</v>
      </c>
      <c r="D13" s="20" t="n">
        <v>1175</v>
      </c>
      <c r="E13" s="20" t="n">
        <v>1244</v>
      </c>
      <c r="F13" s="20" t="n">
        <v>1398</v>
      </c>
      <c r="G13" s="20" t="n">
        <v>1535</v>
      </c>
      <c r="H13" s="20" t="n">
        <v>1615</v>
      </c>
      <c r="I13" s="20" t="n">
        <v>1628</v>
      </c>
      <c r="J13" s="20" t="n">
        <v>1595</v>
      </c>
      <c r="K13" s="20" t="n">
        <v>1731</v>
      </c>
      <c r="L13" s="20" t="n">
        <v>1816</v>
      </c>
      <c r="M13" s="20" t="n">
        <v>2011</v>
      </c>
      <c r="N13" s="20" t="n">
        <v>2224</v>
      </c>
      <c r="O13" s="19" t="n"/>
      <c r="P13" s="20" t="n"/>
      <c r="Q13" s="20" t="n"/>
      <c r="R13" s="20" t="n"/>
      <c r="S13" s="20" t="n"/>
      <c r="T13" s="20" t="n"/>
      <c r="U13" s="20" t="n"/>
      <c r="V13" s="20" t="n">
        <v>4668</v>
      </c>
      <c r="W13" s="20" t="n">
        <v>6176</v>
      </c>
      <c r="X13" s="20" t="n">
        <v>7153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기타</t>
        </is>
      </c>
      <c r="B16" s="10" t="n"/>
      <c r="C16" s="19" t="n">
        <v>286</v>
      </c>
      <c r="D16" s="20" t="n">
        <v>312</v>
      </c>
      <c r="E16" s="20" t="n">
        <v>344</v>
      </c>
      <c r="F16" s="20" t="n">
        <v>333</v>
      </c>
      <c r="G16" s="20" t="n">
        <v>381</v>
      </c>
      <c r="H16" s="20" t="n">
        <v>424</v>
      </c>
      <c r="I16" s="20" t="n">
        <v>404</v>
      </c>
      <c r="J16" s="20" t="n">
        <v>430</v>
      </c>
      <c r="K16" s="20" t="n">
        <v>365</v>
      </c>
      <c r="L16" s="20" t="n">
        <v>446</v>
      </c>
      <c r="M16" s="20" t="n">
        <v>535</v>
      </c>
      <c r="N16" s="20" t="n">
        <v>519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1201</v>
      </c>
      <c r="W16" s="20" t="n">
        <v>1542</v>
      </c>
      <c r="X16" s="20" t="n">
        <v>1776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6" t="inlineStr">
        <is>
          <t>매출원가</t>
        </is>
      </c>
      <c r="B19" s="16" t="n"/>
      <c r="C19" s="17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7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7" t="n"/>
      <c r="Z19" s="16" t="n"/>
      <c r="AA19" s="16" t="n"/>
      <c r="AB19" s="16" t="n"/>
      <c r="AC19" s="16" t="n"/>
    </row>
    <row r="20">
      <c r="A20" s="18" t="inlineStr">
        <is>
          <t>전체 매출원가</t>
        </is>
      </c>
      <c r="B20" s="10" t="n"/>
      <c r="C20" s="19" t="n">
        <v>11486</v>
      </c>
      <c r="D20" s="20" t="n">
        <v>12918</v>
      </c>
      <c r="E20" s="20" t="n">
        <v>13011</v>
      </c>
      <c r="F20" s="20" t="n">
        <v>12078</v>
      </c>
      <c r="G20" s="20" t="n">
        <v>12306</v>
      </c>
      <c r="H20" s="20" t="n">
        <v>13759</v>
      </c>
      <c r="I20" s="20" t="n">
        <v>13311</v>
      </c>
      <c r="J20" s="20" t="n">
        <v>12688</v>
      </c>
      <c r="K20" s="20" t="n">
        <v>13750</v>
      </c>
      <c r="L20" s="20" t="n">
        <v>14962</v>
      </c>
      <c r="M20" s="20" t="n">
        <v>14895</v>
      </c>
      <c r="N20" s="20" t="n">
        <v>13988</v>
      </c>
      <c r="O20" s="19" t="n"/>
      <c r="P20" s="20" t="n"/>
      <c r="Q20" s="20" t="n">
        <v>32561</v>
      </c>
      <c r="R20" s="20" t="n">
        <v>33312</v>
      </c>
      <c r="S20" s="20" t="n"/>
      <c r="T20" s="20" t="n">
        <v>37326</v>
      </c>
      <c r="U20" s="20" t="n">
        <v>43426</v>
      </c>
      <c r="V20" s="20" t="n">
        <v>48885</v>
      </c>
      <c r="W20" s="20" t="n">
        <v>51454</v>
      </c>
      <c r="X20" s="20" t="n">
        <v>56295</v>
      </c>
      <c r="Y20" s="19" t="n"/>
      <c r="Z20" s="20" t="n"/>
      <c r="AA20" s="20" t="n"/>
      <c r="AB20" s="20" t="n"/>
      <c r="AC20" s="20" t="n"/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IF(OR(G20="",C20=""),"",IF(C20&lt;=0,"",IFERROR(G20/C20-1,"")))</f>
        <v/>
      </c>
      <c r="H21" s="15">
        <f>IF(OR(H20="",D20=""),"",IF(D20&lt;=0,"",IFERROR(H20/D20-1,"")))</f>
        <v/>
      </c>
      <c r="I21" s="15">
        <f>IF(OR(I20="",E20=""),"",IF(E20&lt;=0,"",IFERROR(I20/E20-1,"")))</f>
        <v/>
      </c>
      <c r="J21" s="15">
        <f>IF(OR(J20="",F20=""),"",IF(F20&lt;=0,"",IFERROR(J20/F20-1,"")))</f>
        <v/>
      </c>
      <c r="K21" s="15">
        <f>IF(OR(K20="",G20=""),"",IF(G20&lt;=0,"",IFERROR(K20/G20-1,"")))</f>
        <v/>
      </c>
      <c r="L21" s="15">
        <f>IF(OR(L20="",H20=""),"",IF(H20&lt;=0,"",IFERROR(L20/H20-1,"")))</f>
        <v/>
      </c>
      <c r="M21" s="15">
        <f>IF(OR(M20="",I20=""),"",IF(I20&lt;=0,"",IFERROR(M20/I20-1,"")))</f>
        <v/>
      </c>
      <c r="N21" s="15">
        <f>IF(OR(N20="",J20=""),"",IF(J20&lt;=0,"",IFERROR(N20/J20-1,"")))</f>
        <v/>
      </c>
      <c r="O21" s="14" t="n"/>
      <c r="P21" s="15">
        <f>IF(OR(P20="",O20=""),"",IF(O20&lt;=0,"",IFERROR(P20/O20-1,"")))</f>
        <v/>
      </c>
      <c r="Q21" s="15">
        <f>IF(OR(Q20="",P20=""),"",IF(P20&lt;=0,"",IFERROR(Q20/P20-1,"")))</f>
        <v/>
      </c>
      <c r="R21" s="15">
        <f>IF(OR(R20="",Q20=""),"",IF(Q20&lt;=0,"",IFERROR(R20/Q20-1,"")))</f>
        <v/>
      </c>
      <c r="S21" s="15">
        <f>IF(OR(S20="",R20=""),"",IF(R20&lt;=0,"",IFERROR(S20/R20-1,"")))</f>
        <v/>
      </c>
      <c r="T21" s="15">
        <f>IF(OR(T20="",S20=""),"",IF(S20&lt;=0,"",IFERROR(T20/S20-1,"")))</f>
        <v/>
      </c>
      <c r="U21" s="15">
        <f>IF(OR(U20="",T20=""),"",IF(T20&lt;=0,"",IFERROR(U20/T20-1,"")))</f>
        <v/>
      </c>
      <c r="V21" s="15">
        <f>IF(OR(V20="",U20=""),"",IF(U20&lt;=0,"",IFERROR(V20/U20-1,"")))</f>
        <v/>
      </c>
      <c r="W21" s="15">
        <f>IF(OR(W20="",V20=""),"",IF(V20&lt;=0,"",IFERROR(W20/V20-1,"")))</f>
        <v/>
      </c>
      <c r="X21" s="15">
        <f>IF(OR(X20="",W20=""),"",IF(W20&lt;=0,"",IFERROR(X20/W20-1,"")))</f>
        <v/>
      </c>
      <c r="Y21" s="14">
        <f>IF(OR(Y20="",X20=""),"",IF(X20&lt;=0,"",IFERROR(Y20/X20-1,"")))</f>
        <v/>
      </c>
      <c r="Z21" s="15">
        <f>IF(OR(Z20="",Y20=""),"",IF(Y20&lt;=0,"",IFERROR(Z20/Y20-1,"")))</f>
        <v/>
      </c>
      <c r="AA21" s="15">
        <f>IF(OR(AA20="",Z20=""),"",IF(Z20&lt;=0,"",IFERROR(AA20/Z20-1,"")))</f>
        <v/>
      </c>
      <c r="AB21" s="15">
        <f>IF(OR(AB20="",AA20=""),"",IF(AA20&lt;=0,"",IFERROR(AB20/AA20-1,"")))</f>
        <v/>
      </c>
      <c r="AC21" s="15">
        <f>IF(OR(AC20="",AB20=""),"",IF(AB20&lt;=0,"",IFERROR(AC20/AB20-1,"")))</f>
        <v/>
      </c>
    </row>
    <row r="22">
      <c r="A22" s="18" t="inlineStr">
        <is>
          <t>매출총이익</t>
        </is>
      </c>
      <c r="B22" s="10" t="n"/>
      <c r="C22" s="19">
        <f>IF(OR(C4="",C20=""),"",IFERROR(C4-C20,""))</f>
        <v/>
      </c>
      <c r="D22" s="20">
        <f>IF(OR(D4="",D20=""),"",IFERROR(D4-D20,""))</f>
        <v/>
      </c>
      <c r="E22" s="20">
        <f>IF(OR(E4="",E20=""),"",IFERROR(E4-E20,""))</f>
        <v/>
      </c>
      <c r="F22" s="20">
        <f>IF(OR(F4="",F20=""),"",IFERROR(F4-F20,""))</f>
        <v/>
      </c>
      <c r="G22" s="20">
        <f>IF(OR(G4="",G20=""),"",IFERROR(G4-G20,""))</f>
        <v/>
      </c>
      <c r="H22" s="20">
        <f>IF(OR(H4="",H20=""),"",IFERROR(H4-H20,""))</f>
        <v/>
      </c>
      <c r="I22" s="20">
        <f>IF(OR(I4="",I20=""),"",IFERROR(I4-I20,""))</f>
        <v/>
      </c>
      <c r="J22" s="20">
        <f>IF(OR(J4="",J20=""),"",IFERROR(J4-J20,""))</f>
        <v/>
      </c>
      <c r="K22" s="20">
        <f>IF(OR(K4="",K20=""),"",IFERROR(K4-K20,""))</f>
        <v/>
      </c>
      <c r="L22" s="20">
        <f>IF(OR(L4="",L20=""),"",IFERROR(L4-L20,""))</f>
        <v/>
      </c>
      <c r="M22" s="20">
        <f>IF(OR(M4="",M20=""),"",IFERROR(M4-M20,""))</f>
        <v/>
      </c>
      <c r="N22" s="20">
        <f>IF(OR(N4="",N20=""),"",IFERROR(N4-N20,""))</f>
        <v/>
      </c>
      <c r="O22" s="19">
        <f>IF(OR(O4="",O20=""),"",IFERROR(O4-O20,""))</f>
        <v/>
      </c>
      <c r="P22" s="20">
        <f>IF(OR(P4="",P20=""),"",IFERROR(P4-P20,""))</f>
        <v/>
      </c>
      <c r="Q22" s="20">
        <f>IF(OR(Q4="",Q20=""),"",IFERROR(Q4-Q20,""))</f>
        <v/>
      </c>
      <c r="R22" s="20">
        <f>IF(OR(R4="",R20=""),"",IFERROR(R4-R20,""))</f>
        <v/>
      </c>
      <c r="S22" s="20">
        <f>IF(OR(S4="",S20=""),"",IFERROR(S4-S20,""))</f>
        <v/>
      </c>
      <c r="T22" s="20">
        <f>IF(OR(T4="",T20=""),"",IFERROR(T4-T20,""))</f>
        <v/>
      </c>
      <c r="U22" s="20">
        <f>IF(OR(U4="",U20=""),"",IFERROR(U4-U20,""))</f>
        <v/>
      </c>
      <c r="V22" s="20">
        <f>IF(OR(V4="",V20=""),"",IFERROR(V4-V20,""))</f>
        <v/>
      </c>
      <c r="W22" s="20">
        <f>IF(OR(W4="",W20=""),"",IFERROR(W4-W20,""))</f>
        <v/>
      </c>
      <c r="X22" s="20">
        <f>IF(OR(X4="",X20=""),"",IFERROR(X4-X20,""))</f>
        <v/>
      </c>
      <c r="Y22" s="19" t="n"/>
      <c r="Z22" s="20" t="n"/>
      <c r="AA22" s="20" t="n"/>
      <c r="AB22" s="20" t="n"/>
      <c r="AC22" s="20" t="n"/>
    </row>
    <row r="23">
      <c r="A23" s="13" t="inlineStr">
        <is>
          <t>GPM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IF(OR(G22="",C22=""),"",IF(C22&lt;=0,"",IFERROR(G22/C22-1,"")))</f>
        <v/>
      </c>
      <c r="H24" s="15">
        <f>IF(OR(H22="",D22=""),"",IF(D22&lt;=0,"",IFERROR(H22/D22-1,"")))</f>
        <v/>
      </c>
      <c r="I24" s="15">
        <f>IF(OR(I22="",E22=""),"",IF(E22&lt;=0,"",IFERROR(I22/E22-1,"")))</f>
        <v/>
      </c>
      <c r="J24" s="15">
        <f>IF(OR(J22="",F22=""),"",IF(F22&lt;=0,"",IFERROR(J22/F22-1,"")))</f>
        <v/>
      </c>
      <c r="K24" s="15">
        <f>IF(OR(K22="",G22=""),"",IF(G22&lt;=0,"",IFERROR(K22/G22-1,"")))</f>
        <v/>
      </c>
      <c r="L24" s="15">
        <f>IF(OR(L22="",H22=""),"",IF(H22&lt;=0,"",IFERROR(L22/H22-1,"")))</f>
        <v/>
      </c>
      <c r="M24" s="15">
        <f>IF(OR(M22="",I22=""),"",IF(I22&lt;=0,"",IFERROR(M22/I22-1,"")))</f>
        <v/>
      </c>
      <c r="N24" s="15">
        <f>IF(OR(N22="",J22=""),"",IF(J22&lt;=0,"",IFERROR(N22/J22-1,"")))</f>
        <v/>
      </c>
      <c r="O24" s="14" t="n"/>
      <c r="P24" s="15">
        <f>IF(OR(P22="",O22=""),"",IF(O22&lt;=0,"",IFERROR(P22/O22-1,"")))</f>
        <v/>
      </c>
      <c r="Q24" s="15">
        <f>IF(OR(Q22="",P22=""),"",IF(P22&lt;=0,"",IFERROR(Q22/P22-1,"")))</f>
        <v/>
      </c>
      <c r="R24" s="15">
        <f>IF(OR(R22="",Q22=""),"",IF(Q22&lt;=0,"",IFERROR(R22/Q22-1,"")))</f>
        <v/>
      </c>
      <c r="S24" s="15">
        <f>IF(OR(S22="",R22=""),"",IF(R22&lt;=0,"",IFERROR(S22/R22-1,"")))</f>
        <v/>
      </c>
      <c r="T24" s="15">
        <f>IF(OR(T22="",S22=""),"",IF(S22&lt;=0,"",IFERROR(T22/S22-1,"")))</f>
        <v/>
      </c>
      <c r="U24" s="15">
        <f>IF(OR(U22="",T22=""),"",IF(T22&lt;=0,"",IFERROR(U22/T22-1,"")))</f>
        <v/>
      </c>
      <c r="V24" s="15">
        <f>IF(OR(V22="",U22=""),"",IF(U22&lt;=0,"",IFERROR(V22/U22-1,"")))</f>
        <v/>
      </c>
      <c r="W24" s="15">
        <f>IF(OR(W22="",V22=""),"",IF(V22&lt;=0,"",IFERROR(W22/V22-1,"")))</f>
        <v/>
      </c>
      <c r="X24" s="15">
        <f>IF(OR(X22="",W22=""),"",IF(W22&lt;=0,"",IFERROR(X22/W22-1,"")))</f>
        <v/>
      </c>
      <c r="Y24" s="14">
        <f>IF(OR(Y22="",X22=""),"",IF(X22&lt;=0,"",IFERROR(Y22/X22-1,"")))</f>
        <v/>
      </c>
      <c r="Z24" s="15">
        <f>IF(OR(Z22="",Y22=""),"",IF(Y22&lt;=0,"",IFERROR(Z22/Y22-1,"")))</f>
        <v/>
      </c>
      <c r="AA24" s="15">
        <f>IF(OR(AA22="",Z22=""),"",IF(Z22&lt;=0,"",IFERROR(AA22/Z22-1,"")))</f>
        <v/>
      </c>
      <c r="AB24" s="15">
        <f>IF(OR(AB22="",AA22=""),"",IF(AA22&lt;=0,"",IFERROR(AB22/AA22-1,"")))</f>
        <v/>
      </c>
      <c r="AC24" s="15">
        <f>IF(OR(AC22="",AB22=""),"",IF(AB22&lt;=0,"",IFERROR(AC22/AB22-1,"")))</f>
        <v/>
      </c>
    </row>
    <row r="25">
      <c r="A25" s="23" t="inlineStr">
        <is>
          <t>판매관리비</t>
        </is>
      </c>
      <c r="B25" s="23" t="n"/>
      <c r="C25" s="24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4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4" t="n"/>
      <c r="Z25" s="23" t="n"/>
      <c r="AA25" s="23" t="n"/>
      <c r="AB25" s="23" t="n"/>
      <c r="AC25" s="23" t="n"/>
    </row>
    <row r="26">
      <c r="A26" s="18" t="inlineStr">
        <is>
          <t>전체 판관비</t>
        </is>
      </c>
      <c r="B26" s="10" t="n"/>
      <c r="C26" s="19" t="n">
        <v>14615</v>
      </c>
      <c r="D26" s="20" t="n">
        <v>14838</v>
      </c>
      <c r="E26" s="20" t="n">
        <v>15962</v>
      </c>
      <c r="F26" s="20" t="n">
        <v>15101</v>
      </c>
      <c r="G26" s="20" t="n">
        <v>15797</v>
      </c>
      <c r="H26" s="20" t="n">
        <v>16190</v>
      </c>
      <c r="I26" s="20" t="n">
        <v>17214</v>
      </c>
      <c r="J26" s="20" t="n">
        <v>16340</v>
      </c>
      <c r="K26" s="20" t="n">
        <v>17061</v>
      </c>
      <c r="L26" s="20" t="n">
        <v>17340</v>
      </c>
      <c r="M26" s="20" t="n">
        <v>18681</v>
      </c>
      <c r="N26" s="20" t="n">
        <v>17759</v>
      </c>
      <c r="O26" s="19" t="n"/>
      <c r="P26" s="20" t="n"/>
      <c r="Q26" s="20" t="n">
        <v>46684</v>
      </c>
      <c r="R26" s="20" t="n">
        <v>49648</v>
      </c>
      <c r="S26" s="20" t="n"/>
      <c r="T26" s="20" t="n">
        <v>52445</v>
      </c>
      <c r="U26" s="20" t="n">
        <v>55838</v>
      </c>
      <c r="V26" s="20" t="n">
        <v>59719</v>
      </c>
      <c r="W26" s="20" t="n">
        <v>64302</v>
      </c>
      <c r="X26" s="20" t="n">
        <v>69422</v>
      </c>
      <c r="Y26" s="19" t="n"/>
      <c r="Z26" s="20" t="n"/>
      <c r="AA26" s="20" t="n"/>
      <c r="AB26" s="20" t="n"/>
      <c r="AC26" s="20" t="n"/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IF(OR(G26="",C26=""),"",IF(C26&lt;=0,"",IFERROR(G26/C26-1,"")))</f>
        <v/>
      </c>
      <c r="H27" s="15">
        <f>IF(OR(H26="",D26=""),"",IF(D26&lt;=0,"",IFERROR(H26/D26-1,"")))</f>
        <v/>
      </c>
      <c r="I27" s="15">
        <f>IF(OR(I26="",E26=""),"",IF(E26&lt;=0,"",IFERROR(I26/E26-1,"")))</f>
        <v/>
      </c>
      <c r="J27" s="15">
        <f>IF(OR(J26="",F26=""),"",IF(F26&lt;=0,"",IFERROR(J26/F26-1,"")))</f>
        <v/>
      </c>
      <c r="K27" s="15">
        <f>IF(OR(K26="",G26=""),"",IF(G26&lt;=0,"",IFERROR(K26/G26-1,"")))</f>
        <v/>
      </c>
      <c r="L27" s="15">
        <f>IF(OR(L26="",H26=""),"",IF(H26&lt;=0,"",IFERROR(L26/H26-1,"")))</f>
        <v/>
      </c>
      <c r="M27" s="15">
        <f>IF(OR(M26="",I26=""),"",IF(I26&lt;=0,"",IFERROR(M26/I26-1,"")))</f>
        <v/>
      </c>
      <c r="N27" s="15">
        <f>IF(OR(N26="",J26=""),"",IF(J26&lt;=0,"",IFERROR(N26/J26-1,"")))</f>
        <v/>
      </c>
      <c r="O27" s="14" t="n"/>
      <c r="P27" s="15">
        <f>IF(OR(P26="",O26=""),"",IF(O26&lt;=0,"",IFERROR(P26/O26-1,"")))</f>
        <v/>
      </c>
      <c r="Q27" s="15">
        <f>IF(OR(Q26="",P26=""),"",IF(P26&lt;=0,"",IFERROR(Q26/P26-1,"")))</f>
        <v/>
      </c>
      <c r="R27" s="15">
        <f>IF(OR(R26="",Q26=""),"",IF(Q26&lt;=0,"",IFERROR(R26/Q26-1,"")))</f>
        <v/>
      </c>
      <c r="S27" s="15">
        <f>IF(OR(S26="",R26=""),"",IF(R26&lt;=0,"",IFERROR(S26/R26-1,"")))</f>
        <v/>
      </c>
      <c r="T27" s="15">
        <f>IF(OR(T26="",S26=""),"",IF(S26&lt;=0,"",IFERROR(T26/S26-1,"")))</f>
        <v/>
      </c>
      <c r="U27" s="15">
        <f>IF(OR(U26="",T26=""),"",IF(T26&lt;=0,"",IFERROR(U26/T26-1,"")))</f>
        <v/>
      </c>
      <c r="V27" s="15">
        <f>IF(OR(V26="",U26=""),"",IF(U26&lt;=0,"",IFERROR(V26/U26-1,"")))</f>
        <v/>
      </c>
      <c r="W27" s="15">
        <f>IF(OR(W26="",V26=""),"",IF(V26&lt;=0,"",IFERROR(W26/V26-1,"")))</f>
        <v/>
      </c>
      <c r="X27" s="15">
        <f>IF(OR(X26="",W26=""),"",IF(W26&lt;=0,"",IFERROR(X26/W26-1,"")))</f>
        <v/>
      </c>
      <c r="Y27" s="14">
        <f>IF(OR(Y26="",X26=""),"",IF(X26&lt;=0,"",IFERROR(Y26/X26-1,"")))</f>
        <v/>
      </c>
      <c r="Z27" s="15">
        <f>IF(OR(Z26="",Y26=""),"",IF(Y26&lt;=0,"",IFERROR(Z26/Y26-1,"")))</f>
        <v/>
      </c>
      <c r="AA27" s="15">
        <f>IF(OR(AA26="",Z26=""),"",IF(Z26&lt;=0,"",IFERROR(AA26/Z26-1,"")))</f>
        <v/>
      </c>
      <c r="AB27" s="15">
        <f>IF(OR(AB26="",AA26=""),"",IF(AA26&lt;=0,"",IFERROR(AB26/AA26-1,"")))</f>
        <v/>
      </c>
      <c r="AC27" s="15">
        <f>IF(OR(AC26="",AB26=""),"",IF(AB26&lt;=0,"",IFERROR(AC26/AB26-1,"")))</f>
        <v/>
      </c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650</v>
      </c>
      <c r="D28" s="12" t="n">
        <v>1696</v>
      </c>
      <c r="E28" s="12" t="n">
        <v>296</v>
      </c>
      <c r="F28" s="12" t="n">
        <v>1112</v>
      </c>
      <c r="G28" s="12" t="n">
        <v>386</v>
      </c>
      <c r="H28" s="12" t="n">
        <v>1650</v>
      </c>
      <c r="I28" s="12" t="n">
        <v>300</v>
      </c>
      <c r="J28" s="12" t="n">
        <v>482</v>
      </c>
      <c r="K28" s="12" t="n">
        <v>782</v>
      </c>
      <c r="L28" s="12" t="n">
        <v>2376</v>
      </c>
      <c r="M28" s="12" t="n">
        <v>765</v>
      </c>
      <c r="N28" s="12" t="n">
        <v>871</v>
      </c>
      <c r="O28" s="11" t="n"/>
      <c r="P28" s="12" t="n"/>
      <c r="Q28" s="12" t="n">
        <v>1550</v>
      </c>
      <c r="R28" s="12" t="n">
        <v>1428</v>
      </c>
      <c r="S28" s="12" t="n"/>
      <c r="T28" s="12" t="n">
        <v>1766</v>
      </c>
      <c r="U28" s="12" t="n">
        <v>2578</v>
      </c>
      <c r="V28" s="12" t="n">
        <v>3051</v>
      </c>
      <c r="W28" s="12" t="n">
        <v>3448</v>
      </c>
      <c r="X28" s="12" t="n">
        <v>4405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IF(O26="","",O26)</f>
        <v/>
      </c>
      <c r="P32" s="12">
        <f>IF(P26="","",P26)</f>
        <v/>
      </c>
      <c r="Q32" s="12">
        <f>IF(Q26="","",Q26)</f>
        <v/>
      </c>
      <c r="R32" s="12">
        <f>IF(R26="","",R26)</f>
        <v/>
      </c>
      <c r="S32" s="12">
        <f>IF(S26="","",S26)</f>
        <v/>
      </c>
      <c r="T32" s="12">
        <f>IF(T26="","",T26)</f>
        <v/>
      </c>
      <c r="U32" s="12">
        <f>IF(U26="","",U26)</f>
        <v/>
      </c>
      <c r="V32" s="12">
        <f>IF(V26="","",V26)</f>
        <v/>
      </c>
      <c r="W32" s="12">
        <f>IF(W26="","",W26)</f>
        <v/>
      </c>
      <c r="X32" s="12">
        <f>IF(X26="","",X26)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>
        <v>4848</v>
      </c>
      <c r="R33" s="20" t="n">
        <v>5318</v>
      </c>
      <c r="S33" s="20" t="n"/>
      <c r="T33" s="20" t="n">
        <v>5676</v>
      </c>
      <c r="U33" s="20" t="n">
        <v>5876</v>
      </c>
      <c r="V33" s="20" t="n">
        <v>6301</v>
      </c>
      <c r="W33" s="20" t="n">
        <v>6881</v>
      </c>
      <c r="X33" s="20" t="n">
        <v>7402</v>
      </c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>
        <v>5426</v>
      </c>
      <c r="U37" s="20" t="n">
        <v>6284</v>
      </c>
      <c r="V37" s="20" t="n">
        <v>6753</v>
      </c>
      <c r="W37" s="20" t="n">
        <v>7197</v>
      </c>
      <c r="X37" s="20" t="n">
        <v>7617</v>
      </c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94</v>
      </c>
      <c r="E44" s="20" t="n">
        <v>19</v>
      </c>
      <c r="F44" s="20" t="n">
        <v>0</v>
      </c>
      <c r="G44" s="20" t="n">
        <v>0</v>
      </c>
      <c r="H44" s="20" t="n">
        <v>0</v>
      </c>
      <c r="I44" s="20" t="n">
        <v>0</v>
      </c>
      <c r="J44" s="20" t="n">
        <v>0</v>
      </c>
      <c r="K44" s="20" t="n">
        <v>70</v>
      </c>
      <c r="L44" s="20" t="n">
        <v>1</v>
      </c>
      <c r="M44" s="20" t="n">
        <v>90</v>
      </c>
      <c r="N44" s="20" t="n">
        <v>0</v>
      </c>
      <c r="O44" s="19" t="n"/>
      <c r="P44" s="20" t="n"/>
      <c r="Q44" s="20" t="n">
        <v>160</v>
      </c>
      <c r="R44" s="20" t="n">
        <v>18</v>
      </c>
      <c r="S44" s="20" t="n"/>
      <c r="T44" s="20" t="n">
        <v>197</v>
      </c>
      <c r="U44" s="20" t="n">
        <v>3</v>
      </c>
      <c r="V44" s="20" t="n">
        <v>113</v>
      </c>
      <c r="W44" s="20" t="n">
        <v>0</v>
      </c>
      <c r="X44" s="20" t="n">
        <v>161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21</v>
      </c>
      <c r="D46" s="20" t="n">
        <v>67</v>
      </c>
      <c r="E46" s="20" t="n">
        <v>670</v>
      </c>
      <c r="F46" s="20" t="n">
        <v>22</v>
      </c>
      <c r="G46" s="20" t="n">
        <v>64</v>
      </c>
      <c r="H46" s="20" t="n">
        <v>33</v>
      </c>
      <c r="I46" s="20" t="n">
        <v>295</v>
      </c>
      <c r="J46" s="20" t="n">
        <v>98</v>
      </c>
      <c r="K46" s="20" t="n">
        <v>80</v>
      </c>
      <c r="L46" s="20" t="n">
        <v>45</v>
      </c>
      <c r="M46" s="20" t="n">
        <v>262</v>
      </c>
      <c r="N46" s="20" t="n">
        <v>60</v>
      </c>
      <c r="O46" s="19" t="n"/>
      <c r="P46" s="20" t="n"/>
      <c r="Q46" s="20" t="n">
        <v>503</v>
      </c>
      <c r="R46" s="20" t="n">
        <v>1015</v>
      </c>
      <c r="S46" s="20" t="n"/>
      <c r="T46" s="20" t="n">
        <v>172</v>
      </c>
      <c r="U46" s="20" t="n">
        <v>271</v>
      </c>
      <c r="V46" s="20" t="n">
        <v>782</v>
      </c>
      <c r="W46" s="20" t="n">
        <v>414</v>
      </c>
      <c r="X46" s="20" t="n">
        <v>485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149</v>
      </c>
      <c r="D48" s="20" t="n">
        <v>168</v>
      </c>
      <c r="E48" s="20" t="n">
        <v>156</v>
      </c>
      <c r="F48" s="20" t="n">
        <v>178</v>
      </c>
      <c r="G48" s="20" t="n">
        <v>202</v>
      </c>
      <c r="H48" s="20" t="n">
        <v>174</v>
      </c>
      <c r="I48" s="20" t="n">
        <v>271</v>
      </c>
      <c r="J48" s="20" t="n">
        <v>189</v>
      </c>
      <c r="K48" s="20" t="n">
        <v>205</v>
      </c>
      <c r="L48" s="20" t="n">
        <v>168</v>
      </c>
      <c r="M48" s="20" t="n">
        <v>198</v>
      </c>
      <c r="N48" s="20" t="n">
        <v>205</v>
      </c>
      <c r="O48" s="19" t="n"/>
      <c r="P48" s="20" t="n"/>
      <c r="Q48" s="20" t="n">
        <v>1056</v>
      </c>
      <c r="R48" s="20" t="n">
        <v>969</v>
      </c>
      <c r="S48" s="20" t="n"/>
      <c r="T48" s="20" t="n">
        <v>868</v>
      </c>
      <c r="U48" s="20" t="n">
        <v>676</v>
      </c>
      <c r="V48" s="20" t="n">
        <v>639</v>
      </c>
      <c r="W48" s="20" t="n">
        <v>825</v>
      </c>
      <c r="X48" s="20" t="n">
        <v>760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55</v>
      </c>
      <c r="D50" s="20" t="n">
        <v>59</v>
      </c>
      <c r="E50" s="20" t="n">
        <v>77</v>
      </c>
      <c r="F50" s="20" t="n">
        <v>96</v>
      </c>
      <c r="G50" s="20" t="n">
        <v>69</v>
      </c>
      <c r="H50" s="20" t="n">
        <v>92</v>
      </c>
      <c r="I50" s="20" t="n">
        <v>113</v>
      </c>
      <c r="J50" s="20" t="n">
        <v>85</v>
      </c>
      <c r="K50" s="20" t="n">
        <v>120</v>
      </c>
      <c r="L50" s="20" t="n">
        <v>130</v>
      </c>
      <c r="M50" s="20" t="n">
        <v>110</v>
      </c>
      <c r="N50" s="20" t="n">
        <v>117</v>
      </c>
      <c r="O50" s="19" t="n"/>
      <c r="P50" s="20" t="n"/>
      <c r="Q50" s="20" t="n">
        <v>486</v>
      </c>
      <c r="R50" s="20" t="n">
        <v>500</v>
      </c>
      <c r="S50" s="20" t="n"/>
      <c r="T50" s="20" t="n">
        <v>327</v>
      </c>
      <c r="U50" s="20" t="n">
        <v>214</v>
      </c>
      <c r="V50" s="20" t="n">
        <v>242</v>
      </c>
      <c r="W50" s="20" t="n">
        <v>370</v>
      </c>
      <c r="X50" s="20" t="n">
        <v>445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723</v>
      </c>
      <c r="D52" s="12" t="n">
        <v>1833</v>
      </c>
      <c r="E52" s="12" t="n">
        <v>-277</v>
      </c>
      <c r="F52" s="12" t="n">
        <v>1172</v>
      </c>
      <c r="G52" s="12" t="n">
        <v>456</v>
      </c>
      <c r="H52" s="12" t="n">
        <v>1698</v>
      </c>
      <c r="I52" s="12" t="n">
        <v>164</v>
      </c>
      <c r="J52" s="12" t="n">
        <v>488</v>
      </c>
      <c r="K52" s="12" t="n">
        <v>859</v>
      </c>
      <c r="L52" s="12" t="n">
        <v>2367</v>
      </c>
      <c r="M52" s="12" t="n">
        <v>682</v>
      </c>
      <c r="N52" s="12" t="n">
        <v>899</v>
      </c>
      <c r="O52" s="11" t="n"/>
      <c r="P52" s="12" t="n"/>
      <c r="Q52" s="12" t="n">
        <v>1777</v>
      </c>
      <c r="R52" s="12" t="n">
        <v>901</v>
      </c>
      <c r="S52" s="12" t="n"/>
      <c r="T52" s="12" t="n">
        <v>2332</v>
      </c>
      <c r="U52" s="12" t="n">
        <v>2771</v>
      </c>
      <c r="V52" s="12" t="n">
        <v>2779</v>
      </c>
      <c r="W52" s="12" t="n">
        <v>3490</v>
      </c>
      <c r="X52" s="12" t="n">
        <v>4396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3" t="inlineStr">
        <is>
          <t>YoY</t>
        </is>
      </c>
      <c r="B53" s="10" t="n"/>
      <c r="C53" s="14" t="n"/>
      <c r="D53" s="15" t="n"/>
      <c r="E53" s="15" t="n"/>
      <c r="F53" s="15" t="n"/>
      <c r="G53" s="15">
        <f>IF(OR(G52="",C52=""),"",IF(C52&lt;=0,"",IFERROR(G52/C52-1,"")))</f>
        <v/>
      </c>
      <c r="H53" s="15">
        <f>IF(OR(H52="",D52=""),"",IF(D52&lt;=0,"",IFERROR(H52/D52-1,"")))</f>
        <v/>
      </c>
      <c r="I53" s="15">
        <f>IF(OR(I52="",E52=""),"",IF(E52&lt;=0,"",IFERROR(I52/E52-1,"")))</f>
        <v/>
      </c>
      <c r="J53" s="15">
        <f>IF(OR(J52="",F52=""),"",IF(F52&lt;=0,"",IFERROR(J52/F52-1,"")))</f>
        <v/>
      </c>
      <c r="K53" s="15">
        <f>IF(OR(K52="",G52=""),"",IF(G52&lt;=0,"",IFERROR(K52/G52-1,"")))</f>
        <v/>
      </c>
      <c r="L53" s="15">
        <f>IF(OR(L52="",H52=""),"",IF(H52&lt;=0,"",IFERROR(L52/H52-1,"")))</f>
        <v/>
      </c>
      <c r="M53" s="15">
        <f>IF(OR(M52="",I52=""),"",IF(I52&lt;=0,"",IFERROR(M52/I52-1,"")))</f>
        <v/>
      </c>
      <c r="N53" s="15">
        <f>IF(OR(N52="",J52=""),"",IF(J52&lt;=0,"",IFERROR(N52/J52-1,"")))</f>
        <v/>
      </c>
      <c r="O53" s="14" t="n"/>
      <c r="P53" s="15">
        <f>IF(OR(P52="",O52=""),"",IF(O52&lt;=0,"",IFERROR(P52/O52-1,"")))</f>
        <v/>
      </c>
      <c r="Q53" s="15">
        <f>IF(OR(Q52="",P52=""),"",IF(P52&lt;=0,"",IFERROR(Q52/P52-1,"")))</f>
        <v/>
      </c>
      <c r="R53" s="15">
        <f>IF(OR(R52="",Q52=""),"",IF(Q52&lt;=0,"",IFERROR(R52/Q52-1,"")))</f>
        <v/>
      </c>
      <c r="S53" s="15">
        <f>IF(OR(S52="",R52=""),"",IF(R52&lt;=0,"",IFERROR(S52/R52-1,"")))</f>
        <v/>
      </c>
      <c r="T53" s="15">
        <f>IF(OR(T52="",S52=""),"",IF(S52&lt;=0,"",IFERROR(T52/S52-1,"")))</f>
        <v/>
      </c>
      <c r="U53" s="15">
        <f>IF(OR(U52="",T52=""),"",IF(T52&lt;=0,"",IFERROR(U52/T52-1,"")))</f>
        <v/>
      </c>
      <c r="V53" s="15">
        <f>IF(OR(V52="",U52=""),"",IF(U52&lt;=0,"",IFERROR(V52/U52-1,"")))</f>
        <v/>
      </c>
      <c r="W53" s="15">
        <f>IF(OR(W52="",V52=""),"",IF(V52&lt;=0,"",IFERROR(W52/V52-1,"")))</f>
        <v/>
      </c>
      <c r="X53" s="15">
        <f>IF(OR(X52="",W52=""),"",IF(W52&lt;=0,"",IFERROR(X52/W52-1,"")))</f>
        <v/>
      </c>
      <c r="Y53" s="14">
        <f>IF(OR(Y52="",X52=""),"",IF(X52&lt;=0,"",IFERROR(Y52/X52-1,"")))</f>
        <v/>
      </c>
      <c r="Z53" s="15">
        <f>IF(OR(Z52="",Y52=""),"",IF(Y52&lt;=0,"",IFERROR(Z52/Y52-1,"")))</f>
        <v/>
      </c>
      <c r="AA53" s="15">
        <f>IF(OR(AA52="",Z52=""),"",IF(Z52&lt;=0,"",IFERROR(AA52/Z52-1,"")))</f>
        <v/>
      </c>
      <c r="AB53" s="15">
        <f>IF(OR(AB52="",AA52=""),"",IF(AA52&lt;=0,"",IFERROR(AB52/AA52-1,"")))</f>
        <v/>
      </c>
      <c r="AC53" s="15">
        <f>IF(OR(AC52="",AB52=""),"",IF(AB52&lt;=0,"",IFERROR(AC52/AB52-1,"")))</f>
        <v/>
      </c>
    </row>
    <row r="54">
      <c r="A54" s="18" t="inlineStr">
        <is>
          <t>법인세비용(수익)</t>
        </is>
      </c>
      <c r="B54" s="10" t="n"/>
      <c r="C54" s="19" t="n">
        <v>286</v>
      </c>
      <c r="D54" s="20" t="n">
        <v>590</v>
      </c>
      <c r="E54" s="20" t="n">
        <v>-103</v>
      </c>
      <c r="F54" s="20" t="n">
        <v>556</v>
      </c>
      <c r="G54" s="20" t="n">
        <v>115</v>
      </c>
      <c r="H54" s="20" t="n">
        <v>600</v>
      </c>
      <c r="I54" s="20" t="n">
        <v>25</v>
      </c>
      <c r="J54" s="20" t="n">
        <v>268</v>
      </c>
      <c r="K54" s="20" t="n">
        <v>286</v>
      </c>
      <c r="L54" s="20" t="n">
        <v>736</v>
      </c>
      <c r="M54" s="20" t="n">
        <v>242</v>
      </c>
      <c r="N54" s="20" t="n">
        <v>382</v>
      </c>
      <c r="O54" s="19" t="n"/>
      <c r="P54" s="20" t="n"/>
      <c r="Q54" s="20" t="n">
        <v>-418</v>
      </c>
      <c r="R54" s="20" t="n">
        <v>617</v>
      </c>
      <c r="S54" s="20" t="n"/>
      <c r="T54" s="20" t="n">
        <v>862</v>
      </c>
      <c r="U54" s="20" t="n">
        <v>-124</v>
      </c>
      <c r="V54" s="20" t="n">
        <v>943</v>
      </c>
      <c r="W54" s="20" t="n">
        <v>1296</v>
      </c>
      <c r="X54" s="20" t="n">
        <v>1532</v>
      </c>
      <c r="Y54" s="19">
        <f>IF(OR(Y52="",Y55=""),"",IFERROR(MAX(Y52,0)*Y55,""))</f>
        <v/>
      </c>
      <c r="Z54" s="20">
        <f>IF(OR(Z52="",Z55=""),"",IFERROR(MAX(Z52,0)*Z55,""))</f>
        <v/>
      </c>
      <c r="AA54" s="20">
        <f>IF(OR(AA52="",AA55=""),"",IFERROR(MAX(AA52,0)*AA55,""))</f>
        <v/>
      </c>
      <c r="AB54" s="20">
        <f>IF(OR(AB52="",AB55=""),"",IFERROR(MAX(AB52,0)*AB55,""))</f>
        <v/>
      </c>
      <c r="AC54" s="20">
        <f>IF(OR(AC52="",AC55=""),"",IFERROR(MAX(AC52,0)*AC55,""))</f>
        <v/>
      </c>
    </row>
    <row r="55">
      <c r="A55" s="13" t="inlineStr">
        <is>
          <t>법인세율</t>
        </is>
      </c>
      <c r="B55" s="10" t="inlineStr">
        <is>
          <t>MW 기본 30%</t>
        </is>
      </c>
      <c r="C55" s="14">
        <f>IF(OR(C54="",C52=""),"",IFERROR(C54/C52,""))</f>
        <v/>
      </c>
      <c r="D55" s="15">
        <f>IF(OR(D54="",D52=""),"",IFERROR(D54/D52,""))</f>
        <v/>
      </c>
      <c r="E55" s="15">
        <f>IF(OR(E54="",E52=""),"",IFERROR(E54/E52,""))</f>
        <v/>
      </c>
      <c r="F55" s="15">
        <f>IF(OR(F54="",F52=""),"",IFERROR(F54/F52,""))</f>
        <v/>
      </c>
      <c r="G55" s="15">
        <f>IF(OR(G54="",G52=""),"",IFERROR(G54/G52,""))</f>
        <v/>
      </c>
      <c r="H55" s="15">
        <f>IF(OR(H54="",H52=""),"",IFERROR(H54/H52,""))</f>
        <v/>
      </c>
      <c r="I55" s="15">
        <f>IF(OR(I54="",I52=""),"",IFERROR(I54/I52,""))</f>
        <v/>
      </c>
      <c r="J55" s="15">
        <f>IF(OR(J54="",J52=""),"",IFERROR(J54/J52,""))</f>
        <v/>
      </c>
      <c r="K55" s="15">
        <f>IF(OR(K54="",K52=""),"",IFERROR(K54/K52,""))</f>
        <v/>
      </c>
      <c r="L55" s="15">
        <f>IF(OR(L54="",L52=""),"",IFERROR(L54/L52,""))</f>
        <v/>
      </c>
      <c r="M55" s="15">
        <f>IF(OR(M54="",M52=""),"",IFERROR(M54/M52,""))</f>
        <v/>
      </c>
      <c r="N55" s="15">
        <f>IF(OR(N54="",N52=""),"",IFERROR(N54/N52,""))</f>
        <v/>
      </c>
      <c r="O55" s="14">
        <f>IF(OR(O54="",O52=""),"",IFERROR(O54/O52,""))</f>
        <v/>
      </c>
      <c r="P55" s="15">
        <f>IF(OR(P54="",P52=""),"",IFERROR(P54/P52,""))</f>
        <v/>
      </c>
      <c r="Q55" s="15">
        <f>IF(OR(Q54="",Q52=""),"",IFERROR(Q54/Q52,""))</f>
        <v/>
      </c>
      <c r="R55" s="15">
        <f>IF(OR(R54="",R52=""),"",IFERROR(R54/R52,""))</f>
        <v/>
      </c>
      <c r="S55" s="15">
        <f>IF(OR(S54="",S52=""),"",IFERROR(S54/S52,""))</f>
        <v/>
      </c>
      <c r="T55" s="15">
        <f>IF(OR(T54="",T52=""),"",IFERROR(T54/T52,""))</f>
        <v/>
      </c>
      <c r="U55" s="15">
        <f>IF(OR(U54="",U52=""),"",IFERROR(U54/U52,""))</f>
        <v/>
      </c>
      <c r="V55" s="15">
        <f>IF(OR(V54="",V52=""),"",IFERROR(V54/V52,""))</f>
        <v/>
      </c>
      <c r="W55" s="15">
        <f>IF(OR(W54="",W52=""),"",IFERROR(W54/W52,""))</f>
        <v/>
      </c>
      <c r="X55" s="15">
        <f>IF(OR(X54="",X52=""),"",IFERROR(X54/X52,""))</f>
        <v/>
      </c>
      <c r="Y55" s="25" t="n">
        <v>0.3</v>
      </c>
      <c r="Z55" s="26" t="n">
        <v>0.3</v>
      </c>
      <c r="AA55" s="26" t="n">
        <v>0.3</v>
      </c>
      <c r="AB55" s="26" t="n">
        <v>0.3</v>
      </c>
      <c r="AC55" s="26" t="n">
        <v>0.3</v>
      </c>
    </row>
    <row r="56">
      <c r="A56" s="9" t="inlineStr">
        <is>
          <t>당기순이익(손실)</t>
        </is>
      </c>
      <c r="B56" s="10" t="n"/>
      <c r="C56" s="11" t="n">
        <v>437</v>
      </c>
      <c r="D56" s="12" t="n">
        <v>1242</v>
      </c>
      <c r="E56" s="12" t="n">
        <v>-174</v>
      </c>
      <c r="F56" s="12" t="n">
        <v>615</v>
      </c>
      <c r="G56" s="12" t="n">
        <v>341</v>
      </c>
      <c r="H56" s="12" t="n">
        <v>1099</v>
      </c>
      <c r="I56" s="12" t="n">
        <v>139</v>
      </c>
      <c r="J56" s="12" t="n">
        <v>219</v>
      </c>
      <c r="K56" s="12" t="n">
        <v>573</v>
      </c>
      <c r="L56" s="12" t="n">
        <v>1632</v>
      </c>
      <c r="M56" s="12" t="n">
        <v>439</v>
      </c>
      <c r="N56" s="12" t="n">
        <v>516</v>
      </c>
      <c r="O56" s="11" t="n"/>
      <c r="P56" s="12" t="n"/>
      <c r="Q56" s="12" t="n">
        <v>2195</v>
      </c>
      <c r="R56" s="12" t="n">
        <v>283</v>
      </c>
      <c r="S56" s="12" t="n"/>
      <c r="T56" s="12" t="n">
        <v>1470</v>
      </c>
      <c r="U56" s="12" t="n">
        <v>2896</v>
      </c>
      <c r="V56" s="12" t="n">
        <v>1835</v>
      </c>
      <c r="W56" s="12" t="n">
        <v>2194</v>
      </c>
      <c r="X56" s="12" t="n">
        <v>2863</v>
      </c>
      <c r="Y56" s="11">
        <f>IF(OR(Y52=""),"",IFERROR(Y52-Y54,""))</f>
        <v/>
      </c>
      <c r="Z56" s="12">
        <f>IF(OR(Z52=""),"",IFERROR(Z52-Z54,""))</f>
        <v/>
      </c>
      <c r="AA56" s="12">
        <f>IF(OR(AA52=""),"",IFERROR(AA52-AA54,""))</f>
        <v/>
      </c>
      <c r="AB56" s="12">
        <f>IF(OR(AB52=""),"",IFERROR(AB52-AB54,""))</f>
        <v/>
      </c>
      <c r="AC56" s="12">
        <f>IF(OR(AC52=""),"",IFERROR(AC52-AC54,""))</f>
        <v/>
      </c>
    </row>
    <row r="57">
      <c r="A57" s="13" t="inlineStr">
        <is>
          <t>YoY</t>
        </is>
      </c>
      <c r="B57" s="10" t="n"/>
      <c r="C57" s="14" t="n"/>
      <c r="D57" s="15" t="n"/>
      <c r="E57" s="15" t="n"/>
      <c r="F57" s="15" t="n"/>
      <c r="G57" s="15">
        <f>IF(OR(G56="",C56=""),"",IF(C56&lt;=0,"",IFERROR(G56/C56-1,"")))</f>
        <v/>
      </c>
      <c r="H57" s="15">
        <f>IF(OR(H56="",D56=""),"",IF(D56&lt;=0,"",IFERROR(H56/D56-1,"")))</f>
        <v/>
      </c>
      <c r="I57" s="15">
        <f>IF(OR(I56="",E56=""),"",IF(E56&lt;=0,"",IFERROR(I56/E56-1,"")))</f>
        <v/>
      </c>
      <c r="J57" s="15">
        <f>IF(OR(J56="",F56=""),"",IF(F56&lt;=0,"",IFERROR(J56/F56-1,"")))</f>
        <v/>
      </c>
      <c r="K57" s="15">
        <f>IF(OR(K56="",G56=""),"",IF(G56&lt;=0,"",IFERROR(K56/G56-1,"")))</f>
        <v/>
      </c>
      <c r="L57" s="15">
        <f>IF(OR(L56="",H56=""),"",IF(H56&lt;=0,"",IFERROR(L56/H56-1,"")))</f>
        <v/>
      </c>
      <c r="M57" s="15">
        <f>IF(OR(M56="",I56=""),"",IF(I56&lt;=0,"",IFERROR(M56/I56-1,"")))</f>
        <v/>
      </c>
      <c r="N57" s="15">
        <f>IF(OR(N56="",J56=""),"",IF(J56&lt;=0,"",IFERROR(N56/J56-1,"")))</f>
        <v/>
      </c>
      <c r="O57" s="14" t="n"/>
      <c r="P57" s="15">
        <f>IF(OR(P56="",O56=""),"",IF(O56&lt;=0,"",IFERROR(P56/O56-1,"")))</f>
        <v/>
      </c>
      <c r="Q57" s="15">
        <f>IF(OR(Q56="",P56=""),"",IF(P56&lt;=0,"",IFERROR(Q56/P56-1,"")))</f>
        <v/>
      </c>
      <c r="R57" s="15">
        <f>IF(OR(R56="",Q56=""),"",IF(Q56&lt;=0,"",IFERROR(R56/Q56-1,"")))</f>
        <v/>
      </c>
      <c r="S57" s="15">
        <f>IF(OR(S56="",R56=""),"",IF(R56&lt;=0,"",IFERROR(S56/R56-1,"")))</f>
        <v/>
      </c>
      <c r="T57" s="15">
        <f>IF(OR(T56="",S56=""),"",IF(S56&lt;=0,"",IFERROR(T56/S56-1,"")))</f>
        <v/>
      </c>
      <c r="U57" s="15">
        <f>IF(OR(U56="",T56=""),"",IF(T56&lt;=0,"",IFERROR(U56/T56-1,"")))</f>
        <v/>
      </c>
      <c r="V57" s="15">
        <f>IF(OR(V56="",U56=""),"",IF(U56&lt;=0,"",IFERROR(V56/U56-1,"")))</f>
        <v/>
      </c>
      <c r="W57" s="15">
        <f>IF(OR(W56="",V56=""),"",IF(V56&lt;=0,"",IFERROR(W56/V56-1,"")))</f>
        <v/>
      </c>
      <c r="X57" s="15">
        <f>IF(OR(X56="",W56=""),"",IF(W56&lt;=0,"",IFERROR(X56/W56-1,"")))</f>
        <v/>
      </c>
      <c r="Y57" s="14">
        <f>IF(OR(Y56="",X56=""),"",IF(X56&lt;=0,"",IFERROR(Y56/X56-1,"")))</f>
        <v/>
      </c>
      <c r="Z57" s="15">
        <f>IF(OR(Z56="",Y56=""),"",IF(Y56&lt;=0,"",IFERROR(Z56/Y56-1,"")))</f>
        <v/>
      </c>
      <c r="AA57" s="15">
        <f>IF(OR(AA56="",Z56=""),"",IF(Z56&lt;=0,"",IFERROR(AA56/Z56-1,"")))</f>
        <v/>
      </c>
      <c r="AB57" s="15">
        <f>IF(OR(AB56="",AA56=""),"",IF(AA56&lt;=0,"",IFERROR(AB56/AA56-1,"")))</f>
        <v/>
      </c>
      <c r="AC57" s="15">
        <f>IF(OR(AC56="",AB56=""),"",IF(AB56&lt;=0,"",IFERROR(AC56/AB56-1,"")))</f>
        <v/>
      </c>
    </row>
    <row r="58">
      <c r="A58" s="9" t="inlineStr">
        <is>
          <t>지배주주 순이익</t>
        </is>
      </c>
      <c r="B58" s="10" t="n"/>
      <c r="C58" s="11" t="n">
        <v>397</v>
      </c>
      <c r="D58" s="12" t="n">
        <v>1208</v>
      </c>
      <c r="E58" s="12" t="n">
        <v>-208</v>
      </c>
      <c r="F58" s="12" t="n">
        <v>577</v>
      </c>
      <c r="G58" s="12" t="n">
        <v>335</v>
      </c>
      <c r="H58" s="12" t="n">
        <v>1062</v>
      </c>
      <c r="I58" s="12" t="n">
        <v>127</v>
      </c>
      <c r="J58" s="12" t="n">
        <v>193</v>
      </c>
      <c r="K58" s="12" t="n">
        <v>548</v>
      </c>
      <c r="L58" s="12" t="n">
        <v>1596</v>
      </c>
      <c r="M58" s="12" t="n">
        <v>426</v>
      </c>
      <c r="N58" s="12" t="n">
        <v>495</v>
      </c>
      <c r="O58" s="11" t="n"/>
      <c r="P58" s="12" t="n"/>
      <c r="Q58" s="12" t="n">
        <v>2172</v>
      </c>
      <c r="R58" s="12" t="n">
        <v>240</v>
      </c>
      <c r="S58" s="12" t="n"/>
      <c r="T58" s="12" t="n">
        <v>1449</v>
      </c>
      <c r="U58" s="12" t="n">
        <v>2769</v>
      </c>
      <c r="V58" s="12" t="n">
        <v>1705</v>
      </c>
      <c r="W58" s="12" t="n">
        <v>2101</v>
      </c>
      <c r="X58" s="12" t="n">
        <v>2763</v>
      </c>
      <c r="Y58" s="11">
        <f>IF(OR(Y56="",Y59=""),"",IFERROR(Y56*Y59,""))</f>
        <v/>
      </c>
      <c r="Z58" s="12">
        <f>IF(OR(Z56="",Z59=""),"",IFERROR(Z56*Z59,""))</f>
        <v/>
      </c>
      <c r="AA58" s="12">
        <f>IF(OR(AA56="",AA59=""),"",IFERROR(AA56*AA59,""))</f>
        <v/>
      </c>
      <c r="AB58" s="12">
        <f>IF(OR(AB56="",AB59=""),"",IFERROR(AB56*AB59,""))</f>
        <v/>
      </c>
      <c r="AC58" s="12">
        <f>IF(OR(AC56="",AC59=""),"",IFERROR(AC56*AC59,""))</f>
        <v/>
      </c>
    </row>
    <row r="59">
      <c r="A59" s="13" t="inlineStr">
        <is>
          <t>지배주주 순이익률</t>
        </is>
      </c>
      <c r="B59" s="10" t="inlineStr">
        <is>
          <t>MW 기본 100%</t>
        </is>
      </c>
      <c r="C59" s="14">
        <f>IF(OR(C58="",C56=""),"",IFERROR(C58/C56,""))</f>
        <v/>
      </c>
      <c r="D59" s="15">
        <f>IF(OR(D58="",D56=""),"",IFERROR(D58/D56,""))</f>
        <v/>
      </c>
      <c r="E59" s="15">
        <f>IF(OR(E58="",E56=""),"",IFERROR(E58/E56,""))</f>
        <v/>
      </c>
      <c r="F59" s="15">
        <f>IF(OR(F58="",F56=""),"",IFERROR(F58/F56,""))</f>
        <v/>
      </c>
      <c r="G59" s="15">
        <f>IF(OR(G58="",G56=""),"",IFERROR(G58/G56,""))</f>
        <v/>
      </c>
      <c r="H59" s="15">
        <f>IF(OR(H58="",H56=""),"",IFERROR(H58/H56,""))</f>
        <v/>
      </c>
      <c r="I59" s="15">
        <f>IF(OR(I58="",I56=""),"",IFERROR(I58/I56,""))</f>
        <v/>
      </c>
      <c r="J59" s="15">
        <f>IF(OR(J58="",J56=""),"",IFERROR(J58/J56,""))</f>
        <v/>
      </c>
      <c r="K59" s="15">
        <f>IF(OR(K58="",K56=""),"",IFERROR(K58/K56,""))</f>
        <v/>
      </c>
      <c r="L59" s="15">
        <f>IF(OR(L58="",L56=""),"",IFERROR(L58/L56,""))</f>
        <v/>
      </c>
      <c r="M59" s="15">
        <f>IF(OR(M58="",M56=""),"",IFERROR(M58/M56,""))</f>
        <v/>
      </c>
      <c r="N59" s="15">
        <f>IF(OR(N58="",N56=""),"",IFERROR(N58/N56,""))</f>
        <v/>
      </c>
      <c r="O59" s="14">
        <f>IF(OR(O58="",O56=""),"",IFERROR(O58/O56,""))</f>
        <v/>
      </c>
      <c r="P59" s="15">
        <f>IF(OR(P58="",P56=""),"",IFERROR(P58/P56,""))</f>
        <v/>
      </c>
      <c r="Q59" s="15">
        <f>IF(OR(Q58="",Q56=""),"",IFERROR(Q58/Q56,""))</f>
        <v/>
      </c>
      <c r="R59" s="15">
        <f>IF(OR(R58="",R56=""),"",IFERROR(R58/R56,""))</f>
        <v/>
      </c>
      <c r="S59" s="15">
        <f>IF(OR(S58="",S56=""),"",IFERROR(S58/S56,""))</f>
        <v/>
      </c>
      <c r="T59" s="15">
        <f>IF(OR(T58="",T56=""),"",IFERROR(T58/T56,""))</f>
        <v/>
      </c>
      <c r="U59" s="15">
        <f>IF(OR(U58="",U56=""),"",IFERROR(U58/U56,""))</f>
        <v/>
      </c>
      <c r="V59" s="15">
        <f>IF(OR(V58="",V56=""),"",IFERROR(V58/V56,""))</f>
        <v/>
      </c>
      <c r="W59" s="15">
        <f>IF(OR(W58="",W56=""),"",IFERROR(W58/W56,""))</f>
        <v/>
      </c>
      <c r="X59" s="15">
        <f>IF(OR(X58="",X56=""),"",IFERROR(X58/X56,""))</f>
        <v/>
      </c>
      <c r="Y59" s="25" t="n">
        <v>1</v>
      </c>
      <c r="Z59" s="26" t="n">
        <v>1</v>
      </c>
      <c r="AA59" s="26" t="n">
        <v>1</v>
      </c>
      <c r="AB59" s="26" t="n">
        <v>1</v>
      </c>
      <c r="AC59" s="26" t="n">
        <v>1</v>
      </c>
    </row>
    <row r="60">
      <c r="A60" s="13" t="inlineStr">
        <is>
          <t>지배주주 순이익 YoY</t>
        </is>
      </c>
      <c r="B60" s="10" t="n"/>
      <c r="C60" s="14" t="n"/>
      <c r="D60" s="15" t="n"/>
      <c r="E60" s="15" t="n"/>
      <c r="F60" s="15" t="n"/>
      <c r="G60" s="15">
        <f>IF(OR(G58="",C58=""),"",IF(C58&lt;=0,"",IFERROR(G58/C58-1,"")))</f>
        <v/>
      </c>
      <c r="H60" s="15">
        <f>IF(OR(H58="",D58=""),"",IF(D58&lt;=0,"",IFERROR(H58/D58-1,"")))</f>
        <v/>
      </c>
      <c r="I60" s="15">
        <f>IF(OR(I58="",E58=""),"",IF(E58&lt;=0,"",IFERROR(I58/E58-1,"")))</f>
        <v/>
      </c>
      <c r="J60" s="15">
        <f>IF(OR(J58="",F58=""),"",IF(F58&lt;=0,"",IFERROR(J58/F58-1,"")))</f>
        <v/>
      </c>
      <c r="K60" s="15">
        <f>IF(OR(K58="",G58=""),"",IF(G58&lt;=0,"",IFERROR(K58/G58-1,"")))</f>
        <v/>
      </c>
      <c r="L60" s="15">
        <f>IF(OR(L58="",H58=""),"",IF(H58&lt;=0,"",IFERROR(L58/H58-1,"")))</f>
        <v/>
      </c>
      <c r="M60" s="15">
        <f>IF(OR(M58="",I58=""),"",IF(I58&lt;=0,"",IFERROR(M58/I58-1,"")))</f>
        <v/>
      </c>
      <c r="N60" s="15">
        <f>IF(OR(N58="",J58=""),"",IF(J58&lt;=0,"",IFERROR(N58/J58-1,"")))</f>
        <v/>
      </c>
      <c r="O60" s="14" t="n"/>
      <c r="P60" s="15">
        <f>IF(OR(P58="",O58=""),"",IF(O58&lt;=0,"",IFERROR(P58/O58-1,"")))</f>
        <v/>
      </c>
      <c r="Q60" s="15">
        <f>IF(OR(Q58="",P58=""),"",IF(P58&lt;=0,"",IFERROR(Q58/P58-1,"")))</f>
        <v/>
      </c>
      <c r="R60" s="15">
        <f>IF(OR(R58="",Q58=""),"",IF(Q58&lt;=0,"",IFERROR(R58/Q58-1,"")))</f>
        <v/>
      </c>
      <c r="S60" s="15">
        <f>IF(OR(S58="",R58=""),"",IF(R58&lt;=0,"",IFERROR(S58/R58-1,"")))</f>
        <v/>
      </c>
      <c r="T60" s="15">
        <f>IF(OR(T58="",S58=""),"",IF(S58&lt;=0,"",IFERROR(T58/S58-1,"")))</f>
        <v/>
      </c>
      <c r="U60" s="15">
        <f>IF(OR(U58="",T58=""),"",IF(T58&lt;=0,"",IFERROR(U58/T58-1,"")))</f>
        <v/>
      </c>
      <c r="V60" s="15">
        <f>IF(OR(V58="",U58=""),"",IF(U58&lt;=0,"",IFERROR(V58/U58-1,"")))</f>
        <v/>
      </c>
      <c r="W60" s="15">
        <f>IF(OR(W58="",V58=""),"",IF(V58&lt;=0,"",IFERROR(W58/V58-1,"")))</f>
        <v/>
      </c>
      <c r="X60" s="15">
        <f>IF(OR(X58="",W58=""),"",IF(W58&lt;=0,"",IFERROR(X58/W58-1,"")))</f>
        <v/>
      </c>
      <c r="Y60" s="14">
        <f>IF(OR(Y58="",X58=""),"",IF(X58&lt;=0,"",IFERROR(Y58/X58-1,"")))</f>
        <v/>
      </c>
      <c r="Z60" s="15">
        <f>IF(OR(Z58="",Y58=""),"",IF(Y58&lt;=0,"",IFERROR(Z58/Y58-1,"")))</f>
        <v/>
      </c>
      <c r="AA60" s="15">
        <f>IF(OR(AA58="",Z58=""),"",IF(Z58&lt;=0,"",IFERROR(AA58/Z58-1,"")))</f>
        <v/>
      </c>
      <c r="AB60" s="15">
        <f>IF(OR(AB58="",AA58=""),"",IF(AA58&lt;=0,"",IFERROR(AB58/AA58-1,"")))</f>
        <v/>
      </c>
      <c r="AC60" s="15">
        <f>IF(OR(AC58="",AB58=""),"",IF(AB58&lt;=0,"",IFERROR(AC58/AB58-1,"")))</f>
        <v/>
      </c>
    </row>
    <row r="61">
      <c r="A61" s="16" t="inlineStr">
        <is>
          <t>목표주가 산출</t>
        </is>
      </c>
      <c r="B61" s="16" t="n"/>
      <c r="C61" s="17" t="n"/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7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7" t="n"/>
      <c r="Z61" s="16" t="n"/>
      <c r="AA61" s="16" t="n"/>
      <c r="AB61" s="16" t="n"/>
      <c r="AC61" s="16" t="n"/>
    </row>
    <row r="62">
      <c r="A62" s="18" t="inlineStr">
        <is>
          <t>현재 주가 (2026.10.28)</t>
        </is>
      </c>
      <c r="B62" s="27" t="n">
        <v>2348</v>
      </c>
      <c r="C62" s="28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8" t="n"/>
      <c r="P62" s="29" t="n"/>
      <c r="Q62" s="29" t="n"/>
      <c r="R62" s="29" t="n"/>
      <c r="S62" s="29" t="n"/>
      <c r="T62" s="29" t="n"/>
      <c r="U62" s="29" t="n"/>
      <c r="V62" s="29" t="n"/>
      <c r="W62" s="29" t="n"/>
      <c r="X62" s="29" t="n"/>
      <c r="Y62" s="28" t="n"/>
      <c r="Z62" s="29" t="n"/>
      <c r="AA62" s="29" t="n"/>
      <c r="AB62" s="29" t="n"/>
      <c r="AC62" s="29" t="n"/>
    </row>
    <row r="63">
      <c r="A63" s="18" t="inlineStr">
        <is>
          <t>발행주식수 (보통주)</t>
        </is>
      </c>
      <c r="B63" s="27" t="n">
        <v>20547413</v>
      </c>
      <c r="C63" s="28" t="n"/>
      <c r="D63" s="29" t="n"/>
      <c r="E63" s="29" t="n"/>
      <c r="F63" s="29" t="n"/>
      <c r="G63" s="29" t="n"/>
      <c r="H63" s="29" t="n"/>
      <c r="I63" s="29" t="n"/>
      <c r="J63" s="29" t="n"/>
      <c r="K63" s="29" t="n"/>
      <c r="L63" s="29" t="n"/>
      <c r="M63" s="29" t="n"/>
      <c r="N63" s="29" t="n"/>
      <c r="O63" s="28" t="n"/>
      <c r="P63" s="29" t="n"/>
      <c r="Q63" s="29" t="n"/>
      <c r="R63" s="29" t="n"/>
      <c r="S63" s="29" t="n"/>
      <c r="T63" s="29" t="n"/>
      <c r="U63" s="29" t="n"/>
      <c r="V63" s="29" t="n"/>
      <c r="W63" s="29" t="n"/>
      <c r="X63" s="29" t="n"/>
      <c r="Y63" s="28" t="n"/>
      <c r="Z63" s="29" t="n"/>
      <c r="AA63" s="29" t="n"/>
      <c r="AB63" s="29" t="n"/>
      <c r="AC63" s="29" t="n"/>
    </row>
    <row r="64">
      <c r="A64" s="18" t="inlineStr">
        <is>
          <t>시가총액 (백만엔)</t>
        </is>
      </c>
      <c r="B64" s="12">
        <f>IF(OR(B62="",B63=""),"",B62*B63/1000000.0)</f>
        <v/>
      </c>
      <c r="C64" s="19" t="n"/>
      <c r="D64" s="20" t="n"/>
      <c r="E64" s="20" t="n"/>
      <c r="F64" s="20" t="n"/>
      <c r="G64" s="20" t="n"/>
      <c r="H64" s="20" t="n"/>
      <c r="I64" s="20" t="n"/>
      <c r="J64" s="20" t="n"/>
      <c r="K64" s="20" t="n"/>
      <c r="L64" s="20" t="n"/>
      <c r="M64" s="20" t="n"/>
      <c r="N64" s="20" t="n"/>
      <c r="O64" s="19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19" t="n"/>
      <c r="Z64" s="20" t="n"/>
      <c r="AA64" s="20" t="n"/>
      <c r="AB64" s="20" t="n"/>
      <c r="AC64" s="20" t="n"/>
    </row>
    <row r="65">
      <c r="A65" s="13" t="inlineStr">
        <is>
          <t>OPM</t>
        </is>
      </c>
      <c r="B65" s="10" t="n"/>
      <c r="C65" s="14" t="n"/>
      <c r="D65" s="15" t="n"/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4">
        <f>IF(O29="","",O29)</f>
        <v/>
      </c>
      <c r="P65" s="15">
        <f>IF(P29="","",P29)</f>
        <v/>
      </c>
      <c r="Q65" s="15">
        <f>IF(Q29="","",Q29)</f>
        <v/>
      </c>
      <c r="R65" s="15">
        <f>IF(R29="","",R29)</f>
        <v/>
      </c>
      <c r="S65" s="15">
        <f>IF(S29="","",S29)</f>
        <v/>
      </c>
      <c r="T65" s="15">
        <f>IF(T29="","",T29)</f>
        <v/>
      </c>
      <c r="U65" s="15">
        <f>IF(U29="","",U29)</f>
        <v/>
      </c>
      <c r="V65" s="15">
        <f>IF(V29="","",V29)</f>
        <v/>
      </c>
      <c r="W65" s="15">
        <f>IF(W29="","",W29)</f>
        <v/>
      </c>
      <c r="X65" s="15">
        <f>IF(X29="","",X29)</f>
        <v/>
      </c>
      <c r="Y65" s="14">
        <f>IF(Y29="","",Y29)</f>
        <v/>
      </c>
      <c r="Z65" s="15">
        <f>IF(Z29="","",Z29)</f>
        <v/>
      </c>
      <c r="AA65" s="15">
        <f>IF(AA29="","",AA29)</f>
        <v/>
      </c>
      <c r="AB65" s="15">
        <f>IF(AB29="","",AB29)</f>
        <v/>
      </c>
      <c r="AC65" s="15">
        <f>IF(AC29="","",AC29)</f>
        <v/>
      </c>
    </row>
    <row r="66">
      <c r="A66" s="13" t="inlineStr">
        <is>
          <t>지배주주 순이익 증가율</t>
        </is>
      </c>
      <c r="B66" s="10" t="n"/>
      <c r="C66" s="14" t="n"/>
      <c r="D66" s="15" t="n"/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4" t="n"/>
      <c r="P66" s="15">
        <f>IF(OR(P58="",O58=""),"",IFERROR(P58/O58-1,""))</f>
        <v/>
      </c>
      <c r="Q66" s="15">
        <f>IF(OR(Q58="",P58=""),"",IFERROR(Q58/P58-1,""))</f>
        <v/>
      </c>
      <c r="R66" s="15">
        <f>IF(OR(R58="",Q58=""),"",IFERROR(R58/Q58-1,""))</f>
        <v/>
      </c>
      <c r="S66" s="15">
        <f>IF(OR(S58="",R58=""),"",IFERROR(S58/R58-1,""))</f>
        <v/>
      </c>
      <c r="T66" s="15">
        <f>IF(OR(T58="",S58=""),"",IFERROR(T58/S58-1,""))</f>
        <v/>
      </c>
      <c r="U66" s="15">
        <f>IF(OR(U58="",T58=""),"",IFERROR(U58/T58-1,""))</f>
        <v/>
      </c>
      <c r="V66" s="15">
        <f>IF(OR(V58="",U58=""),"",IFERROR(V58/U58-1,""))</f>
        <v/>
      </c>
      <c r="W66" s="15">
        <f>IF(OR(W58="",V58=""),"",IFERROR(W58/V58-1,""))</f>
        <v/>
      </c>
      <c r="X66" s="15">
        <f>IF(OR(X58="",W58=""),"",IFERROR(X58/W58-1,""))</f>
        <v/>
      </c>
      <c r="Y66" s="14">
        <f>IF(OR(Y58="",X58=""),"",IFERROR(Y58/X58-1,""))</f>
        <v/>
      </c>
      <c r="Z66" s="15">
        <f>IF(OR(Z58="",Y58=""),"",IFERROR(Z58/Y58-1,""))</f>
        <v/>
      </c>
      <c r="AA66" s="15">
        <f>IF(OR(AA58="",Z58=""),"",IFERROR(AA58/Z58-1,""))</f>
        <v/>
      </c>
      <c r="AB66" s="15">
        <f>IF(OR(AB58="",AA58=""),"",IFERROR(AB58/AA58-1,""))</f>
        <v/>
      </c>
      <c r="AC66" s="15">
        <f>IF(OR(AC58="",AB58=""),"",IFERROR(AC58/AB58-1,""))</f>
        <v/>
      </c>
    </row>
    <row r="67">
      <c r="A67" s="18" t="inlineStr">
        <is>
          <t>P/E (현재 주가)</t>
        </is>
      </c>
      <c r="B67" s="10" t="inlineStr">
        <is>
          <t>시총 ÷ 지배순이익</t>
        </is>
      </c>
      <c r="C67" s="30" t="n"/>
      <c r="D67" s="31" t="n"/>
      <c r="E67" s="31" t="n"/>
      <c r="F67" s="31" t="n"/>
      <c r="G67" s="31" t="n"/>
      <c r="H67" s="31" t="n"/>
      <c r="I67" s="31" t="n"/>
      <c r="J67" s="31" t="n"/>
      <c r="K67" s="31" t="n"/>
      <c r="L67" s="31" t="n"/>
      <c r="M67" s="31" t="n"/>
      <c r="N67" s="31" t="n"/>
      <c r="O67" s="30" t="n"/>
      <c r="P67" s="31" t="n"/>
      <c r="Q67" s="31" t="n"/>
      <c r="R67" s="31" t="n"/>
      <c r="S67" s="31" t="n"/>
      <c r="T67" s="31" t="n"/>
      <c r="U67" s="31" t="n"/>
      <c r="V67" s="31" t="n"/>
      <c r="W67" s="31" t="n"/>
      <c r="X67" s="31">
        <f>IF(OR($B$64="",X58=""),"",IFERROR($B$64/X58,""))</f>
        <v/>
      </c>
      <c r="Y67" s="30">
        <f>IF(OR($B$64="",Y58=""),"",IFERROR($B$64/Y58,""))</f>
        <v/>
      </c>
      <c r="Z67" s="31">
        <f>IF(OR($B$64="",Z58=""),"",IFERROR($B$64/Z58,""))</f>
        <v/>
      </c>
      <c r="AA67" s="31">
        <f>IF(OR($B$64="",AA58=""),"",IFERROR($B$64/AA58,""))</f>
        <v/>
      </c>
      <c r="AB67" s="31">
        <f>IF(OR($B$64="",AB58=""),"",IFERROR($B$64/AB58,""))</f>
        <v/>
      </c>
      <c r="AC67" s="31">
        <f>IF(OR($B$64="",AC58=""),"",IFERROR($B$64/AC58,""))</f>
        <v/>
      </c>
    </row>
    <row r="68">
      <c r="A68" s="18" t="inlineStr">
        <is>
          <t>Target P/E</t>
        </is>
      </c>
      <c r="B68" s="10" t="inlineStr">
        <is>
          <t>직접 입력</t>
        </is>
      </c>
      <c r="C68" s="30" t="n"/>
      <c r="D68" s="31" t="n"/>
      <c r="E68" s="31" t="n"/>
      <c r="F68" s="31" t="n"/>
      <c r="G68" s="31" t="n"/>
      <c r="H68" s="31" t="n"/>
      <c r="I68" s="31" t="n"/>
      <c r="J68" s="31" t="n"/>
      <c r="K68" s="31" t="n"/>
      <c r="L68" s="31" t="n"/>
      <c r="M68" s="31" t="n"/>
      <c r="N68" s="31" t="n"/>
      <c r="O68" s="30" t="n"/>
      <c r="P68" s="31" t="n"/>
      <c r="Q68" s="31" t="n"/>
      <c r="R68" s="31" t="n"/>
      <c r="S68" s="31" t="n"/>
      <c r="T68" s="31" t="n"/>
      <c r="U68" s="31" t="n"/>
      <c r="V68" s="31" t="n"/>
      <c r="W68" s="31" t="n"/>
      <c r="X68" s="31" t="n"/>
      <c r="Y68" s="32" t="n"/>
      <c r="Z68" s="33" t="n"/>
      <c r="AA68" s="33" t="n"/>
      <c r="AB68" s="33" t="n"/>
      <c r="AC68" s="33" t="n"/>
    </row>
    <row r="69">
      <c r="A69" s="18" t="inlineStr">
        <is>
          <t>EPS</t>
        </is>
      </c>
      <c r="B69" s="10" t="inlineStr">
        <is>
          <t>지배순이익 ÷ 주식수</t>
        </is>
      </c>
      <c r="C69" s="28" t="n"/>
      <c r="D69" s="29" t="n"/>
      <c r="E69" s="29" t="n"/>
      <c r="F69" s="29" t="n"/>
      <c r="G69" s="29" t="n"/>
      <c r="H69" s="29" t="n"/>
      <c r="I69" s="29" t="n"/>
      <c r="J69" s="29" t="n"/>
      <c r="K69" s="29" t="n"/>
      <c r="L69" s="29" t="n"/>
      <c r="M69" s="29" t="n"/>
      <c r="N69" s="29" t="n"/>
      <c r="O69" s="28">
        <f>IF(OR(O58="",$B$63=""),"",IFERROR(O58*1000000.0/$B$63,""))</f>
        <v/>
      </c>
      <c r="P69" s="29">
        <f>IF(OR(P58="",$B$63=""),"",IFERROR(P58*1000000.0/$B$63,""))</f>
        <v/>
      </c>
      <c r="Q69" s="29">
        <f>IF(OR(Q58="",$B$63=""),"",IFERROR(Q58*1000000.0/$B$63,""))</f>
        <v/>
      </c>
      <c r="R69" s="29">
        <f>IF(OR(R58="",$B$63=""),"",IFERROR(R58*1000000.0/$B$63,""))</f>
        <v/>
      </c>
      <c r="S69" s="29">
        <f>IF(OR(S58="",$B$63=""),"",IFERROR(S58*1000000.0/$B$63,""))</f>
        <v/>
      </c>
      <c r="T69" s="29">
        <f>IF(OR(T58="",$B$63=""),"",IFERROR(T58*1000000.0/$B$63,""))</f>
        <v/>
      </c>
      <c r="U69" s="29">
        <f>IF(OR(U58="",$B$63=""),"",IFERROR(U58*1000000.0/$B$63,""))</f>
        <v/>
      </c>
      <c r="V69" s="29">
        <f>IF(OR(V58="",$B$63=""),"",IFERROR(V58*1000000.0/$B$63,""))</f>
        <v/>
      </c>
      <c r="W69" s="29">
        <f>IF(OR(W58="",$B$63=""),"",IFERROR(W58*1000000.0/$B$63,""))</f>
        <v/>
      </c>
      <c r="X69" s="29">
        <f>IF(OR(X58="",$B$63=""),"",IFERROR(X58*1000000.0/$B$63,""))</f>
        <v/>
      </c>
      <c r="Y69" s="28">
        <f>IF(OR(Y58="",$B$63=""),"",IFERROR(Y58*1000000.0/$B$63,""))</f>
        <v/>
      </c>
      <c r="Z69" s="29">
        <f>IF(OR(Z58="",$B$63=""),"",IFERROR(Z58*1000000.0/$B$63,""))</f>
        <v/>
      </c>
      <c r="AA69" s="29">
        <f>IF(OR(AA58="",$B$63=""),"",IFERROR(AA58*1000000.0/$B$63,""))</f>
        <v/>
      </c>
      <c r="AB69" s="29">
        <f>IF(OR(AB58="",$B$63=""),"",IFERROR(AB58*1000000.0/$B$63,""))</f>
        <v/>
      </c>
      <c r="AC69" s="29">
        <f>IF(OR(AC58="",$B$63=""),"",IFERROR(AC58*1000000.0/$B$63,""))</f>
        <v/>
      </c>
    </row>
    <row r="70">
      <c r="A70" s="9" t="inlineStr">
        <is>
          <t>목표주가</t>
        </is>
      </c>
      <c r="B70" s="10" t="n"/>
      <c r="C70" s="34" t="n"/>
      <c r="D70" s="27" t="n"/>
      <c r="E70" s="27" t="n"/>
      <c r="F70" s="27" t="n"/>
      <c r="G70" s="27" t="n"/>
      <c r="H70" s="27" t="n"/>
      <c r="I70" s="27" t="n"/>
      <c r="J70" s="27" t="n"/>
      <c r="K70" s="27" t="n"/>
      <c r="L70" s="27" t="n"/>
      <c r="M70" s="27" t="n"/>
      <c r="N70" s="27" t="n"/>
      <c r="O70" s="34" t="n"/>
      <c r="P70" s="27" t="n"/>
      <c r="Q70" s="27" t="n"/>
      <c r="R70" s="27" t="n"/>
      <c r="S70" s="27" t="n"/>
      <c r="T70" s="27" t="n"/>
      <c r="U70" s="27" t="n"/>
      <c r="V70" s="27" t="n"/>
      <c r="W70" s="27" t="n"/>
      <c r="X70" s="27" t="n"/>
      <c r="Y70" s="34">
        <f>IF(OR(Y69="",Y68=""),"",IFERROR(Y69*Y68,""))</f>
        <v/>
      </c>
      <c r="Z70" s="27">
        <f>IF(OR(Z69="",Z68=""),"",IFERROR(Z69*Z68,""))</f>
        <v/>
      </c>
      <c r="AA70" s="27">
        <f>IF(OR(AA69="",AA68=""),"",IFERROR(AA69*AA68,""))</f>
        <v/>
      </c>
      <c r="AB70" s="27">
        <f>IF(OR(AB69="",AB68=""),"",IFERROR(AB69*AB68,""))</f>
        <v/>
      </c>
      <c r="AC70" s="27">
        <f>IF(OR(AC69="",AC68=""),"",IFERROR(AC69*AC68,""))</f>
        <v/>
      </c>
    </row>
    <row r="71">
      <c r="A71" s="18" t="inlineStr">
        <is>
          <t>상승여력</t>
        </is>
      </c>
      <c r="B71" s="10" t="n"/>
      <c r="C71" s="35" t="n"/>
      <c r="D71" s="36" t="n"/>
      <c r="E71" s="36" t="n"/>
      <c r="F71" s="36" t="n"/>
      <c r="G71" s="36" t="n"/>
      <c r="H71" s="36" t="n"/>
      <c r="I71" s="36" t="n"/>
      <c r="J71" s="36" t="n"/>
      <c r="K71" s="36" t="n"/>
      <c r="L71" s="36" t="n"/>
      <c r="M71" s="36" t="n"/>
      <c r="N71" s="36" t="n"/>
      <c r="O71" s="35" t="n"/>
      <c r="P71" s="36" t="n"/>
      <c r="Q71" s="36" t="n"/>
      <c r="R71" s="36" t="n"/>
      <c r="S71" s="36" t="n"/>
      <c r="T71" s="36" t="n"/>
      <c r="U71" s="36" t="n"/>
      <c r="V71" s="36" t="n"/>
      <c r="W71" s="36" t="n"/>
      <c r="X71" s="36" t="n"/>
      <c r="Y71" s="37">
        <f>IF(OR(Y70="",$B$62=""),"",IFERROR(Y70/$B$62-1,""))</f>
        <v/>
      </c>
      <c r="Z71" s="38">
        <f>IF(OR(Z70="",$B$62=""),"",IFERROR(Z70/$B$62-1,""))</f>
        <v/>
      </c>
      <c r="AA71" s="38">
        <f>IF(OR(AA70="",$B$62=""),"",IFERROR(AA70/$B$62-1,""))</f>
        <v/>
      </c>
      <c r="AB71" s="38">
        <f>IF(OR(AB70="",$B$62=""),"",IFERROR(AB70/$B$62-1,""))</f>
        <v/>
      </c>
      <c r="AC71" s="38">
        <f>IF(OR(AC70="",$B$62=""),"",IFERROR(AC70/$B$62-1,""))</f>
        <v/>
      </c>
    </row>
    <row r="72">
      <c r="A72" s="16" t="inlineStr">
        <is>
          <t>자산가치 산출</t>
        </is>
      </c>
      <c r="B72" s="16" t="inlineStr">
        <is>
          <t>최신 분기 BS</t>
        </is>
      </c>
      <c r="C72" s="17" t="n"/>
      <c r="D72" s="16" t="n"/>
      <c r="E72" s="16" t="n"/>
      <c r="F72" s="16" t="n"/>
      <c r="G72" s="16" t="n"/>
      <c r="H72" s="16" t="n"/>
      <c r="I72" s="16" t="n"/>
      <c r="J72" s="16" t="n"/>
      <c r="K72" s="16" t="n"/>
      <c r="L72" s="16" t="n"/>
      <c r="M72" s="16" t="n"/>
      <c r="N72" s="16" t="n"/>
      <c r="O72" s="17" t="n"/>
      <c r="P72" s="16" t="n"/>
      <c r="Q72" s="16" t="n"/>
      <c r="R72" s="16" t="n"/>
      <c r="S72" s="16" t="n"/>
      <c r="T72" s="16" t="n"/>
      <c r="U72" s="16" t="n"/>
      <c r="V72" s="16" t="n"/>
      <c r="W72" s="16" t="n"/>
      <c r="X72" s="16" t="n"/>
      <c r="Y72" s="17" t="n"/>
      <c r="Z72" s="16" t="n"/>
      <c r="AA72" s="16" t="n"/>
      <c r="AB72" s="16" t="n"/>
      <c r="AC72" s="16" t="n"/>
    </row>
    <row r="73">
      <c r="A73" s="18" t="inlineStr">
        <is>
          <t>현금및현금성자산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'재무상태표'!G6</f>
        <v/>
      </c>
      <c r="Y73" s="19">
        <f>'재무상태표'!G6</f>
        <v/>
      </c>
      <c r="Z73" s="20">
        <f>'재무상태표'!G6</f>
        <v/>
      </c>
      <c r="AA73" s="20">
        <f>'재무상태표'!G6</f>
        <v/>
      </c>
      <c r="AB73" s="20">
        <f>'재무상태표'!G6</f>
        <v/>
      </c>
      <c r="AC73" s="20">
        <f>'재무상태표'!G6</f>
        <v/>
      </c>
    </row>
    <row r="74">
      <c r="A74" s="18" t="inlineStr">
        <is>
          <t>단기금융상품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'재무상태표'!G7</f>
        <v/>
      </c>
      <c r="Y74" s="19">
        <f>'재무상태표'!G7</f>
        <v/>
      </c>
      <c r="Z74" s="20">
        <f>'재무상태표'!G7</f>
        <v/>
      </c>
      <c r="AA74" s="20">
        <f>'재무상태표'!G7</f>
        <v/>
      </c>
      <c r="AB74" s="20">
        <f>'재무상태표'!G7</f>
        <v/>
      </c>
      <c r="AC74" s="20">
        <f>'재무상태표'!G7</f>
        <v/>
      </c>
    </row>
    <row r="75">
      <c r="A75" s="18" t="inlineStr">
        <is>
          <t>투자부동산</t>
        </is>
      </c>
      <c r="B75" s="10" t="n"/>
      <c r="C75" s="19" t="n"/>
      <c r="D75" s="20" t="n"/>
      <c r="E75" s="20" t="n"/>
      <c r="F75" s="20" t="n"/>
      <c r="G75" s="20" t="n"/>
      <c r="H75" s="20" t="n"/>
      <c r="I75" s="20" t="n"/>
      <c r="J75" s="20" t="n"/>
      <c r="K75" s="20" t="n"/>
      <c r="L75" s="20" t="n"/>
      <c r="M75" s="20" t="n"/>
      <c r="N75" s="20" t="n"/>
      <c r="O75" s="19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>
        <f>'재무상태표'!G14</f>
        <v/>
      </c>
      <c r="Y75" s="19">
        <f>'재무상태표'!G14</f>
        <v/>
      </c>
      <c r="Z75" s="20">
        <f>'재무상태표'!G14</f>
        <v/>
      </c>
      <c r="AA75" s="20">
        <f>'재무상태표'!G14</f>
        <v/>
      </c>
      <c r="AB75" s="20">
        <f>'재무상태표'!G14</f>
        <v/>
      </c>
      <c r="AC75" s="20">
        <f>'재무상태표'!G14</f>
        <v/>
      </c>
    </row>
    <row r="76">
      <c r="A76" s="18" t="inlineStr">
        <is>
          <t>지배자본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'재무상태표'!G31</f>
        <v/>
      </c>
      <c r="Y76" s="19">
        <f>'재무상태표'!G31</f>
        <v/>
      </c>
      <c r="Z76" s="20">
        <f>'재무상태표'!G31</f>
        <v/>
      </c>
      <c r="AA76" s="20">
        <f>'재무상태표'!G31</f>
        <v/>
      </c>
      <c r="AB76" s="20">
        <f>'재무상태표'!G31</f>
        <v/>
      </c>
      <c r="AC76" s="20">
        <f>'재무상태표'!G31</f>
        <v/>
      </c>
    </row>
    <row r="77">
      <c r="A77" s="18" t="inlineStr">
        <is>
          <t>부채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'재무상태표'!G27</f>
        <v/>
      </c>
      <c r="Y77" s="19">
        <f>'재무상태표'!G27</f>
        <v/>
      </c>
      <c r="Z77" s="20">
        <f>'재무상태표'!G27</f>
        <v/>
      </c>
      <c r="AA77" s="20">
        <f>'재무상태표'!G27</f>
        <v/>
      </c>
      <c r="AB77" s="20">
        <f>'재무상태표'!G27</f>
        <v/>
      </c>
      <c r="AC77" s="20">
        <f>'재무상태표'!G27</f>
        <v/>
      </c>
    </row>
    <row r="78">
      <c r="A78" s="13" t="inlineStr">
        <is>
          <t>부채비율</t>
        </is>
      </c>
      <c r="B78" s="10" t="n"/>
      <c r="C78" s="14" t="n"/>
      <c r="D78" s="15" t="n"/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4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>
        <f>IF(OR(X77="",X76=""),"",IFERROR(X77/X76,""))</f>
        <v/>
      </c>
      <c r="Y78" s="14">
        <f>IF(OR(Y77="",Y76=""),"",IFERROR(Y77/Y76,""))</f>
        <v/>
      </c>
      <c r="Z78" s="15">
        <f>IF(OR(Z77="",Z76=""),"",IFERROR(Z77/Z76,""))</f>
        <v/>
      </c>
      <c r="AA78" s="15">
        <f>IF(OR(AA77="",AA76=""),"",IFERROR(AA77/AA76,""))</f>
        <v/>
      </c>
      <c r="AB78" s="15">
        <f>IF(OR(AB77="",AB76=""),"",IFERROR(AB77/AB76,""))</f>
        <v/>
      </c>
      <c r="AC78" s="15">
        <f>IF(OR(AC77="",AC76=""),"",IFERROR(AC77/AC76,""))</f>
        <v/>
      </c>
    </row>
    <row r="79">
      <c r="A79" s="9" t="inlineStr">
        <is>
          <t>자산가치</t>
        </is>
      </c>
      <c r="B79" s="10" t="inlineStr">
        <is>
          <t>현금+단기금융+투자부동산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>
        <f>SUM(X73,X74,X75)</f>
        <v/>
      </c>
      <c r="Y79" s="11">
        <f>SUM(Y73,Y74,Y75)</f>
        <v/>
      </c>
      <c r="Z79" s="12">
        <f>SUM(Z73,Z74,Z75)</f>
        <v/>
      </c>
      <c r="AA79" s="12">
        <f>SUM(AA73,AA74,AA75)</f>
        <v/>
      </c>
      <c r="AB79" s="12">
        <f>SUM(AB73,AB74,AB75)</f>
        <v/>
      </c>
      <c r="AC79" s="12">
        <f>SUM(AC73,AC74,AC75)</f>
        <v/>
      </c>
    </row>
    <row r="80">
      <c r="A80" s="16" t="inlineStr">
        <is>
          <t>기업가치 산출</t>
        </is>
      </c>
      <c r="B80" s="16" t="n"/>
      <c r="C80" s="17" t="n"/>
      <c r="D80" s="16" t="n"/>
      <c r="E80" s="16" t="n"/>
      <c r="F80" s="16" t="n"/>
      <c r="G80" s="16" t="n"/>
      <c r="H80" s="16" t="n"/>
      <c r="I80" s="16" t="n"/>
      <c r="J80" s="16" t="n"/>
      <c r="K80" s="16" t="n"/>
      <c r="L80" s="16" t="n"/>
      <c r="M80" s="16" t="n"/>
      <c r="N80" s="16" t="n"/>
      <c r="O80" s="17" t="n"/>
      <c r="P80" s="16" t="n"/>
      <c r="Q80" s="16" t="n"/>
      <c r="R80" s="16" t="n"/>
      <c r="S80" s="16" t="n"/>
      <c r="T80" s="16" t="n"/>
      <c r="U80" s="16" t="n"/>
      <c r="V80" s="16" t="n"/>
      <c r="W80" s="16" t="n"/>
      <c r="X80" s="16" t="n"/>
      <c r="Y80" s="17" t="n"/>
      <c r="Z80" s="16" t="n"/>
      <c r="AA80" s="16" t="n"/>
      <c r="AB80" s="16" t="n"/>
      <c r="AC80" s="16" t="n"/>
    </row>
    <row r="81">
      <c r="A81" s="18" t="inlineStr">
        <is>
          <t>목표 시가총액 (P/E)</t>
        </is>
      </c>
      <c r="B81" s="10" t="inlineStr">
        <is>
          <t>지배순이익 × Target P/E</t>
        </is>
      </c>
      <c r="C81" s="19" t="n"/>
      <c r="D81" s="20" t="n"/>
      <c r="E81" s="20" t="n"/>
      <c r="F81" s="20" t="n"/>
      <c r="G81" s="20" t="n"/>
      <c r="H81" s="20" t="n"/>
      <c r="I81" s="20" t="n"/>
      <c r="J81" s="20" t="n"/>
      <c r="K81" s="20" t="n"/>
      <c r="L81" s="20" t="n"/>
      <c r="M81" s="20" t="n"/>
      <c r="N81" s="20" t="n"/>
      <c r="O81" s="19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19">
        <f>IF(OR(Y58="",Y68=""),"",IFERROR(Y58*Y68,""))</f>
        <v/>
      </c>
      <c r="Z81" s="20">
        <f>IF(OR(Z58="",Z68=""),"",IFERROR(Z58*Z68,""))</f>
        <v/>
      </c>
      <c r="AA81" s="20">
        <f>IF(OR(AA58="",AA68=""),"",IFERROR(AA58*AA68,""))</f>
        <v/>
      </c>
      <c r="AB81" s="20">
        <f>IF(OR(AB58="",AB68=""),"",IFERROR(AB58*AB68,""))</f>
        <v/>
      </c>
      <c r="AC81" s="20">
        <f>IF(OR(AC58="",AC68=""),"",IFERROR(AC58*AC68,""))</f>
        <v/>
      </c>
    </row>
    <row r="82">
      <c r="A82" s="9" t="inlineStr">
        <is>
          <t>기업가치</t>
        </is>
      </c>
      <c r="B82" s="10" t="inlineStr">
        <is>
          <t>목표시총 + 자산가치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1">
        <f>IF(OR(Y81=""),"",IFERROR(Y81+Y79,""))</f>
        <v/>
      </c>
      <c r="Z82" s="12">
        <f>IF(OR(Z81=""),"",IFERROR(Z81+Z79,""))</f>
        <v/>
      </c>
      <c r="AA82" s="12">
        <f>IF(OR(AA81=""),"",IFERROR(AA81+AA79,""))</f>
        <v/>
      </c>
      <c r="AB82" s="12">
        <f>IF(OR(AB81=""),"",IFERROR(AB81+AB79,""))</f>
        <v/>
      </c>
      <c r="AC82" s="12">
        <f>IF(OR(AC81=""),"",IFERROR(AC81+AC79,""))</f>
        <v/>
      </c>
    </row>
    <row r="83">
      <c r="A83" s="18" t="inlineStr">
        <is>
          <t>현재 시가총액</t>
        </is>
      </c>
      <c r="B83" s="10" t="n"/>
      <c r="C83" s="19" t="n"/>
      <c r="D83" s="20" t="n"/>
      <c r="E83" s="20" t="n"/>
      <c r="F83" s="20" t="n"/>
      <c r="G83" s="20" t="n"/>
      <c r="H83" s="20" t="n"/>
      <c r="I83" s="20" t="n"/>
      <c r="J83" s="20" t="n"/>
      <c r="K83" s="20" t="n"/>
      <c r="L83" s="20" t="n"/>
      <c r="M83" s="20" t="n"/>
      <c r="N83" s="20" t="n"/>
      <c r="O83" s="19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19">
        <f>$B$64</f>
        <v/>
      </c>
      <c r="Z83" s="20">
        <f>$B$64</f>
        <v/>
      </c>
      <c r="AA83" s="20">
        <f>$B$64</f>
        <v/>
      </c>
      <c r="AB83" s="20">
        <f>$B$64</f>
        <v/>
      </c>
      <c r="AC83" s="20">
        <f>$B$64</f>
        <v/>
      </c>
    </row>
    <row r="84">
      <c r="A84" s="18" t="inlineStr">
        <is>
          <t>상승여력</t>
        </is>
      </c>
      <c r="B84" s="10" t="n"/>
      <c r="C84" s="35" t="n"/>
      <c r="D84" s="36" t="n"/>
      <c r="E84" s="36" t="n"/>
      <c r="F84" s="36" t="n"/>
      <c r="G84" s="36" t="n"/>
      <c r="H84" s="36" t="n"/>
      <c r="I84" s="36" t="n"/>
      <c r="J84" s="36" t="n"/>
      <c r="K84" s="36" t="n"/>
      <c r="L84" s="36" t="n"/>
      <c r="M84" s="36" t="n"/>
      <c r="N84" s="36" t="n"/>
      <c r="O84" s="35" t="n"/>
      <c r="P84" s="36" t="n"/>
      <c r="Q84" s="36" t="n"/>
      <c r="R84" s="36" t="n"/>
      <c r="S84" s="36" t="n"/>
      <c r="T84" s="36" t="n"/>
      <c r="U84" s="36" t="n"/>
      <c r="V84" s="36" t="n"/>
      <c r="W84" s="36" t="n"/>
      <c r="X84" s="36" t="n"/>
      <c r="Y84" s="37">
        <f>IF(OR(Y82="",Y83=""),"",IFERROR(Y82/Y83-1,""))</f>
        <v/>
      </c>
      <c r="Z84" s="38">
        <f>IF(OR(Z82="",Z83=""),"",IFERROR(Z82/Z83-1,""))</f>
        <v/>
      </c>
      <c r="AA84" s="38">
        <f>IF(OR(AA82="",AA83=""),"",IFERROR(AA82/AA83-1,""))</f>
        <v/>
      </c>
      <c r="AB84" s="38">
        <f>IF(OR(AB82="",AB83=""),"",IFERROR(AB82/AB83-1,""))</f>
        <v/>
      </c>
      <c r="AC84" s="38">
        <f>IF(OR(AC82="",AC83=""),"",IFERROR(AC82/AC83-1,""))</f>
        <v/>
      </c>
    </row>
    <row r="85">
      <c r="C85" s="39" t="n"/>
      <c r="O85" s="39" t="n"/>
      <c r="Y85" s="39" t="n"/>
    </row>
    <row r="86">
      <c r="A86" s="40" t="inlineStr">
        <is>
          <t>출처</t>
        </is>
      </c>
      <c r="C86" s="39" t="n"/>
      <c r="O86" s="39" t="n"/>
      <c r="Y86" s="39" t="n"/>
    </row>
    <row r="87">
      <c r="A87" s="41" t="inlineStr">
        <is>
          <t>결산단신 XBRL(TDnet·JPX 보관소) — 쓴 문서는 '출처' 시트</t>
        </is>
      </c>
      <c r="C87" s="39" t="n"/>
      <c r="O87" s="39" t="n"/>
      <c r="Y87" s="39" t="n"/>
    </row>
    <row r="88">
      <c r="A88" s="41" t="inlineStr">
        <is>
          <t>분기 = 누계에서 앞 분기를 뺀 3개월 값</t>
        </is>
      </c>
      <c r="C88" s="39" t="n"/>
      <c r="O88" s="39" t="n"/>
      <c r="Y88" s="39" t="n"/>
    </row>
    <row r="89">
      <c r="A89" s="41" t="inlineStr">
        <is>
          <t>주가: 야후 파이낸스 일봉 2026.10.28</t>
        </is>
      </c>
      <c r="C89" s="39" t="n"/>
      <c r="O89" s="39" t="n"/>
      <c r="Y89" s="39" t="n"/>
    </row>
    <row r="91">
      <c r="A91" s="16" t="inlineStr">
        <is>
          <t>손익계산서 · 전 항목</t>
        </is>
      </c>
      <c r="B91" s="42" t="inlineStr">
        <is>
          <t>분기 = 3개월 단독</t>
        </is>
      </c>
      <c r="C91" s="16" t="n"/>
      <c r="D91" s="16" t="n"/>
      <c r="E91" s="16" t="n"/>
      <c r="F91" s="16" t="n"/>
      <c r="G91" s="16" t="n"/>
      <c r="H91" s="16" t="n"/>
      <c r="I91" s="16" t="n"/>
      <c r="J91" s="16" t="n"/>
      <c r="K91" s="16" t="n"/>
      <c r="L91" s="16" t="n"/>
      <c r="M91" s="16" t="n"/>
      <c r="N91" s="16" t="n"/>
      <c r="O91" s="16" t="n"/>
      <c r="P91" s="16" t="n"/>
      <c r="Q91" s="16" t="n"/>
      <c r="R91" s="16" t="n"/>
      <c r="S91" s="16" t="n"/>
      <c r="T91" s="16" t="n"/>
      <c r="U91" s="16" t="n"/>
      <c r="V91" s="16" t="n"/>
      <c r="W91" s="16" t="n"/>
      <c r="X91" s="16" t="n"/>
      <c r="Y91" s="16" t="n"/>
      <c r="Z91" s="16" t="n"/>
      <c r="AA91" s="16" t="n"/>
      <c r="AB91" s="16" t="n"/>
      <c r="AC91" s="16" t="n"/>
    </row>
    <row r="92">
      <c r="A92" s="5" t="inlineStr">
        <is>
          <t>항목</t>
        </is>
      </c>
      <c r="B92" s="5" t="inlineStr">
        <is>
          <t>참고</t>
        </is>
      </c>
      <c r="C92" s="5" t="inlineStr">
        <is>
          <t>2024.2Q</t>
        </is>
      </c>
      <c r="D92" s="5" t="inlineStr">
        <is>
          <t>2024.3Q</t>
        </is>
      </c>
      <c r="E92" s="5" t="inlineStr">
        <is>
          <t>2024.4Q</t>
        </is>
      </c>
      <c r="F92" s="5" t="inlineStr">
        <is>
          <t>2025.1Q</t>
        </is>
      </c>
      <c r="G92" s="5" t="inlineStr">
        <is>
          <t>2025.2Q</t>
        </is>
      </c>
      <c r="H92" s="5" t="inlineStr">
        <is>
          <t>2025.3Q</t>
        </is>
      </c>
      <c r="I92" s="5" t="inlineStr">
        <is>
          <t>2025.4Q</t>
        </is>
      </c>
      <c r="J92" s="5" t="inlineStr">
        <is>
          <t>2026.1Q</t>
        </is>
      </c>
      <c r="K92" s="5" t="inlineStr">
        <is>
          <t>2026.2Q</t>
        </is>
      </c>
      <c r="L92" s="5" t="inlineStr">
        <is>
          <t>2026.3Q</t>
        </is>
      </c>
      <c r="M92" s="5" t="inlineStr">
        <is>
          <t>2026.4Q</t>
        </is>
      </c>
      <c r="N92" s="5" t="inlineStr">
        <is>
          <t>2027.1Q</t>
        </is>
      </c>
      <c r="O92" s="5" t="inlineStr">
        <is>
          <t>2017</t>
        </is>
      </c>
      <c r="P92" s="5" t="inlineStr">
        <is>
          <t>2018</t>
        </is>
      </c>
      <c r="Q92" s="5" t="inlineStr">
        <is>
          <t>2019</t>
        </is>
      </c>
      <c r="R92" s="5" t="inlineStr">
        <is>
          <t>2020</t>
        </is>
      </c>
      <c r="S92" s="5" t="inlineStr">
        <is>
          <t>2021</t>
        </is>
      </c>
      <c r="T92" s="5" t="inlineStr">
        <is>
          <t>2022</t>
        </is>
      </c>
      <c r="U92" s="5" t="inlineStr">
        <is>
          <t>2023</t>
        </is>
      </c>
      <c r="V92" s="5" t="inlineStr">
        <is>
          <t>2024</t>
        </is>
      </c>
      <c r="W92" s="5" t="inlineStr">
        <is>
          <t>2025</t>
        </is>
      </c>
      <c r="X92" s="5" t="inlineStr">
        <is>
          <t>2026</t>
        </is>
      </c>
      <c r="Y92" s="5" t="inlineStr">
        <is>
          <t>2027(MW)</t>
        </is>
      </c>
      <c r="Z92" s="5" t="inlineStr">
        <is>
          <t>2028(MW)</t>
        </is>
      </c>
      <c r="AA92" s="5" t="inlineStr">
        <is>
          <t>2029(MW)</t>
        </is>
      </c>
      <c r="AB92" s="5" t="inlineStr">
        <is>
          <t>2030(MW)</t>
        </is>
      </c>
      <c r="AC92" s="5" t="inlineStr">
        <is>
          <t>2031(MW)</t>
        </is>
      </c>
    </row>
    <row r="93">
      <c r="A93" s="9" t="inlineStr">
        <is>
          <t>매출액</t>
        </is>
      </c>
      <c r="C93" s="12" t="n">
        <v>26751</v>
      </c>
      <c r="D93" s="12" t="n">
        <v>29454</v>
      </c>
      <c r="E93" s="12" t="n">
        <v>29269</v>
      </c>
      <c r="F93" s="12" t="n">
        <v>28292</v>
      </c>
      <c r="G93" s="12" t="n">
        <v>28489</v>
      </c>
      <c r="H93" s="12" t="n">
        <v>31599</v>
      </c>
      <c r="I93" s="12" t="n">
        <v>30825</v>
      </c>
      <c r="J93" s="12" t="n">
        <v>29511</v>
      </c>
      <c r="K93" s="12" t="n">
        <v>31593</v>
      </c>
      <c r="L93" s="12" t="n">
        <v>34678</v>
      </c>
      <c r="M93" s="12" t="n">
        <v>34341</v>
      </c>
      <c r="N93" s="12" t="n">
        <v>32620</v>
      </c>
      <c r="T93" s="12" t="n">
        <v>24198</v>
      </c>
      <c r="U93" s="12" t="n">
        <v>26436</v>
      </c>
      <c r="V93" s="12" t="n">
        <v>29269</v>
      </c>
      <c r="W93" s="12" t="n">
        <v>30825</v>
      </c>
      <c r="X93" s="12" t="n">
        <v>34341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매출원가</t>
        </is>
      </c>
      <c r="C95" s="20" t="n">
        <v>11486</v>
      </c>
      <c r="D95" s="20" t="n">
        <v>12918</v>
      </c>
      <c r="E95" s="20" t="n">
        <v>13011</v>
      </c>
      <c r="F95" s="20" t="n">
        <v>12078</v>
      </c>
      <c r="G95" s="20" t="n">
        <v>12306</v>
      </c>
      <c r="H95" s="20" t="n">
        <v>13759</v>
      </c>
      <c r="I95" s="20" t="n">
        <v>13311</v>
      </c>
      <c r="J95" s="20" t="n">
        <v>12688</v>
      </c>
      <c r="K95" s="20" t="n">
        <v>13750</v>
      </c>
      <c r="L95" s="20" t="n">
        <v>14962</v>
      </c>
      <c r="M95" s="20" t="n">
        <v>14895</v>
      </c>
      <c r="N95" s="20" t="n">
        <v>13988</v>
      </c>
      <c r="T95" s="20" t="n">
        <v>9986</v>
      </c>
      <c r="U95" s="20" t="n">
        <v>11248</v>
      </c>
      <c r="V95" s="20" t="n">
        <v>13011</v>
      </c>
      <c r="W95" s="20" t="n">
        <v>13311</v>
      </c>
      <c r="X95" s="20" t="n">
        <v>14895</v>
      </c>
    </row>
    <row r="96">
      <c r="A96" s="43" t="inlineStr">
        <is>
          <t>YoY</t>
        </is>
      </c>
      <c r="B96" s="3" t="inlineStr">
        <is>
          <t>전년 같은 분기·전년 대비</t>
        </is>
      </c>
      <c r="G96" s="15">
        <f>IF(OR(G95="",C95=""),"",IF(G95*C95&lt;=0,"",IFERROR(G95/C95-1,"")))</f>
        <v/>
      </c>
      <c r="H96" s="15">
        <f>IF(OR(H95="",D95=""),"",IF(H95*D95&lt;=0,"",IFERROR(H95/D95-1,"")))</f>
        <v/>
      </c>
      <c r="I96" s="15">
        <f>IF(OR(I95="",E95=""),"",IF(I95*E95&lt;=0,"",IFERROR(I95/E95-1,"")))</f>
        <v/>
      </c>
      <c r="J96" s="15">
        <f>IF(OR(J95="",F95=""),"",IF(J95*F95&lt;=0,"",IFERROR(J95/F95-1,"")))</f>
        <v/>
      </c>
      <c r="K96" s="15">
        <f>IF(OR(K95="",G95=""),"",IF(K95*G95&lt;=0,"",IFERROR(K95/G95-1,"")))</f>
        <v/>
      </c>
      <c r="L96" s="15">
        <f>IF(OR(L95="",H95=""),"",IF(L95*H95&lt;=0,"",IFERROR(L95/H95-1,"")))</f>
        <v/>
      </c>
      <c r="M96" s="15">
        <f>IF(OR(M95="",I95=""),"",IF(M95*I95&lt;=0,"",IFERROR(M95/I95-1,"")))</f>
        <v/>
      </c>
      <c r="N96" s="15">
        <f>IF(OR(N95="",J95=""),"",IF(N95*J95&lt;=0,"",IFERROR(N95/J95-1,"")))</f>
        <v/>
      </c>
      <c r="T96" s="15">
        <f>IF(OR(T95="",S95=""),"",IF(T95*S95&lt;=0,"",IFERROR(T95/S95-1,"")))</f>
        <v/>
      </c>
      <c r="U96" s="15">
        <f>IF(OR(U95="",T95=""),"",IF(U95*T95&lt;=0,"",IFERROR(U95/T95-1,"")))</f>
        <v/>
      </c>
      <c r="V96" s="15">
        <f>IF(OR(V95="",U95=""),"",IF(V95*U95&lt;=0,"",IFERROR(V95/U95-1,"")))</f>
        <v/>
      </c>
      <c r="W96" s="15">
        <f>IF(OR(W95="",V95=""),"",IF(W95*V95&lt;=0,"",IFERROR(W95/V95-1,"")))</f>
        <v/>
      </c>
      <c r="X96" s="15">
        <f>IF(OR(X95="",W95=""),"",IF(X95*W95&lt;=0,"",IFERROR(X95/W95-1,"")))</f>
        <v/>
      </c>
    </row>
    <row r="97">
      <c r="A97" s="9" t="inlineStr">
        <is>
          <t>매출총이익</t>
        </is>
      </c>
      <c r="C97" s="12" t="n">
        <v>15265</v>
      </c>
      <c r="D97" s="12" t="n">
        <v>16535</v>
      </c>
      <c r="E97" s="12" t="n">
        <v>16258</v>
      </c>
      <c r="F97" s="12" t="n">
        <v>16214</v>
      </c>
      <c r="G97" s="12" t="n">
        <v>16182</v>
      </c>
      <c r="H97" s="12" t="n">
        <v>17841</v>
      </c>
      <c r="I97" s="12" t="n">
        <v>17514</v>
      </c>
      <c r="J97" s="12" t="n">
        <v>16822</v>
      </c>
      <c r="K97" s="12" t="n">
        <v>17844</v>
      </c>
      <c r="L97" s="12" t="n">
        <v>19715</v>
      </c>
      <c r="M97" s="12" t="n">
        <v>19446</v>
      </c>
      <c r="N97" s="12" t="n">
        <v>18631</v>
      </c>
      <c r="T97" s="12" t="n">
        <v>14213</v>
      </c>
      <c r="U97" s="12" t="n">
        <v>15188</v>
      </c>
      <c r="V97" s="12" t="n">
        <v>16258</v>
      </c>
      <c r="W97" s="12" t="n">
        <v>17514</v>
      </c>
      <c r="X97" s="12" t="n">
        <v>19446</v>
      </c>
    </row>
    <row r="98">
      <c r="A98" s="43" t="inlineStr">
        <is>
          <t>YoY</t>
        </is>
      </c>
      <c r="B98" s="3" t="inlineStr">
        <is>
          <t>전년 같은 분기·전년 대비</t>
        </is>
      </c>
      <c r="G98" s="15">
        <f>IF(OR(G97="",C97=""),"",IF(C97&lt;=0,"",IFERROR(G97/C97-1,"")))</f>
        <v/>
      </c>
      <c r="H98" s="15">
        <f>IF(OR(H97="",D97=""),"",IF(D97&lt;=0,"",IFERROR(H97/D97-1,"")))</f>
        <v/>
      </c>
      <c r="I98" s="15">
        <f>IF(OR(I97="",E97=""),"",IF(E97&lt;=0,"",IFERROR(I97/E97-1,"")))</f>
        <v/>
      </c>
      <c r="J98" s="15">
        <f>IF(OR(J97="",F97=""),"",IF(F97&lt;=0,"",IFERROR(J97/F97-1,"")))</f>
        <v/>
      </c>
      <c r="K98" s="15">
        <f>IF(OR(K97="",G97=""),"",IF(G97&lt;=0,"",IFERROR(K97/G97-1,"")))</f>
        <v/>
      </c>
      <c r="L98" s="15">
        <f>IF(OR(L97="",H97=""),"",IF(H97&lt;=0,"",IFERROR(L97/H97-1,"")))</f>
        <v/>
      </c>
      <c r="M98" s="15">
        <f>IF(OR(M97="",I97=""),"",IF(I97&lt;=0,"",IFERROR(M97/I97-1,"")))</f>
        <v/>
      </c>
      <c r="N98" s="15">
        <f>IF(OR(N97="",J97=""),"",IF(J97&lt;=0,"",IFERROR(N97/J97-1,"")))</f>
        <v/>
      </c>
      <c r="T98" s="15">
        <f>IF(OR(T97="",S97=""),"",IF(S97&lt;=0,"",IFERROR(T97/S97-1,"")))</f>
        <v/>
      </c>
      <c r="U98" s="15">
        <f>IF(OR(U97="",T97=""),"",IF(T97&lt;=0,"",IFERROR(U97/T97-1,"")))</f>
        <v/>
      </c>
      <c r="V98" s="15">
        <f>IF(OR(V97="",U97=""),"",IF(U97&lt;=0,"",IFERROR(V97/U97-1,"")))</f>
        <v/>
      </c>
      <c r="W98" s="15">
        <f>IF(OR(W97="",V97=""),"",IF(V97&lt;=0,"",IFERROR(W97/V97-1,"")))</f>
        <v/>
      </c>
      <c r="X98" s="15">
        <f>IF(OR(X97="",W97=""),"",IF(W97&lt;=0,"",IFERROR(X97/W97-1,"")))</f>
        <v/>
      </c>
    </row>
    <row r="99">
      <c r="A99" s="18" t="inlineStr">
        <is>
          <t>판매비와 관리비</t>
        </is>
      </c>
      <c r="C99" s="20" t="n">
        <v>14615</v>
      </c>
      <c r="D99" s="20" t="n">
        <v>14838</v>
      </c>
      <c r="E99" s="20" t="n">
        <v>15962</v>
      </c>
      <c r="F99" s="20" t="n">
        <v>15101</v>
      </c>
      <c r="G99" s="20" t="n">
        <v>15797</v>
      </c>
      <c r="H99" s="20" t="n">
        <v>16190</v>
      </c>
      <c r="I99" s="20" t="n">
        <v>17214</v>
      </c>
      <c r="J99" s="20" t="n">
        <v>16340</v>
      </c>
      <c r="K99" s="20" t="n">
        <v>17061</v>
      </c>
      <c r="L99" s="20" t="n">
        <v>17340</v>
      </c>
      <c r="M99" s="20" t="n">
        <v>18681</v>
      </c>
      <c r="N99" s="20" t="n">
        <v>17759</v>
      </c>
      <c r="T99" s="20" t="n">
        <v>14041</v>
      </c>
      <c r="U99" s="20" t="n">
        <v>15021</v>
      </c>
      <c r="V99" s="20" t="n">
        <v>15962</v>
      </c>
      <c r="W99" s="20" t="n">
        <v>17214</v>
      </c>
      <c r="X99" s="20" t="n">
        <v>18681</v>
      </c>
    </row>
    <row r="100">
      <c r="A100" s="43" t="inlineStr">
        <is>
          <t>YoY</t>
        </is>
      </c>
      <c r="B100" s="3" t="inlineStr">
        <is>
          <t>전년 같은 분기·전년 대비</t>
        </is>
      </c>
      <c r="G100" s="15">
        <f>IF(OR(G99="",C99=""),"",IF(G99*C99&lt;=0,"",IFERROR(G99/C99-1,"")))</f>
        <v/>
      </c>
      <c r="H100" s="15">
        <f>IF(OR(H99="",D99=""),"",IF(H99*D99&lt;=0,"",IFERROR(H99/D99-1,"")))</f>
        <v/>
      </c>
      <c r="I100" s="15">
        <f>IF(OR(I99="",E99=""),"",IF(I99*E99&lt;=0,"",IFERROR(I99/E99-1,"")))</f>
        <v/>
      </c>
      <c r="J100" s="15">
        <f>IF(OR(J99="",F99=""),"",IF(J99*F99&lt;=0,"",IFERROR(J99/F99-1,"")))</f>
        <v/>
      </c>
      <c r="K100" s="15">
        <f>IF(OR(K99="",G99=""),"",IF(K99*G99&lt;=0,"",IFERROR(K99/G99-1,"")))</f>
        <v/>
      </c>
      <c r="L100" s="15">
        <f>IF(OR(L99="",H99=""),"",IF(L99*H99&lt;=0,"",IFERROR(L99/H99-1,"")))</f>
        <v/>
      </c>
      <c r="M100" s="15">
        <f>IF(OR(M99="",I99=""),"",IF(M99*I99&lt;=0,"",IFERROR(M99/I99-1,"")))</f>
        <v/>
      </c>
      <c r="N100" s="15">
        <f>IF(OR(N99="",J99=""),"",IF(N99*J99&lt;=0,"",IFERROR(N99/J99-1,"")))</f>
        <v/>
      </c>
      <c r="T100" s="15">
        <f>IF(OR(T99="",S99=""),"",IF(T99*S99&lt;=0,"",IFERROR(T99/S99-1,"")))</f>
        <v/>
      </c>
      <c r="U100" s="15">
        <f>IF(OR(U99="",T99=""),"",IF(U99*T99&lt;=0,"",IFERROR(U99/T99-1,"")))</f>
        <v/>
      </c>
      <c r="V100" s="15">
        <f>IF(OR(V99="",U99=""),"",IF(V99*U99&lt;=0,"",IFERROR(V99/U99-1,"")))</f>
        <v/>
      </c>
      <c r="W100" s="15">
        <f>IF(OR(W99="",V99=""),"",IF(W99*V99&lt;=0,"",IFERROR(W99/V99-1,"")))</f>
        <v/>
      </c>
      <c r="X100" s="15">
        <f>IF(OR(X99="",W99=""),"",IF(X99*W99&lt;=0,"",IFERROR(X99/W99-1,"")))</f>
        <v/>
      </c>
    </row>
    <row r="101">
      <c r="A101" s="9" t="inlineStr">
        <is>
          <t>영업이익</t>
        </is>
      </c>
      <c r="C101" s="12" t="n">
        <v>650</v>
      </c>
      <c r="D101" s="12" t="n">
        <v>1696</v>
      </c>
      <c r="E101" s="12" t="n">
        <v>296</v>
      </c>
      <c r="F101" s="12" t="n">
        <v>1112</v>
      </c>
      <c r="G101" s="12" t="n">
        <v>386</v>
      </c>
      <c r="H101" s="12" t="n">
        <v>1650</v>
      </c>
      <c r="I101" s="12" t="n">
        <v>300</v>
      </c>
      <c r="J101" s="12" t="n">
        <v>482</v>
      </c>
      <c r="K101" s="12" t="n">
        <v>782</v>
      </c>
      <c r="L101" s="12" t="n">
        <v>2376</v>
      </c>
      <c r="M101" s="12" t="n">
        <v>765</v>
      </c>
      <c r="N101" s="12" t="n">
        <v>871</v>
      </c>
      <c r="T101" s="12" t="n">
        <v>171</v>
      </c>
      <c r="U101" s="12" t="n">
        <v>167</v>
      </c>
      <c r="V101" s="12" t="n">
        <v>296</v>
      </c>
      <c r="W101" s="12" t="n">
        <v>300</v>
      </c>
      <c r="X101" s="12" t="n">
        <v>765</v>
      </c>
    </row>
    <row r="102">
      <c r="A102" s="43" t="inlineStr">
        <is>
          <t>OPM</t>
        </is>
      </c>
      <c r="B102" s="3" t="inlineStr">
        <is>
          <t>영업이익 ÷ 매출</t>
        </is>
      </c>
      <c r="C102" s="15">
        <f>IF(OR(C101="",C93=""),"",IF(C93&lt;=0,"",IFERROR(C101/C93,"")))</f>
        <v/>
      </c>
      <c r="D102" s="15">
        <f>IF(OR(D101="",D93=""),"",IF(D93&lt;=0,"",IFERROR(D101/D93,"")))</f>
        <v/>
      </c>
      <c r="E102" s="15">
        <f>IF(OR(E101="",E93=""),"",IF(E93&lt;=0,"",IFERROR(E101/E93,"")))</f>
        <v/>
      </c>
      <c r="F102" s="15">
        <f>IF(OR(F101="",F93=""),"",IF(F93&lt;=0,"",IFERROR(F101/F93,"")))</f>
        <v/>
      </c>
      <c r="G102" s="15">
        <f>IF(OR(G101="",G93=""),"",IF(G93&lt;=0,"",IFERROR(G101/G93,"")))</f>
        <v/>
      </c>
      <c r="H102" s="15">
        <f>IF(OR(H101="",H93=""),"",IF(H93&lt;=0,"",IFERROR(H101/H93,"")))</f>
        <v/>
      </c>
      <c r="I102" s="15">
        <f>IF(OR(I101="",I93=""),"",IF(I93&lt;=0,"",IFERROR(I101/I93,"")))</f>
        <v/>
      </c>
      <c r="J102" s="15">
        <f>IF(OR(J101="",J93=""),"",IF(J93&lt;=0,"",IFERROR(J101/J93,"")))</f>
        <v/>
      </c>
      <c r="K102" s="15">
        <f>IF(OR(K101="",K93=""),"",IF(K93&lt;=0,"",IFERROR(K101/K93,"")))</f>
        <v/>
      </c>
      <c r="L102" s="15">
        <f>IF(OR(L101="",L93=""),"",IF(L93&lt;=0,"",IFERROR(L101/L93,"")))</f>
        <v/>
      </c>
      <c r="M102" s="15">
        <f>IF(OR(M101="",M93=""),"",IF(M93&lt;=0,"",IFERROR(M101/M93,"")))</f>
        <v/>
      </c>
      <c r="N102" s="15">
        <f>IF(OR(N101="",N93=""),"",IF(N93&lt;=0,"",IFERROR(N101/N93,"")))</f>
        <v/>
      </c>
      <c r="T102" s="15">
        <f>IF(OR(T101="",T93=""),"",IF(T93&lt;=0,"",IFERROR(T101/T93,"")))</f>
        <v/>
      </c>
      <c r="U102" s="15">
        <f>IF(OR(U101="",U93=""),"",IF(U93&lt;=0,"",IFERROR(U101/U93,"")))</f>
        <v/>
      </c>
      <c r="V102" s="15">
        <f>IF(OR(V101="",V93=""),"",IF(V93&lt;=0,"",IFERROR(V101/V93,"")))</f>
        <v/>
      </c>
      <c r="W102" s="15">
        <f>IF(OR(W101="",W93=""),"",IF(W93&lt;=0,"",IFERROR(W101/W93,"")))</f>
        <v/>
      </c>
      <c r="X102" s="15">
        <f>IF(OR(X101="",X93=""),"",IF(X93&lt;=0,"",IFERROR(X101/X93,"")))</f>
        <v/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IF(OR(G101="",C101=""),"",IF(C101&lt;=0,"",IFERROR(G101/C101-1,"")))</f>
        <v/>
      </c>
      <c r="H103" s="15">
        <f>IF(OR(H101="",D101=""),"",IF(D101&lt;=0,"",IFERROR(H101/D101-1,"")))</f>
        <v/>
      </c>
      <c r="I103" s="15">
        <f>IF(OR(I101="",E101=""),"",IF(E101&lt;=0,"",IFERROR(I101/E101-1,"")))</f>
        <v/>
      </c>
      <c r="J103" s="15">
        <f>IF(OR(J101="",F101=""),"",IF(F101&lt;=0,"",IFERROR(J101/F101-1,"")))</f>
        <v/>
      </c>
      <c r="K103" s="15">
        <f>IF(OR(K101="",G101=""),"",IF(G101&lt;=0,"",IFERROR(K101/G101-1,"")))</f>
        <v/>
      </c>
      <c r="L103" s="15">
        <f>IF(OR(L101="",H101=""),"",IF(H101&lt;=0,"",IFERROR(L101/H101-1,"")))</f>
        <v/>
      </c>
      <c r="M103" s="15">
        <f>IF(OR(M101="",I101=""),"",IF(I101&lt;=0,"",IFERROR(M101/I101-1,"")))</f>
        <v/>
      </c>
      <c r="N103" s="15">
        <f>IF(OR(N101="",J101=""),"",IF(J101&lt;=0,"",IFERROR(N101/J101-1,"")))</f>
        <v/>
      </c>
      <c r="T103" s="15">
        <f>IF(OR(T101="",S101=""),"",IF(S101&lt;=0,"",IFERROR(T101/S101-1,"")))</f>
        <v/>
      </c>
      <c r="U103" s="15">
        <f>IF(OR(U101="",T101=""),"",IF(T101&lt;=0,"",IFERROR(U101/T101-1,"")))</f>
        <v/>
      </c>
      <c r="V103" s="15">
        <f>IF(OR(V101="",U101=""),"",IF(U101&lt;=0,"",IFERROR(V101/U101-1,"")))</f>
        <v/>
      </c>
      <c r="W103" s="15">
        <f>IF(OR(W101="",V101=""),"",IF(V101&lt;=0,"",IFERROR(W101/V101-1,"")))</f>
        <v/>
      </c>
      <c r="X103" s="15">
        <f>IF(OR(X101="",W101=""),"",IF(W101&lt;=0,"",IFERROR(X101/W101-1,"")))</f>
        <v/>
      </c>
    </row>
    <row r="104">
      <c r="A104" s="18" t="inlineStr">
        <is>
          <t>자판기 설치료 수입</t>
        </is>
      </c>
      <c r="C104" s="20" t="n">
        <v>31</v>
      </c>
      <c r="D104" s="20" t="n">
        <v>29</v>
      </c>
      <c r="F104" s="20" t="n">
        <v>32</v>
      </c>
      <c r="G104" s="20" t="n">
        <v>30</v>
      </c>
      <c r="H104" s="20" t="n">
        <v>32</v>
      </c>
      <c r="J104" s="20" t="n">
        <v>31</v>
      </c>
      <c r="K104" s="20" t="n">
        <v>34</v>
      </c>
      <c r="L104" s="20" t="n">
        <v>26</v>
      </c>
      <c r="N104" s="20" t="n">
        <v>30</v>
      </c>
    </row>
    <row r="105">
      <c r="A105" s="18" t="inlineStr">
        <is>
          <t>폐지 등 재활용 수입</t>
        </is>
      </c>
      <c r="C105" s="20" t="n">
        <v>59</v>
      </c>
      <c r="D105" s="20" t="n">
        <v>58</v>
      </c>
      <c r="E105" s="20" t="n">
        <v>69</v>
      </c>
      <c r="F105" s="20" t="n">
        <v>65</v>
      </c>
      <c r="G105" s="20" t="n">
        <v>64</v>
      </c>
      <c r="H105" s="20" t="n">
        <v>66</v>
      </c>
      <c r="I105" s="20" t="n">
        <v>77</v>
      </c>
      <c r="J105" s="20" t="n">
        <v>64</v>
      </c>
      <c r="K105" s="20" t="n">
        <v>61</v>
      </c>
      <c r="L105" s="20" t="n">
        <v>65</v>
      </c>
      <c r="M105" s="20" t="n">
        <v>69</v>
      </c>
      <c r="N105" s="20" t="n">
        <v>69</v>
      </c>
      <c r="T105" s="20" t="n">
        <v>63</v>
      </c>
      <c r="U105" s="20" t="n">
        <v>73</v>
      </c>
      <c r="V105" s="20" t="n">
        <v>69</v>
      </c>
      <c r="W105" s="20" t="n">
        <v>77</v>
      </c>
      <c r="X105" s="20" t="n">
        <v>69</v>
      </c>
    </row>
    <row r="106">
      <c r="A106" s="18" t="inlineStr">
        <is>
          <t>기타</t>
        </is>
      </c>
      <c r="C106" s="20" t="n">
        <v>58</v>
      </c>
      <c r="D106" s="20" t="n">
        <v>81</v>
      </c>
      <c r="E106" s="20" t="n">
        <v>58</v>
      </c>
      <c r="F106" s="20" t="n">
        <v>79</v>
      </c>
      <c r="G106" s="20" t="n">
        <v>109</v>
      </c>
      <c r="H106" s="20" t="n">
        <v>76</v>
      </c>
      <c r="I106" s="20" t="n">
        <v>167</v>
      </c>
      <c r="J106" s="20" t="n">
        <v>93</v>
      </c>
      <c r="K106" s="20" t="n">
        <v>111</v>
      </c>
      <c r="L106" s="20" t="n">
        <v>76</v>
      </c>
      <c r="M106" s="20" t="n">
        <v>101</v>
      </c>
      <c r="N106" s="20" t="n">
        <v>105</v>
      </c>
      <c r="T106" s="20" t="n">
        <v>101</v>
      </c>
      <c r="U106" s="20" t="n">
        <v>56</v>
      </c>
      <c r="V106" s="20" t="n">
        <v>58</v>
      </c>
      <c r="W106" s="20" t="n">
        <v>167</v>
      </c>
      <c r="X106" s="20" t="n">
        <v>101</v>
      </c>
    </row>
    <row r="107">
      <c r="A107" s="18" t="inlineStr">
        <is>
          <t>영업외수익 합계</t>
        </is>
      </c>
      <c r="C107" s="20" t="n">
        <v>149</v>
      </c>
      <c r="D107" s="20" t="n">
        <v>168</v>
      </c>
      <c r="E107" s="20" t="n">
        <v>156</v>
      </c>
      <c r="F107" s="20" t="n">
        <v>178</v>
      </c>
      <c r="G107" s="20" t="n">
        <v>202</v>
      </c>
      <c r="H107" s="20" t="n">
        <v>174</v>
      </c>
      <c r="I107" s="20" t="n">
        <v>271</v>
      </c>
      <c r="J107" s="20" t="n">
        <v>189</v>
      </c>
      <c r="K107" s="20" t="n">
        <v>205</v>
      </c>
      <c r="L107" s="20" t="n">
        <v>168</v>
      </c>
      <c r="M107" s="20" t="n">
        <v>198</v>
      </c>
      <c r="N107" s="20" t="n">
        <v>205</v>
      </c>
      <c r="T107" s="20" t="n">
        <v>191</v>
      </c>
      <c r="U107" s="20" t="n">
        <v>209</v>
      </c>
      <c r="V107" s="20" t="n">
        <v>156</v>
      </c>
      <c r="W107" s="20" t="n">
        <v>271</v>
      </c>
      <c r="X107" s="20" t="n">
        <v>198</v>
      </c>
    </row>
    <row r="108">
      <c r="A108" s="43" t="inlineStr">
        <is>
          <t>YoY</t>
        </is>
      </c>
      <c r="B108" s="3" t="inlineStr">
        <is>
          <t>전년 같은 분기·전년 대비</t>
        </is>
      </c>
      <c r="G108" s="15">
        <f>IF(OR(G107="",C107=""),"",IF(G107*C107&lt;=0,"",IFERROR(G107/C107-1,"")))</f>
        <v/>
      </c>
      <c r="H108" s="15">
        <f>IF(OR(H107="",D107=""),"",IF(H107*D107&lt;=0,"",IFERROR(H107/D107-1,"")))</f>
        <v/>
      </c>
      <c r="I108" s="15">
        <f>IF(OR(I107="",E107=""),"",IF(I107*E107&lt;=0,"",IFERROR(I107/E107-1,"")))</f>
        <v/>
      </c>
      <c r="J108" s="15">
        <f>IF(OR(J107="",F107=""),"",IF(J107*F107&lt;=0,"",IFERROR(J107/F107-1,"")))</f>
        <v/>
      </c>
      <c r="K108" s="15">
        <f>IF(OR(K107="",G107=""),"",IF(K107*G107&lt;=0,"",IFERROR(K107/G107-1,"")))</f>
        <v/>
      </c>
      <c r="L108" s="15">
        <f>IF(OR(L107="",H107=""),"",IF(L107*H107&lt;=0,"",IFERROR(L107/H107-1,"")))</f>
        <v/>
      </c>
      <c r="M108" s="15">
        <f>IF(OR(M107="",I107=""),"",IF(M107*I107&lt;=0,"",IFERROR(M107/I107-1,"")))</f>
        <v/>
      </c>
      <c r="N108" s="15">
        <f>IF(OR(N107="",J107=""),"",IF(N107*J107&lt;=0,"",IFERROR(N107/J107-1,"")))</f>
        <v/>
      </c>
      <c r="T108" s="15">
        <f>IF(OR(T107="",S107=""),"",IF(T107*S107&lt;=0,"",IFERROR(T107/S107-1,"")))</f>
        <v/>
      </c>
      <c r="U108" s="15">
        <f>IF(OR(U107="",T107=""),"",IF(U107*T107&lt;=0,"",IFERROR(U107/T107-1,"")))</f>
        <v/>
      </c>
      <c r="V108" s="15">
        <f>IF(OR(V107="",U107=""),"",IF(V107*U107&lt;=0,"",IFERROR(V107/U107-1,"")))</f>
        <v/>
      </c>
      <c r="W108" s="15">
        <f>IF(OR(W107="",V107=""),"",IF(W107*V107&lt;=0,"",IFERROR(W107/V107-1,"")))</f>
        <v/>
      </c>
      <c r="X108" s="15">
        <f>IF(OR(X107="",W107=""),"",IF(X107*W107&lt;=0,"",IFERROR(X107/W107-1,"")))</f>
        <v/>
      </c>
    </row>
    <row r="109">
      <c r="A109" s="18" t="inlineStr">
        <is>
          <t>이자비용</t>
        </is>
      </c>
      <c r="C109" s="20" t="n">
        <v>45</v>
      </c>
      <c r="D109" s="20" t="n">
        <v>47</v>
      </c>
      <c r="E109" s="20" t="n">
        <v>59</v>
      </c>
      <c r="F109" s="20" t="n">
        <v>55</v>
      </c>
      <c r="G109" s="20" t="n">
        <v>57</v>
      </c>
      <c r="H109" s="20" t="n">
        <v>62</v>
      </c>
      <c r="I109" s="20" t="n">
        <v>80</v>
      </c>
      <c r="J109" s="20" t="n">
        <v>67</v>
      </c>
      <c r="K109" s="20" t="n">
        <v>81</v>
      </c>
      <c r="L109" s="20" t="n">
        <v>95</v>
      </c>
      <c r="M109" s="20" t="n">
        <v>93</v>
      </c>
      <c r="N109" s="20" t="n">
        <v>96</v>
      </c>
      <c r="T109" s="20" t="n">
        <v>38</v>
      </c>
      <c r="U109" s="20" t="n">
        <v>58</v>
      </c>
      <c r="V109" s="20" t="n">
        <v>59</v>
      </c>
      <c r="W109" s="20" t="n">
        <v>80</v>
      </c>
      <c r="X109" s="20" t="n">
        <v>93</v>
      </c>
    </row>
    <row r="110">
      <c r="A110" s="18" t="inlineStr">
        <is>
          <t>지분법손실</t>
        </is>
      </c>
      <c r="C110" s="20" t="n">
        <v>4</v>
      </c>
      <c r="D110" s="20" t="n">
        <v>3</v>
      </c>
      <c r="E110" s="20" t="n">
        <v>7</v>
      </c>
      <c r="F110" s="20" t="n">
        <v>3</v>
      </c>
      <c r="G110" s="20" t="n">
        <v>1</v>
      </c>
      <c r="H110" s="20" t="n">
        <v>2</v>
      </c>
      <c r="I110" s="20" t="n">
        <v>4</v>
      </c>
      <c r="J110" s="20" t="n">
        <v>2</v>
      </c>
      <c r="K110" s="20" t="n">
        <v>4</v>
      </c>
      <c r="L110" s="20" t="n">
        <v>3</v>
      </c>
      <c r="M110" s="20" t="n">
        <v>5</v>
      </c>
      <c r="N110" s="20" t="n">
        <v>2</v>
      </c>
      <c r="T110" s="20" t="n">
        <v>2</v>
      </c>
      <c r="U110" s="20" t="n">
        <v>-6</v>
      </c>
      <c r="V110" s="20" t="n">
        <v>7</v>
      </c>
      <c r="W110" s="20" t="n">
        <v>4</v>
      </c>
      <c r="X110" s="20" t="n">
        <v>5</v>
      </c>
    </row>
    <row r="111">
      <c r="A111" s="18" t="inlineStr">
        <is>
          <t>사채발행비 상각</t>
        </is>
      </c>
      <c r="F111" s="20" t="n">
        <v>27</v>
      </c>
      <c r="J111" s="20" t="n">
        <v>0</v>
      </c>
    </row>
    <row r="112">
      <c r="A112" s="18" t="inlineStr">
        <is>
          <t>기타</t>
        </is>
      </c>
      <c r="C112" s="20" t="n">
        <v>7</v>
      </c>
      <c r="D112" s="20" t="n">
        <v>8</v>
      </c>
      <c r="E112" s="20" t="n">
        <v>11</v>
      </c>
      <c r="F112" s="20" t="n">
        <v>10</v>
      </c>
      <c r="G112" s="20" t="n">
        <v>38</v>
      </c>
      <c r="H112" s="20" t="n">
        <v>28</v>
      </c>
      <c r="I112" s="20" t="n">
        <v>-18</v>
      </c>
      <c r="J112" s="20" t="n">
        <v>15</v>
      </c>
      <c r="K112" s="20" t="n">
        <v>35</v>
      </c>
      <c r="L112" s="20" t="n">
        <v>33</v>
      </c>
      <c r="M112" s="20" t="n">
        <v>10</v>
      </c>
      <c r="N112" s="20" t="n">
        <v>18</v>
      </c>
      <c r="T112" s="20" t="n">
        <v>56</v>
      </c>
      <c r="U112" s="20" t="n">
        <v>16</v>
      </c>
      <c r="V112" s="20" t="n">
        <v>11</v>
      </c>
      <c r="W112" s="20" t="n">
        <v>-18</v>
      </c>
      <c r="X112" s="20" t="n">
        <v>10</v>
      </c>
    </row>
    <row r="113">
      <c r="A113" s="18" t="inlineStr">
        <is>
          <t>영업외비용 합계</t>
        </is>
      </c>
      <c r="C113" s="20" t="n">
        <v>55</v>
      </c>
      <c r="D113" s="20" t="n">
        <v>59</v>
      </c>
      <c r="E113" s="20" t="n">
        <v>77</v>
      </c>
      <c r="F113" s="20" t="n">
        <v>96</v>
      </c>
      <c r="G113" s="20" t="n">
        <v>69</v>
      </c>
      <c r="H113" s="20" t="n">
        <v>92</v>
      </c>
      <c r="I113" s="20" t="n">
        <v>113</v>
      </c>
      <c r="J113" s="20" t="n">
        <v>85</v>
      </c>
      <c r="K113" s="20" t="n">
        <v>120</v>
      </c>
      <c r="L113" s="20" t="n">
        <v>130</v>
      </c>
      <c r="M113" s="20" t="n">
        <v>110</v>
      </c>
      <c r="N113" s="20" t="n">
        <v>117</v>
      </c>
      <c r="T113" s="20" t="n">
        <v>96</v>
      </c>
      <c r="U113" s="20" t="n">
        <v>69</v>
      </c>
      <c r="V113" s="20" t="n">
        <v>77</v>
      </c>
      <c r="W113" s="20" t="n">
        <v>113</v>
      </c>
      <c r="X113" s="20" t="n">
        <v>110</v>
      </c>
    </row>
    <row r="114">
      <c r="A114" s="43" t="inlineStr">
        <is>
          <t>YoY</t>
        </is>
      </c>
      <c r="B114" s="3" t="inlineStr">
        <is>
          <t>전년 같은 분기·전년 대비</t>
        </is>
      </c>
      <c r="G114" s="15">
        <f>IF(OR(G113="",C113=""),"",IF(G113*C113&lt;=0,"",IFERROR(G113/C113-1,"")))</f>
        <v/>
      </c>
      <c r="H114" s="15">
        <f>IF(OR(H113="",D113=""),"",IF(H113*D113&lt;=0,"",IFERROR(H113/D113-1,"")))</f>
        <v/>
      </c>
      <c r="I114" s="15">
        <f>IF(OR(I113="",E113=""),"",IF(I113*E113&lt;=0,"",IFERROR(I113/E113-1,"")))</f>
        <v/>
      </c>
      <c r="J114" s="15">
        <f>IF(OR(J113="",F113=""),"",IF(J113*F113&lt;=0,"",IFERROR(J113/F113-1,"")))</f>
        <v/>
      </c>
      <c r="K114" s="15">
        <f>IF(OR(K113="",G113=""),"",IF(K113*G113&lt;=0,"",IFERROR(K113/G113-1,"")))</f>
        <v/>
      </c>
      <c r="L114" s="15">
        <f>IF(OR(L113="",H113=""),"",IF(L113*H113&lt;=0,"",IFERROR(L113/H113-1,"")))</f>
        <v/>
      </c>
      <c r="M114" s="15">
        <f>IF(OR(M113="",I113=""),"",IF(M113*I113&lt;=0,"",IFERROR(M113/I113-1,"")))</f>
        <v/>
      </c>
      <c r="N114" s="15">
        <f>IF(OR(N113="",J113=""),"",IF(N113*J113&lt;=0,"",IFERROR(N113/J113-1,"")))</f>
        <v/>
      </c>
      <c r="T114" s="15">
        <f>IF(OR(T113="",S113=""),"",IF(T113*S113&lt;=0,"",IFERROR(T113/S113-1,"")))</f>
        <v/>
      </c>
      <c r="U114" s="15">
        <f>IF(OR(U113="",T113=""),"",IF(U113*T113&lt;=0,"",IFERROR(U113/T113-1,"")))</f>
        <v/>
      </c>
      <c r="V114" s="15">
        <f>IF(OR(V113="",U113=""),"",IF(V113*U113&lt;=0,"",IFERROR(V113/U113-1,"")))</f>
        <v/>
      </c>
      <c r="W114" s="15">
        <f>IF(OR(W113="",V113=""),"",IF(W113*V113&lt;=0,"",IFERROR(W113/V113-1,"")))</f>
        <v/>
      </c>
      <c r="X114" s="15">
        <f>IF(OR(X113="",W113=""),"",IF(X113*W113&lt;=0,"",IFERROR(X113/W113-1,"")))</f>
        <v/>
      </c>
    </row>
    <row r="115">
      <c r="A115" s="9" t="inlineStr">
        <is>
          <t>경상이익</t>
        </is>
      </c>
      <c r="C115" s="12" t="n">
        <v>744</v>
      </c>
      <c r="D115" s="12" t="n">
        <v>1806</v>
      </c>
      <c r="E115" s="12" t="n">
        <v>374</v>
      </c>
      <c r="F115" s="12" t="n">
        <v>1194</v>
      </c>
      <c r="G115" s="12" t="n">
        <v>519</v>
      </c>
      <c r="H115" s="12" t="n">
        <v>1732</v>
      </c>
      <c r="I115" s="12" t="n">
        <v>458</v>
      </c>
      <c r="J115" s="12" t="n">
        <v>586</v>
      </c>
      <c r="K115" s="12" t="n">
        <v>868</v>
      </c>
      <c r="L115" s="12" t="n">
        <v>2413</v>
      </c>
      <c r="M115" s="12" t="n">
        <v>853</v>
      </c>
      <c r="N115" s="12" t="n">
        <v>959</v>
      </c>
      <c r="T115" s="12" t="n">
        <v>266</v>
      </c>
      <c r="U115" s="12" t="n">
        <v>308</v>
      </c>
      <c r="V115" s="12" t="n">
        <v>374</v>
      </c>
      <c r="W115" s="12" t="n">
        <v>458</v>
      </c>
      <c r="X115" s="12" t="n">
        <v>853</v>
      </c>
    </row>
    <row r="116">
      <c r="A116" s="43" t="inlineStr">
        <is>
          <t>YoY</t>
        </is>
      </c>
      <c r="B116" s="3" t="inlineStr">
        <is>
          <t>전년 같은 분기·전년 대비</t>
        </is>
      </c>
      <c r="G116" s="15">
        <f>IF(OR(G115="",C115=""),"",IF(C115&lt;=0,"",IFERROR(G115/C115-1,"")))</f>
        <v/>
      </c>
      <c r="H116" s="15">
        <f>IF(OR(H115="",D115=""),"",IF(D115&lt;=0,"",IFERROR(H115/D115-1,"")))</f>
        <v/>
      </c>
      <c r="I116" s="15">
        <f>IF(OR(I115="",E115=""),"",IF(E115&lt;=0,"",IFERROR(I115/E115-1,"")))</f>
        <v/>
      </c>
      <c r="J116" s="15">
        <f>IF(OR(J115="",F115=""),"",IF(F115&lt;=0,"",IFERROR(J115/F115-1,"")))</f>
        <v/>
      </c>
      <c r="K116" s="15">
        <f>IF(OR(K115="",G115=""),"",IF(G115&lt;=0,"",IFERROR(K115/G115-1,"")))</f>
        <v/>
      </c>
      <c r="L116" s="15">
        <f>IF(OR(L115="",H115=""),"",IF(H115&lt;=0,"",IFERROR(L115/H115-1,"")))</f>
        <v/>
      </c>
      <c r="M116" s="15">
        <f>IF(OR(M115="",I115=""),"",IF(I115&lt;=0,"",IFERROR(M115/I115-1,"")))</f>
        <v/>
      </c>
      <c r="N116" s="15">
        <f>IF(OR(N115="",J115=""),"",IF(J115&lt;=0,"",IFERROR(N115/J115-1,"")))</f>
        <v/>
      </c>
      <c r="T116" s="15">
        <f>IF(OR(T115="",S115=""),"",IF(S115&lt;=0,"",IFERROR(T115/S115-1,"")))</f>
        <v/>
      </c>
      <c r="U116" s="15">
        <f>IF(OR(U115="",T115=""),"",IF(T115&lt;=0,"",IFERROR(U115/T115-1,"")))</f>
        <v/>
      </c>
      <c r="V116" s="15">
        <f>IF(OR(V115="",U115=""),"",IF(U115&lt;=0,"",IFERROR(V115/U115-1,"")))</f>
        <v/>
      </c>
      <c r="W116" s="15">
        <f>IF(OR(W115="",V115=""),"",IF(V115&lt;=0,"",IFERROR(W115/V115-1,"")))</f>
        <v/>
      </c>
      <c r="X116" s="15">
        <f>IF(OR(X115="",W115=""),"",IF(W115&lt;=0,"",IFERROR(X115/W115-1,"")))</f>
        <v/>
      </c>
    </row>
    <row r="117">
      <c r="A117" s="18" t="inlineStr">
        <is>
          <t>고정자산 매각이익</t>
        </is>
      </c>
      <c r="C117" s="20" t="n">
        <v>0</v>
      </c>
      <c r="D117" s="20" t="n">
        <v>0</v>
      </c>
      <c r="E117" s="20" t="n">
        <v>1</v>
      </c>
      <c r="F117" s="20" t="n">
        <v>0</v>
      </c>
      <c r="G117" s="20" t="n">
        <v>0</v>
      </c>
      <c r="H117" s="20" t="n">
        <v>0</v>
      </c>
      <c r="I117" s="20" t="n">
        <v>0</v>
      </c>
      <c r="J117" s="20" t="n">
        <v>0</v>
      </c>
      <c r="K117" s="20" t="n">
        <v>3</v>
      </c>
      <c r="L117" s="20" t="n">
        <v>1</v>
      </c>
      <c r="M117" s="20" t="n">
        <v>0</v>
      </c>
      <c r="N117" s="20" t="n">
        <v>0</v>
      </c>
      <c r="T117" s="20" t="n">
        <v>0</v>
      </c>
      <c r="U117" s="20" t="n">
        <v>0</v>
      </c>
      <c r="V117" s="20" t="n">
        <v>1</v>
      </c>
      <c r="W117" s="20" t="n">
        <v>0</v>
      </c>
      <c r="X117" s="20" t="n">
        <v>0</v>
      </c>
    </row>
    <row r="118">
      <c r="A118" s="18" t="inlineStr">
        <is>
          <t>투자유가증권 매각이익</t>
        </is>
      </c>
      <c r="H118" s="20" t="n">
        <v>0</v>
      </c>
      <c r="I118" s="20" t="n">
        <v>0</v>
      </c>
      <c r="L118" s="20" t="n">
        <v>0</v>
      </c>
      <c r="M118" s="20" t="n">
        <v>0</v>
      </c>
      <c r="W118" s="20" t="n">
        <v>0</v>
      </c>
      <c r="X118" s="20" t="n">
        <v>0</v>
      </c>
    </row>
    <row r="119">
      <c r="A119" s="18" t="inlineStr">
        <is>
          <t>이전 보상금</t>
        </is>
      </c>
      <c r="E119" s="20" t="n">
        <v>0</v>
      </c>
      <c r="I119" s="20" t="n">
        <v>0</v>
      </c>
      <c r="T119" s="20" t="n">
        <v>0</v>
      </c>
      <c r="U119" s="20" t="n">
        <v>0</v>
      </c>
      <c r="V119" s="20" t="n">
        <v>0</v>
      </c>
      <c r="W119" s="20" t="n">
        <v>0</v>
      </c>
    </row>
    <row r="120">
      <c r="A120" s="18" t="inlineStr">
        <is>
          <t>채무면제이익</t>
        </is>
      </c>
      <c r="T120" s="20" t="n">
        <v>70</v>
      </c>
      <c r="U120" s="20" t="n">
        <v>0</v>
      </c>
    </row>
    <row r="121">
      <c r="A121" s="18" t="inlineStr">
        <is>
          <t>특별이익 합계</t>
        </is>
      </c>
      <c r="C121" s="20" t="n">
        <v>0</v>
      </c>
      <c r="D121" s="20" t="n">
        <v>94</v>
      </c>
      <c r="E121" s="20" t="n">
        <v>19</v>
      </c>
      <c r="F121" s="20" t="n">
        <v>0</v>
      </c>
      <c r="G121" s="20" t="n">
        <v>0</v>
      </c>
      <c r="H121" s="20" t="n">
        <v>0</v>
      </c>
      <c r="I121" s="20" t="n">
        <v>0</v>
      </c>
      <c r="J121" s="20" t="n">
        <v>0</v>
      </c>
      <c r="K121" s="20" t="n">
        <v>70</v>
      </c>
      <c r="L121" s="20" t="n">
        <v>1</v>
      </c>
      <c r="M121" s="20" t="n">
        <v>90</v>
      </c>
      <c r="N121" s="20" t="n">
        <v>0</v>
      </c>
      <c r="T121" s="20" t="n">
        <v>70</v>
      </c>
      <c r="U121" s="20" t="n">
        <v>0</v>
      </c>
      <c r="V121" s="20" t="n">
        <v>19</v>
      </c>
      <c r="W121" s="20" t="n">
        <v>0</v>
      </c>
      <c r="X121" s="20" t="n">
        <v>90</v>
      </c>
    </row>
    <row r="122">
      <c r="A122" s="43" t="inlineStr">
        <is>
          <t>YoY</t>
        </is>
      </c>
      <c r="B122" s="3" t="inlineStr">
        <is>
          <t>전년 같은 분기·전년 대비</t>
        </is>
      </c>
      <c r="G122" s="15">
        <f>IF(OR(G121="",C121=""),"",IF(G121*C121&lt;=0,"",IFERROR(G121/C121-1,"")))</f>
        <v/>
      </c>
      <c r="H122" s="15">
        <f>IF(OR(H121="",D121=""),"",IF(H121*D121&lt;=0,"",IFERROR(H121/D121-1,"")))</f>
        <v/>
      </c>
      <c r="I122" s="15">
        <f>IF(OR(I121="",E121=""),"",IF(I121*E121&lt;=0,"",IFERROR(I121/E121-1,"")))</f>
        <v/>
      </c>
      <c r="J122" s="15">
        <f>IF(OR(J121="",F121=""),"",IF(J121*F121&lt;=0,"",IFERROR(J121/F121-1,"")))</f>
        <v/>
      </c>
      <c r="K122" s="15">
        <f>IF(OR(K121="",G121=""),"",IF(K121*G121&lt;=0,"",IFERROR(K121/G121-1,"")))</f>
        <v/>
      </c>
      <c r="L122" s="15">
        <f>IF(OR(L121="",H121=""),"",IF(L121*H121&lt;=0,"",IFERROR(L121/H121-1,"")))</f>
        <v/>
      </c>
      <c r="M122" s="15">
        <f>IF(OR(M121="",I121=""),"",IF(M121*I121&lt;=0,"",IFERROR(M121/I121-1,"")))</f>
        <v/>
      </c>
      <c r="N122" s="15">
        <f>IF(OR(N121="",J121=""),"",IF(N121*J121&lt;=0,"",IFERROR(N121/J121-1,"")))</f>
        <v/>
      </c>
      <c r="T122" s="15">
        <f>IF(OR(T121="",S121=""),"",IF(T121*S121&lt;=0,"",IFERROR(T121/S121-1,"")))</f>
        <v/>
      </c>
      <c r="U122" s="15">
        <f>IF(OR(U121="",T121=""),"",IF(U121*T121&lt;=0,"",IFERROR(U121/T121-1,"")))</f>
        <v/>
      </c>
      <c r="V122" s="15">
        <f>IF(OR(V121="",U121=""),"",IF(V121*U121&lt;=0,"",IFERROR(V121/U121-1,"")))</f>
        <v/>
      </c>
      <c r="W122" s="15">
        <f>IF(OR(W121="",V121=""),"",IF(W121*V121&lt;=0,"",IFERROR(W121/V121-1,"")))</f>
        <v/>
      </c>
      <c r="X122" s="15">
        <f>IF(OR(X121="",W121=""),"",IF(X121*W121&lt;=0,"",IFERROR(X121/W121-1,"")))</f>
        <v/>
      </c>
    </row>
    <row r="123">
      <c r="A123" s="18" t="inlineStr">
        <is>
          <t>투자유가증권 매각손실</t>
        </is>
      </c>
      <c r="C123" s="20" t="n">
        <v>0</v>
      </c>
      <c r="D123" s="20" t="n">
        <v>0</v>
      </c>
      <c r="T123" s="20" t="n">
        <v>2</v>
      </c>
    </row>
    <row r="124">
      <c r="A124" s="18" t="inlineStr">
        <is>
          <t>관계회사 출자금 매각손실</t>
        </is>
      </c>
      <c r="F124" s="20" t="n">
        <v>0</v>
      </c>
      <c r="G124" s="20" t="n">
        <v>0</v>
      </c>
      <c r="H124" s="20" t="n">
        <v>0</v>
      </c>
      <c r="I124" s="20" t="n">
        <v>0</v>
      </c>
      <c r="J124" s="20" t="n">
        <v>52</v>
      </c>
      <c r="K124" s="20" t="n">
        <v>0</v>
      </c>
      <c r="L124" s="20" t="n">
        <v>0</v>
      </c>
      <c r="M124" s="20" t="n">
        <v>0</v>
      </c>
      <c r="N124" s="20" t="n">
        <v>0</v>
      </c>
      <c r="W124" s="20" t="n">
        <v>0</v>
      </c>
      <c r="X124" s="20" t="n">
        <v>0</v>
      </c>
    </row>
    <row r="125">
      <c r="A125" s="18" t="inlineStr">
        <is>
          <t>점포 폐쇄손실</t>
        </is>
      </c>
      <c r="C125" s="20" t="n">
        <v>14</v>
      </c>
      <c r="D125" s="20" t="n">
        <v>7</v>
      </c>
      <c r="E125" s="20" t="n">
        <v>21</v>
      </c>
      <c r="F125" s="20" t="n">
        <v>0</v>
      </c>
      <c r="G125" s="20" t="n">
        <v>7</v>
      </c>
      <c r="H125" s="20" t="n">
        <v>23</v>
      </c>
      <c r="I125" s="20" t="n">
        <v>20</v>
      </c>
      <c r="J125" s="20" t="n">
        <v>0</v>
      </c>
      <c r="K125" s="20" t="n">
        <v>24</v>
      </c>
      <c r="L125" s="20" t="n">
        <v>17</v>
      </c>
      <c r="M125" s="20" t="n">
        <v>28</v>
      </c>
      <c r="N125" s="20" t="n">
        <v>1</v>
      </c>
      <c r="T125" s="20" t="n">
        <v>4</v>
      </c>
      <c r="U125" s="20" t="n">
        <v>6</v>
      </c>
      <c r="V125" s="20" t="n">
        <v>21</v>
      </c>
      <c r="W125" s="20" t="n">
        <v>20</v>
      </c>
      <c r="X125" s="20" t="n">
        <v>28</v>
      </c>
    </row>
    <row r="126">
      <c r="A126" s="18" t="inlineStr">
        <is>
          <t>점포 폐쇄손실 충당금 전입</t>
        </is>
      </c>
      <c r="C126" s="20" t="n">
        <v>-6</v>
      </c>
      <c r="D126" s="20" t="n">
        <v>24</v>
      </c>
      <c r="E126" s="20" t="n">
        <v>-4</v>
      </c>
      <c r="F126" s="20" t="n">
        <v>12</v>
      </c>
      <c r="G126" s="20" t="n">
        <v>13</v>
      </c>
      <c r="H126" s="20" t="n">
        <v>-3</v>
      </c>
      <c r="I126" s="20" t="n">
        <v>-2</v>
      </c>
      <c r="J126" s="20" t="n">
        <v>23</v>
      </c>
      <c r="K126" s="20" t="n">
        <v>10</v>
      </c>
      <c r="L126" s="20" t="n">
        <v>1</v>
      </c>
      <c r="M126" s="20" t="n">
        <v>29</v>
      </c>
      <c r="N126" s="20" t="n">
        <v>14</v>
      </c>
      <c r="T126" s="20" t="n">
        <v>18</v>
      </c>
      <c r="U126" s="20" t="n">
        <v>2</v>
      </c>
      <c r="V126" s="20" t="n">
        <v>-4</v>
      </c>
      <c r="W126" s="20" t="n">
        <v>-2</v>
      </c>
      <c r="X126" s="20" t="n">
        <v>29</v>
      </c>
    </row>
    <row r="127">
      <c r="A127" s="18" t="inlineStr">
        <is>
          <t>고정자산 제각손실</t>
        </is>
      </c>
      <c r="C127" s="20" t="n">
        <v>13</v>
      </c>
      <c r="D127" s="20" t="n">
        <v>7</v>
      </c>
      <c r="E127" s="20" t="n">
        <v>48</v>
      </c>
      <c r="F127" s="20" t="n">
        <v>6</v>
      </c>
      <c r="G127" s="20" t="n">
        <v>6</v>
      </c>
      <c r="H127" s="20" t="n">
        <v>9</v>
      </c>
      <c r="I127" s="20" t="n">
        <v>25</v>
      </c>
      <c r="J127" s="20" t="n">
        <v>13</v>
      </c>
      <c r="K127" s="20" t="n">
        <v>17</v>
      </c>
      <c r="L127" s="20" t="n">
        <v>13</v>
      </c>
      <c r="M127" s="20" t="n">
        <v>26</v>
      </c>
      <c r="N127" s="20" t="n">
        <v>20</v>
      </c>
      <c r="T127" s="20" t="n">
        <v>54</v>
      </c>
      <c r="U127" s="20" t="n">
        <v>71</v>
      </c>
      <c r="V127" s="20" t="n">
        <v>48</v>
      </c>
      <c r="W127" s="20" t="n">
        <v>25</v>
      </c>
      <c r="X127" s="20" t="n">
        <v>26</v>
      </c>
    </row>
    <row r="128">
      <c r="A128" s="18" t="inlineStr">
        <is>
          <t>손상차손</t>
        </is>
      </c>
      <c r="C128" s="20" t="n">
        <v>0</v>
      </c>
      <c r="D128" s="20" t="n">
        <v>26</v>
      </c>
      <c r="E128" s="20" t="n">
        <v>55</v>
      </c>
      <c r="F128" s="20" t="n">
        <v>3</v>
      </c>
      <c r="G128" s="20" t="n">
        <v>20</v>
      </c>
      <c r="H128" s="20" t="n">
        <v>1</v>
      </c>
      <c r="I128" s="20" t="n">
        <v>228</v>
      </c>
      <c r="J128" s="20" t="n">
        <v>9</v>
      </c>
      <c r="K128" s="20" t="n">
        <v>28</v>
      </c>
      <c r="L128" s="20" t="n">
        <v>15</v>
      </c>
      <c r="M128" s="20" t="n">
        <v>179</v>
      </c>
      <c r="N128" s="20" t="n">
        <v>23</v>
      </c>
      <c r="T128" s="20" t="n">
        <v>0</v>
      </c>
      <c r="U128" s="20" t="n">
        <v>9</v>
      </c>
      <c r="V128" s="20" t="n">
        <v>55</v>
      </c>
      <c r="W128" s="20" t="n">
        <v>228</v>
      </c>
      <c r="X128" s="20" t="n">
        <v>179</v>
      </c>
    </row>
    <row r="129">
      <c r="A129" s="18" t="inlineStr">
        <is>
          <t>코로나19 관련 손실</t>
        </is>
      </c>
      <c r="T129" s="20" t="n">
        <v>1</v>
      </c>
      <c r="U129" s="20" t="n">
        <v>0</v>
      </c>
    </row>
    <row r="130">
      <c r="A130" s="18" t="inlineStr">
        <is>
          <t>기타</t>
        </is>
      </c>
      <c r="D130" s="20" t="n">
        <v>1</v>
      </c>
      <c r="E130" s="20" t="n">
        <v>0</v>
      </c>
      <c r="H130" s="20" t="n">
        <v>20</v>
      </c>
      <c r="I130" s="20" t="n">
        <v>-2</v>
      </c>
      <c r="L130" s="20" t="n">
        <v>0</v>
      </c>
      <c r="M130" s="20" t="n">
        <v>0</v>
      </c>
      <c r="U130" s="20" t="n">
        <v>2</v>
      </c>
      <c r="V130" s="20" t="n">
        <v>0</v>
      </c>
      <c r="W130" s="20" t="n">
        <v>-2</v>
      </c>
      <c r="X130" s="20" t="n">
        <v>0</v>
      </c>
    </row>
    <row r="131">
      <c r="A131" s="18" t="inlineStr">
        <is>
          <t>특별손실 합계</t>
        </is>
      </c>
      <c r="C131" s="20" t="n">
        <v>21</v>
      </c>
      <c r="D131" s="20" t="n">
        <v>67</v>
      </c>
      <c r="E131" s="20" t="n">
        <v>670</v>
      </c>
      <c r="F131" s="20" t="n">
        <v>22</v>
      </c>
      <c r="G131" s="20" t="n">
        <v>64</v>
      </c>
      <c r="H131" s="20" t="n">
        <v>33</v>
      </c>
      <c r="I131" s="20" t="n">
        <v>295</v>
      </c>
      <c r="J131" s="20" t="n">
        <v>98</v>
      </c>
      <c r="K131" s="20" t="n">
        <v>80</v>
      </c>
      <c r="L131" s="20" t="n">
        <v>45</v>
      </c>
      <c r="M131" s="20" t="n">
        <v>262</v>
      </c>
      <c r="N131" s="20" t="n">
        <v>60</v>
      </c>
      <c r="T131" s="20" t="n">
        <v>80</v>
      </c>
      <c r="U131" s="20" t="n">
        <v>88</v>
      </c>
      <c r="V131" s="20" t="n">
        <v>670</v>
      </c>
      <c r="W131" s="20" t="n">
        <v>295</v>
      </c>
      <c r="X131" s="20" t="n">
        <v>262</v>
      </c>
    </row>
    <row r="132">
      <c r="A132" s="43" t="inlineStr">
        <is>
          <t>YoY</t>
        </is>
      </c>
      <c r="B132" s="3" t="inlineStr">
        <is>
          <t>전년 같은 분기·전년 대비</t>
        </is>
      </c>
      <c r="G132" s="15">
        <f>IF(OR(G131="",C131=""),"",IF(G131*C131&lt;=0,"",IFERROR(G131/C131-1,"")))</f>
        <v/>
      </c>
      <c r="H132" s="15">
        <f>IF(OR(H131="",D131=""),"",IF(H131*D131&lt;=0,"",IFERROR(H131/D131-1,"")))</f>
        <v/>
      </c>
      <c r="I132" s="15">
        <f>IF(OR(I131="",E131=""),"",IF(I131*E131&lt;=0,"",IFERROR(I131/E131-1,"")))</f>
        <v/>
      </c>
      <c r="J132" s="15">
        <f>IF(OR(J131="",F131=""),"",IF(J131*F131&lt;=0,"",IFERROR(J131/F131-1,"")))</f>
        <v/>
      </c>
      <c r="K132" s="15">
        <f>IF(OR(K131="",G131=""),"",IF(K131*G131&lt;=0,"",IFERROR(K131/G131-1,"")))</f>
        <v/>
      </c>
      <c r="L132" s="15">
        <f>IF(OR(L131="",H131=""),"",IF(L131*H131&lt;=0,"",IFERROR(L131/H131-1,"")))</f>
        <v/>
      </c>
      <c r="M132" s="15">
        <f>IF(OR(M131="",I131=""),"",IF(M131*I131&lt;=0,"",IFERROR(M131/I131-1,"")))</f>
        <v/>
      </c>
      <c r="N132" s="15">
        <f>IF(OR(N131="",J131=""),"",IF(N131*J131&lt;=0,"",IFERROR(N131/J131-1,"")))</f>
        <v/>
      </c>
      <c r="T132" s="15">
        <f>IF(OR(T131="",S131=""),"",IF(T131*S131&lt;=0,"",IFERROR(T131/S131-1,"")))</f>
        <v/>
      </c>
      <c r="U132" s="15">
        <f>IF(OR(U131="",T131=""),"",IF(U131*T131&lt;=0,"",IFERROR(U131/T131-1,"")))</f>
        <v/>
      </c>
      <c r="V132" s="15">
        <f>IF(OR(V131="",U131=""),"",IF(V131*U131&lt;=0,"",IFERROR(V131/U131-1,"")))</f>
        <v/>
      </c>
      <c r="W132" s="15">
        <f>IF(OR(W131="",V131=""),"",IF(W131*V131&lt;=0,"",IFERROR(W131/V131-1,"")))</f>
        <v/>
      </c>
      <c r="X132" s="15">
        <f>IF(OR(X131="",W131=""),"",IF(X131*W131&lt;=0,"",IFERROR(X131/W131-1,"")))</f>
        <v/>
      </c>
    </row>
    <row r="133">
      <c r="A133" s="9" t="inlineStr">
        <is>
          <t>법인세차감전 순이익</t>
        </is>
      </c>
      <c r="C133" s="12" t="n">
        <v>723</v>
      </c>
      <c r="D133" s="12" t="n">
        <v>1833</v>
      </c>
      <c r="E133" s="12" t="n">
        <v>-277</v>
      </c>
      <c r="F133" s="12" t="n">
        <v>1172</v>
      </c>
      <c r="G133" s="12" t="n">
        <v>456</v>
      </c>
      <c r="H133" s="12" t="n">
        <v>1698</v>
      </c>
      <c r="I133" s="12" t="n">
        <v>164</v>
      </c>
      <c r="J133" s="12" t="n">
        <v>488</v>
      </c>
      <c r="K133" s="12" t="n">
        <v>859</v>
      </c>
      <c r="L133" s="12" t="n">
        <v>2367</v>
      </c>
      <c r="M133" s="12" t="n">
        <v>682</v>
      </c>
      <c r="N133" s="12" t="n">
        <v>899</v>
      </c>
      <c r="T133" s="12" t="n">
        <v>256</v>
      </c>
      <c r="U133" s="12" t="n">
        <v>219</v>
      </c>
      <c r="V133" s="12" t="n">
        <v>-277</v>
      </c>
      <c r="W133" s="12" t="n">
        <v>164</v>
      </c>
      <c r="X133" s="12" t="n">
        <v>682</v>
      </c>
    </row>
    <row r="134">
      <c r="A134" s="43" t="inlineStr">
        <is>
          <t>YoY</t>
        </is>
      </c>
      <c r="B134" s="3" t="inlineStr">
        <is>
          <t>전년 같은 분기·전년 대비</t>
        </is>
      </c>
      <c r="G134" s="15">
        <f>IF(OR(G133="",C133=""),"",IF(C133&lt;=0,"",IFERROR(G133/C133-1,"")))</f>
        <v/>
      </c>
      <c r="H134" s="15">
        <f>IF(OR(H133="",D133=""),"",IF(D133&lt;=0,"",IFERROR(H133/D133-1,"")))</f>
        <v/>
      </c>
      <c r="I134" s="15">
        <f>IF(OR(I133="",E133=""),"",IF(E133&lt;=0,"",IFERROR(I133/E133-1,"")))</f>
        <v/>
      </c>
      <c r="J134" s="15">
        <f>IF(OR(J133="",F133=""),"",IF(F133&lt;=0,"",IFERROR(J133/F133-1,"")))</f>
        <v/>
      </c>
      <c r="K134" s="15">
        <f>IF(OR(K133="",G133=""),"",IF(G133&lt;=0,"",IFERROR(K133/G133-1,"")))</f>
        <v/>
      </c>
      <c r="L134" s="15">
        <f>IF(OR(L133="",H133=""),"",IF(H133&lt;=0,"",IFERROR(L133/H133-1,"")))</f>
        <v/>
      </c>
      <c r="M134" s="15">
        <f>IF(OR(M133="",I133=""),"",IF(I133&lt;=0,"",IFERROR(M133/I133-1,"")))</f>
        <v/>
      </c>
      <c r="N134" s="15">
        <f>IF(OR(N133="",J133=""),"",IF(J133&lt;=0,"",IFERROR(N133/J133-1,"")))</f>
        <v/>
      </c>
      <c r="T134" s="15">
        <f>IF(OR(T133="",S133=""),"",IF(S133&lt;=0,"",IFERROR(T133/S133-1,"")))</f>
        <v/>
      </c>
      <c r="U134" s="15">
        <f>IF(OR(U133="",T133=""),"",IF(T133&lt;=0,"",IFERROR(U133/T133-1,"")))</f>
        <v/>
      </c>
      <c r="V134" s="15">
        <f>IF(OR(V133="",U133=""),"",IF(U133&lt;=0,"",IFERROR(V133/U133-1,"")))</f>
        <v/>
      </c>
      <c r="W134" s="15">
        <f>IF(OR(W133="",V133=""),"",IF(V133&lt;=0,"",IFERROR(W133/V133-1,"")))</f>
        <v/>
      </c>
      <c r="X134" s="15">
        <f>IF(OR(X133="",W133=""),"",IF(W133&lt;=0,"",IFERROR(X133/W133-1,"")))</f>
        <v/>
      </c>
    </row>
    <row r="135">
      <c r="A135" s="18" t="inlineStr">
        <is>
          <t>법인세·주민세·사업세</t>
        </is>
      </c>
      <c r="C135" s="20" t="n">
        <v>330</v>
      </c>
      <c r="D135" s="20" t="n">
        <v>518</v>
      </c>
      <c r="E135" s="20" t="n">
        <v>289</v>
      </c>
      <c r="F135" s="20" t="n">
        <v>157</v>
      </c>
      <c r="G135" s="20" t="n">
        <v>295</v>
      </c>
      <c r="H135" s="20" t="n">
        <v>460</v>
      </c>
      <c r="I135" s="20" t="n">
        <v>370</v>
      </c>
      <c r="J135" s="20" t="n">
        <v>151</v>
      </c>
      <c r="K135" s="20" t="n">
        <v>246</v>
      </c>
      <c r="L135" s="20" t="n">
        <v>681</v>
      </c>
      <c r="M135" s="20" t="n">
        <v>616</v>
      </c>
      <c r="N135" s="20" t="n">
        <v>223</v>
      </c>
      <c r="T135" s="20" t="n">
        <v>242</v>
      </c>
      <c r="U135" s="20" t="n">
        <v>352</v>
      </c>
      <c r="V135" s="20" t="n">
        <v>289</v>
      </c>
      <c r="W135" s="20" t="n">
        <v>370</v>
      </c>
      <c r="X135" s="20" t="n">
        <v>616</v>
      </c>
    </row>
    <row r="136">
      <c r="A136" s="18" t="inlineStr">
        <is>
          <t>법인세 조정액</t>
        </is>
      </c>
      <c r="C136" s="20" t="n">
        <v>-43</v>
      </c>
      <c r="D136" s="20" t="n">
        <v>72</v>
      </c>
      <c r="E136" s="20" t="n">
        <v>-391</v>
      </c>
      <c r="F136" s="20" t="n">
        <v>399</v>
      </c>
      <c r="G136" s="20" t="n">
        <v>-181</v>
      </c>
      <c r="H136" s="20" t="n">
        <v>140</v>
      </c>
      <c r="I136" s="20" t="n">
        <v>-345</v>
      </c>
      <c r="J136" s="20" t="n">
        <v>117</v>
      </c>
      <c r="K136" s="20" t="n">
        <v>40</v>
      </c>
      <c r="L136" s="20" t="n">
        <v>55</v>
      </c>
      <c r="M136" s="20" t="n">
        <v>-373</v>
      </c>
      <c r="N136" s="20" t="n">
        <v>159</v>
      </c>
      <c r="T136" s="20" t="n">
        <v>-153</v>
      </c>
      <c r="U136" s="20" t="n">
        <v>-1041</v>
      </c>
      <c r="V136" s="20" t="n">
        <v>-391</v>
      </c>
      <c r="W136" s="20" t="n">
        <v>-345</v>
      </c>
      <c r="X136" s="20" t="n">
        <v>-373</v>
      </c>
    </row>
    <row r="137">
      <c r="A137" s="18" t="inlineStr">
        <is>
          <t>법인세 등 합계</t>
        </is>
      </c>
      <c r="C137" s="20" t="n">
        <v>286</v>
      </c>
      <c r="D137" s="20" t="n">
        <v>590</v>
      </c>
      <c r="E137" s="20" t="n">
        <v>-103</v>
      </c>
      <c r="F137" s="20" t="n">
        <v>556</v>
      </c>
      <c r="G137" s="20" t="n">
        <v>115</v>
      </c>
      <c r="H137" s="20" t="n">
        <v>600</v>
      </c>
      <c r="I137" s="20" t="n">
        <v>25</v>
      </c>
      <c r="J137" s="20" t="n">
        <v>268</v>
      </c>
      <c r="K137" s="20" t="n">
        <v>286</v>
      </c>
      <c r="L137" s="20" t="n">
        <v>736</v>
      </c>
      <c r="M137" s="20" t="n">
        <v>242</v>
      </c>
      <c r="N137" s="20" t="n">
        <v>382</v>
      </c>
      <c r="T137" s="20" t="n">
        <v>88</v>
      </c>
      <c r="U137" s="20" t="n">
        <v>-690</v>
      </c>
      <c r="V137" s="20" t="n">
        <v>-103</v>
      </c>
      <c r="W137" s="20" t="n">
        <v>25</v>
      </c>
      <c r="X137" s="20" t="n">
        <v>242</v>
      </c>
    </row>
    <row r="138">
      <c r="A138" s="43" t="inlineStr">
        <is>
          <t>YoY</t>
        </is>
      </c>
      <c r="B138" s="3" t="inlineStr">
        <is>
          <t>전년 같은 분기·전년 대비</t>
        </is>
      </c>
      <c r="G138" s="15">
        <f>IF(OR(G137="",C137=""),"",IF(G137*C137&lt;=0,"",IFERROR(G137/C137-1,"")))</f>
        <v/>
      </c>
      <c r="H138" s="15">
        <f>IF(OR(H137="",D137=""),"",IF(H137*D137&lt;=0,"",IFERROR(H137/D137-1,"")))</f>
        <v/>
      </c>
      <c r="I138" s="15">
        <f>IF(OR(I137="",E137=""),"",IF(I137*E137&lt;=0,"",IFERROR(I137/E137-1,"")))</f>
        <v/>
      </c>
      <c r="J138" s="15">
        <f>IF(OR(J137="",F137=""),"",IF(J137*F137&lt;=0,"",IFERROR(J137/F137-1,"")))</f>
        <v/>
      </c>
      <c r="K138" s="15">
        <f>IF(OR(K137="",G137=""),"",IF(K137*G137&lt;=0,"",IFERROR(K137/G137-1,"")))</f>
        <v/>
      </c>
      <c r="L138" s="15">
        <f>IF(OR(L137="",H137=""),"",IF(L137*H137&lt;=0,"",IFERROR(L137/H137-1,"")))</f>
        <v/>
      </c>
      <c r="M138" s="15">
        <f>IF(OR(M137="",I137=""),"",IF(M137*I137&lt;=0,"",IFERROR(M137/I137-1,"")))</f>
        <v/>
      </c>
      <c r="N138" s="15">
        <f>IF(OR(N137="",J137=""),"",IF(N137*J137&lt;=0,"",IFERROR(N137/J137-1,"")))</f>
        <v/>
      </c>
      <c r="T138" s="15">
        <f>IF(OR(T137="",S137=""),"",IF(T137*S137&lt;=0,"",IFERROR(T137/S137-1,"")))</f>
        <v/>
      </c>
      <c r="U138" s="15">
        <f>IF(OR(U137="",T137=""),"",IF(U137*T137&lt;=0,"",IFERROR(U137/T137-1,"")))</f>
        <v/>
      </c>
      <c r="V138" s="15">
        <f>IF(OR(V137="",U137=""),"",IF(V137*U137&lt;=0,"",IFERROR(V137/U137-1,"")))</f>
        <v/>
      </c>
      <c r="W138" s="15">
        <f>IF(OR(W137="",V137=""),"",IF(W137*V137&lt;=0,"",IFERROR(W137/V137-1,"")))</f>
        <v/>
      </c>
      <c r="X138" s="15">
        <f>IF(OR(X137="",W137=""),"",IF(X137*W137&lt;=0,"",IFERROR(X137/W137-1,"")))</f>
        <v/>
      </c>
    </row>
    <row r="139">
      <c r="A139" s="9" t="inlineStr">
        <is>
          <t>순이익</t>
        </is>
      </c>
      <c r="C139" s="12" t="n">
        <v>437</v>
      </c>
      <c r="D139" s="12" t="n">
        <v>1242</v>
      </c>
      <c r="E139" s="12" t="n">
        <v>-174</v>
      </c>
      <c r="F139" s="12" t="n">
        <v>615</v>
      </c>
      <c r="G139" s="12" t="n">
        <v>341</v>
      </c>
      <c r="H139" s="12" t="n">
        <v>1099</v>
      </c>
      <c r="I139" s="12" t="n">
        <v>139</v>
      </c>
      <c r="J139" s="12" t="n">
        <v>219</v>
      </c>
      <c r="K139" s="12" t="n">
        <v>573</v>
      </c>
      <c r="L139" s="12" t="n">
        <v>1632</v>
      </c>
      <c r="M139" s="12" t="n">
        <v>439</v>
      </c>
      <c r="N139" s="12" t="n">
        <v>516</v>
      </c>
      <c r="T139" s="12" t="n">
        <v>168</v>
      </c>
      <c r="U139" s="12" t="n">
        <v>910</v>
      </c>
      <c r="V139" s="12" t="n">
        <v>-174</v>
      </c>
      <c r="W139" s="12" t="n">
        <v>139</v>
      </c>
      <c r="X139" s="12" t="n">
        <v>439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IF(OR(G139="",C139=""),"",IF(C139&lt;=0,"",IFERROR(G139/C139-1,"")))</f>
        <v/>
      </c>
      <c r="H140" s="15">
        <f>IF(OR(H139="",D139=""),"",IF(D139&lt;=0,"",IFERROR(H139/D139-1,"")))</f>
        <v/>
      </c>
      <c r="I140" s="15">
        <f>IF(OR(I139="",E139=""),"",IF(E139&lt;=0,"",IFERROR(I139/E139-1,"")))</f>
        <v/>
      </c>
      <c r="J140" s="15">
        <f>IF(OR(J139="",F139=""),"",IF(F139&lt;=0,"",IFERROR(J139/F139-1,"")))</f>
        <v/>
      </c>
      <c r="K140" s="15">
        <f>IF(OR(K139="",G139=""),"",IF(G139&lt;=0,"",IFERROR(K139/G139-1,"")))</f>
        <v/>
      </c>
      <c r="L140" s="15">
        <f>IF(OR(L139="",H139=""),"",IF(H139&lt;=0,"",IFERROR(L139/H139-1,"")))</f>
        <v/>
      </c>
      <c r="M140" s="15">
        <f>IF(OR(M139="",I139=""),"",IF(I139&lt;=0,"",IFERROR(M139/I139-1,"")))</f>
        <v/>
      </c>
      <c r="N140" s="15">
        <f>IF(OR(N139="",J139=""),"",IF(J139&lt;=0,"",IFERROR(N139/J139-1,"")))</f>
        <v/>
      </c>
      <c r="T140" s="15">
        <f>IF(OR(T139="",S139=""),"",IF(S139&lt;=0,"",IFERROR(T139/S139-1,"")))</f>
        <v/>
      </c>
      <c r="U140" s="15">
        <f>IF(OR(U139="",T139=""),"",IF(T139&lt;=0,"",IFERROR(U139/T139-1,"")))</f>
        <v/>
      </c>
      <c r="V140" s="15">
        <f>IF(OR(V139="",U139=""),"",IF(U139&lt;=0,"",IFERROR(V139/U139-1,"")))</f>
        <v/>
      </c>
      <c r="W140" s="15">
        <f>IF(OR(W139="",V139=""),"",IF(V139&lt;=0,"",IFERROR(W139/V139-1,"")))</f>
        <v/>
      </c>
      <c r="X140" s="15">
        <f>IF(OR(X139="",W139=""),"",IF(W139&lt;=0,"",IFERROR(X139/W139-1,"")))</f>
        <v/>
      </c>
    </row>
    <row r="141">
      <c r="A141" s="9" t="inlineStr">
        <is>
          <t>비지배주주 순이익</t>
        </is>
      </c>
      <c r="C141" s="12" t="n">
        <v>41</v>
      </c>
      <c r="D141" s="12" t="n">
        <v>34</v>
      </c>
      <c r="E141" s="12" t="n">
        <v>34</v>
      </c>
      <c r="F141" s="12" t="n">
        <v>37</v>
      </c>
      <c r="G141" s="12" t="n">
        <v>7</v>
      </c>
      <c r="H141" s="12" t="n">
        <v>36</v>
      </c>
      <c r="I141" s="12" t="n">
        <v>13</v>
      </c>
      <c r="J141" s="12" t="n">
        <v>25</v>
      </c>
      <c r="K141" s="12" t="n">
        <v>26</v>
      </c>
      <c r="L141" s="12" t="n">
        <v>36</v>
      </c>
      <c r="M141" s="12" t="n">
        <v>13</v>
      </c>
      <c r="N141" s="12" t="n">
        <v>21</v>
      </c>
      <c r="T141" s="12" t="n">
        <v>9</v>
      </c>
      <c r="U141" s="12" t="n">
        <v>28</v>
      </c>
      <c r="V141" s="12" t="n">
        <v>34</v>
      </c>
      <c r="W141" s="12" t="n">
        <v>13</v>
      </c>
      <c r="X141" s="12" t="n">
        <v>13</v>
      </c>
    </row>
    <row r="142">
      <c r="A142" s="9" t="inlineStr">
        <is>
          <t>지배주주 순이익</t>
        </is>
      </c>
      <c r="C142" s="12" t="n">
        <v>397</v>
      </c>
      <c r="D142" s="12" t="n">
        <v>1208</v>
      </c>
      <c r="E142" s="12" t="n">
        <v>-208</v>
      </c>
      <c r="F142" s="12" t="n">
        <v>577</v>
      </c>
      <c r="G142" s="12" t="n">
        <v>335</v>
      </c>
      <c r="H142" s="12" t="n">
        <v>1062</v>
      </c>
      <c r="I142" s="12" t="n">
        <v>127</v>
      </c>
      <c r="J142" s="12" t="n">
        <v>193</v>
      </c>
      <c r="K142" s="12" t="n">
        <v>548</v>
      </c>
      <c r="L142" s="12" t="n">
        <v>1596</v>
      </c>
      <c r="M142" s="12" t="n">
        <v>426</v>
      </c>
      <c r="N142" s="12" t="n">
        <v>495</v>
      </c>
      <c r="T142" s="12" t="n">
        <v>159</v>
      </c>
      <c r="U142" s="12" t="n">
        <v>882</v>
      </c>
      <c r="V142" s="12" t="n">
        <v>-208</v>
      </c>
      <c r="W142" s="12" t="n">
        <v>127</v>
      </c>
      <c r="X142" s="12" t="n">
        <v>426</v>
      </c>
    </row>
    <row r="143">
      <c r="A143" s="43" t="inlineStr">
        <is>
          <t>YoY</t>
        </is>
      </c>
      <c r="B143" s="3" t="inlineStr">
        <is>
          <t>전년 같은 분기·전년 대비</t>
        </is>
      </c>
      <c r="G143" s="15">
        <f>IF(OR(G142="",C142=""),"",IF(C142&lt;=0,"",IFERROR(G142/C142-1,"")))</f>
        <v/>
      </c>
      <c r="H143" s="15">
        <f>IF(OR(H142="",D142=""),"",IF(D142&lt;=0,"",IFERROR(H142/D142-1,"")))</f>
        <v/>
      </c>
      <c r="I143" s="15">
        <f>IF(OR(I142="",E142=""),"",IF(E142&lt;=0,"",IFERROR(I142/E142-1,"")))</f>
        <v/>
      </c>
      <c r="J143" s="15">
        <f>IF(OR(J142="",F142=""),"",IF(F142&lt;=0,"",IFERROR(J142/F142-1,"")))</f>
        <v/>
      </c>
      <c r="K143" s="15">
        <f>IF(OR(K142="",G142=""),"",IF(G142&lt;=0,"",IFERROR(K142/G142-1,"")))</f>
        <v/>
      </c>
      <c r="L143" s="15">
        <f>IF(OR(L142="",H142=""),"",IF(H142&lt;=0,"",IFERROR(L142/H142-1,"")))</f>
        <v/>
      </c>
      <c r="M143" s="15">
        <f>IF(OR(M142="",I142=""),"",IF(I142&lt;=0,"",IFERROR(M142/I142-1,"")))</f>
        <v/>
      </c>
      <c r="N143" s="15">
        <f>IF(OR(N142="",J142=""),"",IF(J142&lt;=0,"",IFERROR(N142/J142-1,"")))</f>
        <v/>
      </c>
      <c r="T143" s="15">
        <f>IF(OR(T142="",S142=""),"",IF(S142&lt;=0,"",IFERROR(T142/S142-1,"")))</f>
        <v/>
      </c>
      <c r="U143" s="15">
        <f>IF(OR(U142="",T142=""),"",IF(T142&lt;=0,"",IFERROR(U142/T142-1,"")))</f>
        <v/>
      </c>
      <c r="V143" s="15">
        <f>IF(OR(V142="",U142=""),"",IF(U142&lt;=0,"",IFERROR(V142/U142-1,"")))</f>
        <v/>
      </c>
      <c r="W143" s="15">
        <f>IF(OR(W142="",V142=""),"",IF(V142&lt;=0,"",IFERROR(W142/V142-1,"")))</f>
        <v/>
      </c>
      <c r="X143" s="15">
        <f>IF(OR(X142="",W142=""),"",IF(W142&lt;=0,"",IFERROR(X142/W142-1,"")))</f>
        <v/>
      </c>
    </row>
    <row r="145">
      <c r="A145" s="16" t="inlineStr">
        <is>
          <t>포괄손익 · 전 항목</t>
        </is>
      </c>
      <c r="B145" s="42" t="inlineStr">
        <is>
          <t>분기 = 3개월 단독</t>
        </is>
      </c>
      <c r="C145" s="16" t="n"/>
      <c r="D145" s="16" t="n"/>
      <c r="E145" s="16" t="n"/>
      <c r="F145" s="16" t="n"/>
      <c r="G145" s="16" t="n"/>
      <c r="H145" s="16" t="n"/>
      <c r="I145" s="16" t="n"/>
      <c r="J145" s="16" t="n"/>
      <c r="K145" s="16" t="n"/>
      <c r="L145" s="16" t="n"/>
      <c r="M145" s="16" t="n"/>
      <c r="N145" s="16" t="n"/>
      <c r="O145" s="16" t="n"/>
      <c r="P145" s="16" t="n"/>
      <c r="Q145" s="16" t="n"/>
      <c r="R145" s="16" t="n"/>
      <c r="S145" s="16" t="n"/>
      <c r="T145" s="16" t="n"/>
      <c r="U145" s="16" t="n"/>
      <c r="V145" s="16" t="n"/>
      <c r="W145" s="16" t="n"/>
      <c r="X145" s="16" t="n"/>
      <c r="Y145" s="16" t="n"/>
      <c r="Z145" s="16" t="n"/>
      <c r="AA145" s="16" t="n"/>
      <c r="AB145" s="16" t="n"/>
      <c r="AC145" s="16" t="n"/>
    </row>
    <row r="146">
      <c r="A146" s="5" t="inlineStr">
        <is>
          <t>항목</t>
        </is>
      </c>
      <c r="B146" s="5" t="inlineStr">
        <is>
          <t>참고</t>
        </is>
      </c>
      <c r="C146" s="5" t="inlineStr">
        <is>
          <t>2024.2Q</t>
        </is>
      </c>
      <c r="D146" s="5" t="inlineStr">
        <is>
          <t>2024.3Q</t>
        </is>
      </c>
      <c r="E146" s="5" t="inlineStr">
        <is>
          <t>2024.4Q</t>
        </is>
      </c>
      <c r="F146" s="5" t="inlineStr">
        <is>
          <t>2025.1Q</t>
        </is>
      </c>
      <c r="G146" s="5" t="inlineStr">
        <is>
          <t>2025.2Q</t>
        </is>
      </c>
      <c r="H146" s="5" t="inlineStr">
        <is>
          <t>2025.3Q</t>
        </is>
      </c>
      <c r="I146" s="5" t="inlineStr">
        <is>
          <t>2025.4Q</t>
        </is>
      </c>
      <c r="J146" s="5" t="inlineStr">
        <is>
          <t>2026.1Q</t>
        </is>
      </c>
      <c r="K146" s="5" t="inlineStr">
        <is>
          <t>2026.2Q</t>
        </is>
      </c>
      <c r="L146" s="5" t="inlineStr">
        <is>
          <t>2026.3Q</t>
        </is>
      </c>
      <c r="M146" s="5" t="inlineStr">
        <is>
          <t>2026.4Q</t>
        </is>
      </c>
      <c r="N146" s="5" t="inlineStr">
        <is>
          <t>2027.1Q</t>
        </is>
      </c>
      <c r="O146" s="5" t="inlineStr">
        <is>
          <t>2017</t>
        </is>
      </c>
      <c r="P146" s="5" t="inlineStr">
        <is>
          <t>2018</t>
        </is>
      </c>
      <c r="Q146" s="5" t="inlineStr">
        <is>
          <t>2019</t>
        </is>
      </c>
      <c r="R146" s="5" t="inlineStr">
        <is>
          <t>2020</t>
        </is>
      </c>
      <c r="S146" s="5" t="inlineStr">
        <is>
          <t>2021</t>
        </is>
      </c>
      <c r="T146" s="5" t="inlineStr">
        <is>
          <t>2022</t>
        </is>
      </c>
      <c r="U146" s="5" t="inlineStr">
        <is>
          <t>2023</t>
        </is>
      </c>
      <c r="V146" s="5" t="inlineStr">
        <is>
          <t>2024</t>
        </is>
      </c>
      <c r="W146" s="5" t="inlineStr">
        <is>
          <t>2025</t>
        </is>
      </c>
      <c r="X146" s="5" t="inlineStr">
        <is>
          <t>2026</t>
        </is>
      </c>
      <c r="Y146" s="5" t="inlineStr">
        <is>
          <t>2027(MW)</t>
        </is>
      </c>
      <c r="Z146" s="5" t="inlineStr">
        <is>
          <t>2028(MW)</t>
        </is>
      </c>
      <c r="AA146" s="5" t="inlineStr">
        <is>
          <t>2029(MW)</t>
        </is>
      </c>
      <c r="AB146" s="5" t="inlineStr">
        <is>
          <t>2030(MW)</t>
        </is>
      </c>
      <c r="AC146" s="5" t="inlineStr">
        <is>
          <t>2031(MW)</t>
        </is>
      </c>
    </row>
    <row r="147">
      <c r="A147" s="9" t="inlineStr">
        <is>
          <t>순이익</t>
        </is>
      </c>
      <c r="C147" s="12" t="n">
        <v>437</v>
      </c>
      <c r="D147" s="12" t="n">
        <v>1242</v>
      </c>
      <c r="E147" s="12" t="n">
        <v>-174</v>
      </c>
      <c r="F147" s="12" t="n">
        <v>615</v>
      </c>
      <c r="G147" s="12" t="n">
        <v>341</v>
      </c>
      <c r="H147" s="12" t="n">
        <v>1099</v>
      </c>
      <c r="I147" s="12" t="n">
        <v>139</v>
      </c>
      <c r="J147" s="12" t="n">
        <v>219</v>
      </c>
      <c r="K147" s="12" t="n">
        <v>573</v>
      </c>
      <c r="L147" s="12" t="n">
        <v>1632</v>
      </c>
      <c r="M147" s="12" t="n">
        <v>439</v>
      </c>
      <c r="N147" s="12" t="n">
        <v>516</v>
      </c>
      <c r="T147" s="12" t="n">
        <v>168</v>
      </c>
      <c r="U147" s="12" t="n">
        <v>910</v>
      </c>
      <c r="V147" s="12" t="n">
        <v>-174</v>
      </c>
      <c r="W147" s="12" t="n">
        <v>139</v>
      </c>
      <c r="X147" s="12" t="n">
        <v>439</v>
      </c>
    </row>
    <row r="148">
      <c r="A148" s="18" t="inlineStr">
        <is>
          <t>기타유가증권 평가차액</t>
        </is>
      </c>
      <c r="C148" s="20" t="n">
        <v>2</v>
      </c>
      <c r="D148" s="20" t="n">
        <v>13</v>
      </c>
      <c r="E148" s="20" t="n">
        <v>-9</v>
      </c>
      <c r="F148" s="20" t="n">
        <v>22</v>
      </c>
      <c r="G148" s="20" t="n">
        <v>-7</v>
      </c>
      <c r="H148" s="20" t="n">
        <v>-1</v>
      </c>
      <c r="I148" s="20" t="n">
        <v>-11</v>
      </c>
      <c r="J148" s="20" t="n">
        <v>20</v>
      </c>
      <c r="K148" s="20" t="n">
        <v>-39</v>
      </c>
      <c r="L148" s="20" t="n">
        <v>7</v>
      </c>
      <c r="M148" s="20" t="n">
        <v>10</v>
      </c>
      <c r="N148" s="20" t="n">
        <v>11</v>
      </c>
      <c r="T148" s="20" t="n">
        <v>-4</v>
      </c>
      <c r="U148" s="20" t="n">
        <v>6</v>
      </c>
      <c r="V148" s="20" t="n">
        <v>-9</v>
      </c>
      <c r="W148" s="20" t="n">
        <v>-11</v>
      </c>
      <c r="X148" s="20" t="n">
        <v>10</v>
      </c>
    </row>
    <row r="149">
      <c r="A149" s="18" t="inlineStr">
        <is>
          <t>해외사업환산조정</t>
        </is>
      </c>
      <c r="C149" s="20" t="n">
        <v>72</v>
      </c>
      <c r="D149" s="20" t="n">
        <v>-26</v>
      </c>
      <c r="E149" s="20" t="n">
        <v>69</v>
      </c>
      <c r="F149" s="20" t="n">
        <v>109</v>
      </c>
      <c r="G149" s="20" t="n">
        <v>-91</v>
      </c>
      <c r="H149" s="20" t="n">
        <v>82</v>
      </c>
      <c r="I149" s="20" t="n">
        <v>-86</v>
      </c>
      <c r="J149" s="20" t="n">
        <v>-36</v>
      </c>
      <c r="K149" s="20" t="n">
        <v>55</v>
      </c>
      <c r="L149" s="20" t="n">
        <v>203</v>
      </c>
      <c r="M149" s="20" t="n">
        <v>21</v>
      </c>
      <c r="N149" s="20" t="n">
        <v>55</v>
      </c>
      <c r="T149" s="20" t="n">
        <v>19</v>
      </c>
      <c r="U149" s="20" t="n">
        <v>-10</v>
      </c>
      <c r="V149" s="20" t="n">
        <v>69</v>
      </c>
      <c r="W149" s="20" t="n">
        <v>-86</v>
      </c>
      <c r="X149" s="20" t="n">
        <v>21</v>
      </c>
    </row>
    <row r="150">
      <c r="A150" s="18" t="inlineStr">
        <is>
          <t>지분법 적용회사 지분 해당액</t>
        </is>
      </c>
      <c r="C150" s="20" t="n">
        <v>0</v>
      </c>
      <c r="D150" s="20" t="n">
        <v>-0</v>
      </c>
      <c r="E150" s="20" t="n">
        <v>0</v>
      </c>
      <c r="F150" s="20" t="n">
        <v>-2</v>
      </c>
      <c r="G150" s="20" t="n">
        <v>-1</v>
      </c>
      <c r="H150" s="20" t="n">
        <v>-1</v>
      </c>
      <c r="I150" s="20" t="n">
        <v>-1</v>
      </c>
      <c r="J150" s="20" t="n">
        <v>0</v>
      </c>
      <c r="K150" s="20" t="n">
        <v>1</v>
      </c>
      <c r="L150" s="20" t="n">
        <v>0</v>
      </c>
      <c r="M150" s="20" t="n">
        <v>-1</v>
      </c>
      <c r="N150" s="20" t="n">
        <v>-0</v>
      </c>
      <c r="T150" s="20" t="n">
        <v>0</v>
      </c>
      <c r="U150" s="20" t="n">
        <v>-55</v>
      </c>
      <c r="V150" s="20" t="n">
        <v>0</v>
      </c>
      <c r="W150" s="20" t="n">
        <v>-1</v>
      </c>
      <c r="X150" s="20" t="n">
        <v>-1</v>
      </c>
    </row>
    <row r="151">
      <c r="A151" s="18" t="inlineStr">
        <is>
          <t>기타포괄손익 합계</t>
        </is>
      </c>
      <c r="C151" s="20" t="n">
        <v>73</v>
      </c>
      <c r="D151" s="20" t="n">
        <v>-13</v>
      </c>
      <c r="E151" s="20" t="n">
        <v>61</v>
      </c>
      <c r="F151" s="20" t="n">
        <v>129</v>
      </c>
      <c r="G151" s="20" t="n">
        <v>-98</v>
      </c>
      <c r="H151" s="20" t="n">
        <v>79</v>
      </c>
      <c r="I151" s="20" t="n">
        <v>-98</v>
      </c>
      <c r="J151" s="20" t="n">
        <v>-14</v>
      </c>
      <c r="K151" s="20" t="n">
        <v>16</v>
      </c>
      <c r="L151" s="20" t="n">
        <v>209</v>
      </c>
      <c r="M151" s="20" t="n">
        <v>30</v>
      </c>
      <c r="N151" s="20" t="n">
        <v>66</v>
      </c>
      <c r="T151" s="20" t="n">
        <v>14</v>
      </c>
      <c r="U151" s="20" t="n">
        <v>-61</v>
      </c>
      <c r="V151" s="20" t="n">
        <v>61</v>
      </c>
      <c r="W151" s="20" t="n">
        <v>-98</v>
      </c>
      <c r="X151" s="20" t="n">
        <v>30</v>
      </c>
    </row>
    <row r="152">
      <c r="A152" s="9" t="inlineStr">
        <is>
          <t>포괄이익</t>
        </is>
      </c>
      <c r="C152" s="12" t="n">
        <v>511</v>
      </c>
      <c r="D152" s="12" t="n">
        <v>1229</v>
      </c>
      <c r="E152" s="12" t="n">
        <v>-113</v>
      </c>
      <c r="F152" s="12" t="n">
        <v>745</v>
      </c>
      <c r="G152" s="12" t="n">
        <v>243</v>
      </c>
      <c r="H152" s="12" t="n">
        <v>1177</v>
      </c>
      <c r="I152" s="12" t="n">
        <v>41</v>
      </c>
      <c r="J152" s="12" t="n">
        <v>204</v>
      </c>
      <c r="K152" s="12" t="n">
        <v>590</v>
      </c>
      <c r="L152" s="12" t="n">
        <v>1841</v>
      </c>
      <c r="M152" s="12" t="n">
        <v>470</v>
      </c>
      <c r="N152" s="12" t="n">
        <v>583</v>
      </c>
      <c r="T152" s="12" t="n">
        <v>182</v>
      </c>
      <c r="U152" s="12" t="n">
        <v>849</v>
      </c>
      <c r="V152" s="12" t="n">
        <v>-113</v>
      </c>
      <c r="W152" s="12" t="n">
        <v>41</v>
      </c>
      <c r="X152" s="12" t="n">
        <v>470</v>
      </c>
    </row>
    <row r="153">
      <c r="A153" s="9" t="inlineStr">
        <is>
          <t>지배주주 포괄이익</t>
        </is>
      </c>
      <c r="C153" s="12" t="n">
        <v>463</v>
      </c>
      <c r="D153" s="12" t="n">
        <v>1204</v>
      </c>
      <c r="E153" s="12" t="n">
        <v>-159</v>
      </c>
      <c r="F153" s="12" t="n">
        <v>689</v>
      </c>
      <c r="G153" s="12" t="n">
        <v>234</v>
      </c>
      <c r="H153" s="12" t="n">
        <v>1132</v>
      </c>
      <c r="I153" s="12" t="n">
        <v>50</v>
      </c>
      <c r="J153" s="12" t="n">
        <v>171</v>
      </c>
      <c r="K153" s="12" t="n">
        <v>556</v>
      </c>
      <c r="L153" s="12" t="n">
        <v>1775</v>
      </c>
      <c r="M153" s="12" t="n">
        <v>448</v>
      </c>
      <c r="N153" s="12" t="n">
        <v>558</v>
      </c>
      <c r="T153" s="12" t="n">
        <v>167</v>
      </c>
      <c r="U153" s="12" t="n">
        <v>821</v>
      </c>
      <c r="V153" s="12" t="n">
        <v>-159</v>
      </c>
      <c r="W153" s="12" t="n">
        <v>50</v>
      </c>
      <c r="X153" s="12" t="n">
        <v>448</v>
      </c>
    </row>
    <row r="154">
      <c r="A154" s="9" t="inlineStr">
        <is>
          <t>비지배주주 포괄이익</t>
        </is>
      </c>
      <c r="C154" s="12" t="n">
        <v>47</v>
      </c>
      <c r="D154" s="12" t="n">
        <v>25</v>
      </c>
      <c r="E154" s="12" t="n">
        <v>47</v>
      </c>
      <c r="F154" s="12" t="n">
        <v>55</v>
      </c>
      <c r="G154" s="12" t="n">
        <v>9</v>
      </c>
      <c r="H154" s="12" t="n">
        <v>46</v>
      </c>
      <c r="I154" s="12" t="n">
        <v>-10</v>
      </c>
      <c r="J154" s="12" t="n">
        <v>33</v>
      </c>
      <c r="K154" s="12" t="n">
        <v>33</v>
      </c>
      <c r="L154" s="12" t="n">
        <v>67</v>
      </c>
      <c r="M154" s="12" t="n">
        <v>21</v>
      </c>
      <c r="N154" s="12" t="n">
        <v>25</v>
      </c>
      <c r="T154" s="12" t="n">
        <v>15</v>
      </c>
      <c r="U154" s="12" t="n">
        <v>29</v>
      </c>
      <c r="V154" s="12" t="n">
        <v>47</v>
      </c>
      <c r="W154" s="12" t="n">
        <v>-10</v>
      </c>
      <c r="X154" s="12" t="n">
        <v>21</v>
      </c>
    </row>
    <row r="156">
      <c r="A156" s="16" t="inlineStr">
        <is>
          <t>부문 · 전 항목</t>
        </is>
      </c>
      <c r="B156" s="42" t="inlineStr">
        <is>
          <t>부문 · 항목</t>
        </is>
      </c>
      <c r="C156" s="16" t="n"/>
      <c r="D156" s="16" t="n"/>
      <c r="E156" s="16" t="n"/>
      <c r="F156" s="16" t="n"/>
      <c r="G156" s="16" t="n"/>
      <c r="H156" s="16" t="n"/>
      <c r="I156" s="16" t="n"/>
      <c r="J156" s="16" t="n"/>
      <c r="K156" s="16" t="n"/>
      <c r="L156" s="16" t="n"/>
      <c r="M156" s="16" t="n"/>
      <c r="N156" s="16" t="n"/>
      <c r="O156" s="16" t="n"/>
      <c r="P156" s="16" t="n"/>
      <c r="Q156" s="16" t="n"/>
      <c r="R156" s="16" t="n"/>
      <c r="S156" s="16" t="n"/>
      <c r="T156" s="16" t="n"/>
      <c r="U156" s="16" t="n"/>
      <c r="V156" s="16" t="n"/>
      <c r="W156" s="16" t="n"/>
      <c r="X156" s="16" t="n"/>
      <c r="Y156" s="16" t="n"/>
      <c r="Z156" s="16" t="n"/>
      <c r="AA156" s="16" t="n"/>
      <c r="AB156" s="16" t="n"/>
      <c r="AC156" s="16" t="n"/>
    </row>
    <row r="157">
      <c r="A157" s="5" t="inlineStr">
        <is>
          <t>항목</t>
        </is>
      </c>
      <c r="B157" s="5" t="inlineStr">
        <is>
          <t>참고</t>
        </is>
      </c>
      <c r="C157" s="5" t="inlineStr">
        <is>
          <t>2024.2Q</t>
        </is>
      </c>
      <c r="D157" s="5" t="inlineStr">
        <is>
          <t>2024.3Q</t>
        </is>
      </c>
      <c r="E157" s="5" t="inlineStr">
        <is>
          <t>2024.4Q</t>
        </is>
      </c>
      <c r="F157" s="5" t="inlineStr">
        <is>
          <t>2025.1Q</t>
        </is>
      </c>
      <c r="G157" s="5" t="inlineStr">
        <is>
          <t>2025.2Q</t>
        </is>
      </c>
      <c r="H157" s="5" t="inlineStr">
        <is>
          <t>2025.3Q</t>
        </is>
      </c>
      <c r="I157" s="5" t="inlineStr">
        <is>
          <t>2025.4Q</t>
        </is>
      </c>
      <c r="J157" s="5" t="inlineStr">
        <is>
          <t>2026.1Q</t>
        </is>
      </c>
      <c r="K157" s="5" t="inlineStr">
        <is>
          <t>2026.2Q</t>
        </is>
      </c>
      <c r="L157" s="5" t="inlineStr">
        <is>
          <t>2026.3Q</t>
        </is>
      </c>
      <c r="M157" s="5" t="inlineStr">
        <is>
          <t>2026.4Q</t>
        </is>
      </c>
      <c r="N157" s="5" t="inlineStr">
        <is>
          <t>2027.1Q</t>
        </is>
      </c>
      <c r="O157" s="5" t="inlineStr">
        <is>
          <t>2017</t>
        </is>
      </c>
      <c r="P157" s="5" t="inlineStr">
        <is>
          <t>2018</t>
        </is>
      </c>
      <c r="Q157" s="5" t="inlineStr">
        <is>
          <t>2019</t>
        </is>
      </c>
      <c r="R157" s="5" t="inlineStr">
        <is>
          <t>2020</t>
        </is>
      </c>
      <c r="S157" s="5" t="inlineStr">
        <is>
          <t>2021</t>
        </is>
      </c>
      <c r="T157" s="5" t="inlineStr">
        <is>
          <t>2022</t>
        </is>
      </c>
      <c r="U157" s="5" t="inlineStr">
        <is>
          <t>2023</t>
        </is>
      </c>
      <c r="V157" s="5" t="inlineStr">
        <is>
          <t>2024</t>
        </is>
      </c>
      <c r="W157" s="5" t="inlineStr">
        <is>
          <t>2025</t>
        </is>
      </c>
      <c r="X157" s="5" t="inlineStr">
        <is>
          <t>2026</t>
        </is>
      </c>
      <c r="Y157" s="5" t="inlineStr">
        <is>
          <t>2027(MW)</t>
        </is>
      </c>
      <c r="Z157" s="5" t="inlineStr">
        <is>
          <t>2028(MW)</t>
        </is>
      </c>
      <c r="AA157" s="5" t="inlineStr">
        <is>
          <t>2029(MW)</t>
        </is>
      </c>
      <c r="AB157" s="5" t="inlineStr">
        <is>
          <t>2030(MW)</t>
        </is>
      </c>
      <c r="AC157" s="5" t="inlineStr">
        <is>
          <t>2031(MW)</t>
        </is>
      </c>
    </row>
    <row r="158">
      <c r="A158" s="18" t="inlineStr">
        <is>
          <t>국내 북오프 사업 · 외부 고객 매출</t>
        </is>
      </c>
      <c r="C158" s="20" t="n">
        <v>23592</v>
      </c>
      <c r="D158" s="20" t="n">
        <v>26337</v>
      </c>
      <c r="E158" s="20" t="n">
        <v>25906</v>
      </c>
      <c r="F158" s="20" t="n">
        <v>24794</v>
      </c>
      <c r="G158" s="20" t="n">
        <v>24911</v>
      </c>
      <c r="H158" s="20" t="n">
        <v>27785</v>
      </c>
      <c r="I158" s="20" t="n">
        <v>26819</v>
      </c>
      <c r="J158" s="20" t="n">
        <v>25858</v>
      </c>
      <c r="K158" s="20" t="n">
        <v>27094</v>
      </c>
      <c r="L158" s="20" t="n">
        <v>30166</v>
      </c>
      <c r="M158" s="20" t="n">
        <v>29547</v>
      </c>
      <c r="N158" s="20" t="n">
        <v>28407</v>
      </c>
      <c r="V158" s="20" t="n">
        <v>25906</v>
      </c>
      <c r="W158" s="20" t="n">
        <v>26819</v>
      </c>
      <c r="X158" s="20" t="n">
        <v>29547</v>
      </c>
    </row>
    <row r="159">
      <c r="A159" s="43" t="inlineStr">
        <is>
          <t>YoY</t>
        </is>
      </c>
      <c r="B159" s="3" t="inlineStr">
        <is>
          <t>전년 같은 분기·전년 대비</t>
        </is>
      </c>
      <c r="G159" s="15">
        <f>IF(OR(G158="",C158=""),"",IF(C158&lt;=0,"",IFERROR(G158/C158-1,"")))</f>
        <v/>
      </c>
      <c r="H159" s="15">
        <f>IF(OR(H158="",D158=""),"",IF(D158&lt;=0,"",IFERROR(H158/D158-1,"")))</f>
        <v/>
      </c>
      <c r="I159" s="15">
        <f>IF(OR(I158="",E158=""),"",IF(E158&lt;=0,"",IFERROR(I158/E158-1,"")))</f>
        <v/>
      </c>
      <c r="J159" s="15">
        <f>IF(OR(J158="",F158=""),"",IF(F158&lt;=0,"",IFERROR(J158/F158-1,"")))</f>
        <v/>
      </c>
      <c r="K159" s="15">
        <f>IF(OR(K158="",G158=""),"",IF(G158&lt;=0,"",IFERROR(K158/G158-1,"")))</f>
        <v/>
      </c>
      <c r="L159" s="15">
        <f>IF(OR(L158="",H158=""),"",IF(H158&lt;=0,"",IFERROR(L158/H158-1,"")))</f>
        <v/>
      </c>
      <c r="M159" s="15">
        <f>IF(OR(M158="",I158=""),"",IF(I158&lt;=0,"",IFERROR(M158/I158-1,"")))</f>
        <v/>
      </c>
      <c r="N159" s="15">
        <f>IF(OR(N158="",J158=""),"",IF(J158&lt;=0,"",IFERROR(N158/J158-1,"")))</f>
        <v/>
      </c>
      <c r="V159" s="15">
        <f>IF(OR(V158="",U158=""),"",IF(U158&lt;=0,"",IFERROR(V158/U158-1,"")))</f>
        <v/>
      </c>
      <c r="W159" s="15">
        <f>IF(OR(W158="",V158=""),"",IF(V158&lt;=0,"",IFERROR(W158/V158-1,"")))</f>
        <v/>
      </c>
      <c r="X159" s="15">
        <f>IF(OR(X158="",W158=""),"",IF(W158&lt;=0,"",IFERROR(X158/W158-1,"")))</f>
        <v/>
      </c>
    </row>
    <row r="160">
      <c r="A160" s="18" t="inlineStr">
        <is>
          <t>프리미엄 서비스 사업 · 외부 고객 매출</t>
        </is>
      </c>
      <c r="C160" s="20" t="n">
        <v>1682</v>
      </c>
      <c r="D160" s="20" t="n">
        <v>1628</v>
      </c>
      <c r="E160" s="20" t="n">
        <v>1776</v>
      </c>
      <c r="F160" s="20" t="n">
        <v>1766</v>
      </c>
      <c r="G160" s="20" t="n">
        <v>1661</v>
      </c>
      <c r="H160" s="20" t="n">
        <v>1775</v>
      </c>
      <c r="I160" s="20" t="n">
        <v>1975</v>
      </c>
      <c r="J160" s="20" t="n">
        <v>1626</v>
      </c>
      <c r="K160" s="20" t="n">
        <v>2403</v>
      </c>
      <c r="L160" s="20" t="n">
        <v>2251</v>
      </c>
      <c r="M160" s="20" t="n">
        <v>2247</v>
      </c>
      <c r="N160" s="20" t="n">
        <v>1468</v>
      </c>
      <c r="V160" s="20" t="n">
        <v>1776</v>
      </c>
      <c r="W160" s="20" t="n">
        <v>1975</v>
      </c>
      <c r="X160" s="20" t="n">
        <v>2247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해외 사업 · 외부 고객 매출</t>
        </is>
      </c>
      <c r="C162" s="20" t="n">
        <v>1192</v>
      </c>
      <c r="D162" s="20" t="n">
        <v>1175</v>
      </c>
      <c r="E162" s="20" t="n">
        <v>1244</v>
      </c>
      <c r="F162" s="20" t="n">
        <v>1398</v>
      </c>
      <c r="G162" s="20" t="n">
        <v>1535</v>
      </c>
      <c r="H162" s="20" t="n">
        <v>1615</v>
      </c>
      <c r="I162" s="20" t="n">
        <v>1628</v>
      </c>
      <c r="J162" s="20" t="n">
        <v>1595</v>
      </c>
      <c r="K162" s="20" t="n">
        <v>1731</v>
      </c>
      <c r="L162" s="20" t="n">
        <v>1816</v>
      </c>
      <c r="M162" s="20" t="n">
        <v>2011</v>
      </c>
      <c r="N162" s="20" t="n">
        <v>2224</v>
      </c>
      <c r="V162" s="20" t="n">
        <v>1244</v>
      </c>
      <c r="W162" s="20" t="n">
        <v>1628</v>
      </c>
      <c r="X162" s="20" t="n">
        <v>2011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G163" s="15">
        <f>IF(OR(G162="",C162=""),"",IF(C162&lt;=0,"",IFERROR(G162/C162-1,"")))</f>
        <v/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J163" s="15">
        <f>IF(OR(J162="",F162=""),"",IF(F162&lt;=0,"",IFERROR(J162/F162-1,"")))</f>
        <v/>
      </c>
      <c r="K163" s="15">
        <f>IF(OR(K162="",G162=""),"",IF(G162&lt;=0,"",IFERROR(K162/G162-1,"")))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N163" s="15">
        <f>IF(OR(N162="",J162=""),"",IF(J162&lt;=0,"",IFERROR(N162/J162-1,"")))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보고부문 합계 · 외부 고객 매출</t>
        </is>
      </c>
      <c r="C164" s="20" t="n">
        <v>26466</v>
      </c>
      <c r="D164" s="20" t="n">
        <v>29141</v>
      </c>
      <c r="E164" s="20" t="n">
        <v>28925</v>
      </c>
      <c r="F164" s="20" t="n">
        <v>27958</v>
      </c>
      <c r="G164" s="20" t="n">
        <v>28108</v>
      </c>
      <c r="H164" s="20" t="n">
        <v>31175</v>
      </c>
      <c r="I164" s="20" t="n">
        <v>30422</v>
      </c>
      <c r="J164" s="20" t="n">
        <v>29081</v>
      </c>
      <c r="K164" s="20" t="n">
        <v>31227</v>
      </c>
      <c r="L164" s="20" t="n">
        <v>34232</v>
      </c>
      <c r="M164" s="20" t="n">
        <v>33806</v>
      </c>
      <c r="N164" s="20" t="n">
        <v>32100</v>
      </c>
      <c r="V164" s="20" t="n">
        <v>28925</v>
      </c>
      <c r="W164" s="20" t="n">
        <v>30422</v>
      </c>
      <c r="X164" s="20" t="n">
        <v>33806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기타 · 외부 고객 매출</t>
        </is>
      </c>
      <c r="C166" s="20" t="n">
        <v>286</v>
      </c>
      <c r="D166" s="20" t="n">
        <v>312</v>
      </c>
      <c r="E166" s="20" t="n">
        <v>344</v>
      </c>
      <c r="F166" s="20" t="n">
        <v>333</v>
      </c>
      <c r="G166" s="20" t="n">
        <v>381</v>
      </c>
      <c r="H166" s="20" t="n">
        <v>424</v>
      </c>
      <c r="I166" s="20" t="n">
        <v>404</v>
      </c>
      <c r="J166" s="20" t="n">
        <v>430</v>
      </c>
      <c r="K166" s="20" t="n">
        <v>365</v>
      </c>
      <c r="L166" s="20" t="n">
        <v>446</v>
      </c>
      <c r="M166" s="20" t="n">
        <v>535</v>
      </c>
      <c r="N166" s="20" t="n">
        <v>519</v>
      </c>
      <c r="V166" s="20" t="n">
        <v>344</v>
      </c>
      <c r="W166" s="20" t="n">
        <v>404</v>
      </c>
      <c r="X166" s="20" t="n">
        <v>535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H167" s="15">
        <f>IF(OR(H166="",D166=""),"",IF(D166&lt;=0,"",IFERROR(H166/D166-1,"")))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L167" s="15">
        <f>IF(OR(L166="",H166=""),"",IF(H166&lt;=0,"",IFERROR(L166/H166-1,"")))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  <c r="V167" s="15">
        <f>IF(OR(V166="",U166=""),"",IF(U166&lt;=0,"",IFERROR(V166/U166-1,"")))</f>
        <v/>
      </c>
      <c r="W167" s="15">
        <f>IF(OR(W166="",V166=""),"",IF(V166&lt;=0,"",IFERROR(W166/V166-1,"")))</f>
        <v/>
      </c>
      <c r="X167" s="15">
        <f>IF(OR(X166="",W166=""),"",IF(W166&lt;=0,"",IFERROR(X166/W166-1,"")))</f>
        <v/>
      </c>
    </row>
    <row r="168">
      <c r="A168" s="18" t="inlineStr">
        <is>
          <t>합계 · 외부 고객 매출</t>
        </is>
      </c>
      <c r="C168" s="20" t="n">
        <v>26751</v>
      </c>
      <c r="D168" s="20" t="n">
        <v>29454</v>
      </c>
      <c r="E168" s="20" t="n">
        <v>29269</v>
      </c>
      <c r="F168" s="20" t="n">
        <v>28292</v>
      </c>
      <c r="G168" s="20" t="n">
        <v>28489</v>
      </c>
      <c r="H168" s="20" t="n">
        <v>31599</v>
      </c>
      <c r="I168" s="20" t="n">
        <v>30825</v>
      </c>
      <c r="J168" s="20" t="n">
        <v>29511</v>
      </c>
      <c r="K168" s="20" t="n">
        <v>31593</v>
      </c>
      <c r="L168" s="20" t="n">
        <v>34678</v>
      </c>
      <c r="M168" s="20" t="n">
        <v>34341</v>
      </c>
      <c r="N168" s="20" t="n">
        <v>32620</v>
      </c>
      <c r="V168" s="20" t="n">
        <v>29269</v>
      </c>
      <c r="W168" s="20" t="n">
        <v>30825</v>
      </c>
      <c r="X168" s="20" t="n">
        <v>34341</v>
      </c>
    </row>
    <row r="169">
      <c r="A169" s="43" t="inlineStr">
        <is>
          <t>YoY</t>
        </is>
      </c>
      <c r="B169" s="3" t="inlineStr">
        <is>
          <t>전년 같은 분기·전년 대비</t>
        </is>
      </c>
      <c r="G169" s="15">
        <f>IF(OR(G168="",C168=""),"",IF(C168&lt;=0,"",IFERROR(G168/C168-1,"")))</f>
        <v/>
      </c>
      <c r="H169" s="15">
        <f>IF(OR(H168="",D168=""),"",IF(D168&lt;=0,"",IFERROR(H168/D168-1,"")))</f>
        <v/>
      </c>
      <c r="I169" s="15">
        <f>IF(OR(I168="",E168=""),"",IF(E168&lt;=0,"",IFERROR(I168/E168-1,"")))</f>
        <v/>
      </c>
      <c r="J169" s="15">
        <f>IF(OR(J168="",F168=""),"",IF(F168&lt;=0,"",IFERROR(J168/F168-1,"")))</f>
        <v/>
      </c>
      <c r="K169" s="15">
        <f>IF(OR(K168="",G168=""),"",IF(G168&lt;=0,"",IFERROR(K168/G168-1,"")))</f>
        <v/>
      </c>
      <c r="L169" s="15">
        <f>IF(OR(L168="",H168=""),"",IF(H168&lt;=0,"",IFERROR(L168/H168-1,"")))</f>
        <v/>
      </c>
      <c r="M169" s="15">
        <f>IF(OR(M168="",I168=""),"",IF(I168&lt;=0,"",IFERROR(M168/I168-1,"")))</f>
        <v/>
      </c>
      <c r="N169" s="15">
        <f>IF(OR(N168="",J168=""),"",IF(J168&lt;=0,"",IFERROR(N168/J168-1,"")))</f>
        <v/>
      </c>
      <c r="V169" s="15">
        <f>IF(OR(V168="",U168=""),"",IF(U168&lt;=0,"",IFERROR(V168/U168-1,"")))</f>
        <v/>
      </c>
      <c r="W169" s="15">
        <f>IF(OR(W168="",V168=""),"",IF(V168&lt;=0,"",IFERROR(W168/V168-1,"")))</f>
        <v/>
      </c>
      <c r="X169" s="15">
        <f>IF(OR(X168="",W168=""),"",IF(W168&lt;=0,"",IFERROR(X168/W168-1,"")))</f>
        <v/>
      </c>
    </row>
    <row r="170">
      <c r="A170" s="18" t="inlineStr">
        <is>
          <t>조정액 · 외부 고객 매출</t>
        </is>
      </c>
      <c r="C170" s="20" t="n">
        <v>0</v>
      </c>
      <c r="D170" s="20" t="n">
        <v>0</v>
      </c>
      <c r="E170" s="20" t="n">
        <v>0</v>
      </c>
      <c r="F170" s="20" t="n">
        <v>0</v>
      </c>
      <c r="G170" s="20" t="n">
        <v>0</v>
      </c>
      <c r="H170" s="20" t="n">
        <v>0</v>
      </c>
      <c r="I170" s="20" t="n">
        <v>0</v>
      </c>
      <c r="J170" s="20" t="n">
        <v>0</v>
      </c>
      <c r="K170" s="20" t="n">
        <v>0</v>
      </c>
      <c r="L170" s="20" t="n">
        <v>0</v>
      </c>
      <c r="M170" s="20" t="n">
        <v>0</v>
      </c>
      <c r="N170" s="20" t="n">
        <v>0</v>
      </c>
      <c r="V170" s="20" t="n">
        <v>0</v>
      </c>
      <c r="W170" s="20" t="n">
        <v>0</v>
      </c>
      <c r="X170" s="20" t="n">
        <v>0</v>
      </c>
    </row>
    <row r="171">
      <c r="A171" s="9" t="inlineStr">
        <is>
          <t>외부 고객 매출</t>
        </is>
      </c>
      <c r="C171" s="12" t="n">
        <v>26751</v>
      </c>
      <c r="D171" s="12" t="n">
        <v>29454</v>
      </c>
      <c r="E171" s="12" t="n">
        <v>29269</v>
      </c>
      <c r="F171" s="12" t="n">
        <v>28292</v>
      </c>
      <c r="G171" s="12" t="n">
        <v>28489</v>
      </c>
      <c r="H171" s="12" t="n">
        <v>31599</v>
      </c>
      <c r="I171" s="12" t="n">
        <v>30825</v>
      </c>
      <c r="J171" s="12" t="n">
        <v>29511</v>
      </c>
      <c r="K171" s="12" t="n">
        <v>31593</v>
      </c>
      <c r="L171" s="12" t="n">
        <v>34678</v>
      </c>
      <c r="M171" s="12" t="n">
        <v>34341</v>
      </c>
      <c r="N171" s="12" t="n">
        <v>32620</v>
      </c>
      <c r="V171" s="12" t="n">
        <v>29269</v>
      </c>
      <c r="W171" s="12" t="n">
        <v>30825</v>
      </c>
      <c r="X171" s="12" t="n">
        <v>34341</v>
      </c>
    </row>
    <row r="172">
      <c r="A172" s="43" t="inlineStr">
        <is>
          <t>YoY</t>
        </is>
      </c>
      <c r="B172" s="3" t="inlineStr">
        <is>
          <t>전년 같은 분기·전년 대비</t>
        </is>
      </c>
      <c r="G172" s="15">
        <f>IF(OR(G171="",C171=""),"",IF(C171&lt;=0,"",IFERROR(G171/C171-1,"")))</f>
        <v/>
      </c>
      <c r="H172" s="15">
        <f>IF(OR(H171="",D171=""),"",IF(D171&lt;=0,"",IFERROR(H171/D171-1,"")))</f>
        <v/>
      </c>
      <c r="I172" s="15">
        <f>IF(OR(I171="",E171=""),"",IF(E171&lt;=0,"",IFERROR(I171/E171-1,"")))</f>
        <v/>
      </c>
      <c r="J172" s="15">
        <f>IF(OR(J171="",F171=""),"",IF(F171&lt;=0,"",IFERROR(J171/F171-1,"")))</f>
        <v/>
      </c>
      <c r="K172" s="15">
        <f>IF(OR(K171="",G171=""),"",IF(G171&lt;=0,"",IFERROR(K171/G171-1,"")))</f>
        <v/>
      </c>
      <c r="L172" s="15">
        <f>IF(OR(L171="",H171=""),"",IF(H171&lt;=0,"",IFERROR(L171/H171-1,"")))</f>
        <v/>
      </c>
      <c r="M172" s="15">
        <f>IF(OR(M171="",I171=""),"",IF(I171&lt;=0,"",IFERROR(M171/I171-1,"")))</f>
        <v/>
      </c>
      <c r="N172" s="15">
        <f>IF(OR(N171="",J171=""),"",IF(J171&lt;=0,"",IFERROR(N171/J171-1,"")))</f>
        <v/>
      </c>
      <c r="V172" s="15">
        <f>IF(OR(V171="",U171=""),"",IF(U171&lt;=0,"",IFERROR(V171/U171-1,"")))</f>
        <v/>
      </c>
      <c r="W172" s="15">
        <f>IF(OR(W171="",V171=""),"",IF(V171&lt;=0,"",IFERROR(W171/V171-1,"")))</f>
        <v/>
      </c>
      <c r="X172" s="15">
        <f>IF(OR(X171="",W171=""),"",IF(W171&lt;=0,"",IFERROR(X171/W171-1,"")))</f>
        <v/>
      </c>
    </row>
    <row r="173">
      <c r="A173" s="18" t="inlineStr">
        <is>
          <t>국내 북오프 사업 · 부문 간 내부매출·대체</t>
        </is>
      </c>
      <c r="C173" s="20" t="n">
        <v>1</v>
      </c>
      <c r="D173" s="20" t="n">
        <v>2</v>
      </c>
      <c r="E173" s="20" t="n">
        <v>24</v>
      </c>
      <c r="F173" s="20" t="n">
        <v>7</v>
      </c>
      <c r="G173" s="20" t="n">
        <v>20</v>
      </c>
      <c r="H173" s="20" t="n">
        <v>6</v>
      </c>
      <c r="I173" s="20" t="n">
        <v>8</v>
      </c>
      <c r="J173" s="20" t="n">
        <v>24</v>
      </c>
      <c r="K173" s="20" t="n">
        <v>17</v>
      </c>
      <c r="L173" s="20" t="n">
        <v>20</v>
      </c>
      <c r="M173" s="20" t="n">
        <v>31</v>
      </c>
      <c r="N173" s="20" t="n">
        <v>14</v>
      </c>
      <c r="V173" s="20" t="n">
        <v>24</v>
      </c>
      <c r="W173" s="20" t="n">
        <v>8</v>
      </c>
      <c r="X173" s="20" t="n">
        <v>31</v>
      </c>
    </row>
    <row r="174">
      <c r="A174" s="18" t="inlineStr">
        <is>
          <t>프리미엄 서비스 사업 · 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해외 사업 · 부문 간 내부매출·대체</t>
        </is>
      </c>
      <c r="C175" s="20" t="n">
        <v>0</v>
      </c>
      <c r="D175" s="20" t="n">
        <v>0</v>
      </c>
      <c r="E175" s="20" t="n">
        <v>0</v>
      </c>
      <c r="F175" s="20" t="n">
        <v>0</v>
      </c>
      <c r="G175" s="20" t="n">
        <v>0</v>
      </c>
      <c r="H175" s="20" t="n">
        <v>0</v>
      </c>
      <c r="I175" s="20" t="n">
        <v>0</v>
      </c>
      <c r="J175" s="20" t="n">
        <v>0</v>
      </c>
      <c r="K175" s="20" t="n">
        <v>0</v>
      </c>
      <c r="L175" s="20" t="n">
        <v>0</v>
      </c>
      <c r="M175" s="20" t="n">
        <v>0</v>
      </c>
      <c r="N175" s="20" t="n">
        <v>0</v>
      </c>
      <c r="V175" s="20" t="n">
        <v>0</v>
      </c>
      <c r="W175" s="20" t="n">
        <v>0</v>
      </c>
      <c r="X175" s="20" t="n">
        <v>0</v>
      </c>
    </row>
    <row r="176">
      <c r="A176" s="18" t="inlineStr">
        <is>
          <t>보고부문 합계 · 부문 간 내부매출·대체</t>
        </is>
      </c>
      <c r="C176" s="20" t="n">
        <v>1</v>
      </c>
      <c r="D176" s="20" t="n">
        <v>2</v>
      </c>
      <c r="E176" s="20" t="n">
        <v>24</v>
      </c>
      <c r="F176" s="20" t="n">
        <v>7</v>
      </c>
      <c r="G176" s="20" t="n">
        <v>20</v>
      </c>
      <c r="H176" s="20" t="n">
        <v>7</v>
      </c>
      <c r="I176" s="20" t="n">
        <v>7</v>
      </c>
      <c r="J176" s="20" t="n">
        <v>24</v>
      </c>
      <c r="K176" s="20" t="n">
        <v>17</v>
      </c>
      <c r="L176" s="20" t="n">
        <v>20</v>
      </c>
      <c r="M176" s="20" t="n">
        <v>32</v>
      </c>
      <c r="N176" s="20" t="n">
        <v>15</v>
      </c>
      <c r="V176" s="20" t="n">
        <v>24</v>
      </c>
      <c r="W176" s="20" t="n">
        <v>7</v>
      </c>
      <c r="X176" s="20" t="n">
        <v>32</v>
      </c>
    </row>
    <row r="177">
      <c r="A177" s="18" t="inlineStr">
        <is>
          <t>기타 · 부문 간 내부매출·대체</t>
        </is>
      </c>
      <c r="C177" s="20" t="n">
        <v>162</v>
      </c>
      <c r="D177" s="20" t="n">
        <v>168</v>
      </c>
      <c r="E177" s="20" t="n">
        <v>170</v>
      </c>
      <c r="F177" s="20" t="n">
        <v>187</v>
      </c>
      <c r="G177" s="20" t="n">
        <v>204</v>
      </c>
      <c r="H177" s="20" t="n">
        <v>201</v>
      </c>
      <c r="I177" s="20" t="n">
        <v>213</v>
      </c>
      <c r="J177" s="20" t="n">
        <v>234</v>
      </c>
      <c r="K177" s="20" t="n">
        <v>246</v>
      </c>
      <c r="L177" s="20" t="n">
        <v>250</v>
      </c>
      <c r="M177" s="20" t="n">
        <v>275</v>
      </c>
      <c r="N177" s="20" t="n">
        <v>235</v>
      </c>
      <c r="V177" s="20" t="n">
        <v>170</v>
      </c>
      <c r="W177" s="20" t="n">
        <v>213</v>
      </c>
      <c r="X177" s="20" t="n">
        <v>275</v>
      </c>
    </row>
    <row r="178">
      <c r="A178" s="18" t="inlineStr">
        <is>
          <t>합계 · 부문 간 내부매출·대체</t>
        </is>
      </c>
      <c r="C178" s="20" t="n">
        <v>163</v>
      </c>
      <c r="D178" s="20" t="n">
        <v>170</v>
      </c>
      <c r="E178" s="20" t="n">
        <v>193</v>
      </c>
      <c r="F178" s="20" t="n">
        <v>194</v>
      </c>
      <c r="G178" s="20" t="n">
        <v>225</v>
      </c>
      <c r="H178" s="20" t="n">
        <v>207</v>
      </c>
      <c r="I178" s="20" t="n">
        <v>221</v>
      </c>
      <c r="J178" s="20" t="n">
        <v>258</v>
      </c>
      <c r="K178" s="20" t="n">
        <v>263</v>
      </c>
      <c r="L178" s="20" t="n">
        <v>270</v>
      </c>
      <c r="M178" s="20" t="n">
        <v>307</v>
      </c>
      <c r="N178" s="20" t="n">
        <v>250</v>
      </c>
      <c r="V178" s="20" t="n">
        <v>193</v>
      </c>
      <c r="W178" s="20" t="n">
        <v>221</v>
      </c>
      <c r="X178" s="20" t="n">
        <v>307</v>
      </c>
    </row>
    <row r="179">
      <c r="A179" s="18" t="inlineStr">
        <is>
          <t>조정액 · 부문 간 내부매출·대체</t>
        </is>
      </c>
      <c r="C179" s="20" t="n">
        <v>-163</v>
      </c>
      <c r="D179" s="20" t="n">
        <v>-170</v>
      </c>
      <c r="E179" s="20" t="n">
        <v>-193</v>
      </c>
      <c r="F179" s="20" t="n">
        <v>-194</v>
      </c>
      <c r="G179" s="20" t="n">
        <v>-225</v>
      </c>
      <c r="H179" s="20" t="n">
        <v>-207</v>
      </c>
      <c r="I179" s="20" t="n">
        <v>-221</v>
      </c>
      <c r="J179" s="20" t="n">
        <v>-258</v>
      </c>
      <c r="K179" s="20" t="n">
        <v>-263</v>
      </c>
      <c r="L179" s="20" t="n">
        <v>-270</v>
      </c>
      <c r="M179" s="20" t="n">
        <v>-307</v>
      </c>
      <c r="N179" s="20" t="n">
        <v>-250</v>
      </c>
      <c r="V179" s="20" t="n">
        <v>-193</v>
      </c>
      <c r="W179" s="20" t="n">
        <v>-221</v>
      </c>
      <c r="X179" s="20" t="n">
        <v>-307</v>
      </c>
    </row>
    <row r="180">
      <c r="A180" s="18" t="inlineStr">
        <is>
          <t>부문 간 내부매출·대체</t>
        </is>
      </c>
      <c r="C180" s="20" t="n">
        <v>0</v>
      </c>
      <c r="D180" s="20" t="n">
        <v>0</v>
      </c>
      <c r="E180" s="20" t="n">
        <v>0</v>
      </c>
      <c r="F180" s="20" t="n">
        <v>0</v>
      </c>
      <c r="G180" s="20" t="n">
        <v>0</v>
      </c>
      <c r="H180" s="20" t="n">
        <v>0</v>
      </c>
      <c r="I180" s="20" t="n">
        <v>0</v>
      </c>
      <c r="J180" s="20" t="n">
        <v>0</v>
      </c>
      <c r="K180" s="20" t="n">
        <v>0</v>
      </c>
      <c r="L180" s="20" t="n">
        <v>0</v>
      </c>
      <c r="M180" s="20" t="n">
        <v>0</v>
      </c>
      <c r="N180" s="20" t="n">
        <v>0</v>
      </c>
      <c r="V180" s="20" t="n">
        <v>0</v>
      </c>
      <c r="W180" s="20" t="n">
        <v>0</v>
      </c>
      <c r="X180" s="20" t="n">
        <v>0</v>
      </c>
    </row>
    <row r="181">
      <c r="A181" s="18" t="inlineStr">
        <is>
          <t>국내 북오프 사업 · 계</t>
        </is>
      </c>
      <c r="C181" s="20" t="n">
        <v>23593</v>
      </c>
      <c r="D181" s="20" t="n">
        <v>26339</v>
      </c>
      <c r="E181" s="20" t="n">
        <v>25929</v>
      </c>
      <c r="F181" s="20" t="n">
        <v>24801</v>
      </c>
      <c r="G181" s="20" t="n">
        <v>24932</v>
      </c>
      <c r="H181" s="20" t="n">
        <v>27791</v>
      </c>
      <c r="I181" s="20" t="n">
        <v>26826</v>
      </c>
      <c r="J181" s="20" t="n">
        <v>25882</v>
      </c>
      <c r="K181" s="20" t="n">
        <v>27111</v>
      </c>
      <c r="L181" s="20" t="n">
        <v>30186</v>
      </c>
      <c r="M181" s="20" t="n">
        <v>29579</v>
      </c>
      <c r="N181" s="20" t="n">
        <v>28421</v>
      </c>
      <c r="V181" s="20" t="n">
        <v>25929</v>
      </c>
      <c r="W181" s="20" t="n">
        <v>26826</v>
      </c>
      <c r="X181" s="20" t="n">
        <v>29579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프리미엄 서비스 사업 · 계</t>
        </is>
      </c>
      <c r="C183" s="20" t="n">
        <v>1682</v>
      </c>
      <c r="D183" s="20" t="n">
        <v>1628</v>
      </c>
      <c r="E183" s="20" t="n">
        <v>1776</v>
      </c>
      <c r="F183" s="20" t="n">
        <v>1766</v>
      </c>
      <c r="G183" s="20" t="n">
        <v>1661</v>
      </c>
      <c r="H183" s="20" t="n">
        <v>1775</v>
      </c>
      <c r="I183" s="20" t="n">
        <v>1975</v>
      </c>
      <c r="J183" s="20" t="n">
        <v>1626</v>
      </c>
      <c r="K183" s="20" t="n">
        <v>2403</v>
      </c>
      <c r="L183" s="20" t="n">
        <v>2251</v>
      </c>
      <c r="M183" s="20" t="n">
        <v>2248</v>
      </c>
      <c r="N183" s="20" t="n">
        <v>1468</v>
      </c>
      <c r="V183" s="20" t="n">
        <v>1776</v>
      </c>
      <c r="W183" s="20" t="n">
        <v>1975</v>
      </c>
      <c r="X183" s="20" t="n">
        <v>2248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해외 사업 · 계</t>
        </is>
      </c>
      <c r="C185" s="20" t="n">
        <v>1192</v>
      </c>
      <c r="D185" s="20" t="n">
        <v>1175</v>
      </c>
      <c r="E185" s="20" t="n">
        <v>1244</v>
      </c>
      <c r="F185" s="20" t="n">
        <v>1398</v>
      </c>
      <c r="G185" s="20" t="n">
        <v>1535</v>
      </c>
      <c r="H185" s="20" t="n">
        <v>1615</v>
      </c>
      <c r="I185" s="20" t="n">
        <v>1628</v>
      </c>
      <c r="J185" s="20" t="n">
        <v>1595</v>
      </c>
      <c r="K185" s="20" t="n">
        <v>1731</v>
      </c>
      <c r="L185" s="20" t="n">
        <v>1816</v>
      </c>
      <c r="M185" s="20" t="n">
        <v>2011</v>
      </c>
      <c r="N185" s="20" t="n">
        <v>2225</v>
      </c>
      <c r="V185" s="20" t="n">
        <v>1244</v>
      </c>
      <c r="W185" s="20" t="n">
        <v>1628</v>
      </c>
      <c r="X185" s="20" t="n">
        <v>2011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H186" s="15">
        <f>IF(OR(H185="",D185=""),"",IF(D185&lt;=0,"",IFERROR(H185/D185-1,"")))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L186" s="15">
        <f>IF(OR(L185="",H185=""),"",IF(H185&lt;=0,"",IFERROR(L185/H185-1,"")))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  <c r="V186" s="15">
        <f>IF(OR(V185="",U185=""),"",IF(U185&lt;=0,"",IFERROR(V185/U185-1,"")))</f>
        <v/>
      </c>
      <c r="W186" s="15">
        <f>IF(OR(W185="",V185=""),"",IF(V185&lt;=0,"",IFERROR(W185/V185-1,"")))</f>
        <v/>
      </c>
      <c r="X186" s="15">
        <f>IF(OR(X185="",W185=""),"",IF(W185&lt;=0,"",IFERROR(X185/W185-1,"")))</f>
        <v/>
      </c>
    </row>
    <row r="187">
      <c r="A187" s="18" t="inlineStr">
        <is>
          <t>보고부문 합계 · 계</t>
        </is>
      </c>
      <c r="C187" s="20" t="n">
        <v>26466</v>
      </c>
      <c r="D187" s="20" t="n">
        <v>29144</v>
      </c>
      <c r="E187" s="20" t="n">
        <v>28948</v>
      </c>
      <c r="F187" s="20" t="n">
        <v>27965</v>
      </c>
      <c r="G187" s="20" t="n">
        <v>28129</v>
      </c>
      <c r="H187" s="20" t="n">
        <v>31181</v>
      </c>
      <c r="I187" s="20" t="n">
        <v>30429</v>
      </c>
      <c r="J187" s="20" t="n">
        <v>29105</v>
      </c>
      <c r="K187" s="20" t="n">
        <v>31244</v>
      </c>
      <c r="L187" s="20" t="n">
        <v>34253</v>
      </c>
      <c r="M187" s="20" t="n">
        <v>33837</v>
      </c>
      <c r="N187" s="20" t="n">
        <v>32115</v>
      </c>
      <c r="V187" s="20" t="n">
        <v>28948</v>
      </c>
      <c r="W187" s="20" t="n">
        <v>30429</v>
      </c>
      <c r="X187" s="20" t="n">
        <v>33837</v>
      </c>
    </row>
    <row r="188">
      <c r="A188" s="43" t="inlineStr">
        <is>
          <t>YoY</t>
        </is>
      </c>
      <c r="B188" s="3" t="inlineStr">
        <is>
          <t>전년 같은 분기·전년 대비</t>
        </is>
      </c>
      <c r="G188" s="15">
        <f>IF(OR(G187="",C187=""),"",IF(C187&lt;=0,"",IFERROR(G187/C187-1,"")))</f>
        <v/>
      </c>
      <c r="H188" s="15">
        <f>IF(OR(H187="",D187=""),"",IF(D187&lt;=0,"",IFERROR(H187/D187-1,"")))</f>
        <v/>
      </c>
      <c r="I188" s="15">
        <f>IF(OR(I187="",E187=""),"",IF(E187&lt;=0,"",IFERROR(I187/E187-1,"")))</f>
        <v/>
      </c>
      <c r="J188" s="15">
        <f>IF(OR(J187="",F187=""),"",IF(F187&lt;=0,"",IFERROR(J187/F187-1,"")))</f>
        <v/>
      </c>
      <c r="K188" s="15">
        <f>IF(OR(K187="",G187=""),"",IF(G187&lt;=0,"",IFERROR(K187/G187-1,"")))</f>
        <v/>
      </c>
      <c r="L188" s="15">
        <f>IF(OR(L187="",H187=""),"",IF(H187&lt;=0,"",IFERROR(L187/H187-1,"")))</f>
        <v/>
      </c>
      <c r="M188" s="15">
        <f>IF(OR(M187="",I187=""),"",IF(I187&lt;=0,"",IFERROR(M187/I187-1,"")))</f>
        <v/>
      </c>
      <c r="N188" s="15">
        <f>IF(OR(N187="",J187=""),"",IF(J187&lt;=0,"",IFERROR(N187/J187-1,"")))</f>
        <v/>
      </c>
      <c r="V188" s="15">
        <f>IF(OR(V187="",U187=""),"",IF(U187&lt;=0,"",IFERROR(V187/U187-1,"")))</f>
        <v/>
      </c>
      <c r="W188" s="15">
        <f>IF(OR(W187="",V187=""),"",IF(V187&lt;=0,"",IFERROR(W187/V187-1,"")))</f>
        <v/>
      </c>
      <c r="X188" s="15">
        <f>IF(OR(X187="",W187=""),"",IF(W187&lt;=0,"",IFERROR(X187/W187-1,"")))</f>
        <v/>
      </c>
    </row>
    <row r="189">
      <c r="A189" s="18" t="inlineStr">
        <is>
          <t>기타 · 계</t>
        </is>
      </c>
      <c r="C189" s="20" t="n">
        <v>448</v>
      </c>
      <c r="D189" s="20" t="n">
        <v>480</v>
      </c>
      <c r="E189" s="20" t="n">
        <v>513</v>
      </c>
      <c r="F189" s="20" t="n">
        <v>521</v>
      </c>
      <c r="G189" s="20" t="n">
        <v>585</v>
      </c>
      <c r="H189" s="20" t="n">
        <v>625</v>
      </c>
      <c r="I189" s="20" t="n">
        <v>617</v>
      </c>
      <c r="J189" s="20" t="n">
        <v>665</v>
      </c>
      <c r="K189" s="20" t="n">
        <v>611</v>
      </c>
      <c r="L189" s="20" t="n">
        <v>695</v>
      </c>
      <c r="M189" s="20" t="n">
        <v>811</v>
      </c>
      <c r="N189" s="20" t="n">
        <v>755</v>
      </c>
      <c r="V189" s="20" t="n">
        <v>513</v>
      </c>
      <c r="W189" s="20" t="n">
        <v>617</v>
      </c>
      <c r="X189" s="20" t="n">
        <v>811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I190" s="15">
        <f>IF(OR(I189="",E189=""),"",IF(E189&lt;=0,"",IFERROR(I189/E189-1,"")))</f>
        <v/>
      </c>
      <c r="J190" s="15">
        <f>IF(OR(J189="",F189=""),"",IF(F189&lt;=0,"",IFERROR(J189/F189-1,"")))</f>
        <v/>
      </c>
      <c r="K190" s="15">
        <f>IF(OR(K189="",G189=""),"",IF(G189&lt;=0,"",IFERROR(K189/G189-1,"")))</f>
        <v/>
      </c>
      <c r="L190" s="15">
        <f>IF(OR(L189="",H189=""),"",IF(H189&lt;=0,"",IFERROR(L189/H189-1,"")))</f>
        <v/>
      </c>
      <c r="M190" s="15">
        <f>IF(OR(M189="",I189=""),"",IF(I189&lt;=0,"",IFERROR(M189/I189-1,"")))</f>
        <v/>
      </c>
      <c r="N190" s="15">
        <f>IF(OR(N189="",J189=""),"",IF(J189&lt;=0,"",IFERROR(N189/J189-1,"")))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  <c r="X190" s="15">
        <f>IF(OR(X189="",W189=""),"",IF(W189&lt;=0,"",IFERROR(X189/W189-1,"")))</f>
        <v/>
      </c>
    </row>
    <row r="191">
      <c r="A191" s="18" t="inlineStr">
        <is>
          <t>합계 · 계</t>
        </is>
      </c>
      <c r="C191" s="20" t="n">
        <v>26914</v>
      </c>
      <c r="D191" s="20" t="n">
        <v>29623</v>
      </c>
      <c r="E191" s="20" t="n">
        <v>29462</v>
      </c>
      <c r="F191" s="20" t="n">
        <v>28487</v>
      </c>
      <c r="G191" s="20" t="n">
        <v>28713</v>
      </c>
      <c r="H191" s="20" t="n">
        <v>31807</v>
      </c>
      <c r="I191" s="20" t="n">
        <v>31046</v>
      </c>
      <c r="J191" s="20" t="n">
        <v>29770</v>
      </c>
      <c r="K191" s="20" t="n">
        <v>31856</v>
      </c>
      <c r="L191" s="20" t="n">
        <v>34948</v>
      </c>
      <c r="M191" s="20" t="n">
        <v>34647</v>
      </c>
      <c r="N191" s="20" t="n">
        <v>32871</v>
      </c>
      <c r="V191" s="20" t="n">
        <v>29462</v>
      </c>
      <c r="W191" s="20" t="n">
        <v>31046</v>
      </c>
      <c r="X191" s="20" t="n">
        <v>34647</v>
      </c>
    </row>
    <row r="192">
      <c r="A192" s="43" t="inlineStr">
        <is>
          <t>YoY</t>
        </is>
      </c>
      <c r="B192" s="3" t="inlineStr">
        <is>
          <t>전년 같은 분기·전년 대비</t>
        </is>
      </c>
      <c r="G192" s="15">
        <f>IF(OR(G191="",C191=""),"",IF(C191&lt;=0,"",IFERROR(G191/C191-1,"")))</f>
        <v/>
      </c>
      <c r="H192" s="15">
        <f>IF(OR(H191="",D191=""),"",IF(D191&lt;=0,"",IFERROR(H191/D191-1,"")))</f>
        <v/>
      </c>
      <c r="I192" s="15">
        <f>IF(OR(I191="",E191=""),"",IF(E191&lt;=0,"",IFERROR(I191/E191-1,"")))</f>
        <v/>
      </c>
      <c r="J192" s="15">
        <f>IF(OR(J191="",F191=""),"",IF(F191&lt;=0,"",IFERROR(J191/F191-1,"")))</f>
        <v/>
      </c>
      <c r="K192" s="15">
        <f>IF(OR(K191="",G191=""),"",IF(G191&lt;=0,"",IFERROR(K191/G191-1,"")))</f>
        <v/>
      </c>
      <c r="L192" s="15">
        <f>IF(OR(L191="",H191=""),"",IF(H191&lt;=0,"",IFERROR(L191/H191-1,"")))</f>
        <v/>
      </c>
      <c r="M192" s="15">
        <f>IF(OR(M191="",I191=""),"",IF(I191&lt;=0,"",IFERROR(M191/I191-1,"")))</f>
        <v/>
      </c>
      <c r="N192" s="15">
        <f>IF(OR(N191="",J191=""),"",IF(J191&lt;=0,"",IFERROR(N191/J191-1,"")))</f>
        <v/>
      </c>
      <c r="V192" s="15">
        <f>IF(OR(V191="",U191=""),"",IF(U191&lt;=0,"",IFERROR(V191/U191-1,"")))</f>
        <v/>
      </c>
      <c r="W192" s="15">
        <f>IF(OR(W191="",V191=""),"",IF(V191&lt;=0,"",IFERROR(W191/V191-1,"")))</f>
        <v/>
      </c>
      <c r="X192" s="15">
        <f>IF(OR(X191="",W191=""),"",IF(W191&lt;=0,"",IFERROR(X191/W191-1,"")))</f>
        <v/>
      </c>
    </row>
    <row r="193">
      <c r="A193" s="18" t="inlineStr">
        <is>
          <t>조정액 · 계</t>
        </is>
      </c>
      <c r="C193" s="20" t="n">
        <v>-163</v>
      </c>
      <c r="D193" s="20" t="n">
        <v>-170</v>
      </c>
      <c r="E193" s="20" t="n">
        <v>-193</v>
      </c>
      <c r="F193" s="20" t="n">
        <v>-194</v>
      </c>
      <c r="G193" s="20" t="n">
        <v>-225</v>
      </c>
      <c r="H193" s="20" t="n">
        <v>-207</v>
      </c>
      <c r="I193" s="20" t="n">
        <v>-221</v>
      </c>
      <c r="J193" s="20" t="n">
        <v>-258</v>
      </c>
      <c r="K193" s="20" t="n">
        <v>-263</v>
      </c>
      <c r="L193" s="20" t="n">
        <v>-270</v>
      </c>
      <c r="M193" s="20" t="n">
        <v>-307</v>
      </c>
      <c r="N193" s="20" t="n">
        <v>-250</v>
      </c>
      <c r="V193" s="20" t="n">
        <v>-193</v>
      </c>
      <c r="W193" s="20" t="n">
        <v>-221</v>
      </c>
      <c r="X193" s="20" t="n">
        <v>-307</v>
      </c>
    </row>
    <row r="194">
      <c r="A194" s="9" t="inlineStr">
        <is>
          <t>계</t>
        </is>
      </c>
      <c r="C194" s="12" t="n">
        <v>26751</v>
      </c>
      <c r="D194" s="12" t="n">
        <v>29454</v>
      </c>
      <c r="E194" s="12" t="n">
        <v>29269</v>
      </c>
      <c r="F194" s="12" t="n">
        <v>28292</v>
      </c>
      <c r="G194" s="12" t="n">
        <v>28489</v>
      </c>
      <c r="H194" s="12" t="n">
        <v>31599</v>
      </c>
      <c r="I194" s="12" t="n">
        <v>30825</v>
      </c>
      <c r="J194" s="12" t="n">
        <v>29511</v>
      </c>
      <c r="K194" s="12" t="n">
        <v>31593</v>
      </c>
      <c r="L194" s="12" t="n">
        <v>34678</v>
      </c>
      <c r="M194" s="12" t="n">
        <v>34341</v>
      </c>
      <c r="N194" s="12" t="n">
        <v>32620</v>
      </c>
      <c r="V194" s="12" t="n">
        <v>29269</v>
      </c>
      <c r="W194" s="12" t="n">
        <v>30825</v>
      </c>
      <c r="X194" s="12" t="n">
        <v>34341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국내 북오프 사업 · 부문 이익(손실)</t>
        </is>
      </c>
      <c r="C196" s="20" t="n">
        <v>936</v>
      </c>
      <c r="D196" s="20" t="n">
        <v>2025</v>
      </c>
      <c r="E196" s="20" t="n">
        <v>743</v>
      </c>
      <c r="F196" s="20" t="n">
        <v>1431</v>
      </c>
      <c r="G196" s="20" t="n">
        <v>950</v>
      </c>
      <c r="H196" s="20" t="n">
        <v>2036</v>
      </c>
      <c r="I196" s="20" t="n">
        <v>930</v>
      </c>
      <c r="J196" s="20" t="n">
        <v>1123</v>
      </c>
      <c r="K196" s="20" t="n">
        <v>1216</v>
      </c>
      <c r="L196" s="20" t="n">
        <v>2752</v>
      </c>
      <c r="M196" s="20" t="n">
        <v>1278</v>
      </c>
      <c r="N196" s="20" t="n">
        <v>1314</v>
      </c>
      <c r="V196" s="20" t="n">
        <v>743</v>
      </c>
      <c r="W196" s="20" t="n">
        <v>930</v>
      </c>
      <c r="X196" s="20" t="n">
        <v>1278</v>
      </c>
    </row>
    <row r="197">
      <c r="A197" s="18" t="inlineStr">
        <is>
          <t>프리미엄 서비스 사업 · 부문 이익(손실)</t>
        </is>
      </c>
      <c r="C197" s="20" t="n">
        <v>115</v>
      </c>
      <c r="D197" s="20" t="n">
        <v>94</v>
      </c>
      <c r="E197" s="20" t="n">
        <v>97</v>
      </c>
      <c r="F197" s="20" t="n">
        <v>31</v>
      </c>
      <c r="G197" s="20" t="n">
        <v>-14</v>
      </c>
      <c r="H197" s="20" t="n">
        <v>6</v>
      </c>
      <c r="I197" s="20" t="n">
        <v>21</v>
      </c>
      <c r="J197" s="20" t="n">
        <v>-144</v>
      </c>
      <c r="K197" s="20" t="n">
        <v>130</v>
      </c>
      <c r="L197" s="20" t="n">
        <v>128</v>
      </c>
      <c r="M197" s="20" t="n">
        <v>46</v>
      </c>
      <c r="N197" s="20" t="n">
        <v>-59</v>
      </c>
      <c r="V197" s="20" t="n">
        <v>97</v>
      </c>
      <c r="W197" s="20" t="n">
        <v>21</v>
      </c>
      <c r="X197" s="20" t="n">
        <v>46</v>
      </c>
    </row>
    <row r="198">
      <c r="A198" s="18" t="inlineStr">
        <is>
          <t>해외 사업 · 부문 이익(손실)</t>
        </is>
      </c>
      <c r="C198" s="20" t="n">
        <v>242</v>
      </c>
      <c r="D198" s="20" t="n">
        <v>196</v>
      </c>
      <c r="E198" s="20" t="n">
        <v>120</v>
      </c>
      <c r="F198" s="20" t="n">
        <v>269</v>
      </c>
      <c r="G198" s="20" t="n">
        <v>145</v>
      </c>
      <c r="H198" s="20" t="n">
        <v>162</v>
      </c>
      <c r="I198" s="20" t="n">
        <v>118</v>
      </c>
      <c r="J198" s="20" t="n">
        <v>214</v>
      </c>
      <c r="K198" s="20" t="n">
        <v>151</v>
      </c>
      <c r="L198" s="20" t="n">
        <v>112</v>
      </c>
      <c r="M198" s="20" t="n">
        <v>214</v>
      </c>
      <c r="N198" s="20" t="n">
        <v>361</v>
      </c>
      <c r="V198" s="20" t="n">
        <v>120</v>
      </c>
      <c r="W198" s="20" t="n">
        <v>118</v>
      </c>
      <c r="X198" s="20" t="n">
        <v>214</v>
      </c>
    </row>
    <row r="199">
      <c r="A199" s="18" t="inlineStr">
        <is>
          <t>보고부문 합계 · 부문 이익(손실)</t>
        </is>
      </c>
      <c r="C199" s="20" t="n">
        <v>1293</v>
      </c>
      <c r="D199" s="20" t="n">
        <v>2316</v>
      </c>
      <c r="E199" s="20" t="n">
        <v>958</v>
      </c>
      <c r="F199" s="20" t="n">
        <v>1733</v>
      </c>
      <c r="G199" s="20" t="n">
        <v>1080</v>
      </c>
      <c r="H199" s="20" t="n">
        <v>2204</v>
      </c>
      <c r="I199" s="20" t="n">
        <v>1069</v>
      </c>
      <c r="J199" s="20" t="n">
        <v>1193</v>
      </c>
      <c r="K199" s="20" t="n">
        <v>1497</v>
      </c>
      <c r="L199" s="20" t="n">
        <v>2992</v>
      </c>
      <c r="M199" s="20" t="n">
        <v>1538</v>
      </c>
      <c r="N199" s="20" t="n">
        <v>1617</v>
      </c>
      <c r="V199" s="20" t="n">
        <v>958</v>
      </c>
      <c r="W199" s="20" t="n">
        <v>1069</v>
      </c>
      <c r="X199" s="20" t="n">
        <v>1538</v>
      </c>
    </row>
    <row r="200">
      <c r="A200" s="18" t="inlineStr">
        <is>
          <t>기타 · 부문 이익(손실)</t>
        </is>
      </c>
      <c r="C200" s="20" t="n">
        <v>-55</v>
      </c>
      <c r="D200" s="20" t="n">
        <v>-32</v>
      </c>
      <c r="E200" s="20" t="n">
        <v>-43</v>
      </c>
      <c r="F200" s="20" t="n">
        <v>-51</v>
      </c>
      <c r="G200" s="20" t="n">
        <v>-59</v>
      </c>
      <c r="H200" s="20" t="n">
        <v>-59</v>
      </c>
      <c r="I200" s="20" t="n">
        <v>-90</v>
      </c>
      <c r="J200" s="20" t="n">
        <v>-68</v>
      </c>
      <c r="K200" s="20" t="n">
        <v>-101</v>
      </c>
      <c r="L200" s="20" t="n">
        <v>-68</v>
      </c>
      <c r="M200" s="20" t="n">
        <v>-88</v>
      </c>
      <c r="N200" s="20" t="n">
        <v>-112</v>
      </c>
      <c r="V200" s="20" t="n">
        <v>-43</v>
      </c>
      <c r="W200" s="20" t="n">
        <v>-90</v>
      </c>
      <c r="X200" s="20" t="n">
        <v>-88</v>
      </c>
    </row>
    <row r="201">
      <c r="A201" s="18" t="inlineStr">
        <is>
          <t>합계 · 부문 이익(손실)</t>
        </is>
      </c>
      <c r="C201" s="20" t="n">
        <v>1238</v>
      </c>
      <c r="D201" s="20" t="n">
        <v>2285</v>
      </c>
      <c r="E201" s="20" t="n">
        <v>915</v>
      </c>
      <c r="F201" s="20" t="n">
        <v>1681</v>
      </c>
      <c r="G201" s="20" t="n">
        <v>1022</v>
      </c>
      <c r="H201" s="20" t="n">
        <v>2145</v>
      </c>
      <c r="I201" s="20" t="n">
        <v>979</v>
      </c>
      <c r="J201" s="20" t="n">
        <v>1124</v>
      </c>
      <c r="K201" s="20" t="n">
        <v>1396</v>
      </c>
      <c r="L201" s="20" t="n">
        <v>2925</v>
      </c>
      <c r="M201" s="20" t="n">
        <v>1450</v>
      </c>
      <c r="N201" s="20" t="n">
        <v>1504</v>
      </c>
      <c r="V201" s="20" t="n">
        <v>915</v>
      </c>
      <c r="W201" s="20" t="n">
        <v>979</v>
      </c>
      <c r="X201" s="20" t="n">
        <v>1450</v>
      </c>
    </row>
    <row r="202">
      <c r="A202" s="18" t="inlineStr">
        <is>
          <t>조정액 · 부문 이익(손실)</t>
        </is>
      </c>
      <c r="C202" s="20" t="n">
        <v>-494</v>
      </c>
      <c r="D202" s="20" t="n">
        <v>-478</v>
      </c>
      <c r="E202" s="20" t="n">
        <v>-541</v>
      </c>
      <c r="F202" s="20" t="n">
        <v>-486</v>
      </c>
      <c r="G202" s="20" t="n">
        <v>-503</v>
      </c>
      <c r="H202" s="20" t="n">
        <v>-414</v>
      </c>
      <c r="I202" s="20" t="n">
        <v>-520</v>
      </c>
      <c r="J202" s="20" t="n">
        <v>-538</v>
      </c>
      <c r="K202" s="20" t="n">
        <v>-528</v>
      </c>
      <c r="L202" s="20" t="n">
        <v>-512</v>
      </c>
      <c r="M202" s="20" t="n">
        <v>-596</v>
      </c>
      <c r="N202" s="20" t="n">
        <v>-545</v>
      </c>
      <c r="V202" s="20" t="n">
        <v>-541</v>
      </c>
      <c r="W202" s="20" t="n">
        <v>-520</v>
      </c>
      <c r="X202" s="20" t="n">
        <v>-596</v>
      </c>
    </row>
    <row r="203">
      <c r="A203" s="9" t="inlineStr">
        <is>
          <t>부문 이익(손실)</t>
        </is>
      </c>
      <c r="C203" s="12" t="n">
        <v>744</v>
      </c>
      <c r="D203" s="12" t="n">
        <v>1806</v>
      </c>
      <c r="E203" s="12" t="n">
        <v>374</v>
      </c>
      <c r="F203" s="12" t="n">
        <v>1194</v>
      </c>
      <c r="G203" s="12" t="n">
        <v>519</v>
      </c>
      <c r="H203" s="12" t="n">
        <v>1732</v>
      </c>
      <c r="I203" s="12" t="n">
        <v>458</v>
      </c>
      <c r="J203" s="12" t="n">
        <v>586</v>
      </c>
      <c r="K203" s="12" t="n">
        <v>868</v>
      </c>
      <c r="L203" s="12" t="n">
        <v>2413</v>
      </c>
      <c r="M203" s="12" t="n">
        <v>853</v>
      </c>
      <c r="N203" s="12" t="n">
        <v>959</v>
      </c>
      <c r="V203" s="12" t="n">
        <v>374</v>
      </c>
      <c r="W203" s="12" t="n">
        <v>458</v>
      </c>
      <c r="X203" s="12" t="n">
        <v>853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J204" s="15">
        <f>IF(OR(J203="",F203=""),"",IF(F203&lt;=0,"",IFERROR(J203/F203-1,"")))</f>
        <v/>
      </c>
      <c r="K204" s="15">
        <f>IF(OR(K203="",G203=""),"",IF(G203&lt;=0,"",IFERROR(K203/G203-1,"")))</f>
        <v/>
      </c>
      <c r="L204" s="15">
        <f>IF(OR(L203="",H203=""),"",IF(H203&lt;=0,"",IFERROR(L203/H203-1,"")))</f>
        <v/>
      </c>
      <c r="M204" s="15">
        <f>IF(OR(M203="",I203=""),"",IF(I203&lt;=0,"",IFERROR(M203/I203-1,"")))</f>
        <v/>
      </c>
      <c r="N204" s="15">
        <f>IF(OR(N203="",J203=""),"",IF(J203&lt;=0,"",IFERROR(N203/J203-1,"")))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  <c r="X204" s="15">
        <f>IF(OR(X203="",W203=""),"",IF(W203&lt;=0,"",IFERROR(X203/W203-1,"")))</f>
        <v/>
      </c>
    </row>
    <row r="206">
      <c r="A206" s="16" t="inlineStr">
        <is>
          <t>현금흐름표 · 전 항목</t>
        </is>
      </c>
      <c r="B206" s="42" t="inlineStr">
        <is>
          <t>분기 = 결산기 첫날부터 누계(공시 그대로)</t>
        </is>
      </c>
      <c r="C206" s="16" t="n"/>
      <c r="D206" s="16" t="n"/>
      <c r="E206" s="16" t="n"/>
      <c r="F206" s="16" t="n"/>
      <c r="G206" s="16" t="n"/>
      <c r="H206" s="16" t="n"/>
      <c r="I206" s="16" t="n"/>
      <c r="J206" s="16" t="n"/>
      <c r="K206" s="16" t="n"/>
      <c r="L206" s="16" t="n"/>
      <c r="M206" s="16" t="n"/>
      <c r="N206" s="16" t="n"/>
      <c r="O206" s="16" t="n"/>
      <c r="P206" s="16" t="n"/>
      <c r="Q206" s="16" t="n"/>
      <c r="R206" s="16" t="n"/>
      <c r="S206" s="16" t="n"/>
      <c r="T206" s="16" t="n"/>
      <c r="U206" s="16" t="n"/>
      <c r="V206" s="16" t="n"/>
      <c r="W206" s="16" t="n"/>
      <c r="X206" s="16" t="n"/>
      <c r="Y206" s="16" t="n"/>
      <c r="Z206" s="16" t="n"/>
      <c r="AA206" s="16" t="n"/>
      <c r="AB206" s="16" t="n"/>
      <c r="AC206" s="16" t="n"/>
    </row>
    <row r="207">
      <c r="A207" s="5" t="inlineStr">
        <is>
          <t>항목</t>
        </is>
      </c>
      <c r="B207" s="5" t="inlineStr">
        <is>
          <t>참고</t>
        </is>
      </c>
      <c r="C207" s="5" t="inlineStr">
        <is>
          <t>2024.2Q</t>
        </is>
      </c>
      <c r="D207" s="5" t="inlineStr">
        <is>
          <t>2024.3Q</t>
        </is>
      </c>
      <c r="E207" s="5" t="inlineStr">
        <is>
          <t>2024.4Q</t>
        </is>
      </c>
      <c r="F207" s="5" t="inlineStr">
        <is>
          <t>2025.1Q</t>
        </is>
      </c>
      <c r="G207" s="5" t="inlineStr">
        <is>
          <t>2025.2Q</t>
        </is>
      </c>
      <c r="H207" s="5" t="inlineStr">
        <is>
          <t>2025.3Q</t>
        </is>
      </c>
      <c r="I207" s="5" t="inlineStr">
        <is>
          <t>2025.4Q</t>
        </is>
      </c>
      <c r="J207" s="5" t="inlineStr">
        <is>
          <t>2026.1Q</t>
        </is>
      </c>
      <c r="K207" s="5" t="inlineStr">
        <is>
          <t>2026.2Q</t>
        </is>
      </c>
      <c r="L207" s="5" t="inlineStr">
        <is>
          <t>2026.3Q</t>
        </is>
      </c>
      <c r="M207" s="5" t="inlineStr">
        <is>
          <t>2026.4Q</t>
        </is>
      </c>
      <c r="N207" s="5" t="inlineStr">
        <is>
          <t>2027.1Q</t>
        </is>
      </c>
      <c r="O207" s="5" t="inlineStr">
        <is>
          <t>2017</t>
        </is>
      </c>
      <c r="P207" s="5" t="inlineStr">
        <is>
          <t>2018</t>
        </is>
      </c>
      <c r="Q207" s="5" t="inlineStr">
        <is>
          <t>2019</t>
        </is>
      </c>
      <c r="R207" s="5" t="inlineStr">
        <is>
          <t>2020</t>
        </is>
      </c>
      <c r="S207" s="5" t="inlineStr">
        <is>
          <t>2021</t>
        </is>
      </c>
      <c r="T207" s="5" t="inlineStr">
        <is>
          <t>2022</t>
        </is>
      </c>
      <c r="U207" s="5" t="inlineStr">
        <is>
          <t>2023</t>
        </is>
      </c>
      <c r="V207" s="5" t="inlineStr">
        <is>
          <t>2024</t>
        </is>
      </c>
      <c r="W207" s="5" t="inlineStr">
        <is>
          <t>2025</t>
        </is>
      </c>
      <c r="X207" s="5" t="inlineStr">
        <is>
          <t>2026</t>
        </is>
      </c>
      <c r="Y207" s="5" t="inlineStr">
        <is>
          <t>2027(MW)</t>
        </is>
      </c>
      <c r="Z207" s="5" t="inlineStr">
        <is>
          <t>2028(MW)</t>
        </is>
      </c>
      <c r="AA207" s="5" t="inlineStr">
        <is>
          <t>2029(MW)</t>
        </is>
      </c>
      <c r="AB207" s="5" t="inlineStr">
        <is>
          <t>2030(MW)</t>
        </is>
      </c>
      <c r="AC207" s="5" t="inlineStr">
        <is>
          <t>2031(MW)</t>
        </is>
      </c>
    </row>
    <row r="208">
      <c r="A208" s="9" t="inlineStr">
        <is>
          <t>법인세차감전 순이익</t>
        </is>
      </c>
      <c r="C208" s="12" t="n">
        <v>1223</v>
      </c>
      <c r="E208" s="12" t="n">
        <v>2779</v>
      </c>
      <c r="G208" s="12" t="n">
        <v>1628</v>
      </c>
      <c r="I208" s="12" t="n">
        <v>3490</v>
      </c>
      <c r="K208" s="12" t="n">
        <v>1347</v>
      </c>
      <c r="M208" s="12" t="n">
        <v>4396</v>
      </c>
      <c r="Q208" s="12" t="n">
        <v>1777</v>
      </c>
      <c r="R208" s="12" t="n">
        <v>901</v>
      </c>
      <c r="T208" s="12" t="n">
        <v>2332</v>
      </c>
      <c r="U208" s="12" t="n">
        <v>2771</v>
      </c>
      <c r="V208" s="12" t="n">
        <v>2779</v>
      </c>
      <c r="W208" s="12" t="n">
        <v>3490</v>
      </c>
      <c r="X208" s="12" t="n">
        <v>4396</v>
      </c>
    </row>
    <row r="209">
      <c r="A209" s="18" t="inlineStr">
        <is>
          <t>감가상각비</t>
        </is>
      </c>
      <c r="C209" s="20" t="n">
        <v>814</v>
      </c>
      <c r="E209" s="20" t="n">
        <v>1860</v>
      </c>
      <c r="G209" s="20" t="n">
        <v>1059</v>
      </c>
      <c r="I209" s="20" t="n">
        <v>2201</v>
      </c>
      <c r="K209" s="20" t="n">
        <v>1117</v>
      </c>
      <c r="M209" s="20" t="n">
        <v>2395</v>
      </c>
      <c r="Q209" s="20" t="n">
        <v>1570</v>
      </c>
      <c r="R209" s="20" t="n">
        <v>1581</v>
      </c>
      <c r="T209" s="20" t="n">
        <v>1523</v>
      </c>
      <c r="U209" s="20" t="n">
        <v>1650</v>
      </c>
      <c r="V209" s="20" t="n">
        <v>1860</v>
      </c>
      <c r="W209" s="20" t="n">
        <v>2201</v>
      </c>
      <c r="X209" s="20" t="n">
        <v>2395</v>
      </c>
    </row>
    <row r="210">
      <c r="A210" s="18" t="inlineStr">
        <is>
          <t>손상차손</t>
        </is>
      </c>
      <c r="C210" s="20" t="n">
        <v>12</v>
      </c>
      <c r="E210" s="20" t="n">
        <v>93</v>
      </c>
      <c r="G210" s="20" t="n">
        <v>23</v>
      </c>
      <c r="I210" s="20" t="n">
        <v>252</v>
      </c>
      <c r="K210" s="20" t="n">
        <v>37</v>
      </c>
      <c r="M210" s="20" t="n">
        <v>231</v>
      </c>
      <c r="Q210" s="20" t="n">
        <v>274</v>
      </c>
      <c r="R210" s="20" t="n">
        <v>592</v>
      </c>
      <c r="T210" s="20" t="n">
        <v>0</v>
      </c>
      <c r="U210" s="20" t="n">
        <v>104</v>
      </c>
      <c r="V210" s="20" t="n">
        <v>93</v>
      </c>
      <c r="W210" s="20" t="n">
        <v>252</v>
      </c>
      <c r="X210" s="20" t="n">
        <v>231</v>
      </c>
    </row>
    <row r="211">
      <c r="A211" s="18" t="inlineStr">
        <is>
          <t>영업권 상각</t>
        </is>
      </c>
      <c r="C211" s="20" t="n">
        <v>21</v>
      </c>
      <c r="E211" s="20" t="n">
        <v>40</v>
      </c>
      <c r="G211" s="20" t="n">
        <v>1</v>
      </c>
      <c r="I211" s="20" t="n">
        <v>3</v>
      </c>
      <c r="K211" s="20" t="n">
        <v>5</v>
      </c>
      <c r="M211" s="20" t="n">
        <v>13</v>
      </c>
      <c r="Q211" s="20" t="n">
        <v>75</v>
      </c>
      <c r="R211" s="20" t="n">
        <v>130</v>
      </c>
      <c r="T211" s="20" t="n">
        <v>48</v>
      </c>
      <c r="U211" s="20" t="n">
        <v>47</v>
      </c>
      <c r="V211" s="20" t="n">
        <v>40</v>
      </c>
      <c r="W211" s="20" t="n">
        <v>3</v>
      </c>
      <c r="X211" s="20" t="n">
        <v>13</v>
      </c>
    </row>
    <row r="212">
      <c r="A212" s="18" t="inlineStr">
        <is>
          <t>상여충당금 증감</t>
        </is>
      </c>
      <c r="C212" s="20" t="n">
        <v>-39</v>
      </c>
      <c r="E212" s="20" t="n">
        <v>42</v>
      </c>
      <c r="G212" s="20" t="n">
        <v>-45</v>
      </c>
      <c r="I212" s="20" t="n">
        <v>164</v>
      </c>
      <c r="K212" s="20" t="n">
        <v>-104</v>
      </c>
      <c r="M212" s="20" t="n">
        <v>366</v>
      </c>
      <c r="R212" s="20" t="n">
        <v>25</v>
      </c>
      <c r="T212" s="20" t="n">
        <v>16</v>
      </c>
      <c r="U212" s="20" t="n">
        <v>46</v>
      </c>
      <c r="V212" s="20" t="n">
        <v>42</v>
      </c>
      <c r="W212" s="20" t="n">
        <v>164</v>
      </c>
      <c r="X212" s="20" t="n">
        <v>366</v>
      </c>
    </row>
    <row r="213">
      <c r="A213" s="18" t="inlineStr">
        <is>
          <t>대손충당금 증감</t>
        </is>
      </c>
      <c r="C213" s="20" t="n">
        <v>0</v>
      </c>
      <c r="E213" s="20" t="n">
        <v>0</v>
      </c>
      <c r="G213" s="20" t="n">
        <v>0</v>
      </c>
      <c r="I213" s="20" t="n">
        <v>0</v>
      </c>
      <c r="K213" s="20" t="n">
        <v>93</v>
      </c>
      <c r="M213" s="20" t="n">
        <v>93</v>
      </c>
      <c r="Q213" s="20" t="n">
        <v>7</v>
      </c>
      <c r="R213" s="20" t="n">
        <v>-5</v>
      </c>
      <c r="T213" s="20" t="n">
        <v>-0</v>
      </c>
      <c r="U213" s="20" t="n">
        <v>0</v>
      </c>
      <c r="V213" s="20" t="n">
        <v>0</v>
      </c>
      <c r="W213" s="20" t="n">
        <v>0</v>
      </c>
      <c r="X213" s="20" t="n">
        <v>93</v>
      </c>
    </row>
    <row r="214">
      <c r="A214" s="18" t="inlineStr">
        <is>
          <t>점포 폐쇄손실 충당금 증감</t>
        </is>
      </c>
      <c r="C214" s="20" t="n">
        <v>-2</v>
      </c>
      <c r="E214" s="20" t="n">
        <v>34</v>
      </c>
      <c r="G214" s="20" t="n">
        <v>-1</v>
      </c>
      <c r="I214" s="20" t="n">
        <v>-9</v>
      </c>
      <c r="K214" s="20" t="n">
        <v>12</v>
      </c>
      <c r="M214" s="20" t="n">
        <v>42</v>
      </c>
      <c r="Q214" s="20" t="n">
        <v>40</v>
      </c>
      <c r="R214" s="20" t="n">
        <v>2</v>
      </c>
      <c r="T214" s="20" t="n">
        <v>13</v>
      </c>
      <c r="U214" s="20" t="n">
        <v>4</v>
      </c>
      <c r="V214" s="20" t="n">
        <v>34</v>
      </c>
      <c r="W214" s="20" t="n">
        <v>-9</v>
      </c>
      <c r="X214" s="20" t="n">
        <v>42</v>
      </c>
    </row>
    <row r="215">
      <c r="A215" s="18" t="inlineStr">
        <is>
          <t>매출리베이트 충당금 증감</t>
        </is>
      </c>
      <c r="Q215" s="20" t="n">
        <v>-134</v>
      </c>
      <c r="R215" s="20" t="n">
        <v>-56</v>
      </c>
      <c r="T215" s="20" t="n">
        <v>0</v>
      </c>
    </row>
    <row r="216">
      <c r="A216" s="18" t="inlineStr">
        <is>
          <t>특별조사 비용 충당금 증감</t>
        </is>
      </c>
      <c r="E216" s="20" t="n">
        <v>550</v>
      </c>
      <c r="U216" s="20" t="n">
        <v>0</v>
      </c>
      <c r="V216" s="20" t="n">
        <v>550</v>
      </c>
    </row>
    <row r="217">
      <c r="A217" s="18" t="inlineStr">
        <is>
          <t>기타 충당금 증감</t>
        </is>
      </c>
      <c r="C217" s="20" t="n">
        <v>-53</v>
      </c>
      <c r="E217" s="20" t="n">
        <v>19</v>
      </c>
      <c r="G217" s="20" t="n">
        <v>-58</v>
      </c>
      <c r="I217" s="20" t="n">
        <v>-5</v>
      </c>
      <c r="K217" s="20" t="n">
        <v>-56</v>
      </c>
      <c r="M217" s="20" t="n">
        <v>12</v>
      </c>
      <c r="T217" s="20" t="n">
        <v>67</v>
      </c>
      <c r="U217" s="20" t="n">
        <v>-125</v>
      </c>
      <c r="V217" s="20" t="n">
        <v>19</v>
      </c>
      <c r="W217" s="20" t="n">
        <v>-5</v>
      </c>
      <c r="X217" s="20" t="n">
        <v>12</v>
      </c>
    </row>
    <row r="218">
      <c r="A218" s="18" t="inlineStr">
        <is>
          <t>이자비용</t>
        </is>
      </c>
      <c r="C218" s="20" t="n">
        <v>88</v>
      </c>
      <c r="E218" s="20" t="n">
        <v>194</v>
      </c>
      <c r="G218" s="20" t="n">
        <v>112</v>
      </c>
      <c r="I218" s="20" t="n">
        <v>254</v>
      </c>
      <c r="K218" s="20" t="n">
        <v>148</v>
      </c>
      <c r="M218" s="20" t="n">
        <v>336</v>
      </c>
      <c r="Q218" s="20" t="n">
        <v>156</v>
      </c>
      <c r="R218" s="20" t="n">
        <v>159</v>
      </c>
      <c r="T218" s="20" t="n">
        <v>145</v>
      </c>
      <c r="U218" s="20" t="n">
        <v>171</v>
      </c>
      <c r="V218" s="20" t="n">
        <v>194</v>
      </c>
      <c r="W218" s="20" t="n">
        <v>254</v>
      </c>
      <c r="X218" s="20" t="n">
        <v>336</v>
      </c>
    </row>
    <row r="219">
      <c r="A219" s="18" t="inlineStr">
        <is>
          <t>지분법손익</t>
        </is>
      </c>
      <c r="C219" s="20" t="n">
        <v>6</v>
      </c>
      <c r="E219" s="20" t="n">
        <v>16</v>
      </c>
      <c r="G219" s="20" t="n">
        <v>4</v>
      </c>
      <c r="I219" s="20" t="n">
        <v>10</v>
      </c>
      <c r="K219" s="20" t="n">
        <v>6</v>
      </c>
      <c r="M219" s="20" t="n">
        <v>14</v>
      </c>
      <c r="Q219" s="20" t="n">
        <v>8</v>
      </c>
      <c r="R219" s="20" t="n">
        <v>-13</v>
      </c>
      <c r="T219" s="20" t="n">
        <v>3</v>
      </c>
      <c r="U219" s="20" t="n">
        <v>-53</v>
      </c>
      <c r="V219" s="20" t="n">
        <v>16</v>
      </c>
      <c r="W219" s="20" t="n">
        <v>10</v>
      </c>
      <c r="X219" s="20" t="n">
        <v>14</v>
      </c>
    </row>
    <row r="220">
      <c r="A220" s="18" t="inlineStr">
        <is>
          <t>점포 폐쇄손실</t>
        </is>
      </c>
      <c r="C220" s="20" t="n">
        <v>14</v>
      </c>
      <c r="E220" s="20" t="n">
        <v>42</v>
      </c>
      <c r="G220" s="20" t="n">
        <v>7</v>
      </c>
      <c r="I220" s="20" t="n">
        <v>50</v>
      </c>
      <c r="Q220" s="20" t="n">
        <v>49</v>
      </c>
      <c r="R220" s="20" t="n">
        <v>74</v>
      </c>
      <c r="T220" s="20" t="n">
        <v>4</v>
      </c>
      <c r="U220" s="20" t="n">
        <v>53</v>
      </c>
      <c r="V220" s="20" t="n">
        <v>42</v>
      </c>
      <c r="W220" s="20" t="n">
        <v>50</v>
      </c>
    </row>
    <row r="221">
      <c r="A221" s="18" t="inlineStr">
        <is>
          <t>점포 폐쇄손실 충당금 전입</t>
        </is>
      </c>
      <c r="T221" s="20" t="n">
        <v>18</v>
      </c>
    </row>
    <row r="222">
      <c r="A222" s="18" t="inlineStr">
        <is>
          <t>투자유가증권 매각손익</t>
        </is>
      </c>
      <c r="C222" s="20" t="n">
        <v>0</v>
      </c>
      <c r="E222" s="20" t="n">
        <v>-17</v>
      </c>
      <c r="G222" s="20" t="n">
        <v>0</v>
      </c>
      <c r="I222" s="20" t="n">
        <v>0</v>
      </c>
      <c r="K222" s="20" t="n">
        <v>-67</v>
      </c>
      <c r="M222" s="20" t="n">
        <v>-67</v>
      </c>
      <c r="T222" s="20" t="n">
        <v>2</v>
      </c>
      <c r="U222" s="20" t="n">
        <v>2</v>
      </c>
      <c r="V222" s="20" t="n">
        <v>-17</v>
      </c>
      <c r="W222" s="20" t="n">
        <v>0</v>
      </c>
      <c r="X222" s="20" t="n">
        <v>-67</v>
      </c>
    </row>
    <row r="223">
      <c r="A223" s="18" t="inlineStr">
        <is>
          <t>투자유가증권 평가손익</t>
        </is>
      </c>
      <c r="Q223" s="20" t="n">
        <v>0</v>
      </c>
      <c r="R223" s="20" t="n">
        <v>2</v>
      </c>
      <c r="T223" s="20" t="n">
        <v>0</v>
      </c>
    </row>
    <row r="224">
      <c r="A224" s="18" t="inlineStr">
        <is>
          <t>특별조사 비용</t>
        </is>
      </c>
      <c r="C224" s="20" t="n">
        <v>0</v>
      </c>
      <c r="G224" s="20" t="n">
        <v>18</v>
      </c>
      <c r="K224" s="20" t="n">
        <v>0</v>
      </c>
    </row>
    <row r="225">
      <c r="A225" s="18" t="inlineStr">
        <is>
          <t>고정자산 매각손익</t>
        </is>
      </c>
      <c r="C225" s="20" t="n">
        <v>-0</v>
      </c>
      <c r="E225" s="20" t="n">
        <v>0</v>
      </c>
      <c r="G225" s="20" t="n">
        <v>-0</v>
      </c>
      <c r="I225" s="20" t="n">
        <v>-0</v>
      </c>
      <c r="K225" s="20" t="n">
        <v>-3</v>
      </c>
      <c r="M225" s="20" t="n">
        <v>-4</v>
      </c>
      <c r="T225" s="20" t="n">
        <v>0</v>
      </c>
      <c r="U225" s="20" t="n">
        <v>-3</v>
      </c>
      <c r="V225" s="20" t="n">
        <v>0</v>
      </c>
      <c r="W225" s="20" t="n">
        <v>-0</v>
      </c>
      <c r="X225" s="20" t="n">
        <v>-4</v>
      </c>
    </row>
    <row r="226">
      <c r="A226" s="18" t="inlineStr">
        <is>
          <t>고정자산 제각손실</t>
        </is>
      </c>
      <c r="C226" s="20" t="n">
        <v>18</v>
      </c>
      <c r="E226" s="20" t="n">
        <v>73</v>
      </c>
      <c r="G226" s="20" t="n">
        <v>12</v>
      </c>
      <c r="I226" s="20" t="n">
        <v>46</v>
      </c>
      <c r="K226" s="20" t="n">
        <v>30</v>
      </c>
      <c r="M226" s="20" t="n">
        <v>69</v>
      </c>
      <c r="Q226" s="20" t="n">
        <v>121</v>
      </c>
      <c r="R226" s="20" t="n">
        <v>229</v>
      </c>
      <c r="T226" s="20" t="n">
        <v>75</v>
      </c>
      <c r="U226" s="20" t="n">
        <v>99</v>
      </c>
      <c r="V226" s="20" t="n">
        <v>73</v>
      </c>
      <c r="W226" s="20" t="n">
        <v>46</v>
      </c>
      <c r="X226" s="20" t="n">
        <v>69</v>
      </c>
    </row>
    <row r="227">
      <c r="A227" s="18" t="inlineStr">
        <is>
          <t>재해 손실</t>
        </is>
      </c>
      <c r="Q227" s="20" t="n">
        <v>18</v>
      </c>
    </row>
    <row r="228">
      <c r="A228" s="18" t="inlineStr">
        <is>
          <t>이전 보상금</t>
        </is>
      </c>
      <c r="E228" s="20" t="n">
        <v>-93</v>
      </c>
      <c r="I228" s="20" t="n">
        <v>0</v>
      </c>
      <c r="M228" s="20" t="n">
        <v>-90</v>
      </c>
      <c r="Q228" s="20" t="n">
        <v>-60</v>
      </c>
      <c r="R228" s="20" t="n">
        <v>-6</v>
      </c>
      <c r="T228" s="20" t="n">
        <v>-58</v>
      </c>
      <c r="U228" s="20" t="n">
        <v>0</v>
      </c>
      <c r="V228" s="20" t="n">
        <v>-93</v>
      </c>
      <c r="W228" s="20" t="n">
        <v>0</v>
      </c>
      <c r="X228" s="20" t="n">
        <v>-90</v>
      </c>
    </row>
    <row r="229">
      <c r="A229" s="18" t="inlineStr">
        <is>
          <t>관계회사 청산이익</t>
        </is>
      </c>
      <c r="Q229" s="20" t="n">
        <v>0</v>
      </c>
      <c r="R229" s="20" t="n">
        <v>-11</v>
      </c>
    </row>
    <row r="230">
      <c r="A230" s="18" t="inlineStr">
        <is>
          <t>관계회사 청산손실</t>
        </is>
      </c>
      <c r="Q230" s="20" t="n">
        <v>0</v>
      </c>
      <c r="R230" s="20" t="n">
        <v>71</v>
      </c>
    </row>
    <row r="231">
      <c r="A231" s="18" t="inlineStr">
        <is>
          <t>채무면제이익</t>
        </is>
      </c>
      <c r="T231" s="20" t="n">
        <v>-139</v>
      </c>
      <c r="U231" s="20" t="n">
        <v>0</v>
      </c>
    </row>
    <row r="232">
      <c r="A232" s="18" t="inlineStr">
        <is>
          <t>코로나19 관련 손실</t>
        </is>
      </c>
      <c r="R232" s="20" t="n">
        <v>14</v>
      </c>
      <c r="T232" s="20" t="n">
        <v>71</v>
      </c>
      <c r="U232" s="20" t="n">
        <v>0</v>
      </c>
    </row>
    <row r="233">
      <c r="A233" s="18" t="inlineStr">
        <is>
          <t>재해 손실</t>
        </is>
      </c>
      <c r="E233" s="20" t="n">
        <v>0</v>
      </c>
      <c r="I233" s="20" t="n">
        <v>25</v>
      </c>
      <c r="M233" s="20" t="n">
        <v>0</v>
      </c>
      <c r="Q233" s="20" t="n">
        <v>18</v>
      </c>
      <c r="R233" s="20" t="n">
        <v>29</v>
      </c>
      <c r="V233" s="20" t="n">
        <v>0</v>
      </c>
      <c r="W233" s="20" t="n">
        <v>25</v>
      </c>
      <c r="X233" s="20" t="n">
        <v>0</v>
      </c>
    </row>
    <row r="234">
      <c r="A234" s="18" t="inlineStr">
        <is>
          <t>관계회사 출자금 매각손익</t>
        </is>
      </c>
      <c r="G234" s="20" t="n">
        <v>0</v>
      </c>
      <c r="I234" s="20" t="n">
        <v>0</v>
      </c>
      <c r="K234" s="20" t="n">
        <v>52</v>
      </c>
      <c r="M234" s="20" t="n">
        <v>52</v>
      </c>
      <c r="W234" s="20" t="n">
        <v>0</v>
      </c>
      <c r="X234" s="20" t="n">
        <v>52</v>
      </c>
    </row>
    <row r="235">
      <c r="A235" s="18" t="inlineStr">
        <is>
          <t>매출채권 증감</t>
        </is>
      </c>
      <c r="C235" s="20" t="n">
        <v>-216</v>
      </c>
      <c r="E235" s="20" t="n">
        <v>-388</v>
      </c>
      <c r="G235" s="20" t="n">
        <v>-211</v>
      </c>
      <c r="I235" s="20" t="n">
        <v>-491</v>
      </c>
      <c r="K235" s="20" t="n">
        <v>-236</v>
      </c>
      <c r="M235" s="20" t="n">
        <v>-642</v>
      </c>
      <c r="Q235" s="20" t="n">
        <v>-103</v>
      </c>
      <c r="R235" s="20" t="n">
        <v>-263</v>
      </c>
      <c r="T235" s="20" t="n">
        <v>-211</v>
      </c>
      <c r="U235" s="20" t="n">
        <v>-672</v>
      </c>
      <c r="V235" s="20" t="n">
        <v>-388</v>
      </c>
      <c r="W235" s="20" t="n">
        <v>-491</v>
      </c>
      <c r="X235" s="20" t="n">
        <v>-642</v>
      </c>
    </row>
    <row r="236">
      <c r="A236" s="18" t="inlineStr">
        <is>
          <t>재고자산 증감</t>
        </is>
      </c>
      <c r="C236" s="20" t="n">
        <v>-1328</v>
      </c>
      <c r="E236" s="20" t="n">
        <v>-1136</v>
      </c>
      <c r="G236" s="20" t="n">
        <v>-348</v>
      </c>
      <c r="I236" s="20" t="n">
        <v>-909</v>
      </c>
      <c r="K236" s="20" t="n">
        <v>-221</v>
      </c>
      <c r="M236" s="20" t="n">
        <v>-1200</v>
      </c>
      <c r="Q236" s="20" t="n">
        <v>78</v>
      </c>
      <c r="R236" s="20" t="n">
        <v>54</v>
      </c>
      <c r="T236" s="20" t="n">
        <v>-1591</v>
      </c>
      <c r="U236" s="20" t="n">
        <v>-2142</v>
      </c>
      <c r="V236" s="20" t="n">
        <v>-1136</v>
      </c>
      <c r="W236" s="20" t="n">
        <v>-909</v>
      </c>
      <c r="X236" s="20" t="n">
        <v>-1200</v>
      </c>
    </row>
    <row r="237">
      <c r="A237" s="18" t="inlineStr">
        <is>
          <t>매입채무 증감</t>
        </is>
      </c>
      <c r="C237" s="20" t="n">
        <v>82</v>
      </c>
      <c r="E237" s="20" t="n">
        <v>-32</v>
      </c>
      <c r="G237" s="20" t="n">
        <v>123</v>
      </c>
      <c r="I237" s="20" t="n">
        <v>-124</v>
      </c>
      <c r="K237" s="20" t="n">
        <v>322</v>
      </c>
      <c r="M237" s="20" t="n">
        <v>176</v>
      </c>
      <c r="Q237" s="20" t="n">
        <v>-20</v>
      </c>
      <c r="R237" s="20" t="n">
        <v>14</v>
      </c>
      <c r="T237" s="20" t="n">
        <v>174</v>
      </c>
      <c r="U237" s="20" t="n">
        <v>78</v>
      </c>
      <c r="V237" s="20" t="n">
        <v>-32</v>
      </c>
      <c r="W237" s="20" t="n">
        <v>-124</v>
      </c>
      <c r="X237" s="20" t="n">
        <v>176</v>
      </c>
    </row>
    <row r="238">
      <c r="A238" s="18" t="inlineStr">
        <is>
          <t>미지급금 증감</t>
        </is>
      </c>
      <c r="Q238" s="20" t="n">
        <v>495</v>
      </c>
      <c r="R238" s="20" t="n">
        <v>-82</v>
      </c>
    </row>
    <row r="239">
      <c r="A239" s="18" t="inlineStr">
        <is>
          <t>기타</t>
        </is>
      </c>
      <c r="C239" s="20" t="n">
        <v>-306</v>
      </c>
      <c r="E239" s="20" t="n">
        <v>1132</v>
      </c>
      <c r="G239" s="20" t="n">
        <v>99</v>
      </c>
      <c r="I239" s="20" t="n">
        <v>548</v>
      </c>
      <c r="K239" s="20" t="n">
        <v>-536</v>
      </c>
      <c r="M239" s="20" t="n">
        <v>143</v>
      </c>
      <c r="Q239" s="20" t="n">
        <v>-449</v>
      </c>
      <c r="R239" s="20" t="n">
        <v>295</v>
      </c>
      <c r="T239" s="20" t="n">
        <v>514</v>
      </c>
      <c r="U239" s="20" t="n">
        <v>-574</v>
      </c>
      <c r="V239" s="20" t="n">
        <v>1132</v>
      </c>
      <c r="W239" s="20" t="n">
        <v>548</v>
      </c>
      <c r="X239" s="20" t="n">
        <v>143</v>
      </c>
    </row>
    <row r="240">
      <c r="A240" s="18" t="inlineStr">
        <is>
          <t>소계</t>
        </is>
      </c>
      <c r="C240" s="20" t="n">
        <v>334</v>
      </c>
      <c r="E240" s="20" t="n">
        <v>4662</v>
      </c>
      <c r="G240" s="20" t="n">
        <v>2417</v>
      </c>
      <c r="I240" s="20" t="n">
        <v>5457</v>
      </c>
      <c r="K240" s="20" t="n">
        <v>1947</v>
      </c>
      <c r="M240" s="20" t="n">
        <v>6339</v>
      </c>
      <c r="Q240" s="20" t="n">
        <v>3903</v>
      </c>
      <c r="R240" s="20" t="n">
        <v>3819</v>
      </c>
      <c r="T240" s="20" t="n">
        <v>2990</v>
      </c>
      <c r="U240" s="20" t="n">
        <v>1459</v>
      </c>
      <c r="V240" s="20" t="n">
        <v>4662</v>
      </c>
      <c r="W240" s="20" t="n">
        <v>5457</v>
      </c>
      <c r="X240" s="20" t="n">
        <v>6339</v>
      </c>
    </row>
    <row r="241">
      <c r="A241" s="18" t="inlineStr">
        <is>
          <t>이자·배당금 수취</t>
        </is>
      </c>
      <c r="C241" s="20" t="n">
        <v>5</v>
      </c>
      <c r="E241" s="20" t="n">
        <v>5</v>
      </c>
      <c r="G241" s="20" t="n">
        <v>8</v>
      </c>
      <c r="I241" s="20" t="n">
        <v>20</v>
      </c>
      <c r="K241" s="20" t="n">
        <v>13</v>
      </c>
      <c r="M241" s="20" t="n">
        <v>27</v>
      </c>
      <c r="Q241" s="20" t="n">
        <v>7</v>
      </c>
      <c r="R241" s="20" t="n">
        <v>7</v>
      </c>
      <c r="T241" s="20" t="n">
        <v>7</v>
      </c>
      <c r="U241" s="20" t="n">
        <v>8</v>
      </c>
      <c r="V241" s="20" t="n">
        <v>5</v>
      </c>
      <c r="W241" s="20" t="n">
        <v>20</v>
      </c>
      <c r="X241" s="20" t="n">
        <v>27</v>
      </c>
    </row>
    <row r="242">
      <c r="A242" s="18" t="inlineStr">
        <is>
          <t>이자 지급</t>
        </is>
      </c>
      <c r="C242" s="20" t="n">
        <v>-88</v>
      </c>
      <c r="E242" s="20" t="n">
        <v>-175</v>
      </c>
      <c r="G242" s="20" t="n">
        <v>-102</v>
      </c>
      <c r="I242" s="20" t="n">
        <v>-243</v>
      </c>
      <c r="K242" s="20" t="n">
        <v>-153</v>
      </c>
      <c r="M242" s="20" t="n">
        <v>-335</v>
      </c>
      <c r="Q242" s="20" t="n">
        <v>-155</v>
      </c>
      <c r="R242" s="20" t="n">
        <v>-160</v>
      </c>
      <c r="T242" s="20" t="n">
        <v>-145</v>
      </c>
      <c r="U242" s="20" t="n">
        <v>-172</v>
      </c>
      <c r="V242" s="20" t="n">
        <v>-175</v>
      </c>
      <c r="W242" s="20" t="n">
        <v>-243</v>
      </c>
      <c r="X242" s="20" t="n">
        <v>-335</v>
      </c>
    </row>
    <row r="243">
      <c r="A243" s="18" t="inlineStr">
        <is>
          <t>이전 보상금 수취</t>
        </is>
      </c>
      <c r="E243" s="20" t="n">
        <v>93</v>
      </c>
      <c r="I243" s="20" t="n">
        <v>0</v>
      </c>
      <c r="M243" s="20" t="n">
        <v>90</v>
      </c>
      <c r="Q243" s="20" t="n">
        <v>60</v>
      </c>
      <c r="R243" s="20" t="n">
        <v>6</v>
      </c>
      <c r="T243" s="20" t="n">
        <v>58</v>
      </c>
      <c r="U243" s="20" t="n">
        <v>0</v>
      </c>
      <c r="V243" s="20" t="n">
        <v>93</v>
      </c>
      <c r="W243" s="20" t="n">
        <v>0</v>
      </c>
      <c r="X243" s="20" t="n">
        <v>90</v>
      </c>
    </row>
    <row r="244">
      <c r="A244" s="18" t="inlineStr">
        <is>
          <t>채무면제이익 수취</t>
        </is>
      </c>
      <c r="T244" s="20" t="n">
        <v>139</v>
      </c>
      <c r="U244" s="20" t="n">
        <v>0</v>
      </c>
    </row>
    <row r="245">
      <c r="A245" s="18" t="inlineStr">
        <is>
          <t>코로나19 손실 지급</t>
        </is>
      </c>
      <c r="R245" s="20" t="n">
        <v>0</v>
      </c>
      <c r="T245" s="20" t="n">
        <v>-64</v>
      </c>
      <c r="U245" s="20" t="n">
        <v>0</v>
      </c>
    </row>
    <row r="246">
      <c r="A246" s="18" t="inlineStr">
        <is>
          <t>특별조사 비용 지급</t>
        </is>
      </c>
      <c r="C246" s="20" t="n">
        <v>0</v>
      </c>
      <c r="E246" s="20" t="n">
        <v>0</v>
      </c>
      <c r="G246" s="20" t="n">
        <v>-452</v>
      </c>
      <c r="I246" s="20" t="n">
        <v>-568</v>
      </c>
      <c r="K246" s="20" t="n">
        <v>0</v>
      </c>
      <c r="M246" s="20" t="n">
        <v>0</v>
      </c>
      <c r="V246" s="20" t="n">
        <v>0</v>
      </c>
      <c r="W246" s="20" t="n">
        <v>-568</v>
      </c>
      <c r="X246" s="20" t="n">
        <v>0</v>
      </c>
    </row>
    <row r="247">
      <c r="A247" s="18" t="inlineStr">
        <is>
          <t>재해손실 지급</t>
        </is>
      </c>
      <c r="E247" s="20" t="n">
        <v>0</v>
      </c>
      <c r="I247" s="20" t="n">
        <v>-25</v>
      </c>
      <c r="M247" s="20" t="n">
        <v>0</v>
      </c>
      <c r="Q247" s="20" t="n">
        <v>-18</v>
      </c>
      <c r="R247" s="20" t="n">
        <v>-29</v>
      </c>
      <c r="V247" s="20" t="n">
        <v>0</v>
      </c>
      <c r="W247" s="20" t="n">
        <v>-25</v>
      </c>
      <c r="X247" s="20" t="n">
        <v>0</v>
      </c>
    </row>
    <row r="248">
      <c r="A248" s="18" t="inlineStr">
        <is>
          <t>법인세 납부</t>
        </is>
      </c>
      <c r="C248" s="20" t="n">
        <v>-262</v>
      </c>
      <c r="E248" s="20" t="n">
        <v>-735</v>
      </c>
      <c r="G248" s="20" t="n">
        <v>-950</v>
      </c>
      <c r="I248" s="20" t="n">
        <v>-1594</v>
      </c>
      <c r="K248" s="20" t="n">
        <v>-597</v>
      </c>
      <c r="M248" s="20" t="n">
        <v>-1245</v>
      </c>
      <c r="Q248" s="20" t="n">
        <v>-1059</v>
      </c>
      <c r="R248" s="20" t="n">
        <v>-529</v>
      </c>
      <c r="T248" s="20" t="n">
        <v>-216</v>
      </c>
      <c r="U248" s="20" t="n">
        <v>-1100</v>
      </c>
      <c r="V248" s="20" t="n">
        <v>-735</v>
      </c>
      <c r="W248" s="20" t="n">
        <v>-1594</v>
      </c>
      <c r="X248" s="20" t="n">
        <v>-1245</v>
      </c>
    </row>
    <row r="249">
      <c r="A249" s="18" t="inlineStr">
        <is>
          <t>법인세 환급</t>
        </is>
      </c>
      <c r="C249" s="20" t="n">
        <v>231</v>
      </c>
      <c r="E249" s="20" t="n">
        <v>233</v>
      </c>
      <c r="G249" s="20" t="n">
        <v>14</v>
      </c>
      <c r="I249" s="20" t="n">
        <v>16</v>
      </c>
      <c r="K249" s="20" t="n">
        <v>47</v>
      </c>
      <c r="M249" s="20" t="n">
        <v>18</v>
      </c>
      <c r="Q249" s="20" t="n">
        <v>14</v>
      </c>
      <c r="R249" s="20" t="n">
        <v>429</v>
      </c>
      <c r="T249" s="20" t="n">
        <v>13</v>
      </c>
      <c r="U249" s="20" t="n">
        <v>48</v>
      </c>
      <c r="V249" s="20" t="n">
        <v>233</v>
      </c>
      <c r="W249" s="20" t="n">
        <v>16</v>
      </c>
      <c r="X249" s="20" t="n">
        <v>18</v>
      </c>
    </row>
    <row r="250">
      <c r="A250" s="18" t="inlineStr">
        <is>
          <t>리스해약 손실 지급</t>
        </is>
      </c>
      <c r="I250" s="20" t="n">
        <v>0</v>
      </c>
      <c r="M250" s="20" t="n">
        <v>-0</v>
      </c>
      <c r="W250" s="20" t="n">
        <v>0</v>
      </c>
      <c r="X250" s="20" t="n">
        <v>-0</v>
      </c>
    </row>
    <row r="251">
      <c r="A251" s="9" t="inlineStr">
        <is>
          <t>영업활동 현금흐름</t>
        </is>
      </c>
      <c r="C251" s="12" t="n">
        <v>220</v>
      </c>
      <c r="E251" s="12" t="n">
        <v>4084</v>
      </c>
      <c r="G251" s="12" t="n">
        <v>935</v>
      </c>
      <c r="I251" s="12" t="n">
        <v>3062</v>
      </c>
      <c r="K251" s="12" t="n">
        <v>1257</v>
      </c>
      <c r="M251" s="12" t="n">
        <v>4894</v>
      </c>
      <c r="Q251" s="12" t="n">
        <v>2751</v>
      </c>
      <c r="R251" s="12" t="n">
        <v>3543</v>
      </c>
      <c r="T251" s="12" t="n">
        <v>2782</v>
      </c>
      <c r="U251" s="12" t="n">
        <v>243</v>
      </c>
      <c r="V251" s="12" t="n">
        <v>4084</v>
      </c>
      <c r="W251" s="12" t="n">
        <v>3062</v>
      </c>
      <c r="X251" s="12" t="n">
        <v>4894</v>
      </c>
    </row>
    <row r="252">
      <c r="A252" s="18" t="inlineStr">
        <is>
          <t>유형자산 취득(설비투자)</t>
        </is>
      </c>
      <c r="C252" s="20" t="n">
        <v>-927</v>
      </c>
      <c r="E252" s="20" t="n">
        <v>-1732</v>
      </c>
      <c r="G252" s="20" t="n">
        <v>-1392</v>
      </c>
      <c r="I252" s="20" t="n">
        <v>-2154</v>
      </c>
      <c r="K252" s="20" t="n">
        <v>-922</v>
      </c>
      <c r="M252" s="20" t="n">
        <v>-2150</v>
      </c>
      <c r="Q252" s="20" t="n">
        <v>-663</v>
      </c>
      <c r="R252" s="20" t="n">
        <v>-1161</v>
      </c>
      <c r="T252" s="20" t="n">
        <v>-880</v>
      </c>
      <c r="U252" s="20" t="n">
        <v>-2033</v>
      </c>
      <c r="V252" s="20" t="n">
        <v>-1732</v>
      </c>
      <c r="W252" s="20" t="n">
        <v>-2154</v>
      </c>
      <c r="X252" s="20" t="n">
        <v>-2150</v>
      </c>
    </row>
    <row r="253">
      <c r="A253" s="18" t="inlineStr">
        <is>
          <t>유형자산 매각</t>
        </is>
      </c>
      <c r="Q253" s="20" t="n">
        <v>245</v>
      </c>
    </row>
    <row r="254">
      <c r="A254" s="18" t="inlineStr">
        <is>
          <t>무형자산 취득</t>
        </is>
      </c>
      <c r="C254" s="20" t="n">
        <v>-215</v>
      </c>
      <c r="E254" s="20" t="n">
        <v>-433</v>
      </c>
      <c r="G254" s="20" t="n">
        <v>-219</v>
      </c>
      <c r="I254" s="20" t="n">
        <v>-331</v>
      </c>
      <c r="K254" s="20" t="n">
        <v>-133</v>
      </c>
      <c r="M254" s="20" t="n">
        <v>-312</v>
      </c>
      <c r="Q254" s="20" t="n">
        <v>-393</v>
      </c>
      <c r="R254" s="20" t="n">
        <v>-449</v>
      </c>
      <c r="T254" s="20" t="n">
        <v>-1007</v>
      </c>
      <c r="U254" s="20" t="n">
        <v>-1259</v>
      </c>
      <c r="V254" s="20" t="n">
        <v>-433</v>
      </c>
      <c r="W254" s="20" t="n">
        <v>-331</v>
      </c>
      <c r="X254" s="20" t="n">
        <v>-312</v>
      </c>
    </row>
    <row r="255">
      <c r="A255" s="18" t="inlineStr">
        <is>
          <t>보증금 증가</t>
        </is>
      </c>
      <c r="Q255" s="20" t="n">
        <v>-126</v>
      </c>
      <c r="R255" s="20" t="n">
        <v>-381</v>
      </c>
    </row>
    <row r="256">
      <c r="A256" s="18" t="inlineStr">
        <is>
          <t>보증금 감소</t>
        </is>
      </c>
      <c r="Q256" s="20" t="n">
        <v>562</v>
      </c>
      <c r="R256" s="20" t="n">
        <v>359</v>
      </c>
    </row>
    <row r="257">
      <c r="A257" s="18" t="inlineStr">
        <is>
          <t>투자유가증권 매각</t>
        </is>
      </c>
      <c r="C257" s="20" t="n">
        <v>0</v>
      </c>
      <c r="G257" s="20" t="n">
        <v>0</v>
      </c>
      <c r="I257" s="20" t="n">
        <v>0</v>
      </c>
      <c r="K257" s="20" t="n">
        <v>114</v>
      </c>
      <c r="M257" s="20" t="n">
        <v>114</v>
      </c>
      <c r="W257" s="20" t="n">
        <v>0</v>
      </c>
      <c r="X257" s="20" t="n">
        <v>114</v>
      </c>
    </row>
    <row r="258">
      <c r="A258" s="18" t="inlineStr">
        <is>
          <t>보증금 납입</t>
        </is>
      </c>
      <c r="C258" s="20" t="n">
        <v>-110</v>
      </c>
      <c r="E258" s="20" t="n">
        <v>-274</v>
      </c>
      <c r="G258" s="20" t="n">
        <v>-244</v>
      </c>
      <c r="I258" s="20" t="n">
        <v>-304</v>
      </c>
      <c r="K258" s="20" t="n">
        <v>-211</v>
      </c>
      <c r="M258" s="20" t="n">
        <v>-454</v>
      </c>
      <c r="R258" s="20" t="n">
        <v>-381</v>
      </c>
      <c r="T258" s="20" t="n">
        <v>-40</v>
      </c>
      <c r="U258" s="20" t="n">
        <v>-304</v>
      </c>
      <c r="V258" s="20" t="n">
        <v>-274</v>
      </c>
      <c r="W258" s="20" t="n">
        <v>-304</v>
      </c>
      <c r="X258" s="20" t="n">
        <v>-454</v>
      </c>
    </row>
    <row r="259">
      <c r="A259" s="18" t="inlineStr">
        <is>
          <t>보증금 회수</t>
        </is>
      </c>
      <c r="C259" s="20" t="n">
        <v>69</v>
      </c>
      <c r="E259" s="20" t="n">
        <v>225</v>
      </c>
      <c r="G259" s="20" t="n">
        <v>174</v>
      </c>
      <c r="I259" s="20" t="n">
        <v>327</v>
      </c>
      <c r="K259" s="20" t="n">
        <v>169</v>
      </c>
      <c r="M259" s="20" t="n">
        <v>225</v>
      </c>
      <c r="R259" s="20" t="n">
        <v>359</v>
      </c>
      <c r="T259" s="20" t="n">
        <v>241</v>
      </c>
      <c r="U259" s="20" t="n">
        <v>294</v>
      </c>
      <c r="V259" s="20" t="n">
        <v>225</v>
      </c>
      <c r="W259" s="20" t="n">
        <v>327</v>
      </c>
      <c r="X259" s="20" t="n">
        <v>225</v>
      </c>
    </row>
    <row r="260">
      <c r="A260" s="18" t="inlineStr">
        <is>
          <t>점포 양수</t>
        </is>
      </c>
      <c r="Q260" s="20" t="n">
        <v>-160</v>
      </c>
      <c r="R260" s="20" t="n">
        <v>-590</v>
      </c>
    </row>
    <row r="261">
      <c r="A261" s="18" t="inlineStr">
        <is>
          <t>대여금 회수</t>
        </is>
      </c>
      <c r="G261" s="20" t="n">
        <v>0</v>
      </c>
      <c r="I261" s="20" t="n">
        <v>0</v>
      </c>
      <c r="K261" s="20" t="n">
        <v>47</v>
      </c>
      <c r="M261" s="20" t="n">
        <v>47</v>
      </c>
      <c r="W261" s="20" t="n">
        <v>0</v>
      </c>
      <c r="X261" s="20" t="n">
        <v>47</v>
      </c>
    </row>
    <row r="262">
      <c r="A262" s="18" t="inlineStr">
        <is>
          <t>점포 양수</t>
        </is>
      </c>
      <c r="E262" s="20" t="n">
        <v>-52</v>
      </c>
      <c r="G262" s="20" t="n">
        <v>0</v>
      </c>
      <c r="I262" s="20" t="n">
        <v>0</v>
      </c>
      <c r="K262" s="20" t="n">
        <v>-339</v>
      </c>
      <c r="M262" s="20" t="n">
        <v>-339</v>
      </c>
      <c r="T262" s="20" t="n">
        <v>-17</v>
      </c>
      <c r="U262" s="20" t="n">
        <v>0</v>
      </c>
      <c r="V262" s="20" t="n">
        <v>-52</v>
      </c>
      <c r="W262" s="20" t="n">
        <v>0</v>
      </c>
      <c r="X262" s="20" t="n">
        <v>-339</v>
      </c>
    </row>
    <row r="263">
      <c r="A263" s="18" t="inlineStr">
        <is>
          <t>기타</t>
        </is>
      </c>
      <c r="C263" s="20" t="n">
        <v>-85</v>
      </c>
      <c r="E263" s="20" t="n">
        <v>-144</v>
      </c>
      <c r="G263" s="20" t="n">
        <v>-82</v>
      </c>
      <c r="I263" s="20" t="n">
        <v>-47</v>
      </c>
      <c r="K263" s="20" t="n">
        <v>-89</v>
      </c>
      <c r="M263" s="20" t="n">
        <v>-174</v>
      </c>
      <c r="Q263" s="20" t="n">
        <v>222</v>
      </c>
      <c r="R263" s="20" t="n">
        <v>-519</v>
      </c>
      <c r="T263" s="20" t="n">
        <v>-159</v>
      </c>
      <c r="U263" s="20" t="n">
        <v>-150</v>
      </c>
      <c r="V263" s="20" t="n">
        <v>-144</v>
      </c>
      <c r="W263" s="20" t="n">
        <v>-47</v>
      </c>
      <c r="X263" s="20" t="n">
        <v>-174</v>
      </c>
    </row>
    <row r="264">
      <c r="A264" s="9" t="inlineStr">
        <is>
          <t>투자활동 현금흐름</t>
        </is>
      </c>
      <c r="C264" s="12" t="n">
        <v>-1269</v>
      </c>
      <c r="E264" s="12" t="n">
        <v>-2411</v>
      </c>
      <c r="G264" s="12" t="n">
        <v>-1763</v>
      </c>
      <c r="I264" s="12" t="n">
        <v>-2510</v>
      </c>
      <c r="K264" s="12" t="n">
        <v>-1364</v>
      </c>
      <c r="M264" s="12" t="n">
        <v>-3042</v>
      </c>
      <c r="Q264" s="12" t="n">
        <v>-559</v>
      </c>
      <c r="R264" s="12" t="n">
        <v>-2744</v>
      </c>
      <c r="T264" s="12" t="n">
        <v>-1863</v>
      </c>
      <c r="U264" s="12" t="n">
        <v>-3453</v>
      </c>
      <c r="V264" s="12" t="n">
        <v>-2411</v>
      </c>
      <c r="W264" s="12" t="n">
        <v>-2510</v>
      </c>
      <c r="X264" s="12" t="n">
        <v>-3042</v>
      </c>
    </row>
    <row r="265">
      <c r="A265" s="18" t="inlineStr">
        <is>
          <t>단기차입금 순증감</t>
        </is>
      </c>
      <c r="C265" s="20" t="n">
        <v>2526</v>
      </c>
      <c r="E265" s="20" t="n">
        <v>-50</v>
      </c>
      <c r="G265" s="20" t="n">
        <v>326</v>
      </c>
      <c r="I265" s="20" t="n">
        <v>100</v>
      </c>
      <c r="K265" s="20" t="n">
        <v>-2223</v>
      </c>
      <c r="M265" s="20" t="n">
        <v>-2661</v>
      </c>
      <c r="Q265" s="20" t="n">
        <v>539</v>
      </c>
      <c r="R265" s="20" t="n">
        <v>33</v>
      </c>
      <c r="T265" s="20" t="n">
        <v>-2216</v>
      </c>
      <c r="U265" s="20" t="n">
        <v>1500</v>
      </c>
      <c r="V265" s="20" t="n">
        <v>-50</v>
      </c>
      <c r="W265" s="20" t="n">
        <v>100</v>
      </c>
      <c r="X265" s="20" t="n">
        <v>-2661</v>
      </c>
    </row>
    <row r="266">
      <c r="A266" s="18" t="inlineStr">
        <is>
          <t>장기차입</t>
        </is>
      </c>
      <c r="C266" s="20" t="n">
        <v>1800</v>
      </c>
      <c r="E266" s="20" t="n">
        <v>4700</v>
      </c>
      <c r="G266" s="20" t="n">
        <v>600</v>
      </c>
      <c r="I266" s="20" t="n">
        <v>3700</v>
      </c>
      <c r="K266" s="20" t="n">
        <v>5000</v>
      </c>
      <c r="M266" s="20" t="n">
        <v>5700</v>
      </c>
      <c r="Q266" s="20" t="n">
        <v>5400</v>
      </c>
      <c r="R266" s="20" t="n">
        <v>4050</v>
      </c>
      <c r="T266" s="20" t="n">
        <v>5195</v>
      </c>
      <c r="U266" s="20" t="n">
        <v>3200</v>
      </c>
      <c r="V266" s="20" t="n">
        <v>4700</v>
      </c>
      <c r="W266" s="20" t="n">
        <v>3700</v>
      </c>
      <c r="X266" s="20" t="n">
        <v>5700</v>
      </c>
    </row>
    <row r="267">
      <c r="A267" s="18" t="inlineStr">
        <is>
          <t>장기차입금 상환</t>
        </is>
      </c>
      <c r="C267" s="20" t="n">
        <v>-1491</v>
      </c>
      <c r="E267" s="20" t="n">
        <v>-3617</v>
      </c>
      <c r="G267" s="20" t="n">
        <v>-2513</v>
      </c>
      <c r="I267" s="20" t="n">
        <v>-4541</v>
      </c>
      <c r="K267" s="20" t="n">
        <v>-1321</v>
      </c>
      <c r="M267" s="20" t="n">
        <v>-3445</v>
      </c>
      <c r="Q267" s="20" t="n">
        <v>-5143</v>
      </c>
      <c r="R267" s="20" t="n">
        <v>-4090</v>
      </c>
      <c r="T267" s="20" t="n">
        <v>-4210</v>
      </c>
      <c r="U267" s="20" t="n">
        <v>-3580</v>
      </c>
      <c r="V267" s="20" t="n">
        <v>-3617</v>
      </c>
      <c r="W267" s="20" t="n">
        <v>-4541</v>
      </c>
      <c r="X267" s="20" t="n">
        <v>-3445</v>
      </c>
    </row>
    <row r="268">
      <c r="A268" s="18" t="inlineStr">
        <is>
          <t>전환사채 상환</t>
        </is>
      </c>
      <c r="Q268" s="20" t="n">
        <v>-7700</v>
      </c>
      <c r="R268" s="20" t="n">
        <v>0</v>
      </c>
    </row>
    <row r="269">
      <c r="A269" s="18" t="inlineStr">
        <is>
          <t>사채 상환</t>
        </is>
      </c>
      <c r="G269" s="20" t="n">
        <v>0</v>
      </c>
      <c r="I269" s="20" t="n">
        <v>0</v>
      </c>
      <c r="K269" s="20" t="n">
        <v>-330</v>
      </c>
      <c r="M269" s="20" t="n">
        <v>-660</v>
      </c>
      <c r="W269" s="20" t="n">
        <v>0</v>
      </c>
      <c r="X269" s="20" t="n">
        <v>-660</v>
      </c>
    </row>
    <row r="270">
      <c r="A270" s="18" t="inlineStr">
        <is>
          <t>사채 발행</t>
        </is>
      </c>
      <c r="C270" s="20" t="n">
        <v>0</v>
      </c>
      <c r="E270" s="20" t="n">
        <v>0</v>
      </c>
      <c r="G270" s="20" t="n">
        <v>3000</v>
      </c>
      <c r="I270" s="20" t="n">
        <v>4000</v>
      </c>
      <c r="K270" s="20" t="n">
        <v>0</v>
      </c>
      <c r="M270" s="20" t="n">
        <v>0</v>
      </c>
      <c r="T270" s="20" t="n">
        <v>969</v>
      </c>
      <c r="U270" s="20" t="n">
        <v>0</v>
      </c>
      <c r="V270" s="20" t="n">
        <v>0</v>
      </c>
      <c r="W270" s="20" t="n">
        <v>4000</v>
      </c>
      <c r="X270" s="20" t="n">
        <v>0</v>
      </c>
    </row>
    <row r="271">
      <c r="A271" s="18" t="inlineStr">
        <is>
          <t>리스부채 상환</t>
        </is>
      </c>
      <c r="C271" s="20" t="n">
        <v>-273</v>
      </c>
      <c r="E271" s="20" t="n">
        <v>-566</v>
      </c>
      <c r="G271" s="20" t="n">
        <v>-261</v>
      </c>
      <c r="I271" s="20" t="n">
        <v>-521</v>
      </c>
      <c r="K271" s="20" t="n">
        <v>-215</v>
      </c>
      <c r="M271" s="20" t="n">
        <v>-486</v>
      </c>
      <c r="Q271" s="20" t="n">
        <v>-402</v>
      </c>
      <c r="R271" s="20" t="n">
        <v>-416</v>
      </c>
      <c r="T271" s="20" t="n">
        <v>-338</v>
      </c>
      <c r="U271" s="20" t="n">
        <v>-220</v>
      </c>
      <c r="V271" s="20" t="n">
        <v>-566</v>
      </c>
      <c r="W271" s="20" t="n">
        <v>-521</v>
      </c>
      <c r="X271" s="20" t="n">
        <v>-486</v>
      </c>
    </row>
    <row r="272">
      <c r="A272" s="18" t="inlineStr">
        <is>
          <t>자기주식 취득</t>
        </is>
      </c>
      <c r="C272" s="20" t="n">
        <v>0</v>
      </c>
      <c r="E272" s="20" t="n">
        <v>-0</v>
      </c>
      <c r="G272" s="20" t="n">
        <v>-0</v>
      </c>
      <c r="I272" s="20" t="n">
        <v>-3230</v>
      </c>
      <c r="K272" s="20" t="n">
        <v>0</v>
      </c>
      <c r="M272" s="20" t="n">
        <v>0</v>
      </c>
      <c r="Q272" s="20" t="n">
        <v>-2343</v>
      </c>
      <c r="R272" s="20" t="n">
        <v>0</v>
      </c>
      <c r="T272" s="20" t="n">
        <v>0</v>
      </c>
      <c r="U272" s="20" t="n">
        <v>-0</v>
      </c>
      <c r="V272" s="20" t="n">
        <v>-0</v>
      </c>
      <c r="W272" s="20" t="n">
        <v>-3230</v>
      </c>
      <c r="X272" s="20" t="n">
        <v>0</v>
      </c>
    </row>
    <row r="273">
      <c r="A273" s="18" t="inlineStr">
        <is>
          <t>자기주식 처분</t>
        </is>
      </c>
      <c r="E273" s="20" t="n">
        <v>0</v>
      </c>
      <c r="T273" s="20" t="n">
        <v>2111</v>
      </c>
      <c r="U273" s="20" t="n">
        <v>4</v>
      </c>
      <c r="V273" s="20" t="n">
        <v>0</v>
      </c>
    </row>
    <row r="274">
      <c r="A274" s="18" t="inlineStr">
        <is>
          <t>비지배주주 납입</t>
        </is>
      </c>
      <c r="T274" s="20" t="n">
        <v>2</v>
      </c>
      <c r="U274" s="20" t="n">
        <v>0</v>
      </c>
    </row>
    <row r="275">
      <c r="A275" s="18" t="inlineStr">
        <is>
          <t>배당금 지급</t>
        </is>
      </c>
      <c r="C275" s="20" t="n">
        <v>-494</v>
      </c>
      <c r="E275" s="20" t="n">
        <v>-494</v>
      </c>
      <c r="G275" s="20" t="n">
        <v>-494</v>
      </c>
      <c r="I275" s="20" t="n">
        <v>-493</v>
      </c>
      <c r="K275" s="20" t="n">
        <v>-437</v>
      </c>
      <c r="M275" s="20" t="n">
        <v>-438</v>
      </c>
      <c r="Q275" s="20" t="n">
        <v>-205</v>
      </c>
      <c r="R275" s="20" t="n">
        <v>-261</v>
      </c>
      <c r="T275" s="20" t="n">
        <v>-104</v>
      </c>
      <c r="U275" s="20" t="n">
        <v>-357</v>
      </c>
      <c r="V275" s="20" t="n">
        <v>-494</v>
      </c>
      <c r="W275" s="20" t="n">
        <v>-493</v>
      </c>
      <c r="X275" s="20" t="n">
        <v>-438</v>
      </c>
    </row>
    <row r="276">
      <c r="A276" s="18" t="inlineStr">
        <is>
          <t>기타</t>
        </is>
      </c>
      <c r="Q276" s="20" t="n">
        <v>-39</v>
      </c>
      <c r="R276" s="20" t="n">
        <v>-144</v>
      </c>
      <c r="T276" s="20" t="n">
        <v>0</v>
      </c>
    </row>
    <row r="277">
      <c r="A277" s="18" t="inlineStr">
        <is>
          <t>비지배주주 배당금 지급</t>
        </is>
      </c>
      <c r="E277" s="20" t="n">
        <v>-97</v>
      </c>
      <c r="I277" s="20" t="n">
        <v>-131</v>
      </c>
      <c r="M277" s="20" t="n">
        <v>-108</v>
      </c>
      <c r="Q277" s="20" t="n">
        <v>-1</v>
      </c>
      <c r="R277" s="20" t="n">
        <v>-2</v>
      </c>
      <c r="T277" s="20" t="n">
        <v>0</v>
      </c>
      <c r="U277" s="20" t="n">
        <v>-55</v>
      </c>
      <c r="V277" s="20" t="n">
        <v>-97</v>
      </c>
      <c r="W277" s="20" t="n">
        <v>-131</v>
      </c>
      <c r="X277" s="20" t="n">
        <v>-108</v>
      </c>
    </row>
    <row r="278">
      <c r="A278" s="18" t="inlineStr">
        <is>
          <t>비지배주주 납입</t>
        </is>
      </c>
      <c r="E278" s="20" t="n">
        <v>24</v>
      </c>
      <c r="I278" s="20" t="n">
        <v>0</v>
      </c>
      <c r="U278" s="20" t="n">
        <v>0</v>
      </c>
      <c r="V278" s="20" t="n">
        <v>24</v>
      </c>
      <c r="W278" s="20" t="n">
        <v>0</v>
      </c>
    </row>
    <row r="279">
      <c r="A279" s="9" t="inlineStr">
        <is>
          <t>재무활동 현금흐름</t>
        </is>
      </c>
      <c r="C279" s="12" t="n">
        <v>2068</v>
      </c>
      <c r="E279" s="12" t="n">
        <v>-100</v>
      </c>
      <c r="G279" s="12" t="n">
        <v>658</v>
      </c>
      <c r="I279" s="12" t="n">
        <v>-1118</v>
      </c>
      <c r="K279" s="12" t="n">
        <v>471</v>
      </c>
      <c r="M279" s="12" t="n">
        <v>-2100</v>
      </c>
      <c r="Q279" s="12" t="n">
        <v>-9895</v>
      </c>
      <c r="R279" s="12" t="n">
        <v>-832</v>
      </c>
      <c r="T279" s="12" t="n">
        <v>1408</v>
      </c>
      <c r="U279" s="12" t="n">
        <v>490</v>
      </c>
      <c r="V279" s="12" t="n">
        <v>-100</v>
      </c>
      <c r="W279" s="12" t="n">
        <v>-1118</v>
      </c>
      <c r="X279" s="12" t="n">
        <v>-2100</v>
      </c>
    </row>
    <row r="280">
      <c r="A280" s="18" t="inlineStr">
        <is>
          <t>현금성자산 환산차이</t>
        </is>
      </c>
      <c r="C280" s="20" t="n">
        <v>53</v>
      </c>
      <c r="E280" s="20" t="n">
        <v>63</v>
      </c>
      <c r="G280" s="20" t="n">
        <v>31</v>
      </c>
      <c r="I280" s="20" t="n">
        <v>14</v>
      </c>
      <c r="K280" s="20" t="n">
        <v>5</v>
      </c>
      <c r="M280" s="20" t="n">
        <v>80</v>
      </c>
      <c r="Q280" s="20" t="n">
        <v>-14</v>
      </c>
      <c r="R280" s="20" t="n">
        <v>-13</v>
      </c>
      <c r="T280" s="20" t="n">
        <v>37</v>
      </c>
      <c r="U280" s="20" t="n">
        <v>61</v>
      </c>
      <c r="V280" s="20" t="n">
        <v>63</v>
      </c>
      <c r="W280" s="20" t="n">
        <v>14</v>
      </c>
      <c r="X280" s="20" t="n">
        <v>80</v>
      </c>
    </row>
    <row r="281">
      <c r="A281" s="18" t="inlineStr">
        <is>
          <t>현금성자산 증감</t>
        </is>
      </c>
      <c r="C281" s="20" t="n">
        <v>1072</v>
      </c>
      <c r="E281" s="20" t="n">
        <v>1636</v>
      </c>
      <c r="G281" s="20" t="n">
        <v>-139</v>
      </c>
      <c r="I281" s="20" t="n">
        <v>-551</v>
      </c>
      <c r="K281" s="20" t="n">
        <v>370</v>
      </c>
      <c r="M281" s="20" t="n">
        <v>-168</v>
      </c>
      <c r="Q281" s="20" t="n">
        <v>-7717</v>
      </c>
      <c r="R281" s="20" t="n">
        <v>-47</v>
      </c>
      <c r="T281" s="20" t="n">
        <v>2365</v>
      </c>
      <c r="U281" s="20" t="n">
        <v>-2658</v>
      </c>
      <c r="V281" s="20" t="n">
        <v>1636</v>
      </c>
      <c r="W281" s="20" t="n">
        <v>-551</v>
      </c>
      <c r="X281" s="20" t="n">
        <v>-168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31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북오프 그룹 홀딩스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33538</v>
      </c>
      <c r="D5" s="12" t="n">
        <v>34691</v>
      </c>
      <c r="E5" s="12" t="n">
        <v>34945</v>
      </c>
      <c r="F5" s="12" t="n">
        <v>35870</v>
      </c>
      <c r="G5" s="12" t="n">
        <v>38293</v>
      </c>
      <c r="H5" s="11" t="n">
        <v>28329</v>
      </c>
      <c r="I5" s="12" t="n">
        <v>29112</v>
      </c>
      <c r="J5" s="12" t="n">
        <v>32208</v>
      </c>
      <c r="K5" s="12" t="n">
        <v>33517</v>
      </c>
      <c r="L5" s="12" t="n">
        <v>35870</v>
      </c>
    </row>
    <row r="6">
      <c r="A6" s="18" t="inlineStr">
        <is>
          <t>현금및현금성자산</t>
        </is>
      </c>
      <c r="B6" s="10" t="n"/>
      <c r="C6" s="19" t="n">
        <v>6276</v>
      </c>
      <c r="D6" s="20" t="n">
        <v>6998</v>
      </c>
      <c r="E6" s="20" t="n">
        <v>7714</v>
      </c>
      <c r="F6" s="20" t="n">
        <v>6459</v>
      </c>
      <c r="G6" s="20" t="n">
        <v>7952</v>
      </c>
      <c r="H6" s="19" t="n">
        <v>8203</v>
      </c>
      <c r="I6" s="20" t="n">
        <v>5544</v>
      </c>
      <c r="J6" s="20" t="n">
        <v>7180</v>
      </c>
      <c r="K6" s="20" t="n">
        <v>6628</v>
      </c>
      <c r="L6" s="20" t="n">
        <v>6459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4019</v>
      </c>
      <c r="D8" s="20" t="n">
        <v>4133</v>
      </c>
      <c r="E8" s="20" t="n">
        <v>3823</v>
      </c>
      <c r="F8" s="20" t="n">
        <v>4541</v>
      </c>
      <c r="G8" s="20" t="n">
        <v>4426</v>
      </c>
      <c r="H8" s="19" t="n">
        <v>2333</v>
      </c>
      <c r="I8" s="20" t="n">
        <v>3008</v>
      </c>
      <c r="J8" s="20" t="n">
        <v>3397</v>
      </c>
      <c r="K8" s="20" t="n">
        <v>3888</v>
      </c>
      <c r="L8" s="20" t="n">
        <v>4541</v>
      </c>
    </row>
    <row r="9">
      <c r="A9" s="18" t="inlineStr">
        <is>
          <t>재고자산</t>
        </is>
      </c>
      <c r="B9" s="10" t="n"/>
      <c r="C9" s="19" t="n">
        <v>19708</v>
      </c>
      <c r="D9" s="20" t="n">
        <v>20032</v>
      </c>
      <c r="E9" s="20" t="n">
        <v>19964</v>
      </c>
      <c r="F9" s="20" t="n">
        <v>21084</v>
      </c>
      <c r="G9" s="20" t="n">
        <v>22374</v>
      </c>
      <c r="H9" s="19" t="n">
        <v>15412</v>
      </c>
      <c r="I9" s="20" t="n">
        <v>17612</v>
      </c>
      <c r="J9" s="20" t="n">
        <v>18825</v>
      </c>
      <c r="K9" s="20" t="n">
        <v>19731</v>
      </c>
      <c r="L9" s="20" t="n">
        <v>21084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23655</v>
      </c>
      <c r="D11" s="12" t="n">
        <v>23931</v>
      </c>
      <c r="E11" s="12" t="n">
        <v>24598</v>
      </c>
      <c r="F11" s="12" t="n">
        <v>25066</v>
      </c>
      <c r="G11" s="12" t="n">
        <v>25297</v>
      </c>
      <c r="H11" s="11" t="n">
        <v>16766</v>
      </c>
      <c r="I11" s="12" t="n">
        <v>21101</v>
      </c>
      <c r="J11" s="12" t="n">
        <v>22334</v>
      </c>
      <c r="K11" s="12" t="n">
        <v>23863</v>
      </c>
      <c r="L11" s="12" t="n">
        <v>25066</v>
      </c>
    </row>
    <row r="12">
      <c r="A12" s="18" t="inlineStr">
        <is>
          <t>유형자산</t>
        </is>
      </c>
      <c r="B12" s="10" t="n"/>
      <c r="C12" s="19" t="n">
        <v>11606</v>
      </c>
      <c r="D12" s="20" t="n">
        <v>12009</v>
      </c>
      <c r="E12" s="20" t="n">
        <v>12696</v>
      </c>
      <c r="F12" s="20" t="n">
        <v>12847</v>
      </c>
      <c r="G12" s="20" t="n">
        <v>13312</v>
      </c>
      <c r="H12" s="19" t="n">
        <v>6214</v>
      </c>
      <c r="I12" s="20" t="n">
        <v>8852</v>
      </c>
      <c r="J12" s="20" t="n">
        <v>9854</v>
      </c>
      <c r="K12" s="20" t="n">
        <v>11742</v>
      </c>
      <c r="L12" s="20" t="n">
        <v>12847</v>
      </c>
    </row>
    <row r="13">
      <c r="A13" s="18" t="inlineStr">
        <is>
          <t>무형자산</t>
        </is>
      </c>
      <c r="B13" s="10" t="n"/>
      <c r="C13" s="19" t="n">
        <v>2110</v>
      </c>
      <c r="D13" s="20" t="n">
        <v>1992</v>
      </c>
      <c r="E13" s="20" t="n">
        <v>1913</v>
      </c>
      <c r="F13" s="20" t="n">
        <v>1864</v>
      </c>
      <c r="G13" s="20" t="n">
        <v>1809</v>
      </c>
      <c r="H13" s="19" t="n">
        <v>1607</v>
      </c>
      <c r="I13" s="20" t="n">
        <v>2443</v>
      </c>
      <c r="J13" s="20" t="n">
        <v>2428</v>
      </c>
      <c r="K13" s="20" t="n">
        <v>2118</v>
      </c>
      <c r="L13" s="20" t="n">
        <v>1864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57193</v>
      </c>
      <c r="D16" s="12" t="n">
        <v>58623</v>
      </c>
      <c r="E16" s="12" t="n">
        <v>59543</v>
      </c>
      <c r="F16" s="12" t="n">
        <v>60937</v>
      </c>
      <c r="G16" s="12" t="n">
        <v>63590</v>
      </c>
      <c r="H16" s="11" t="n">
        <v>45096</v>
      </c>
      <c r="I16" s="12" t="n">
        <v>50213</v>
      </c>
      <c r="J16" s="12" t="n">
        <v>54542</v>
      </c>
      <c r="K16" s="12" t="n">
        <v>57380</v>
      </c>
      <c r="L16" s="12" t="n">
        <v>60937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21075</v>
      </c>
      <c r="D18" s="12" t="n">
        <v>18430</v>
      </c>
      <c r="E18" s="12" t="n">
        <v>17657</v>
      </c>
      <c r="F18" s="12" t="n">
        <v>20873</v>
      </c>
      <c r="G18" s="12" t="n">
        <v>23823</v>
      </c>
      <c r="H18" s="11" t="n">
        <v>16289</v>
      </c>
      <c r="I18" s="12" t="n">
        <v>17945</v>
      </c>
      <c r="J18" s="12" t="n">
        <v>20551</v>
      </c>
      <c r="K18" s="12" t="n">
        <v>20192</v>
      </c>
      <c r="L18" s="12" t="n">
        <v>20873</v>
      </c>
    </row>
    <row r="19">
      <c r="A19" s="18" t="inlineStr">
        <is>
          <t>매입채무</t>
        </is>
      </c>
      <c r="B19" s="10" t="n"/>
      <c r="C19" s="19" t="n">
        <v>796</v>
      </c>
      <c r="D19" s="20" t="n">
        <v>990</v>
      </c>
      <c r="E19" s="20" t="n">
        <v>1001</v>
      </c>
      <c r="F19" s="20" t="n">
        <v>846</v>
      </c>
      <c r="G19" s="20" t="n">
        <v>1106</v>
      </c>
      <c r="H19" s="19" t="n">
        <v>735</v>
      </c>
      <c r="I19" s="20" t="n">
        <v>814</v>
      </c>
      <c r="J19" s="20" t="n">
        <v>783</v>
      </c>
      <c r="K19" s="20" t="n">
        <v>659</v>
      </c>
      <c r="L19" s="20" t="n">
        <v>846</v>
      </c>
    </row>
    <row r="20">
      <c r="A20" s="18" t="inlineStr">
        <is>
          <t>단기차입금</t>
        </is>
      </c>
      <c r="B20" s="10" t="n"/>
      <c r="C20" s="19" t="n">
        <v>8290</v>
      </c>
      <c r="D20" s="20" t="n">
        <v>4210</v>
      </c>
      <c r="E20" s="20" t="n">
        <v>3600</v>
      </c>
      <c r="F20" s="20" t="n">
        <v>3775</v>
      </c>
      <c r="G20" s="20" t="n">
        <v>8670</v>
      </c>
      <c r="H20" s="19" t="n">
        <v>4883</v>
      </c>
      <c r="I20" s="20" t="n">
        <v>6383</v>
      </c>
      <c r="J20" s="20" t="n">
        <v>6333</v>
      </c>
      <c r="K20" s="20" t="n">
        <v>6433</v>
      </c>
      <c r="L20" s="20" t="n">
        <v>3775</v>
      </c>
    </row>
    <row r="21">
      <c r="A21" s="18" t="inlineStr">
        <is>
          <t>유동성장기부채</t>
        </is>
      </c>
      <c r="B21" s="10" t="n"/>
      <c r="C21" s="19" t="n">
        <v>3623</v>
      </c>
      <c r="D21" s="20" t="n">
        <v>4295</v>
      </c>
      <c r="E21" s="20" t="n">
        <v>4000</v>
      </c>
      <c r="F21" s="20" t="n">
        <v>5143</v>
      </c>
      <c r="G21" s="20" t="n">
        <v>5470</v>
      </c>
      <c r="H21" s="19" t="n">
        <v>3376</v>
      </c>
      <c r="I21" s="20" t="n">
        <v>3347</v>
      </c>
      <c r="J21" s="20" t="n">
        <v>4483</v>
      </c>
      <c r="K21" s="20" t="n">
        <v>3687</v>
      </c>
      <c r="L21" s="20" t="n">
        <v>5143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17488</v>
      </c>
      <c r="D23" s="12" t="n">
        <v>20963</v>
      </c>
      <c r="E23" s="12" t="n">
        <v>20815</v>
      </c>
      <c r="F23" s="12" t="n">
        <v>18632</v>
      </c>
      <c r="G23" s="12" t="n">
        <v>18383</v>
      </c>
      <c r="H23" s="11" t="n">
        <v>12324</v>
      </c>
      <c r="I23" s="12" t="n">
        <v>13210</v>
      </c>
      <c r="J23" s="12" t="n">
        <v>13483</v>
      </c>
      <c r="K23" s="12" t="n">
        <v>18320</v>
      </c>
      <c r="L23" s="12" t="n">
        <v>18632</v>
      </c>
    </row>
    <row r="24">
      <c r="A24" s="18" t="inlineStr">
        <is>
          <t>장기차입금</t>
        </is>
      </c>
      <c r="B24" s="10" t="n"/>
      <c r="C24" s="19" t="n">
        <v>7469</v>
      </c>
      <c r="D24" s="20" t="n">
        <v>10972</v>
      </c>
      <c r="E24" s="20" t="n">
        <v>10765</v>
      </c>
      <c r="F24" s="20" t="n">
        <v>9699</v>
      </c>
      <c r="G24" s="20" t="n">
        <v>9540</v>
      </c>
      <c r="H24" s="19" t="n">
        <v>7693</v>
      </c>
      <c r="I24" s="20" t="n">
        <v>7341</v>
      </c>
      <c r="J24" s="20" t="n">
        <v>7287</v>
      </c>
      <c r="K24" s="20" t="n">
        <v>7901</v>
      </c>
      <c r="L24" s="20" t="n">
        <v>9699</v>
      </c>
    </row>
    <row r="25">
      <c r="A25" s="18" t="inlineStr">
        <is>
          <t>사채</t>
        </is>
      </c>
      <c r="B25" s="10" t="n"/>
      <c r="C25" s="19" t="n">
        <v>4010</v>
      </c>
      <c r="D25" s="20" t="n">
        <v>4010</v>
      </c>
      <c r="E25" s="20" t="n">
        <v>3680</v>
      </c>
      <c r="F25" s="20" t="n">
        <v>2680</v>
      </c>
      <c r="G25" s="20" t="n">
        <v>2350</v>
      </c>
      <c r="H25" s="19" t="n">
        <v>1000</v>
      </c>
      <c r="I25" s="20" t="n">
        <v>1000</v>
      </c>
      <c r="J25" s="20" t="n">
        <v>1000</v>
      </c>
      <c r="K25" s="20" t="n">
        <v>4340</v>
      </c>
      <c r="L25" s="20" t="n">
        <v>2680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38563</v>
      </c>
      <c r="D27" s="12" t="n">
        <v>39393</v>
      </c>
      <c r="E27" s="12" t="n">
        <v>38472</v>
      </c>
      <c r="F27" s="12" t="n">
        <v>39505</v>
      </c>
      <c r="G27" s="12" t="n">
        <v>42207</v>
      </c>
      <c r="H27" s="11" t="n">
        <v>28614</v>
      </c>
      <c r="I27" s="12" t="n">
        <v>31155</v>
      </c>
      <c r="J27" s="12" t="n">
        <v>34034</v>
      </c>
      <c r="K27" s="12" t="n">
        <v>38513</v>
      </c>
      <c r="L27" s="12" t="n">
        <v>39505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18360</v>
      </c>
      <c r="D31" s="12" t="n">
        <v>18925</v>
      </c>
      <c r="E31" s="12" t="n">
        <v>20700</v>
      </c>
      <c r="F31" s="12" t="n">
        <v>21148</v>
      </c>
      <c r="G31" s="12" t="n">
        <v>21075</v>
      </c>
      <c r="H31" s="11" t="n">
        <v>16359</v>
      </c>
      <c r="I31" s="12" t="n">
        <v>18859</v>
      </c>
      <c r="J31" s="12" t="n">
        <v>20236</v>
      </c>
      <c r="K31" s="12" t="n">
        <v>18627</v>
      </c>
      <c r="L31" s="12" t="n">
        <v>21148</v>
      </c>
    </row>
    <row r="32">
      <c r="A32" s="18" t="inlineStr">
        <is>
          <t>자본금</t>
        </is>
      </c>
      <c r="B32" s="10" t="n"/>
      <c r="C32" s="19" t="n">
        <v>100</v>
      </c>
      <c r="D32" s="20" t="n">
        <v>100</v>
      </c>
      <c r="E32" s="20" t="n">
        <v>100</v>
      </c>
      <c r="F32" s="20" t="n">
        <v>100</v>
      </c>
      <c r="G32" s="20" t="n">
        <v>100</v>
      </c>
      <c r="H32" s="19" t="n">
        <v>100</v>
      </c>
      <c r="I32" s="20" t="n">
        <v>100</v>
      </c>
      <c r="J32" s="20" t="n">
        <v>100</v>
      </c>
      <c r="K32" s="20" t="n">
        <v>100</v>
      </c>
      <c r="L32" s="20" t="n">
        <v>100</v>
      </c>
    </row>
    <row r="33">
      <c r="A33" s="18" t="inlineStr">
        <is>
          <t>이익잉여금</t>
        </is>
      </c>
      <c r="B33" s="10" t="n"/>
      <c r="C33" s="19" t="n">
        <v>14895</v>
      </c>
      <c r="D33" s="20" t="n">
        <v>15443</v>
      </c>
      <c r="E33" s="20" t="n">
        <v>17039</v>
      </c>
      <c r="F33" s="20" t="n">
        <v>17465</v>
      </c>
      <c r="G33" s="20" t="n">
        <v>17328</v>
      </c>
      <c r="H33" s="19" t="n">
        <v>9948</v>
      </c>
      <c r="I33" s="20" t="n">
        <v>12322</v>
      </c>
      <c r="J33" s="20" t="n">
        <v>13534</v>
      </c>
      <c r="K33" s="20" t="n">
        <v>15140</v>
      </c>
      <c r="L33" s="20" t="n">
        <v>17465</v>
      </c>
    </row>
    <row r="34">
      <c r="A34" s="18" t="inlineStr">
        <is>
          <t>비지배지분</t>
        </is>
      </c>
      <c r="B34" s="10" t="n"/>
      <c r="C34" s="19" t="n">
        <v>270</v>
      </c>
      <c r="D34" s="20" t="n">
        <v>304</v>
      </c>
      <c r="E34" s="20" t="n">
        <v>370</v>
      </c>
      <c r="F34" s="20" t="n">
        <v>283</v>
      </c>
      <c r="G34" s="20" t="n">
        <v>308</v>
      </c>
      <c r="H34" s="19" t="n">
        <v>123</v>
      </c>
      <c r="I34" s="20" t="n">
        <v>198</v>
      </c>
      <c r="J34" s="20" t="n">
        <v>271</v>
      </c>
      <c r="K34" s="20" t="n">
        <v>240</v>
      </c>
      <c r="L34" s="20" t="n">
        <v>283</v>
      </c>
    </row>
    <row r="35">
      <c r="A35" s="9" t="inlineStr">
        <is>
          <t>자본총계</t>
        </is>
      </c>
      <c r="B35" s="10" t="n"/>
      <c r="C35" s="11" t="n">
        <v>18630</v>
      </c>
      <c r="D35" s="12" t="n">
        <v>19229</v>
      </c>
      <c r="E35" s="12" t="n">
        <v>21070</v>
      </c>
      <c r="F35" s="12" t="n">
        <v>21431</v>
      </c>
      <c r="G35" s="12" t="n">
        <v>21383</v>
      </c>
      <c r="H35" s="11" t="n">
        <v>16482</v>
      </c>
      <c r="I35" s="12" t="n">
        <v>19057</v>
      </c>
      <c r="J35" s="12" t="n">
        <v>20507</v>
      </c>
      <c r="K35" s="12" t="n">
        <v>18867</v>
      </c>
      <c r="L35" s="12" t="n">
        <v>21431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3384</v>
      </c>
      <c r="E37" s="12" t="n"/>
      <c r="F37" s="12" t="n">
        <v>4894</v>
      </c>
      <c r="G37" s="12" t="n"/>
      <c r="H37" s="11" t="n">
        <v>2782</v>
      </c>
      <c r="I37" s="12" t="n">
        <v>243</v>
      </c>
      <c r="J37" s="12" t="n">
        <v>4084</v>
      </c>
      <c r="K37" s="12" t="n">
        <v>3062</v>
      </c>
      <c r="L37" s="12" t="n">
        <v>4894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1929</v>
      </c>
      <c r="E38" s="20" t="n"/>
      <c r="F38" s="20" t="n">
        <v>2462</v>
      </c>
      <c r="G38" s="20" t="n"/>
      <c r="H38" s="19" t="n">
        <v>1887</v>
      </c>
      <c r="I38" s="20" t="n">
        <v>3292</v>
      </c>
      <c r="J38" s="20" t="n">
        <v>2165</v>
      </c>
      <c r="K38" s="20" t="n">
        <v>2485</v>
      </c>
      <c r="L38" s="20" t="n">
        <v>2462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436</v>
      </c>
      <c r="E40" s="20" t="n"/>
      <c r="F40" s="20" t="n">
        <v>438</v>
      </c>
      <c r="G40" s="20" t="n"/>
      <c r="H40" s="19" t="n">
        <v>104</v>
      </c>
      <c r="I40" s="20" t="n">
        <v>357</v>
      </c>
      <c r="J40" s="20" t="n">
        <v>494</v>
      </c>
      <c r="K40" s="20" t="n">
        <v>493</v>
      </c>
      <c r="L40" s="20" t="n">
        <v>438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IFERROR(IF((IF(COUNT('연간'!G58:J58)&lt;4,"",SUM('연간'!G58:J58)))&lt;=0,"적자",C28/(IF(COUNT('연간'!G58:J58)&lt;4,"",SUM('연간'!G58:J58)))),"")</f>
        <v/>
      </c>
      <c r="D49" s="47">
        <f>IFERROR(IF((IF(COUNT('연간'!H58:K58)&lt;4,"",SUM('연간'!H58:K58)))&lt;=0,"적자",D28/(IF(COUNT('연간'!H58:K58)&lt;4,"",SUM('연간'!H58:K58)))),"")</f>
        <v/>
      </c>
      <c r="E49" s="47">
        <f>IFERROR(IF((IF(COUNT('연간'!I58:L58)&lt;4,"",SUM('연간'!I58:L58)))&lt;=0,"적자",E28/(IF(COUNT('연간'!I58:L58)&lt;4,"",SUM('연간'!I58:L58)))),"")</f>
        <v/>
      </c>
      <c r="F49" s="47">
        <f>IFERROR(IF((IF(COUNT('연간'!J58:M58)&lt;4,"",SUM('연간'!J58:M58)))&lt;=0,"적자",F28/(IF(COUNT('연간'!J58:M58)&lt;4,"",SUM('연간'!J58:M58)))),"")</f>
        <v/>
      </c>
      <c r="G49" s="47">
        <f>IFERROR(IF((IF(COUNT('연간'!K58:N58)&lt;4,"",SUM('연간'!K58:N58)))&lt;=0,"적자",G28/(IF(COUNT('연간'!K58:N58)&lt;4,"",SUM('연간'!K58:N58)))),"")</f>
        <v/>
      </c>
      <c r="H49" s="46">
        <f>IFERROR(IF(('연간'!T58)&lt;=0,"적자",H28/('연간'!T58)),"")</f>
        <v/>
      </c>
      <c r="I49" s="47">
        <f>IFERROR(IF(('연간'!U58)&lt;=0,"적자",I28/('연간'!U58)),"")</f>
        <v/>
      </c>
      <c r="J49" s="47">
        <f>IFERROR(IF(('연간'!V58)&lt;=0,"적자",J28/('연간'!V58)),"")</f>
        <v/>
      </c>
      <c r="K49" s="47">
        <f>IFERROR(IF(('연간'!W58)&lt;=0,"적자",K28/('연간'!W58)),"")</f>
        <v/>
      </c>
      <c r="L49" s="47">
        <f>IFERROR(IF(('연간'!X58)&lt;=0,"적자",L28/('연간'!X58)),"")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IFERROR((IF(COUNT('연간'!G58:J58)&lt;4,"",SUM('연간'!G58:J58)))/C31,"")</f>
        <v/>
      </c>
      <c r="D51" s="36">
        <f>IFERROR((IF(COUNT('연간'!H58:K58)&lt;4,"",SUM('연간'!H58:K58)))/D31,"")</f>
        <v/>
      </c>
      <c r="E51" s="36">
        <f>IFERROR((IF(COUNT('연간'!I58:L58)&lt;4,"",SUM('연간'!I58:L58)))/E31,"")</f>
        <v/>
      </c>
      <c r="F51" s="36">
        <f>IFERROR((IF(COUNT('연간'!J58:M58)&lt;4,"",SUM('연간'!J58:M58)))/F31,"")</f>
        <v/>
      </c>
      <c r="G51" s="36">
        <f>IFERROR((IF(COUNT('연간'!K58:N58)&lt;4,"",SUM('연간'!K58:N58)))/G31,"")</f>
        <v/>
      </c>
      <c r="H51" s="35">
        <f>IFERROR(('연간'!T58)/H31,"")</f>
        <v/>
      </c>
      <c r="I51" s="36">
        <f>IFERROR(('연간'!U58)/I31,"")</f>
        <v/>
      </c>
      <c r="J51" s="36">
        <f>IFERROR(('연간'!V58)/J31,"")</f>
        <v/>
      </c>
      <c r="K51" s="36">
        <f>IFERROR(('연간'!W58)/K31,"")</f>
        <v/>
      </c>
      <c r="L51" s="36">
        <f>IFERROR(('연간'!X58)/L31,"")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IFERROR((IF(COUNT('연간'!G56:J56)&lt;4,"",SUM('연간'!G56:J56)))/C16,"")</f>
        <v/>
      </c>
      <c r="D52" s="36">
        <f>IFERROR((IF(COUNT('연간'!H56:K56)&lt;4,"",SUM('연간'!H56:K56)))/D16,"")</f>
        <v/>
      </c>
      <c r="E52" s="36">
        <f>IFERROR((IF(COUNT('연간'!I56:L56)&lt;4,"",SUM('연간'!I56:L56)))/E16,"")</f>
        <v/>
      </c>
      <c r="F52" s="36">
        <f>IFERROR((IF(COUNT('연간'!J56:M56)&lt;4,"",SUM('연간'!J56:M56)))/F16,"")</f>
        <v/>
      </c>
      <c r="G52" s="36">
        <f>IFERROR((IF(COUNT('연간'!K56:N56)&lt;4,"",SUM('연간'!K56:N56)))/G16,"")</f>
        <v/>
      </c>
      <c r="H52" s="35">
        <f>IFERROR(('연간'!T56)/H16,"")</f>
        <v/>
      </c>
      <c r="I52" s="36">
        <f>IFERROR(('연간'!U56)/I16,"")</f>
        <v/>
      </c>
      <c r="J52" s="36">
        <f>IFERROR(('연간'!V56)/J16,"")</f>
        <v/>
      </c>
      <c r="K52" s="36">
        <f>IFERROR(('연간'!W56)/K16,"")</f>
        <v/>
      </c>
      <c r="L52" s="36">
        <f>IFERROR(('연간'!X56)/L16,"")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IFERROR((IF(COUNT('연간'!G22:J22)&lt;4,"",SUM('연간'!G22:J22)))/(IF(COUNT('연간'!G4:J4)&lt;4,"",SUM('연간'!G4:J4))),"")</f>
        <v/>
      </c>
      <c r="D54" s="36">
        <f>IFERROR((IF(COUNT('연간'!H22:K22)&lt;4,"",SUM('연간'!H22:K22)))/(IF(COUNT('연간'!H4:K4)&lt;4,"",SUM('연간'!H4:K4))),"")</f>
        <v/>
      </c>
      <c r="E54" s="36">
        <f>IFERROR((IF(COUNT('연간'!I22:L22)&lt;4,"",SUM('연간'!I22:L22)))/(IF(COUNT('연간'!I4:L4)&lt;4,"",SUM('연간'!I4:L4))),"")</f>
        <v/>
      </c>
      <c r="F54" s="36">
        <f>IFERROR((IF(COUNT('연간'!J22:M22)&lt;4,"",SUM('연간'!J22:M22)))/(IF(COUNT('연간'!J4:M4)&lt;4,"",SUM('연간'!J4:M4))),"")</f>
        <v/>
      </c>
      <c r="G54" s="36">
        <f>IFERROR((IF(COUNT('연간'!K22:N22)&lt;4,"",SUM('연간'!K22:N22)))/(IF(COUNT('연간'!K4:N4)&lt;4,"",SUM('연간'!K4:N4))),"")</f>
        <v/>
      </c>
      <c r="H54" s="35">
        <f>IFERROR(('연간'!T22)/('연간'!T4),"")</f>
        <v/>
      </c>
      <c r="I54" s="36">
        <f>IFERROR(('연간'!U22)/('연간'!U4),"")</f>
        <v/>
      </c>
      <c r="J54" s="36">
        <f>IFERROR(('연간'!V22)/('연간'!V4),"")</f>
        <v/>
      </c>
      <c r="K54" s="36">
        <f>IFERROR(('연간'!W22)/('연간'!W4),"")</f>
        <v/>
      </c>
      <c r="L54" s="36">
        <f>IFERROR(('연간'!X22)/('연간'!X4),"")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IFERROR((IF(COUNT('연간'!G56:J56)&lt;4,"",SUM('연간'!G56:J56)))/(IF(COUNT('연간'!G4:J4)&lt;4,"",SUM('연간'!G4:J4))),"")</f>
        <v/>
      </c>
      <c r="D56" s="36">
        <f>IFERROR((IF(COUNT('연간'!H56:K56)&lt;4,"",SUM('연간'!H56:K56)))/(IF(COUNT('연간'!H4:K4)&lt;4,"",SUM('연간'!H4:K4))),"")</f>
        <v/>
      </c>
      <c r="E56" s="36">
        <f>IFERROR((IF(COUNT('연간'!I56:L56)&lt;4,"",SUM('연간'!I56:L56)))/(IF(COUNT('연간'!I4:L4)&lt;4,"",SUM('연간'!I4:L4))),"")</f>
        <v/>
      </c>
      <c r="F56" s="36">
        <f>IFERROR((IF(COUNT('연간'!J56:M56)&lt;4,"",SUM('연간'!J56:M56)))/(IF(COUNT('연간'!J4:M4)&lt;4,"",SUM('연간'!J4:M4))),"")</f>
        <v/>
      </c>
      <c r="G56" s="36">
        <f>IFERROR((IF(COUNT('연간'!K56:N56)&lt;4,"",SUM('연간'!K56:N56)))/(IF(COUNT('연간'!K4:N4)&lt;4,"",SUM('연간'!K4:N4))),"")</f>
        <v/>
      </c>
      <c r="H56" s="35">
        <f>IFERROR(('연간'!T56)/('연간'!T4),"")</f>
        <v/>
      </c>
      <c r="I56" s="36">
        <f>IFERROR(('연간'!U56)/('연간'!U4),"")</f>
        <v/>
      </c>
      <c r="J56" s="36">
        <f>IFERROR(('연간'!V56)/('연간'!V4),"")</f>
        <v/>
      </c>
      <c r="K56" s="36">
        <f>IFERROR(('연간'!W56)/('연간'!W4),"")</f>
        <v/>
      </c>
      <c r="L56" s="36">
        <f>IFERROR(('연간'!X56)/('연간'!X4),"")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IFERROR(C9/(IF(COUNT('연간'!G20:J20)&lt;4,"",SUM('연간'!G20:J20)))*365,"")</f>
        <v/>
      </c>
      <c r="D60" s="49">
        <f>IFERROR(D9/(IF(COUNT('연간'!H20:K20)&lt;4,"",SUM('연간'!H20:K20)))*365,"")</f>
        <v/>
      </c>
      <c r="E60" s="49">
        <f>IFERROR(E9/(IF(COUNT('연간'!I20:L20)&lt;4,"",SUM('연간'!I20:L20)))*365,"")</f>
        <v/>
      </c>
      <c r="F60" s="49">
        <f>IFERROR(F9/(IF(COUNT('연간'!J20:M20)&lt;4,"",SUM('연간'!J20:M20)))*365,"")</f>
        <v/>
      </c>
      <c r="G60" s="49">
        <f>IFERROR(G9/(IF(COUNT('연간'!K20:N20)&lt;4,"",SUM('연간'!K20:N20)))*365,"")</f>
        <v/>
      </c>
      <c r="H60" s="48">
        <f>IFERROR(H9/('연간'!T20)*365,"")</f>
        <v/>
      </c>
      <c r="I60" s="49">
        <f>IFERROR(I9/('연간'!U20)*365,"")</f>
        <v/>
      </c>
      <c r="J60" s="49">
        <f>IFERROR(J9/('연간'!V20)*365,"")</f>
        <v/>
      </c>
      <c r="K60" s="49">
        <f>IFERROR(K9/('연간'!W20)*365,"")</f>
        <v/>
      </c>
      <c r="L60" s="49">
        <f>IFERROR(L9/('연간'!X20)*365,"")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IFERROR(C19/(IF(COUNT('연간'!G20:J20)&lt;4,"",SUM('연간'!G20:J20)))*365,"")</f>
        <v/>
      </c>
      <c r="D61" s="49">
        <f>IFERROR(D19/(IF(COUNT('연간'!H20:K20)&lt;4,"",SUM('연간'!H20:K20)))*365,"")</f>
        <v/>
      </c>
      <c r="E61" s="49">
        <f>IFERROR(E19/(IF(COUNT('연간'!I20:L20)&lt;4,"",SUM('연간'!I20:L20)))*365,"")</f>
        <v/>
      </c>
      <c r="F61" s="49">
        <f>IFERROR(F19/(IF(COUNT('연간'!J20:M20)&lt;4,"",SUM('연간'!J20:M20)))*365,"")</f>
        <v/>
      </c>
      <c r="G61" s="49">
        <f>IFERROR(G19/(IF(COUNT('연간'!K20:N20)&lt;4,"",SUM('연간'!K20:N20)))*365,"")</f>
        <v/>
      </c>
      <c r="H61" s="48">
        <f>IFERROR(H19/('연간'!T20)*365,"")</f>
        <v/>
      </c>
      <c r="I61" s="49">
        <f>IFERROR(I19/('연간'!U20)*365,"")</f>
        <v/>
      </c>
      <c r="J61" s="49">
        <f>IFERROR(J19/('연간'!V20)*365,"")</f>
        <v/>
      </c>
      <c r="K61" s="49">
        <f>IFERROR(K19/('연간'!W20)*365,"")</f>
        <v/>
      </c>
      <c r="L61" s="49">
        <f>IFERROR(L19/('연간'!X20)*365,"")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IF(C37="","",IFERROR(C37/(IF(COUNT('연간'!G56:J56)&lt;4,"",SUM('연간'!G56:J56))),""))</f>
        <v/>
      </c>
      <c r="D64" s="31">
        <f>IF(D37="","",IFERROR(D37/(IF(COUNT('연간'!H56:K56)&lt;4,"",SUM('연간'!H56:K56))),""))</f>
        <v/>
      </c>
      <c r="E64" s="31">
        <f>IF(E37="","",IFERROR(E37/(IF(COUNT('연간'!I56:L56)&lt;4,"",SUM('연간'!I56:L56))),""))</f>
        <v/>
      </c>
      <c r="F64" s="31">
        <f>IF(F37="","",IFERROR(F37/(IF(COUNT('연간'!J56:M56)&lt;4,"",SUM('연간'!J56:M56))),""))</f>
        <v/>
      </c>
      <c r="G64" s="31">
        <f>IF(G37="","",IFERROR(G37/(IF(COUNT('연간'!K56:N56)&lt;4,"",SUM('연간'!K56:N56))),""))</f>
        <v/>
      </c>
      <c r="H64" s="30">
        <f>IF(H37="","",IFERROR(H37/('연간'!T56),""))</f>
        <v/>
      </c>
      <c r="I64" s="31">
        <f>IF(I37="","",IFERROR(I37/('연간'!U56),""))</f>
        <v/>
      </c>
      <c r="J64" s="31">
        <f>IF(J37="","",IFERROR(J37/('연간'!V56),""))</f>
        <v/>
      </c>
      <c r="K64" s="31">
        <f>IF(K37="","",IFERROR(K37/('연간'!W56),""))</f>
        <v/>
      </c>
      <c r="L64" s="31">
        <f>IF(L37="","",IFERROR(L37/('연간'!X56),""))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IF(C40="","",IFERROR(C40/(IF(COUNT('연간'!G58:J58)&lt;4,"",SUM('연간'!G58:J58))),""))</f>
        <v/>
      </c>
      <c r="D67" s="36">
        <f>IF(D40="","",IFERROR(D40/(IF(COUNT('연간'!H58:K58)&lt;4,"",SUM('연간'!H58:K58))),""))</f>
        <v/>
      </c>
      <c r="E67" s="36">
        <f>IF(E40="","",IFERROR(E40/(IF(COUNT('연간'!I58:L58)&lt;4,"",SUM('연간'!I58:L58))),""))</f>
        <v/>
      </c>
      <c r="F67" s="36">
        <f>IF(F40="","",IFERROR(F40/(IF(COUNT('연간'!J58:M58)&lt;4,"",SUM('연간'!J58:M58))),""))</f>
        <v/>
      </c>
      <c r="G67" s="36">
        <f>IF(G40="","",IFERROR(G40/(IF(COUNT('연간'!K58:N58)&lt;4,"",SUM('연간'!K58:N58))),""))</f>
        <v/>
      </c>
      <c r="H67" s="35">
        <f>IF(H40="","",IFERROR(H40/('연간'!T58),""))</f>
        <v/>
      </c>
      <c r="I67" s="36">
        <f>IF(I40="","",IFERROR(I40/('연간'!U58),""))</f>
        <v/>
      </c>
      <c r="J67" s="36">
        <f>IF(J40="","",IFERROR(J40/('연간'!V58),""))</f>
        <v/>
      </c>
      <c r="K67" s="36">
        <f>IF(K40="","",IFERROR(K40/('연간'!W58),""))</f>
        <v/>
      </c>
      <c r="L67" s="36">
        <f>IF(L40="","",IFERROR(L40/('연간'!X58),""))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6276</v>
      </c>
      <c r="D71" s="20" t="n">
        <v>6998</v>
      </c>
      <c r="E71" s="20" t="n">
        <v>7714</v>
      </c>
      <c r="F71" s="20" t="n">
        <v>6459</v>
      </c>
      <c r="G71" s="20" t="n">
        <v>7952</v>
      </c>
      <c r="H71" s="20" t="n">
        <v>8203</v>
      </c>
      <c r="I71" s="20" t="n">
        <v>5544</v>
      </c>
      <c r="J71" s="20" t="n">
        <v>7180</v>
      </c>
      <c r="K71" s="20" t="n">
        <v>6628</v>
      </c>
      <c r="L71" s="20" t="n">
        <v>6459</v>
      </c>
    </row>
    <row r="72">
      <c r="A72" s="18" t="inlineStr">
        <is>
          <t>매출채권</t>
        </is>
      </c>
      <c r="C72" s="20" t="n">
        <v>4019</v>
      </c>
      <c r="D72" s="20" t="n">
        <v>4133</v>
      </c>
      <c r="E72" s="20" t="n">
        <v>3823</v>
      </c>
      <c r="F72" s="20" t="n">
        <v>4541</v>
      </c>
      <c r="G72" s="20" t="n">
        <v>4426</v>
      </c>
      <c r="H72" s="20" t="n">
        <v>2333</v>
      </c>
      <c r="I72" s="20" t="n">
        <v>3008</v>
      </c>
      <c r="J72" s="20" t="n">
        <v>3397</v>
      </c>
      <c r="K72" s="20" t="n">
        <v>3888</v>
      </c>
      <c r="L72" s="20" t="n">
        <v>4541</v>
      </c>
    </row>
    <row r="73">
      <c r="A73" s="18" t="inlineStr">
        <is>
          <t>상품</t>
        </is>
      </c>
      <c r="C73" s="20" t="n">
        <v>19708</v>
      </c>
      <c r="D73" s="20" t="n">
        <v>20032</v>
      </c>
      <c r="E73" s="20" t="n">
        <v>19964</v>
      </c>
      <c r="F73" s="20" t="n">
        <v>21084</v>
      </c>
      <c r="G73" s="20" t="n">
        <v>22374</v>
      </c>
      <c r="H73" s="20" t="n">
        <v>15412</v>
      </c>
      <c r="I73" s="20" t="n">
        <v>17612</v>
      </c>
      <c r="J73" s="20" t="n">
        <v>18825</v>
      </c>
      <c r="K73" s="20" t="n">
        <v>19731</v>
      </c>
      <c r="L73" s="20" t="n">
        <v>21084</v>
      </c>
    </row>
    <row r="74">
      <c r="A74" s="18" t="inlineStr">
        <is>
          <t>기타</t>
        </is>
      </c>
      <c r="C74" s="20" t="n">
        <v>3573</v>
      </c>
      <c r="D74" s="20" t="n">
        <v>3551</v>
      </c>
      <c r="E74" s="20" t="n">
        <v>3467</v>
      </c>
      <c r="F74" s="20" t="n">
        <v>3809</v>
      </c>
      <c r="G74" s="20" t="n">
        <v>3563</v>
      </c>
      <c r="H74" s="20" t="n">
        <v>2380</v>
      </c>
      <c r="I74" s="20" t="n">
        <v>2948</v>
      </c>
      <c r="J74" s="20" t="n">
        <v>2803</v>
      </c>
      <c r="K74" s="20" t="n">
        <v>3268</v>
      </c>
      <c r="L74" s="20" t="n">
        <v>3809</v>
      </c>
    </row>
    <row r="75">
      <c r="A75" s="18" t="inlineStr">
        <is>
          <t>대손충당금</t>
        </is>
      </c>
      <c r="C75" s="20" t="n">
        <v>-40</v>
      </c>
      <c r="D75" s="20" t="n">
        <v>-23</v>
      </c>
      <c r="E75" s="20" t="n">
        <v>-23</v>
      </c>
      <c r="F75" s="20" t="n">
        <v>-23</v>
      </c>
      <c r="G75" s="20" t="n">
        <v>-23</v>
      </c>
      <c r="H75" s="20" t="n">
        <v>-0</v>
      </c>
      <c r="I75" s="20" t="n">
        <v>-0</v>
      </c>
      <c r="J75" s="20" t="n">
        <v>-0</v>
      </c>
      <c r="K75" s="20" t="n">
        <v>-0</v>
      </c>
      <c r="L75" s="20" t="n">
        <v>-23</v>
      </c>
    </row>
    <row r="76">
      <c r="A76" s="9" t="inlineStr">
        <is>
          <t>유동자산 합계</t>
        </is>
      </c>
      <c r="C76" s="12" t="n">
        <v>33538</v>
      </c>
      <c r="D76" s="12" t="n">
        <v>34691</v>
      </c>
      <c r="E76" s="12" t="n">
        <v>34945</v>
      </c>
      <c r="F76" s="12" t="n">
        <v>35870</v>
      </c>
      <c r="G76" s="12" t="n">
        <v>38293</v>
      </c>
      <c r="H76" s="12" t="n">
        <v>28329</v>
      </c>
      <c r="I76" s="12" t="n">
        <v>29112</v>
      </c>
      <c r="J76" s="12" t="n">
        <v>32208</v>
      </c>
      <c r="K76" s="12" t="n">
        <v>33517</v>
      </c>
      <c r="L76" s="12" t="n">
        <v>35870</v>
      </c>
    </row>
    <row r="77">
      <c r="A77" s="18" t="inlineStr">
        <is>
          <t>건물·구축물</t>
        </is>
      </c>
      <c r="F77" s="20" t="n">
        <v>17204</v>
      </c>
      <c r="H77" s="20" t="n">
        <v>15660</v>
      </c>
      <c r="I77" s="20" t="n">
        <v>16243</v>
      </c>
      <c r="J77" s="20" t="n">
        <v>16573</v>
      </c>
      <c r="K77" s="20" t="n">
        <v>16858</v>
      </c>
      <c r="L77" s="20" t="n">
        <v>17204</v>
      </c>
    </row>
    <row r="78">
      <c r="A78" s="18" t="inlineStr">
        <is>
          <t>감가상각누계액</t>
        </is>
      </c>
      <c r="F78" s="20" t="n">
        <v>-12065</v>
      </c>
      <c r="H78" s="20" t="n">
        <v>-11544</v>
      </c>
      <c r="I78" s="20" t="n">
        <v>-11584</v>
      </c>
      <c r="J78" s="20" t="n">
        <v>-11803</v>
      </c>
      <c r="K78" s="20" t="n">
        <v>-12039</v>
      </c>
      <c r="L78" s="20" t="n">
        <v>-12065</v>
      </c>
    </row>
    <row r="79">
      <c r="A79" s="18" t="inlineStr">
        <is>
          <t>건물·구축물(순액)</t>
        </is>
      </c>
      <c r="C79" s="20" t="n">
        <v>4861</v>
      </c>
      <c r="D79" s="20" t="n">
        <v>4953</v>
      </c>
      <c r="E79" s="20" t="n">
        <v>4964</v>
      </c>
      <c r="F79" s="20" t="n">
        <v>5139</v>
      </c>
      <c r="G79" s="20" t="n">
        <v>5233</v>
      </c>
      <c r="H79" s="20" t="n">
        <v>4116</v>
      </c>
      <c r="I79" s="20" t="n">
        <v>4658</v>
      </c>
      <c r="J79" s="20" t="n">
        <v>4770</v>
      </c>
      <c r="K79" s="20" t="n">
        <v>4819</v>
      </c>
      <c r="L79" s="20" t="n">
        <v>5139</v>
      </c>
    </row>
    <row r="80">
      <c r="A80" s="18" t="inlineStr">
        <is>
          <t>토지</t>
        </is>
      </c>
      <c r="F80" s="20" t="n">
        <v>1228</v>
      </c>
      <c r="H80" s="20" t="n">
        <v>175</v>
      </c>
      <c r="I80" s="20" t="n">
        <v>648</v>
      </c>
      <c r="J80" s="20" t="n">
        <v>648</v>
      </c>
      <c r="K80" s="20" t="n">
        <v>1253</v>
      </c>
      <c r="L80" s="20" t="n">
        <v>1228</v>
      </c>
    </row>
    <row r="81">
      <c r="A81" s="18" t="inlineStr">
        <is>
          <t>리스자산</t>
        </is>
      </c>
      <c r="F81" s="20" t="n">
        <v>6051</v>
      </c>
      <c r="H81" s="20" t="n">
        <v>2224</v>
      </c>
      <c r="I81" s="20" t="n">
        <v>3901</v>
      </c>
      <c r="J81" s="20" t="n">
        <v>4483</v>
      </c>
      <c r="K81" s="20" t="n">
        <v>5568</v>
      </c>
      <c r="L81" s="20" t="n">
        <v>6051</v>
      </c>
    </row>
    <row r="82">
      <c r="A82" s="18" t="inlineStr">
        <is>
          <t>감가상각누계액</t>
        </is>
      </c>
      <c r="F82" s="20" t="n">
        <v>-1770</v>
      </c>
      <c r="H82" s="20" t="n">
        <v>-1072</v>
      </c>
      <c r="I82" s="20" t="n">
        <v>-1197</v>
      </c>
      <c r="J82" s="20" t="n">
        <v>-1376</v>
      </c>
      <c r="K82" s="20" t="n">
        <v>-1515</v>
      </c>
      <c r="L82" s="20" t="n">
        <v>-1770</v>
      </c>
    </row>
    <row r="83">
      <c r="A83" s="18" t="inlineStr">
        <is>
          <t>리스자산(순액)</t>
        </is>
      </c>
      <c r="C83" s="20" t="n">
        <v>3895</v>
      </c>
      <c r="D83" s="20" t="n">
        <v>3939</v>
      </c>
      <c r="E83" s="20" t="n">
        <v>4352</v>
      </c>
      <c r="F83" s="20" t="n">
        <v>4280</v>
      </c>
      <c r="G83" s="20" t="n">
        <v>4502</v>
      </c>
      <c r="H83" s="20" t="n">
        <v>1151</v>
      </c>
      <c r="I83" s="20" t="n">
        <v>2703</v>
      </c>
      <c r="J83" s="20" t="n">
        <v>3107</v>
      </c>
      <c r="K83" s="20" t="n">
        <v>4053</v>
      </c>
      <c r="L83" s="20" t="n">
        <v>4280</v>
      </c>
    </row>
    <row r="84">
      <c r="A84" s="18" t="inlineStr">
        <is>
          <t>기타</t>
        </is>
      </c>
      <c r="F84" s="20" t="n">
        <v>5258</v>
      </c>
      <c r="H84" s="20" t="n">
        <v>3255</v>
      </c>
      <c r="I84" s="20" t="n">
        <v>3373</v>
      </c>
      <c r="J84" s="20" t="n">
        <v>3876</v>
      </c>
      <c r="K84" s="20" t="n">
        <v>4221</v>
      </c>
      <c r="L84" s="20" t="n">
        <v>5258</v>
      </c>
    </row>
    <row r="85">
      <c r="A85" s="18" t="inlineStr">
        <is>
          <t>감가상각누계액</t>
        </is>
      </c>
      <c r="F85" s="20" t="n">
        <v>-3060</v>
      </c>
      <c r="H85" s="20" t="n">
        <v>-2483</v>
      </c>
      <c r="I85" s="20" t="n">
        <v>-2531</v>
      </c>
      <c r="J85" s="20" t="n">
        <v>-2547</v>
      </c>
      <c r="K85" s="20" t="n">
        <v>-2605</v>
      </c>
      <c r="L85" s="20" t="n">
        <v>-3060</v>
      </c>
    </row>
    <row r="86">
      <c r="A86" s="18" t="inlineStr">
        <is>
          <t>기타(순액)</t>
        </is>
      </c>
      <c r="C86" s="20" t="n">
        <v>2849</v>
      </c>
      <c r="D86" s="20" t="n">
        <v>3116</v>
      </c>
      <c r="E86" s="20" t="n">
        <v>3380</v>
      </c>
      <c r="F86" s="20" t="n">
        <v>3427</v>
      </c>
      <c r="G86" s="20" t="n">
        <v>3575</v>
      </c>
      <c r="H86" s="20" t="n">
        <v>771</v>
      </c>
      <c r="I86" s="20" t="n">
        <v>842</v>
      </c>
      <c r="J86" s="20" t="n">
        <v>1328</v>
      </c>
      <c r="K86" s="20" t="n">
        <v>1616</v>
      </c>
      <c r="L86" s="20" t="n">
        <v>3427</v>
      </c>
    </row>
    <row r="87">
      <c r="A87" s="18" t="inlineStr">
        <is>
          <t>유형자산 합계</t>
        </is>
      </c>
      <c r="C87" s="20" t="n">
        <v>11606</v>
      </c>
      <c r="D87" s="20" t="n">
        <v>12009</v>
      </c>
      <c r="E87" s="20" t="n">
        <v>12696</v>
      </c>
      <c r="F87" s="20" t="n">
        <v>12847</v>
      </c>
      <c r="G87" s="20" t="n">
        <v>13312</v>
      </c>
      <c r="H87" s="20" t="n">
        <v>6214</v>
      </c>
      <c r="I87" s="20" t="n">
        <v>8852</v>
      </c>
      <c r="J87" s="20" t="n">
        <v>9854</v>
      </c>
      <c r="K87" s="20" t="n">
        <v>11742</v>
      </c>
      <c r="L87" s="20" t="n">
        <v>12847</v>
      </c>
    </row>
    <row r="88">
      <c r="A88" s="18" t="inlineStr">
        <is>
          <t>영업권</t>
        </is>
      </c>
      <c r="H88" s="20" t="n">
        <v>87</v>
      </c>
    </row>
    <row r="89">
      <c r="A89" s="18" t="inlineStr">
        <is>
          <t>소프트웨어</t>
        </is>
      </c>
      <c r="C89" s="20" t="n">
        <v>1868</v>
      </c>
      <c r="D89" s="20" t="n">
        <v>1734</v>
      </c>
      <c r="E89" s="20" t="n">
        <v>1599</v>
      </c>
      <c r="F89" s="20" t="n">
        <v>1704</v>
      </c>
      <c r="G89" s="20" t="n">
        <v>1633</v>
      </c>
      <c r="H89" s="20" t="n">
        <v>547</v>
      </c>
      <c r="I89" s="20" t="n">
        <v>382</v>
      </c>
      <c r="J89" s="20" t="n">
        <v>2186</v>
      </c>
      <c r="K89" s="20" t="n">
        <v>1989</v>
      </c>
      <c r="L89" s="20" t="n">
        <v>1704</v>
      </c>
    </row>
    <row r="90">
      <c r="A90" s="18" t="inlineStr">
        <is>
          <t>개발 중 소프트웨어</t>
        </is>
      </c>
      <c r="C90" s="20" t="n">
        <v>152</v>
      </c>
      <c r="D90" s="20" t="n">
        <v>173</v>
      </c>
      <c r="E90" s="20" t="n">
        <v>232</v>
      </c>
      <c r="F90" s="20" t="n">
        <v>81</v>
      </c>
      <c r="G90" s="20" t="n">
        <v>80</v>
      </c>
      <c r="H90" s="20" t="n">
        <v>947</v>
      </c>
      <c r="I90" s="20" t="n">
        <v>1998</v>
      </c>
      <c r="J90" s="20" t="n">
        <v>212</v>
      </c>
      <c r="K90" s="20" t="n">
        <v>103</v>
      </c>
      <c r="L90" s="20" t="n">
        <v>81</v>
      </c>
    </row>
    <row r="91">
      <c r="A91" s="18" t="inlineStr">
        <is>
          <t>기타</t>
        </is>
      </c>
      <c r="C91" s="20" t="n">
        <v>89</v>
      </c>
      <c r="D91" s="20" t="n">
        <v>85</v>
      </c>
      <c r="E91" s="20" t="n">
        <v>81</v>
      </c>
      <c r="F91" s="20" t="n">
        <v>78</v>
      </c>
      <c r="G91" s="20" t="n">
        <v>94</v>
      </c>
      <c r="H91" s="20" t="n">
        <v>112</v>
      </c>
      <c r="I91" s="20" t="n">
        <v>63</v>
      </c>
      <c r="J91" s="20" t="n">
        <v>29</v>
      </c>
      <c r="K91" s="20" t="n">
        <v>25</v>
      </c>
      <c r="L91" s="20" t="n">
        <v>78</v>
      </c>
    </row>
    <row r="92">
      <c r="A92" s="18" t="inlineStr">
        <is>
          <t>무형자산 합계</t>
        </is>
      </c>
      <c r="C92" s="20" t="n">
        <v>2110</v>
      </c>
      <c r="D92" s="20" t="n">
        <v>1992</v>
      </c>
      <c r="E92" s="20" t="n">
        <v>1913</v>
      </c>
      <c r="F92" s="20" t="n">
        <v>1864</v>
      </c>
      <c r="G92" s="20" t="n">
        <v>1809</v>
      </c>
      <c r="H92" s="20" t="n">
        <v>1607</v>
      </c>
      <c r="I92" s="20" t="n">
        <v>2443</v>
      </c>
      <c r="J92" s="20" t="n">
        <v>2428</v>
      </c>
      <c r="K92" s="20" t="n">
        <v>2118</v>
      </c>
      <c r="L92" s="20" t="n">
        <v>1864</v>
      </c>
    </row>
    <row r="93">
      <c r="A93" s="18" t="inlineStr">
        <is>
          <t>투자유가증권</t>
        </is>
      </c>
      <c r="F93" s="20" t="n">
        <v>231</v>
      </c>
      <c r="H93" s="20" t="n">
        <v>348</v>
      </c>
      <c r="I93" s="20" t="n">
        <v>334</v>
      </c>
      <c r="J93" s="20" t="n">
        <v>305</v>
      </c>
      <c r="K93" s="20" t="n">
        <v>296</v>
      </c>
      <c r="L93" s="20" t="n">
        <v>231</v>
      </c>
    </row>
    <row r="94">
      <c r="A94" s="18" t="inlineStr">
        <is>
          <t>이연법인세자산</t>
        </is>
      </c>
      <c r="F94" s="20" t="n">
        <v>2539</v>
      </c>
      <c r="H94" s="20" t="n">
        <v>1202</v>
      </c>
      <c r="I94" s="20" t="n">
        <v>2090</v>
      </c>
      <c r="J94" s="20" t="n">
        <v>2351</v>
      </c>
      <c r="K94" s="20" t="n">
        <v>2335</v>
      </c>
      <c r="L94" s="20" t="n">
        <v>2539</v>
      </c>
    </row>
    <row r="95">
      <c r="A95" s="18" t="inlineStr">
        <is>
          <t>보증금</t>
        </is>
      </c>
      <c r="C95" s="20" t="n">
        <v>7290</v>
      </c>
      <c r="D95" s="20" t="n">
        <v>7397</v>
      </c>
      <c r="E95" s="20" t="n">
        <v>7506</v>
      </c>
      <c r="F95" s="20" t="n">
        <v>7492</v>
      </c>
      <c r="G95" s="20" t="n">
        <v>7461</v>
      </c>
      <c r="H95" s="20" t="n">
        <v>7306</v>
      </c>
      <c r="I95" s="20" t="n">
        <v>7296</v>
      </c>
      <c r="J95" s="20" t="n">
        <v>7311</v>
      </c>
      <c r="K95" s="20" t="n">
        <v>7286</v>
      </c>
      <c r="L95" s="20" t="n">
        <v>7492</v>
      </c>
    </row>
    <row r="96">
      <c r="A96" s="18" t="inlineStr">
        <is>
          <t>기타</t>
        </is>
      </c>
      <c r="C96" s="20" t="n">
        <v>2778</v>
      </c>
      <c r="D96" s="20" t="n">
        <v>2662</v>
      </c>
      <c r="E96" s="20" t="n">
        <v>2612</v>
      </c>
      <c r="F96" s="20" t="n">
        <v>2993</v>
      </c>
      <c r="G96" s="20" t="n">
        <v>2822</v>
      </c>
      <c r="H96" s="20" t="n">
        <v>146</v>
      </c>
      <c r="I96" s="20" t="n">
        <v>144</v>
      </c>
      <c r="J96" s="20" t="n">
        <v>145</v>
      </c>
      <c r="K96" s="20" t="n">
        <v>145</v>
      </c>
      <c r="L96" s="20" t="n">
        <v>2993</v>
      </c>
    </row>
    <row r="97">
      <c r="A97" s="18" t="inlineStr">
        <is>
          <t>대손충당금</t>
        </is>
      </c>
      <c r="C97" s="20" t="n">
        <v>-130</v>
      </c>
      <c r="D97" s="20" t="n">
        <v>-130</v>
      </c>
      <c r="E97" s="20" t="n">
        <v>-130</v>
      </c>
      <c r="F97" s="20" t="n">
        <v>-130</v>
      </c>
      <c r="G97" s="20" t="n">
        <v>-107</v>
      </c>
      <c r="H97" s="20" t="n">
        <v>-60</v>
      </c>
      <c r="I97" s="20" t="n">
        <v>-60</v>
      </c>
      <c r="J97" s="20" t="n">
        <v>-60</v>
      </c>
      <c r="K97" s="20" t="n">
        <v>-60</v>
      </c>
      <c r="L97" s="20" t="n">
        <v>-130</v>
      </c>
    </row>
    <row r="98">
      <c r="A98" s="18" t="inlineStr">
        <is>
          <t>투자 및 기타자산 합계</t>
        </is>
      </c>
      <c r="C98" s="20" t="n">
        <v>9938</v>
      </c>
      <c r="D98" s="20" t="n">
        <v>9928</v>
      </c>
      <c r="E98" s="20" t="n">
        <v>9987</v>
      </c>
      <c r="F98" s="20" t="n">
        <v>10354</v>
      </c>
      <c r="G98" s="20" t="n">
        <v>10175</v>
      </c>
      <c r="H98" s="20" t="n">
        <v>8943</v>
      </c>
      <c r="I98" s="20" t="n">
        <v>9804</v>
      </c>
      <c r="J98" s="20" t="n">
        <v>10052</v>
      </c>
      <c r="K98" s="20" t="n">
        <v>10002</v>
      </c>
      <c r="L98" s="20" t="n">
        <v>10354</v>
      </c>
    </row>
    <row r="99">
      <c r="A99" s="9" t="inlineStr">
        <is>
          <t>비유동자산 합계</t>
        </is>
      </c>
      <c r="C99" s="12" t="n">
        <v>23655</v>
      </c>
      <c r="D99" s="12" t="n">
        <v>23931</v>
      </c>
      <c r="E99" s="12" t="n">
        <v>24598</v>
      </c>
      <c r="F99" s="12" t="n">
        <v>25066</v>
      </c>
      <c r="G99" s="12" t="n">
        <v>25297</v>
      </c>
      <c r="H99" s="12" t="n">
        <v>16766</v>
      </c>
      <c r="I99" s="12" t="n">
        <v>21101</v>
      </c>
      <c r="J99" s="12" t="n">
        <v>22334</v>
      </c>
      <c r="K99" s="12" t="n">
        <v>23863</v>
      </c>
      <c r="L99" s="12" t="n">
        <v>25066</v>
      </c>
    </row>
    <row r="100">
      <c r="A100" s="9" t="inlineStr">
        <is>
          <t>자산 합계</t>
        </is>
      </c>
      <c r="C100" s="12" t="n">
        <v>57193</v>
      </c>
      <c r="D100" s="12" t="n">
        <v>58623</v>
      </c>
      <c r="E100" s="12" t="n">
        <v>59543</v>
      </c>
      <c r="F100" s="12" t="n">
        <v>60937</v>
      </c>
      <c r="G100" s="12" t="n">
        <v>63590</v>
      </c>
      <c r="H100" s="12" t="n">
        <v>45096</v>
      </c>
      <c r="I100" s="12" t="n">
        <v>50213</v>
      </c>
      <c r="J100" s="12" t="n">
        <v>54542</v>
      </c>
      <c r="K100" s="12" t="n">
        <v>57380</v>
      </c>
      <c r="L100" s="12" t="n">
        <v>60937</v>
      </c>
    </row>
    <row r="101">
      <c r="A101" s="18" t="inlineStr">
        <is>
          <t>매입채무</t>
        </is>
      </c>
      <c r="C101" s="20" t="n">
        <v>796</v>
      </c>
      <c r="D101" s="20" t="n">
        <v>990</v>
      </c>
      <c r="E101" s="20" t="n">
        <v>1001</v>
      </c>
      <c r="F101" s="20" t="n">
        <v>846</v>
      </c>
      <c r="G101" s="20" t="n">
        <v>1106</v>
      </c>
      <c r="H101" s="20" t="n">
        <v>735</v>
      </c>
      <c r="I101" s="20" t="n">
        <v>814</v>
      </c>
      <c r="J101" s="20" t="n">
        <v>783</v>
      </c>
      <c r="K101" s="20" t="n">
        <v>659</v>
      </c>
      <c r="L101" s="20" t="n">
        <v>846</v>
      </c>
    </row>
    <row r="102">
      <c r="A102" s="18" t="inlineStr">
        <is>
          <t>단기차입금</t>
        </is>
      </c>
      <c r="C102" s="20" t="n">
        <v>8290</v>
      </c>
      <c r="D102" s="20" t="n">
        <v>4210</v>
      </c>
      <c r="E102" s="20" t="n">
        <v>3600</v>
      </c>
      <c r="F102" s="20" t="n">
        <v>3775</v>
      </c>
      <c r="G102" s="20" t="n">
        <v>8670</v>
      </c>
      <c r="H102" s="20" t="n">
        <v>4883</v>
      </c>
      <c r="I102" s="20" t="n">
        <v>6383</v>
      </c>
      <c r="J102" s="20" t="n">
        <v>6333</v>
      </c>
      <c r="K102" s="20" t="n">
        <v>6433</v>
      </c>
      <c r="L102" s="20" t="n">
        <v>3775</v>
      </c>
    </row>
    <row r="103">
      <c r="A103" s="18" t="inlineStr">
        <is>
          <t>1년 내 상환 사채</t>
        </is>
      </c>
      <c r="C103" s="20" t="n">
        <v>660</v>
      </c>
      <c r="D103" s="20" t="n">
        <v>660</v>
      </c>
      <c r="E103" s="20" t="n">
        <v>660</v>
      </c>
      <c r="F103" s="20" t="n">
        <v>1660</v>
      </c>
      <c r="G103" s="20" t="n">
        <v>1660</v>
      </c>
      <c r="J103" s="20" t="n">
        <v>0</v>
      </c>
      <c r="K103" s="20" t="n">
        <v>660</v>
      </c>
      <c r="L103" s="20" t="n">
        <v>1660</v>
      </c>
    </row>
    <row r="104">
      <c r="A104" s="18" t="inlineStr">
        <is>
          <t>1년 내 상환 장기차입금</t>
        </is>
      </c>
      <c r="C104" s="20" t="n">
        <v>2963</v>
      </c>
      <c r="D104" s="20" t="n">
        <v>3635</v>
      </c>
      <c r="E104" s="20" t="n">
        <v>3340</v>
      </c>
      <c r="F104" s="20" t="n">
        <v>3483</v>
      </c>
      <c r="G104" s="20" t="n">
        <v>3810</v>
      </c>
      <c r="H104" s="20" t="n">
        <v>3376</v>
      </c>
      <c r="I104" s="20" t="n">
        <v>3347</v>
      </c>
      <c r="J104" s="20" t="n">
        <v>4483</v>
      </c>
      <c r="K104" s="20" t="n">
        <v>3027</v>
      </c>
      <c r="L104" s="20" t="n">
        <v>3483</v>
      </c>
    </row>
    <row r="105">
      <c r="A105" s="18" t="inlineStr">
        <is>
          <t>리스부채</t>
        </is>
      </c>
      <c r="C105" s="20" t="n">
        <v>841</v>
      </c>
      <c r="D105" s="20" t="n">
        <v>921</v>
      </c>
      <c r="E105" s="20" t="n">
        <v>974</v>
      </c>
      <c r="F105" s="20" t="n">
        <v>1006</v>
      </c>
      <c r="G105" s="20" t="n">
        <v>1012</v>
      </c>
      <c r="H105" s="20" t="n">
        <v>255</v>
      </c>
      <c r="I105" s="20" t="n">
        <v>654</v>
      </c>
      <c r="J105" s="20" t="n">
        <v>764</v>
      </c>
      <c r="K105" s="20" t="n">
        <v>866</v>
      </c>
      <c r="L105" s="20" t="n">
        <v>1006</v>
      </c>
    </row>
    <row r="106">
      <c r="A106" s="18" t="inlineStr">
        <is>
          <t>미지급금</t>
        </is>
      </c>
      <c r="F106" s="20" t="n">
        <v>3704</v>
      </c>
      <c r="H106" s="20" t="n">
        <v>2881</v>
      </c>
      <c r="I106" s="20" t="n">
        <v>2971</v>
      </c>
      <c r="J106" s="20" t="n">
        <v>3084</v>
      </c>
      <c r="K106" s="20" t="n">
        <v>3369</v>
      </c>
      <c r="L106" s="20" t="n">
        <v>3704</v>
      </c>
    </row>
    <row r="107">
      <c r="A107" s="18" t="inlineStr">
        <is>
          <t>미지급법인세</t>
        </is>
      </c>
      <c r="C107" s="20" t="n">
        <v>122</v>
      </c>
      <c r="D107" s="20" t="n">
        <v>370</v>
      </c>
      <c r="E107" s="20" t="n">
        <v>546</v>
      </c>
      <c r="F107" s="20" t="n">
        <v>1018</v>
      </c>
      <c r="G107" s="20" t="n">
        <v>143</v>
      </c>
      <c r="H107" s="20" t="n">
        <v>613</v>
      </c>
      <c r="I107" s="20" t="n">
        <v>340</v>
      </c>
      <c r="J107" s="20" t="n">
        <v>832</v>
      </c>
      <c r="K107" s="20" t="n">
        <v>562</v>
      </c>
      <c r="L107" s="20" t="n">
        <v>1018</v>
      </c>
    </row>
    <row r="108">
      <c r="A108" s="18" t="inlineStr">
        <is>
          <t>상여충당금</t>
        </is>
      </c>
      <c r="C108" s="20" t="n">
        <v>398</v>
      </c>
      <c r="D108" s="20" t="n">
        <v>748</v>
      </c>
      <c r="E108" s="20" t="n">
        <v>499</v>
      </c>
      <c r="F108" s="20" t="n">
        <v>1218</v>
      </c>
      <c r="G108" s="20" t="n">
        <v>431</v>
      </c>
      <c r="H108" s="20" t="n">
        <v>598</v>
      </c>
      <c r="I108" s="20" t="n">
        <v>644</v>
      </c>
      <c r="J108" s="20" t="n">
        <v>686</v>
      </c>
      <c r="K108" s="20" t="n">
        <v>851</v>
      </c>
      <c r="L108" s="20" t="n">
        <v>1218</v>
      </c>
    </row>
    <row r="109">
      <c r="A109" s="18" t="inlineStr">
        <is>
          <t>점포 폐쇄손실 충당금</t>
        </is>
      </c>
      <c r="C109" s="20" t="n">
        <v>24</v>
      </c>
      <c r="D109" s="20" t="n">
        <v>27</v>
      </c>
      <c r="E109" s="20" t="n">
        <v>27</v>
      </c>
      <c r="F109" s="20" t="n">
        <v>57</v>
      </c>
      <c r="G109" s="20" t="n">
        <v>64</v>
      </c>
      <c r="H109" s="20" t="n">
        <v>18</v>
      </c>
      <c r="I109" s="20" t="n">
        <v>11</v>
      </c>
      <c r="J109" s="20" t="n">
        <v>24</v>
      </c>
      <c r="K109" s="20" t="n">
        <v>15</v>
      </c>
      <c r="L109" s="20" t="n">
        <v>57</v>
      </c>
    </row>
    <row r="110">
      <c r="A110" s="18" t="inlineStr">
        <is>
          <t>특별조사 비용 충당금</t>
        </is>
      </c>
      <c r="I110" s="20" t="n">
        <v>0</v>
      </c>
      <c r="J110" s="20" t="n">
        <v>550</v>
      </c>
      <c r="K110" s="20" t="n">
        <v>0</v>
      </c>
    </row>
    <row r="111">
      <c r="A111" s="18" t="inlineStr">
        <is>
          <t>기타 충당금</t>
        </is>
      </c>
      <c r="C111" s="20" t="n">
        <v>184</v>
      </c>
      <c r="D111" s="20" t="n">
        <v>146</v>
      </c>
      <c r="E111" s="20" t="n">
        <v>135</v>
      </c>
      <c r="F111" s="20" t="n">
        <v>216</v>
      </c>
      <c r="G111" s="20" t="n">
        <v>218</v>
      </c>
      <c r="H111" s="20" t="n">
        <v>315</v>
      </c>
      <c r="I111" s="20" t="n">
        <v>189</v>
      </c>
      <c r="J111" s="20" t="n">
        <v>209</v>
      </c>
      <c r="K111" s="20" t="n">
        <v>203</v>
      </c>
      <c r="L111" s="20" t="n">
        <v>216</v>
      </c>
    </row>
    <row r="112">
      <c r="A112" s="18" t="inlineStr">
        <is>
          <t>기타</t>
        </is>
      </c>
      <c r="C112" s="20" t="n">
        <v>6793</v>
      </c>
      <c r="D112" s="20" t="n">
        <v>6719</v>
      </c>
      <c r="E112" s="20" t="n">
        <v>6872</v>
      </c>
      <c r="F112" s="20" t="n">
        <v>7590</v>
      </c>
      <c r="G112" s="20" t="n">
        <v>6706</v>
      </c>
      <c r="H112" s="20" t="n">
        <v>2612</v>
      </c>
      <c r="I112" s="20" t="n">
        <v>2587</v>
      </c>
      <c r="J112" s="20" t="n">
        <v>2798</v>
      </c>
      <c r="K112" s="20" t="n">
        <v>3543</v>
      </c>
      <c r="L112" s="20" t="n">
        <v>7590</v>
      </c>
    </row>
    <row r="113">
      <c r="A113" s="9" t="inlineStr">
        <is>
          <t>유동부채 합계</t>
        </is>
      </c>
      <c r="C113" s="12" t="n">
        <v>21075</v>
      </c>
      <c r="D113" s="12" t="n">
        <v>18430</v>
      </c>
      <c r="E113" s="12" t="n">
        <v>17657</v>
      </c>
      <c r="F113" s="12" t="n">
        <v>20873</v>
      </c>
      <c r="G113" s="12" t="n">
        <v>23823</v>
      </c>
      <c r="H113" s="12" t="n">
        <v>16289</v>
      </c>
      <c r="I113" s="12" t="n">
        <v>17945</v>
      </c>
      <c r="J113" s="12" t="n">
        <v>20551</v>
      </c>
      <c r="K113" s="12" t="n">
        <v>20192</v>
      </c>
      <c r="L113" s="12" t="n">
        <v>20873</v>
      </c>
    </row>
    <row r="114">
      <c r="A114" s="18" t="inlineStr">
        <is>
          <t>사채</t>
        </is>
      </c>
      <c r="C114" s="20" t="n">
        <v>4010</v>
      </c>
      <c r="D114" s="20" t="n">
        <v>4010</v>
      </c>
      <c r="E114" s="20" t="n">
        <v>3680</v>
      </c>
      <c r="F114" s="20" t="n">
        <v>2680</v>
      </c>
      <c r="G114" s="20" t="n">
        <v>2350</v>
      </c>
      <c r="H114" s="20" t="n">
        <v>1000</v>
      </c>
      <c r="I114" s="20" t="n">
        <v>1000</v>
      </c>
      <c r="J114" s="20" t="n">
        <v>1000</v>
      </c>
      <c r="K114" s="20" t="n">
        <v>4340</v>
      </c>
      <c r="L114" s="20" t="n">
        <v>2680</v>
      </c>
    </row>
    <row r="115">
      <c r="A115" s="18" t="inlineStr">
        <is>
          <t>장기차입금</t>
        </is>
      </c>
      <c r="C115" s="20" t="n">
        <v>7469</v>
      </c>
      <c r="D115" s="20" t="n">
        <v>10972</v>
      </c>
      <c r="E115" s="20" t="n">
        <v>10765</v>
      </c>
      <c r="F115" s="20" t="n">
        <v>9699</v>
      </c>
      <c r="G115" s="20" t="n">
        <v>9540</v>
      </c>
      <c r="H115" s="20" t="n">
        <v>7693</v>
      </c>
      <c r="I115" s="20" t="n">
        <v>7341</v>
      </c>
      <c r="J115" s="20" t="n">
        <v>7287</v>
      </c>
      <c r="K115" s="20" t="n">
        <v>7901</v>
      </c>
      <c r="L115" s="20" t="n">
        <v>9699</v>
      </c>
    </row>
    <row r="116">
      <c r="A116" s="18" t="inlineStr">
        <is>
          <t>리스부채</t>
        </is>
      </c>
      <c r="C116" s="20" t="n">
        <v>3270</v>
      </c>
      <c r="D116" s="20" t="n">
        <v>3248</v>
      </c>
      <c r="E116" s="20" t="n">
        <v>3623</v>
      </c>
      <c r="F116" s="20" t="n">
        <v>3536</v>
      </c>
      <c r="G116" s="20" t="n">
        <v>3760</v>
      </c>
      <c r="H116" s="20" t="n">
        <v>986</v>
      </c>
      <c r="I116" s="20" t="n">
        <v>2191</v>
      </c>
      <c r="J116" s="20" t="n">
        <v>2514</v>
      </c>
      <c r="K116" s="20" t="n">
        <v>3364</v>
      </c>
      <c r="L116" s="20" t="n">
        <v>3536</v>
      </c>
    </row>
    <row r="117">
      <c r="A117" s="18" t="inlineStr">
        <is>
          <t>자산복구부채</t>
        </is>
      </c>
      <c r="C117" s="20" t="n">
        <v>2548</v>
      </c>
      <c r="D117" s="20" t="n">
        <v>2543</v>
      </c>
      <c r="E117" s="20" t="n">
        <v>2565</v>
      </c>
      <c r="F117" s="20" t="n">
        <v>2542</v>
      </c>
      <c r="G117" s="20" t="n">
        <v>2577</v>
      </c>
      <c r="H117" s="20" t="n">
        <v>2405</v>
      </c>
      <c r="I117" s="20" t="n">
        <v>2450</v>
      </c>
      <c r="J117" s="20" t="n">
        <v>2484</v>
      </c>
      <c r="K117" s="20" t="n">
        <v>2523</v>
      </c>
      <c r="L117" s="20" t="n">
        <v>2542</v>
      </c>
    </row>
    <row r="118">
      <c r="A118" s="18" t="inlineStr">
        <is>
          <t>기타</t>
        </is>
      </c>
      <c r="C118" s="20" t="n">
        <v>189</v>
      </c>
      <c r="D118" s="20" t="n">
        <v>188</v>
      </c>
      <c r="E118" s="20" t="n">
        <v>180</v>
      </c>
      <c r="F118" s="20" t="n">
        <v>173</v>
      </c>
      <c r="G118" s="20" t="n">
        <v>154</v>
      </c>
      <c r="H118" s="20" t="n">
        <v>238</v>
      </c>
      <c r="I118" s="20" t="n">
        <v>226</v>
      </c>
      <c r="J118" s="20" t="n">
        <v>195</v>
      </c>
      <c r="K118" s="20" t="n">
        <v>191</v>
      </c>
      <c r="L118" s="20" t="n">
        <v>173</v>
      </c>
    </row>
    <row r="119">
      <c r="A119" s="9" t="inlineStr">
        <is>
          <t>비유동부채 합계</t>
        </is>
      </c>
      <c r="C119" s="12" t="n">
        <v>17488</v>
      </c>
      <c r="D119" s="12" t="n">
        <v>20963</v>
      </c>
      <c r="E119" s="12" t="n">
        <v>20815</v>
      </c>
      <c r="F119" s="12" t="n">
        <v>18632</v>
      </c>
      <c r="G119" s="12" t="n">
        <v>18383</v>
      </c>
      <c r="H119" s="12" t="n">
        <v>12324</v>
      </c>
      <c r="I119" s="12" t="n">
        <v>13210</v>
      </c>
      <c r="J119" s="12" t="n">
        <v>13483</v>
      </c>
      <c r="K119" s="12" t="n">
        <v>18320</v>
      </c>
      <c r="L119" s="12" t="n">
        <v>18632</v>
      </c>
    </row>
    <row r="120">
      <c r="A120" s="9" t="inlineStr">
        <is>
          <t>부채 합계</t>
        </is>
      </c>
      <c r="C120" s="12" t="n">
        <v>38563</v>
      </c>
      <c r="D120" s="12" t="n">
        <v>39393</v>
      </c>
      <c r="E120" s="12" t="n">
        <v>38472</v>
      </c>
      <c r="F120" s="12" t="n">
        <v>39505</v>
      </c>
      <c r="G120" s="12" t="n">
        <v>42207</v>
      </c>
      <c r="H120" s="12" t="n">
        <v>28614</v>
      </c>
      <c r="I120" s="12" t="n">
        <v>31155</v>
      </c>
      <c r="J120" s="12" t="n">
        <v>34034</v>
      </c>
      <c r="K120" s="12" t="n">
        <v>38513</v>
      </c>
      <c r="L120" s="12" t="n">
        <v>39505</v>
      </c>
    </row>
    <row r="121">
      <c r="A121" s="18" t="inlineStr">
        <is>
          <t>자본금</t>
        </is>
      </c>
      <c r="C121" s="20" t="n">
        <v>100</v>
      </c>
      <c r="D121" s="20" t="n">
        <v>100</v>
      </c>
      <c r="E121" s="20" t="n">
        <v>100</v>
      </c>
      <c r="F121" s="20" t="n">
        <v>100</v>
      </c>
      <c r="G121" s="20" t="n">
        <v>100</v>
      </c>
      <c r="H121" s="20" t="n">
        <v>100</v>
      </c>
      <c r="I121" s="20" t="n">
        <v>100</v>
      </c>
      <c r="J121" s="20" t="n">
        <v>100</v>
      </c>
      <c r="K121" s="20" t="n">
        <v>100</v>
      </c>
      <c r="L121" s="20" t="n">
        <v>100</v>
      </c>
    </row>
    <row r="122">
      <c r="A122" s="18" t="inlineStr">
        <is>
          <t>자본잉여금</t>
        </is>
      </c>
      <c r="C122" s="20" t="n">
        <v>6867</v>
      </c>
      <c r="D122" s="20" t="n">
        <v>6869</v>
      </c>
      <c r="E122" s="20" t="n">
        <v>6869</v>
      </c>
      <c r="F122" s="20" t="n">
        <v>6869</v>
      </c>
      <c r="G122" s="20" t="n">
        <v>6869</v>
      </c>
      <c r="H122" s="20" t="n">
        <v>6858</v>
      </c>
      <c r="I122" s="20" t="n">
        <v>6860</v>
      </c>
      <c r="J122" s="20" t="n">
        <v>6863</v>
      </c>
      <c r="K122" s="20" t="n">
        <v>6867</v>
      </c>
      <c r="L122" s="20" t="n">
        <v>6869</v>
      </c>
    </row>
    <row r="123">
      <c r="A123" s="18" t="inlineStr">
        <is>
          <t>이익잉여금</t>
        </is>
      </c>
      <c r="C123" s="20" t="n">
        <v>14895</v>
      </c>
      <c r="D123" s="20" t="n">
        <v>15443</v>
      </c>
      <c r="E123" s="20" t="n">
        <v>17039</v>
      </c>
      <c r="F123" s="20" t="n">
        <v>17465</v>
      </c>
      <c r="G123" s="20" t="n">
        <v>17328</v>
      </c>
      <c r="H123" s="20" t="n">
        <v>9948</v>
      </c>
      <c r="I123" s="20" t="n">
        <v>12322</v>
      </c>
      <c r="J123" s="20" t="n">
        <v>13534</v>
      </c>
      <c r="K123" s="20" t="n">
        <v>15140</v>
      </c>
      <c r="L123" s="20" t="n">
        <v>17465</v>
      </c>
    </row>
    <row r="124">
      <c r="A124" s="18" t="inlineStr">
        <is>
          <t>자기주식</t>
        </is>
      </c>
      <c r="C124" s="20" t="n">
        <v>-3813</v>
      </c>
      <c r="D124" s="20" t="n">
        <v>-3805</v>
      </c>
      <c r="E124" s="20" t="n">
        <v>-3805</v>
      </c>
      <c r="F124" s="20" t="n">
        <v>-3805</v>
      </c>
      <c r="G124" s="20" t="n">
        <v>-3805</v>
      </c>
      <c r="H124" s="20" t="n">
        <v>-596</v>
      </c>
      <c r="I124" s="20" t="n">
        <v>-591</v>
      </c>
      <c r="J124" s="20" t="n">
        <v>-587</v>
      </c>
      <c r="K124" s="20" t="n">
        <v>-3813</v>
      </c>
      <c r="L124" s="20" t="n">
        <v>-3805</v>
      </c>
    </row>
    <row r="125">
      <c r="A125" s="9" t="inlineStr">
        <is>
          <t>주주자본 합계</t>
        </is>
      </c>
      <c r="C125" s="12" t="n">
        <v>18050</v>
      </c>
      <c r="D125" s="12" t="n">
        <v>18607</v>
      </c>
      <c r="E125" s="12" t="n">
        <v>20203</v>
      </c>
      <c r="F125" s="12" t="n">
        <v>20629</v>
      </c>
      <c r="G125" s="12" t="n">
        <v>20492</v>
      </c>
      <c r="H125" s="12" t="n">
        <v>16310</v>
      </c>
      <c r="I125" s="12" t="n">
        <v>18691</v>
      </c>
      <c r="J125" s="12" t="n">
        <v>19909</v>
      </c>
      <c r="K125" s="12" t="n">
        <v>18295</v>
      </c>
      <c r="L125" s="12" t="n">
        <v>20629</v>
      </c>
    </row>
    <row r="126">
      <c r="A126" s="18" t="inlineStr">
        <is>
          <t>기타유가증권 평가차액</t>
        </is>
      </c>
      <c r="C126" s="20" t="n">
        <v>98</v>
      </c>
      <c r="D126" s="20" t="n">
        <v>59</v>
      </c>
      <c r="E126" s="20" t="n">
        <v>65</v>
      </c>
      <c r="F126" s="20" t="n">
        <v>75</v>
      </c>
      <c r="G126" s="20" t="n">
        <v>86</v>
      </c>
      <c r="H126" s="20" t="n">
        <v>72</v>
      </c>
      <c r="I126" s="20" t="n">
        <v>57</v>
      </c>
      <c r="J126" s="20" t="n">
        <v>78</v>
      </c>
      <c r="K126" s="20" t="n">
        <v>76</v>
      </c>
      <c r="L126" s="20" t="n">
        <v>75</v>
      </c>
    </row>
    <row r="127">
      <c r="A127" s="18" t="inlineStr">
        <is>
          <t>해외사업환산조정</t>
        </is>
      </c>
      <c r="C127" s="20" t="n">
        <v>211</v>
      </c>
      <c r="D127" s="20" t="n">
        <v>258</v>
      </c>
      <c r="E127" s="20" t="n">
        <v>431</v>
      </c>
      <c r="F127" s="20" t="n">
        <v>443</v>
      </c>
      <c r="G127" s="20" t="n">
        <v>495</v>
      </c>
      <c r="H127" s="20" t="n">
        <v>-24</v>
      </c>
      <c r="I127" s="20" t="n">
        <v>109</v>
      </c>
      <c r="J127" s="20" t="n">
        <v>248</v>
      </c>
      <c r="K127" s="20" t="n">
        <v>254</v>
      </c>
      <c r="L127" s="20" t="n">
        <v>443</v>
      </c>
    </row>
    <row r="128">
      <c r="A128" s="18" t="inlineStr">
        <is>
          <t>기타포괄손익누계액 합계</t>
        </is>
      </c>
      <c r="C128" s="20" t="n">
        <v>309</v>
      </c>
      <c r="D128" s="20" t="n">
        <v>317</v>
      </c>
      <c r="E128" s="20" t="n">
        <v>497</v>
      </c>
      <c r="F128" s="20" t="n">
        <v>519</v>
      </c>
      <c r="G128" s="20" t="n">
        <v>582</v>
      </c>
      <c r="H128" s="20" t="n">
        <v>48</v>
      </c>
      <c r="I128" s="20" t="n">
        <v>167</v>
      </c>
      <c r="J128" s="20" t="n">
        <v>326</v>
      </c>
      <c r="K128" s="20" t="n">
        <v>331</v>
      </c>
      <c r="L128" s="20" t="n">
        <v>519</v>
      </c>
    </row>
    <row r="129">
      <c r="A129" s="18" t="inlineStr">
        <is>
          <t>비지배지분</t>
        </is>
      </c>
      <c r="C129" s="20" t="n">
        <v>270</v>
      </c>
      <c r="D129" s="20" t="n">
        <v>304</v>
      </c>
      <c r="E129" s="20" t="n">
        <v>370</v>
      </c>
      <c r="F129" s="20" t="n">
        <v>283</v>
      </c>
      <c r="G129" s="20" t="n">
        <v>308</v>
      </c>
      <c r="H129" s="20" t="n">
        <v>123</v>
      </c>
      <c r="I129" s="20" t="n">
        <v>198</v>
      </c>
      <c r="J129" s="20" t="n">
        <v>271</v>
      </c>
      <c r="K129" s="20" t="n">
        <v>240</v>
      </c>
      <c r="L129" s="20" t="n">
        <v>283</v>
      </c>
    </row>
    <row r="130">
      <c r="A130" s="9" t="inlineStr">
        <is>
          <t>순자산 합계</t>
        </is>
      </c>
      <c r="C130" s="12" t="n">
        <v>18630</v>
      </c>
      <c r="D130" s="12" t="n">
        <v>19229</v>
      </c>
      <c r="E130" s="12" t="n">
        <v>21070</v>
      </c>
      <c r="F130" s="12" t="n">
        <v>21431</v>
      </c>
      <c r="G130" s="12" t="n">
        <v>21383</v>
      </c>
      <c r="H130" s="12" t="n">
        <v>16482</v>
      </c>
      <c r="I130" s="12" t="n">
        <v>19057</v>
      </c>
      <c r="J130" s="12" t="n">
        <v>20507</v>
      </c>
      <c r="K130" s="12" t="n">
        <v>18867</v>
      </c>
      <c r="L130" s="12" t="n">
        <v>21431</v>
      </c>
    </row>
    <row r="131">
      <c r="A131" s="9" t="inlineStr">
        <is>
          <t>부채·순자산 합계</t>
        </is>
      </c>
      <c r="C131" s="12" t="n">
        <v>57193</v>
      </c>
      <c r="D131" s="12" t="n">
        <v>58623</v>
      </c>
      <c r="E131" s="12" t="n">
        <v>59543</v>
      </c>
      <c r="F131" s="12" t="n">
        <v>60937</v>
      </c>
      <c r="G131" s="12" t="n">
        <v>63590</v>
      </c>
      <c r="H131" s="12" t="n">
        <v>45096</v>
      </c>
      <c r="I131" s="12" t="n">
        <v>50213</v>
      </c>
      <c r="J131" s="12" t="n">
        <v>54542</v>
      </c>
      <c r="K131" s="12" t="n">
        <v>57380</v>
      </c>
      <c r="L131" s="12" t="n">
        <v>60937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44" customWidth="1" min="26" max="26"/>
  </cols>
  <sheetData>
    <row r="1">
      <c r="A1" s="50" t="inlineStr">
        <is>
          <t>북오프 그룹 홀딩스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월차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  <c r="O4" s="52" t="n"/>
      <c r="P4" s="52" t="n"/>
      <c r="Q4" s="52" t="n"/>
      <c r="R4" s="52" t="n"/>
      <c r="S4" s="52" t="n"/>
      <c r="T4" s="52" t="n"/>
      <c r="U4" s="52" t="n"/>
      <c r="V4" s="52" t="n"/>
      <c r="W4" s="52" t="n"/>
      <c r="X4" s="52" t="n"/>
      <c r="Y4" s="52" t="n"/>
      <c r="Z4" s="52" t="n"/>
    </row>
    <row r="5">
      <c r="A5" s="53" t="inlineStr">
        <is>
          <t>항목</t>
        </is>
      </c>
      <c r="B5" s="53" t="inlineStr">
        <is>
          <t>2024-10</t>
        </is>
      </c>
      <c r="C5" s="53" t="inlineStr">
        <is>
          <t>2024-11</t>
        </is>
      </c>
      <c r="D5" s="53" t="inlineStr">
        <is>
          <t>2024-12</t>
        </is>
      </c>
      <c r="E5" s="53" t="inlineStr">
        <is>
          <t>2025-01</t>
        </is>
      </c>
      <c r="F5" s="53" t="inlineStr">
        <is>
          <t>2025-02</t>
        </is>
      </c>
      <c r="G5" s="53" t="inlineStr">
        <is>
          <t>2025-03</t>
        </is>
      </c>
      <c r="H5" s="53" t="inlineStr">
        <is>
          <t>2025-04</t>
        </is>
      </c>
      <c r="I5" s="53" t="inlineStr">
        <is>
          <t>2025-05</t>
        </is>
      </c>
      <c r="J5" s="53" t="inlineStr">
        <is>
          <t>2025-06</t>
        </is>
      </c>
      <c r="K5" s="53" t="inlineStr">
        <is>
          <t>2025-07</t>
        </is>
      </c>
      <c r="L5" s="53" t="inlineStr">
        <is>
          <t>2025-08</t>
        </is>
      </c>
      <c r="M5" s="53" t="inlineStr">
        <is>
          <t>2025-09</t>
        </is>
      </c>
      <c r="N5" s="53" t="inlineStr">
        <is>
          <t>2025-10</t>
        </is>
      </c>
      <c r="O5" s="53" t="inlineStr">
        <is>
          <t>2025-11</t>
        </is>
      </c>
      <c r="P5" s="53" t="inlineStr">
        <is>
          <t>2025-12</t>
        </is>
      </c>
      <c r="Q5" s="53" t="inlineStr">
        <is>
          <t>2026-01</t>
        </is>
      </c>
      <c r="R5" s="53" t="inlineStr">
        <is>
          <t>2026-02</t>
        </is>
      </c>
      <c r="S5" s="53" t="inlineStr">
        <is>
          <t>2026-03</t>
        </is>
      </c>
      <c r="T5" s="53" t="inlineStr">
        <is>
          <t>2026-04</t>
        </is>
      </c>
      <c r="U5" s="53" t="inlineStr">
        <is>
          <t>2026-05</t>
        </is>
      </c>
      <c r="V5" s="53" t="inlineStr">
        <is>
          <t>2026-06</t>
        </is>
      </c>
      <c r="W5" s="53" t="inlineStr">
        <is>
          <t>2026-07</t>
        </is>
      </c>
      <c r="X5" s="53" t="inlineStr">
        <is>
          <t>2026-08</t>
        </is>
      </c>
      <c r="Y5" s="53" t="inlineStr">
        <is>
          <t>2026-09</t>
        </is>
      </c>
      <c r="Z5" s="53" t="inlineStr">
        <is>
          <t>출처</t>
        </is>
      </c>
    </row>
    <row r="6">
      <c r="A6" s="54" t="inlineStr">
        <is>
          <t>기존점 매출 전년 대비</t>
        </is>
      </c>
      <c r="B6" s="55" t="n">
        <v>102.4</v>
      </c>
      <c r="C6" s="55" t="n">
        <v>105.4</v>
      </c>
      <c r="D6" s="55" t="n">
        <v>104.9</v>
      </c>
      <c r="E6" s="55" t="n">
        <v>106.1</v>
      </c>
      <c r="F6" s="55" t="n">
        <v>103.7</v>
      </c>
      <c r="G6" s="55" t="n">
        <v>102.8</v>
      </c>
      <c r="H6" s="55" t="n">
        <v>103.3</v>
      </c>
      <c r="I6" s="55" t="n">
        <v>103.7</v>
      </c>
      <c r="J6" s="55" t="n">
        <v>100.1</v>
      </c>
      <c r="K6" s="55" t="n">
        <v>102.6</v>
      </c>
      <c r="L6" s="55" t="n">
        <v>109.3</v>
      </c>
      <c r="M6" s="55" t="n">
        <v>107.1</v>
      </c>
      <c r="N6" s="55" t="n">
        <v>108.9</v>
      </c>
      <c r="O6" s="55" t="n">
        <v>111.1</v>
      </c>
      <c r="P6" s="55" t="n">
        <v>106</v>
      </c>
      <c r="Q6" s="55" t="n">
        <v>114.3</v>
      </c>
      <c r="R6" s="55" t="n">
        <v>104.7</v>
      </c>
      <c r="S6" s="55" t="n">
        <v>105.5</v>
      </c>
      <c r="T6" s="55" t="n">
        <v>108.6</v>
      </c>
      <c r="U6" s="55" t="n">
        <v>114.8</v>
      </c>
      <c r="V6" s="55" t="n">
        <v>104.5</v>
      </c>
      <c r="W6" s="55" t="n">
        <v>110.2</v>
      </c>
      <c r="X6" s="55" t="n">
        <v>107.8</v>
      </c>
      <c r="Y6" s="55" t="n">
        <v>104.2</v>
      </c>
      <c r="Z6" s="56" t="inlineStr">
        <is>
          <t>https://www.release.tdnet.info/inbs/140120261006546551.pdf</t>
        </is>
      </c>
    </row>
    <row r="7">
      <c r="A7" s="54" t="inlineStr">
        <is>
          <t>전점 매출 전년 대비</t>
        </is>
      </c>
      <c r="B7" s="55" t="n">
        <v>103.2</v>
      </c>
      <c r="C7" s="55" t="n">
        <v>105.5</v>
      </c>
      <c r="D7" s="55" t="n">
        <v>105.2</v>
      </c>
      <c r="E7" s="55" t="n">
        <v>106.1</v>
      </c>
      <c r="F7" s="55" t="n">
        <v>103.4</v>
      </c>
      <c r="G7" s="55" t="n">
        <v>103</v>
      </c>
      <c r="H7" s="55" t="n">
        <v>102.9</v>
      </c>
      <c r="I7" s="55" t="n">
        <v>103.3</v>
      </c>
      <c r="J7" s="55" t="n">
        <v>99.59999999999999</v>
      </c>
      <c r="K7" s="55" t="n">
        <v>101.7</v>
      </c>
      <c r="L7" s="55" t="n">
        <v>109.4</v>
      </c>
      <c r="M7" s="55" t="n">
        <v>107</v>
      </c>
      <c r="N7" s="55" t="n">
        <v>109.5</v>
      </c>
      <c r="O7" s="55" t="n">
        <v>110.9</v>
      </c>
      <c r="P7" s="55" t="n">
        <v>105.7</v>
      </c>
      <c r="Q7" s="55" t="n">
        <v>114</v>
      </c>
      <c r="R7" s="55" t="n">
        <v>105.3</v>
      </c>
      <c r="S7" s="55" t="n">
        <v>106</v>
      </c>
      <c r="T7" s="55" t="n">
        <v>110.3</v>
      </c>
      <c r="U7" s="55" t="n">
        <v>116.2</v>
      </c>
      <c r="V7" s="55" t="n">
        <v>105.5</v>
      </c>
      <c r="W7" s="55" t="n">
        <v>111.8</v>
      </c>
      <c r="X7" s="55" t="n">
        <v>108.6</v>
      </c>
      <c r="Y7" s="55" t="n">
        <v>105.9</v>
      </c>
    </row>
    <row r="8">
      <c r="A8" s="54" t="inlineStr">
        <is>
          <t>기타 점포 수</t>
        </is>
      </c>
      <c r="B8" s="55" t="n">
        <v>6</v>
      </c>
      <c r="C8" s="55" t="n">
        <v>6</v>
      </c>
      <c r="D8" s="55" t="n">
        <v>6</v>
      </c>
      <c r="E8" s="55" t="n">
        <v>6</v>
      </c>
      <c r="F8" s="55" t="n">
        <v>6</v>
      </c>
      <c r="G8" s="55" t="n">
        <v>6</v>
      </c>
      <c r="H8" s="55" t="n">
        <v>6</v>
      </c>
      <c r="I8" s="55" t="n">
        <v>6</v>
      </c>
      <c r="J8" s="55" t="n">
        <v>7</v>
      </c>
      <c r="K8" s="55" t="n">
        <v>7</v>
      </c>
      <c r="L8" s="55" t="n">
        <v>7</v>
      </c>
      <c r="M8" s="55" t="n">
        <v>7</v>
      </c>
      <c r="N8" s="55" t="n">
        <v>8</v>
      </c>
      <c r="O8" s="55" t="n">
        <v>8</v>
      </c>
      <c r="P8" s="55" t="n">
        <v>8</v>
      </c>
      <c r="Q8" s="55" t="n">
        <v>8</v>
      </c>
      <c r="R8" s="55" t="n">
        <v>8</v>
      </c>
      <c r="S8" s="55" t="n">
        <v>8</v>
      </c>
      <c r="T8" s="55" t="n">
        <v>8</v>
      </c>
      <c r="U8" s="55" t="n">
        <v>9</v>
      </c>
      <c r="V8" s="55" t="n">
        <v>9</v>
      </c>
      <c r="W8" s="55" t="n">
        <v>9</v>
      </c>
      <c r="X8" s="55" t="n">
        <v>9</v>
      </c>
      <c r="Y8" s="55" t="n">
        <v>9</v>
      </c>
    </row>
    <row r="9">
      <c r="A9" s="54" t="inlineStr">
        <is>
          <t>프리미엄 서비스 사업 점포 수</t>
        </is>
      </c>
      <c r="B9" s="55" t="n">
        <v>50</v>
      </c>
      <c r="C9" s="55" t="n">
        <v>51</v>
      </c>
      <c r="D9" s="55" t="n">
        <v>51</v>
      </c>
      <c r="E9" s="55" t="n">
        <v>52</v>
      </c>
      <c r="F9" s="55" t="n">
        <v>52</v>
      </c>
      <c r="G9" s="55" t="n">
        <v>52</v>
      </c>
      <c r="H9" s="55" t="n">
        <v>52</v>
      </c>
      <c r="I9" s="55" t="n">
        <v>53</v>
      </c>
      <c r="J9" s="55" t="n">
        <v>52</v>
      </c>
      <c r="K9" s="55" t="n">
        <v>54</v>
      </c>
      <c r="L9" s="55" t="n">
        <v>53</v>
      </c>
      <c r="M9" s="55" t="n">
        <v>54</v>
      </c>
      <c r="N9" s="55" t="n">
        <v>53</v>
      </c>
      <c r="O9" s="55" t="n">
        <v>54</v>
      </c>
      <c r="P9" s="55" t="n">
        <v>53</v>
      </c>
      <c r="Q9" s="55" t="n">
        <v>53</v>
      </c>
      <c r="R9" s="55" t="n">
        <v>53</v>
      </c>
      <c r="S9" s="55" t="n">
        <v>54</v>
      </c>
      <c r="T9" s="55" t="n">
        <v>54</v>
      </c>
      <c r="U9" s="55" t="n">
        <v>54</v>
      </c>
      <c r="V9" s="55" t="n">
        <v>55</v>
      </c>
      <c r="W9" s="55" t="n">
        <v>55</v>
      </c>
      <c r="X9" s="55" t="n">
        <v>55</v>
      </c>
      <c r="Y9" s="55" t="n">
        <v>55</v>
      </c>
    </row>
    <row r="10">
      <c r="A10" s="54" t="inlineStr">
        <is>
          <t>국내 북오프 사업 가맹점 점포 수</t>
        </is>
      </c>
      <c r="B10" s="57" t="n">
        <v>367</v>
      </c>
      <c r="C10" s="57" t="n">
        <v>367</v>
      </c>
      <c r="D10" s="57" t="n">
        <v>367</v>
      </c>
      <c r="E10" s="57" t="n">
        <v>367</v>
      </c>
      <c r="F10" s="57" t="n">
        <v>367</v>
      </c>
      <c r="G10" s="57" t="n">
        <v>367</v>
      </c>
      <c r="H10" s="57" t="n">
        <v>367</v>
      </c>
      <c r="I10" s="57" t="n">
        <v>368</v>
      </c>
      <c r="J10" s="57" t="n">
        <v>367</v>
      </c>
      <c r="K10" s="57" t="n">
        <v>369</v>
      </c>
      <c r="L10" s="57" t="n">
        <v>360</v>
      </c>
      <c r="M10" s="57" t="n">
        <v>360</v>
      </c>
      <c r="N10" s="57" t="n">
        <v>360</v>
      </c>
      <c r="O10" s="57" t="n">
        <v>359</v>
      </c>
      <c r="P10" s="57" t="n">
        <v>359</v>
      </c>
      <c r="Q10" s="57" t="n">
        <v>357</v>
      </c>
      <c r="R10" s="57" t="n">
        <v>357</v>
      </c>
      <c r="S10" s="57" t="n">
        <v>357</v>
      </c>
      <c r="T10" s="57" t="n">
        <v>358</v>
      </c>
      <c r="U10" s="57" t="n">
        <v>357</v>
      </c>
      <c r="V10" s="57" t="n">
        <v>356</v>
      </c>
      <c r="W10" s="57" t="n">
        <v>356</v>
      </c>
      <c r="X10" s="57" t="n">
        <v>355</v>
      </c>
      <c r="Y10" s="57" t="n">
        <v>354</v>
      </c>
    </row>
    <row r="11">
      <c r="A11" s="54" t="inlineStr">
        <is>
          <t>국내 북오프 사업 직영점 점포 수</t>
        </is>
      </c>
      <c r="B11" s="57" t="n">
        <v>384</v>
      </c>
      <c r="C11" s="57" t="n">
        <v>384</v>
      </c>
      <c r="D11" s="57" t="n">
        <v>384</v>
      </c>
      <c r="E11" s="57" t="n">
        <v>380</v>
      </c>
      <c r="F11" s="57" t="n">
        <v>380</v>
      </c>
      <c r="G11" s="57" t="n">
        <v>377</v>
      </c>
      <c r="H11" s="57" t="n">
        <v>378</v>
      </c>
      <c r="I11" s="57" t="n">
        <v>376</v>
      </c>
      <c r="J11" s="57" t="n">
        <v>374</v>
      </c>
      <c r="K11" s="57" t="n">
        <v>373</v>
      </c>
      <c r="L11" s="57" t="n">
        <v>380</v>
      </c>
      <c r="M11" s="57" t="n">
        <v>379</v>
      </c>
      <c r="N11" s="57" t="n">
        <v>375</v>
      </c>
      <c r="O11" s="57" t="n">
        <v>373</v>
      </c>
      <c r="P11" s="57" t="n">
        <v>374</v>
      </c>
      <c r="Q11" s="57" t="n">
        <v>372</v>
      </c>
      <c r="R11" s="57" t="n">
        <v>370</v>
      </c>
      <c r="S11" s="57" t="n">
        <v>370</v>
      </c>
      <c r="T11" s="57" t="n">
        <v>371</v>
      </c>
      <c r="U11" s="57" t="n">
        <v>366</v>
      </c>
      <c r="V11" s="57" t="n">
        <v>369</v>
      </c>
      <c r="W11" s="57" t="n">
        <v>368</v>
      </c>
      <c r="X11" s="57" t="n">
        <v>368</v>
      </c>
      <c r="Y11" s="57" t="n">
        <v>369</v>
      </c>
    </row>
    <row r="13">
      <c r="A13" s="52" t="inlineStr">
        <is>
          <t>가이던스 fy27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2" t="n"/>
      <c r="O13" s="52" t="n"/>
      <c r="P13" s="52" t="n"/>
      <c r="Q13" s="52" t="n"/>
      <c r="R13" s="52" t="n"/>
      <c r="S13" s="52" t="n"/>
      <c r="T13" s="52" t="n"/>
      <c r="U13" s="52" t="n"/>
      <c r="V13" s="52" t="n"/>
      <c r="W13" s="52" t="n"/>
      <c r="X13" s="52" t="n"/>
      <c r="Y13" s="52" t="n"/>
      <c r="Z13" s="52" t="n"/>
    </row>
    <row r="14">
      <c r="A14" s="53" t="inlineStr">
        <is>
          <t>항목</t>
        </is>
      </c>
      <c r="B14" s="53" t="inlineStr">
        <is>
          <t>값</t>
        </is>
      </c>
      <c r="Z14" s="53" t="inlineStr">
        <is>
          <t>출처</t>
        </is>
      </c>
    </row>
    <row r="15">
      <c r="A15" s="54" t="inlineStr">
        <is>
          <t>매출</t>
        </is>
      </c>
      <c r="B15" s="57" t="n">
        <v>1390</v>
      </c>
      <c r="Z15" s="56" t="inlineStr">
        <is>
          <t>2단계 보고서 자료(회사 설명회 자료·공시)</t>
        </is>
      </c>
    </row>
    <row r="16">
      <c r="A16" s="54" t="inlineStr">
        <is>
          <t>영업이익</t>
        </is>
      </c>
      <c r="B16" s="57" t="n">
        <v>47</v>
      </c>
    </row>
    <row r="17">
      <c r="A17" s="54" t="inlineStr">
        <is>
          <t>ordinary</t>
        </is>
      </c>
      <c r="B17" s="57" t="n">
        <v>50</v>
      </c>
    </row>
    <row r="18">
      <c r="A18" s="54" t="inlineStr">
        <is>
          <t>순이익</t>
        </is>
      </c>
      <c r="B18" s="57" t="n">
        <v>28</v>
      </c>
    </row>
    <row r="19">
      <c r="A19" s="54" t="inlineStr">
        <is>
          <t>EPS</t>
        </is>
      </c>
      <c r="B19" s="55" t="n">
        <v>159.52</v>
      </c>
    </row>
    <row r="20">
      <c r="A20" s="54" t="inlineStr">
        <is>
          <t>dps</t>
        </is>
      </c>
      <c r="B20" s="57" t="n">
        <v>40</v>
      </c>
    </row>
    <row r="22">
      <c r="A22" s="52" t="inlineStr">
        <is>
          <t>가이던스 hist · FY26</t>
        </is>
      </c>
      <c r="B22" s="52" t="n"/>
      <c r="C22" s="52" t="n"/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52" t="n"/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</row>
    <row r="23">
      <c r="A23" s="53" t="inlineStr">
        <is>
          <t>항목</t>
        </is>
      </c>
      <c r="B23" s="53" t="inlineStr">
        <is>
          <t>값</t>
        </is>
      </c>
      <c r="Z23" s="53" t="inlineStr">
        <is>
          <t>출처</t>
        </is>
      </c>
    </row>
    <row r="24">
      <c r="A24" s="54" t="inlineStr">
        <is>
          <t>initial 영업이익</t>
        </is>
      </c>
      <c r="B24" s="57" t="n">
        <v>38</v>
      </c>
      <c r="Z24" s="56" t="inlineStr">
        <is>
          <t>2단계 보고서 자료(회사 설명회 자료·공시)</t>
        </is>
      </c>
    </row>
    <row r="25">
      <c r="A25" s="54" t="inlineStr">
        <is>
          <t>rev3Q</t>
        </is>
      </c>
      <c r="B25" s="57" t="n">
        <v>40</v>
      </c>
    </row>
    <row r="26">
      <c r="A26" s="54" t="inlineStr">
        <is>
          <t>실적</t>
        </is>
      </c>
      <c r="B26" s="55" t="n">
        <v>44.05</v>
      </c>
    </row>
    <row r="28">
      <c r="A28" s="52" t="inlineStr">
        <is>
          <t>가이던스 hist · FY25</t>
        </is>
      </c>
      <c r="B28" s="52" t="n"/>
      <c r="C28" s="52" t="n"/>
      <c r="D28" s="52" t="n"/>
      <c r="E28" s="52" t="n"/>
      <c r="F28" s="52" t="n"/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</row>
    <row r="29">
      <c r="A29" s="53" t="inlineStr">
        <is>
          <t>항목</t>
        </is>
      </c>
      <c r="B29" s="53" t="inlineStr">
        <is>
          <t>값</t>
        </is>
      </c>
      <c r="Z29" s="53" t="inlineStr">
        <is>
          <t>출처</t>
        </is>
      </c>
    </row>
    <row r="30">
      <c r="A30" s="54" t="inlineStr">
        <is>
          <t>initial 영업이익</t>
        </is>
      </c>
      <c r="B30" s="57" t="n">
        <v>35</v>
      </c>
      <c r="Z30" s="56" t="inlineStr">
        <is>
          <t>2단계 보고서 자료(회사 설명회 자료·공시)</t>
        </is>
      </c>
    </row>
    <row r="31">
      <c r="A31" s="54" t="inlineStr">
        <is>
          <t>실적</t>
        </is>
      </c>
      <c r="B31" s="55" t="n">
        <v>34.48</v>
      </c>
    </row>
    <row r="33">
      <c r="A33" s="52" t="inlineStr">
        <is>
          <t>컨센서스</t>
        </is>
      </c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</row>
    <row r="34">
      <c r="A34" s="53" t="inlineStr">
        <is>
          <t>항목</t>
        </is>
      </c>
      <c r="B34" s="53" t="inlineStr">
        <is>
          <t>값</t>
        </is>
      </c>
      <c r="Z34" s="53" t="inlineStr">
        <is>
          <t>출처</t>
        </is>
      </c>
    </row>
    <row r="35">
      <c r="A35" s="54" t="inlineStr">
        <is>
          <t>2Q 매출</t>
        </is>
      </c>
      <c r="B35" s="55" t="n">
        <v>344.8</v>
      </c>
      <c r="Z35" s="56" t="inlineStr">
        <is>
          <t>애널리스트 1명(야후)</t>
        </is>
      </c>
    </row>
    <row r="36">
      <c r="A36" s="54" t="inlineStr">
        <is>
          <t>3Q 매출</t>
        </is>
      </c>
      <c r="B36" s="55" t="n">
        <v>371</v>
      </c>
    </row>
    <row r="37">
      <c r="A37" s="54" t="inlineStr">
        <is>
          <t>fy27 EPS</t>
        </is>
      </c>
      <c r="B37" s="55" t="n">
        <v>159.5</v>
      </c>
    </row>
    <row r="38">
      <c r="A38" s="54" t="inlineStr">
        <is>
          <t>fy28 EPS</t>
        </is>
      </c>
      <c r="B38" s="55" t="n">
        <v>193.7</v>
      </c>
    </row>
    <row r="39">
      <c r="A39" s="54" t="inlineStr">
        <is>
          <t>fy28 매출</t>
        </is>
      </c>
      <c r="B39" s="57" t="n">
        <v>1520</v>
      </c>
    </row>
    <row r="41">
      <c r="A41" s="52" t="inlineStr">
        <is>
          <t>PER band</t>
        </is>
      </c>
      <c r="B41" s="52" t="n"/>
      <c r="C41" s="52" t="n"/>
      <c r="D41" s="52" t="n"/>
      <c r="E41" s="52" t="n"/>
      <c r="F41" s="52" t="n"/>
      <c r="G41" s="52" t="n"/>
      <c r="H41" s="52" t="n"/>
      <c r="I41" s="52" t="n"/>
      <c r="J41" s="52" t="n"/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</row>
    <row r="42">
      <c r="A42" s="53" t="inlineStr">
        <is>
          <t>항목</t>
        </is>
      </c>
      <c r="B42" s="53" t="inlineStr">
        <is>
          <t>값</t>
        </is>
      </c>
      <c r="Z42" s="53" t="inlineStr">
        <is>
          <t>출처</t>
        </is>
      </c>
    </row>
    <row r="43">
      <c r="A43" s="54" t="inlineStr">
        <is>
          <t>lo</t>
        </is>
      </c>
      <c r="B43" s="55" t="n">
        <v>9.300000000000001</v>
      </c>
      <c r="Z43" s="56" t="inlineStr">
        <is>
          <t>2단계 보고서 자료(회사 설명회 자료·공시)</t>
        </is>
      </c>
    </row>
    <row r="44">
      <c r="A44" s="54" t="inlineStr">
        <is>
          <t>hi</t>
        </is>
      </c>
      <c r="B44" s="55" t="n">
        <v>19.7</v>
      </c>
    </row>
    <row r="45">
      <c r="A45" s="54" t="inlineStr">
        <is>
          <t>avg</t>
        </is>
      </c>
      <c r="B45" s="55" t="n">
        <v>14.2</v>
      </c>
    </row>
    <row r="46">
      <c r="A46" s="54" t="inlineStr">
        <is>
          <t>cur</t>
        </is>
      </c>
      <c r="B46" s="55" t="n">
        <v>13.8</v>
      </c>
    </row>
    <row r="47">
      <c r="A47" s="54" t="inlineStr">
        <is>
          <t>pos %</t>
        </is>
      </c>
      <c r="B47" s="57" t="n">
        <v>43</v>
      </c>
    </row>
    <row r="49">
      <c r="A49" s="52" t="inlineStr">
        <is>
          <t>seg quarterly</t>
        </is>
      </c>
      <c r="B49" s="52" t="n"/>
      <c r="C49" s="52" t="n"/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</row>
    <row r="50">
      <c r="A50" s="53" t="inlineStr">
        <is>
          <t>항목</t>
        </is>
      </c>
      <c r="B50" s="53" t="inlineStr">
        <is>
          <t>FY25-Q1</t>
        </is>
      </c>
      <c r="C50" s="53" t="inlineStr">
        <is>
          <t>2Q</t>
        </is>
      </c>
      <c r="D50" s="53" t="inlineStr">
        <is>
          <t>3Q</t>
        </is>
      </c>
      <c r="E50" s="53" t="inlineStr">
        <is>
          <t>4Q</t>
        </is>
      </c>
      <c r="F50" s="53" t="inlineStr">
        <is>
          <t>FY26-Q1</t>
        </is>
      </c>
      <c r="G50" s="53" t="inlineStr">
        <is>
          <t>2Q</t>
        </is>
      </c>
      <c r="H50" s="53" t="inlineStr">
        <is>
          <t>3Q</t>
        </is>
      </c>
      <c r="I50" s="53" t="inlineStr">
        <is>
          <t>4Q</t>
        </is>
      </c>
      <c r="J50" s="53" t="inlineStr">
        <is>
          <t>FY27-Q1</t>
        </is>
      </c>
      <c r="Z50" s="53" t="inlineStr">
        <is>
          <t>출처</t>
        </is>
      </c>
    </row>
    <row r="51">
      <c r="A51" s="54" t="inlineStr">
        <is>
          <t>domestic</t>
        </is>
      </c>
      <c r="B51" s="55" t="n">
        <v>247.94</v>
      </c>
      <c r="C51" s="55" t="n">
        <v>249.11</v>
      </c>
      <c r="D51" s="55" t="n">
        <v>277.85</v>
      </c>
      <c r="E51" s="55" t="n">
        <v>268.19</v>
      </c>
      <c r="F51" s="55" t="n">
        <v>258.58</v>
      </c>
      <c r="G51" s="55" t="n">
        <v>270.94</v>
      </c>
      <c r="H51" s="55" t="n">
        <v>301.66</v>
      </c>
      <c r="I51" s="55" t="n">
        <v>295.47</v>
      </c>
      <c r="J51" s="55" t="n">
        <v>284.07</v>
      </c>
      <c r="Z51" s="56" t="inlineStr">
        <is>
          <t>외부고객 매출, 누계 차분(계산). 기타=연결-3부문</t>
        </is>
      </c>
    </row>
    <row r="52">
      <c r="A52" s="54" t="inlineStr">
        <is>
          <t>premium</t>
        </is>
      </c>
      <c r="B52" s="55" t="n">
        <v>17.66</v>
      </c>
      <c r="C52" s="55" t="n">
        <v>16.61</v>
      </c>
      <c r="D52" s="55" t="n">
        <v>17.75</v>
      </c>
      <c r="E52" s="55" t="n">
        <v>19.75</v>
      </c>
      <c r="F52" s="55" t="n">
        <v>16.26</v>
      </c>
      <c r="G52" s="55" t="n">
        <v>24.03</v>
      </c>
      <c r="H52" s="55" t="n">
        <v>22.51</v>
      </c>
      <c r="I52" s="55" t="n">
        <v>22.47</v>
      </c>
      <c r="J52" s="55" t="n">
        <v>14.68</v>
      </c>
    </row>
    <row r="53">
      <c r="A53" s="54" t="inlineStr">
        <is>
          <t>overseas</t>
        </is>
      </c>
      <c r="B53" s="55" t="n">
        <v>13.98</v>
      </c>
      <c r="C53" s="55" t="n">
        <v>15.35</v>
      </c>
      <c r="D53" s="55" t="n">
        <v>16.15</v>
      </c>
      <c r="E53" s="55" t="n">
        <v>16.28</v>
      </c>
      <c r="F53" s="55" t="n">
        <v>15.95</v>
      </c>
      <c r="G53" s="55" t="n">
        <v>17.31</v>
      </c>
      <c r="H53" s="55" t="n">
        <v>18.16</v>
      </c>
      <c r="I53" s="55" t="n">
        <v>20.11</v>
      </c>
      <c r="J53" s="55" t="n">
        <v>22.24</v>
      </c>
    </row>
    <row r="54">
      <c r="A54" s="54" t="inlineStr">
        <is>
          <t>other</t>
        </is>
      </c>
      <c r="B54" s="55" t="n">
        <v>3.34</v>
      </c>
      <c r="C54" s="55" t="n">
        <v>3.82</v>
      </c>
      <c r="D54" s="55" t="n">
        <v>4.24</v>
      </c>
      <c r="E54" s="55" t="n">
        <v>4.03</v>
      </c>
      <c r="F54" s="55" t="n">
        <v>4.32</v>
      </c>
      <c r="G54" s="55" t="n">
        <v>3.65</v>
      </c>
      <c r="H54" s="55" t="n">
        <v>4.45</v>
      </c>
      <c r="I54" s="55" t="n">
        <v>5.36</v>
      </c>
      <c r="J54" s="55" t="n">
        <v>5.21</v>
      </c>
    </row>
    <row r="55">
      <c r="A55" s="54" t="inlineStr">
        <is>
          <t>합계</t>
        </is>
      </c>
      <c r="B55" s="55" t="n">
        <v>282.92</v>
      </c>
      <c r="C55" s="55" t="n">
        <v>284.89</v>
      </c>
      <c r="D55" s="55" t="n">
        <v>315.99</v>
      </c>
      <c r="E55" s="55" t="n">
        <v>308.25</v>
      </c>
      <c r="F55" s="55" t="n">
        <v>295.11</v>
      </c>
      <c r="G55" s="55" t="n">
        <v>315.93</v>
      </c>
      <c r="H55" s="55" t="n">
        <v>346.78</v>
      </c>
      <c r="I55" s="55" t="n">
        <v>343.41</v>
      </c>
      <c r="J55" s="55" t="n">
        <v>326.2</v>
      </c>
    </row>
    <row r="57">
      <c r="A57" s="52" t="inlineStr">
        <is>
          <t>비교 기업 · 2681</t>
        </is>
      </c>
      <c r="B57" s="52" t="n"/>
      <c r="C57" s="52" t="n"/>
      <c r="D57" s="52" t="n"/>
      <c r="E57" s="52" t="n"/>
      <c r="F57" s="52" t="n"/>
      <c r="G57" s="52" t="n"/>
      <c r="H57" s="52" t="n"/>
      <c r="I57" s="52" t="n"/>
      <c r="J57" s="52" t="n"/>
      <c r="K57" s="52" t="n"/>
      <c r="L57" s="52" t="n"/>
      <c r="M57" s="52" t="n"/>
      <c r="N57" s="52" t="n"/>
      <c r="O57" s="52" t="n"/>
      <c r="P57" s="52" t="n"/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</row>
    <row r="58">
      <c r="A58" s="53" t="inlineStr">
        <is>
          <t>항목</t>
        </is>
      </c>
      <c r="B58" s="53" t="inlineStr">
        <is>
          <t>값</t>
        </is>
      </c>
      <c r="Z58" s="53" t="inlineStr">
        <is>
          <t>출처</t>
        </is>
      </c>
    </row>
    <row r="59">
      <c r="A59" s="54" t="inlineStr">
        <is>
          <t>ttm EPS</t>
        </is>
      </c>
      <c r="B59" s="55" t="n">
        <v>238.57</v>
      </c>
      <c r="Z59" s="56" t="inlineStr">
        <is>
          <t>2단계 보고서 자료(회사 설명회 자료·공시)</t>
        </is>
      </c>
    </row>
    <row r="60">
      <c r="A60" s="54" t="inlineStr">
        <is>
          <t>px</t>
        </is>
      </c>
      <c r="B60" s="57" t="n">
        <v>1996</v>
      </c>
    </row>
    <row r="61">
      <c r="A61" s="54" t="inlineStr">
        <is>
          <t>PER ttm</t>
        </is>
      </c>
      <c r="B61" s="55" t="n">
        <v>8.4</v>
      </c>
    </row>
    <row r="63">
      <c r="A63" s="52" t="inlineStr">
        <is>
          <t>비교 기업 · 3093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2" t="n"/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</row>
    <row r="64">
      <c r="A64" s="53" t="inlineStr">
        <is>
          <t>항목</t>
        </is>
      </c>
      <c r="B64" s="53" t="inlineStr">
        <is>
          <t>값</t>
        </is>
      </c>
      <c r="Z64" s="53" t="inlineStr">
        <is>
          <t>출처</t>
        </is>
      </c>
    </row>
    <row r="65">
      <c r="A65" s="54" t="inlineStr">
        <is>
          <t>ttm EPS</t>
        </is>
      </c>
      <c r="B65" s="55" t="n">
        <v>146.34</v>
      </c>
      <c r="Z65" s="56" t="inlineStr">
        <is>
          <t>2단계 보고서 자료(회사 설명회 자료·공시)</t>
        </is>
      </c>
    </row>
    <row r="66">
      <c r="A66" s="54" t="inlineStr">
        <is>
          <t>px</t>
        </is>
      </c>
      <c r="B66" s="57" t="n">
        <v>1897</v>
      </c>
    </row>
    <row r="67">
      <c r="A67" s="54" t="inlineStr">
        <is>
          <t>PER ttm</t>
        </is>
      </c>
      <c r="B67" s="55" t="n">
        <v>13</v>
      </c>
    </row>
    <row r="69">
      <c r="A69" s="52" t="inlineStr">
        <is>
          <t>비교 기업 · 2780</t>
        </is>
      </c>
      <c r="B69" s="52" t="n"/>
      <c r="C69" s="52" t="n"/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52" t="n"/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</row>
    <row r="70">
      <c r="A70" s="53" t="inlineStr">
        <is>
          <t>항목</t>
        </is>
      </c>
      <c r="B70" s="53" t="inlineStr">
        <is>
          <t>값</t>
        </is>
      </c>
      <c r="Z70" s="53" t="inlineStr">
        <is>
          <t>출처</t>
        </is>
      </c>
    </row>
    <row r="71">
      <c r="A71" s="54" t="inlineStr">
        <is>
          <t>ttm EPS</t>
        </is>
      </c>
      <c r="B71" s="55" t="n">
        <v>657.12</v>
      </c>
      <c r="Z71" s="56" t="inlineStr">
        <is>
          <t>2단계 보고서 자료(회사 설명회 자료·공시)</t>
        </is>
      </c>
    </row>
    <row r="72">
      <c r="A72" s="54" t="inlineStr">
        <is>
          <t>px</t>
        </is>
      </c>
      <c r="B72" s="57" t="n">
        <v>3725</v>
      </c>
    </row>
    <row r="73">
      <c r="A73" s="54" t="inlineStr">
        <is>
          <t>PER ttm</t>
        </is>
      </c>
      <c r="B73" s="55" t="n">
        <v>5.7</v>
      </c>
    </row>
    <row r="75">
      <c r="A75" s="52" t="inlineStr">
        <is>
          <t>비교 기업 · 2674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2" t="n"/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</row>
    <row r="76">
      <c r="A76" s="53" t="inlineStr">
        <is>
          <t>항목</t>
        </is>
      </c>
      <c r="B76" s="53" t="inlineStr">
        <is>
          <t>값</t>
        </is>
      </c>
      <c r="Z76" s="53" t="inlineStr">
        <is>
          <t>출처</t>
        </is>
      </c>
    </row>
    <row r="77">
      <c r="A77" s="54" t="inlineStr">
        <is>
          <t>ttm EPS</t>
        </is>
      </c>
      <c r="B77" s="55" t="n">
        <v>246.75</v>
      </c>
      <c r="Z77" s="56" t="inlineStr">
        <is>
          <t>2단계 보고서 자료(회사 설명회 자료·공시)</t>
        </is>
      </c>
    </row>
    <row r="78">
      <c r="A78" s="54" t="inlineStr">
        <is>
          <t>px</t>
        </is>
      </c>
      <c r="B78" s="57" t="n">
        <v>2551</v>
      </c>
    </row>
    <row r="79">
      <c r="A79" s="54" t="inlineStr">
        <is>
          <t>PER ttm</t>
        </is>
      </c>
      <c r="B79" s="55" t="n">
        <v>10.3</v>
      </c>
    </row>
    <row r="81">
      <c r="A81" s="52" t="inlineStr">
        <is>
          <t>비교 기업 · 9270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2" t="n"/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</row>
    <row r="82">
      <c r="A82" s="53" t="inlineStr">
        <is>
          <t>항목</t>
        </is>
      </c>
      <c r="B82" s="53" t="inlineStr">
        <is>
          <t>값</t>
        </is>
      </c>
      <c r="Z82" s="53" t="inlineStr">
        <is>
          <t>출처</t>
        </is>
      </c>
    </row>
    <row r="83">
      <c r="A83" s="54" t="inlineStr">
        <is>
          <t>ttm EPS</t>
        </is>
      </c>
      <c r="B83" s="55" t="n">
        <v>233.15</v>
      </c>
      <c r="Z83" s="56" t="inlineStr">
        <is>
          <t>2단계 보고서 자료(회사 설명회 자료·공시)</t>
        </is>
      </c>
    </row>
    <row r="84">
      <c r="A84" s="54" t="inlineStr">
        <is>
          <t>px</t>
        </is>
      </c>
      <c r="B84" s="57" t="n">
        <v>1684</v>
      </c>
    </row>
    <row r="85">
      <c r="A85" s="54" t="inlineStr">
        <is>
          <t>PER ttm</t>
        </is>
      </c>
      <c r="B85" s="55" t="n">
        <v>7.2</v>
      </c>
    </row>
    <row r="87">
      <c r="A87" s="52" t="inlineStr">
        <is>
          <t>quarters</t>
        </is>
      </c>
      <c r="B87" s="52" t="n"/>
      <c r="C87" s="52" t="n"/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52" t="n"/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</row>
    <row r="88">
      <c r="A88" s="53" t="inlineStr">
        <is>
          <t>항목</t>
        </is>
      </c>
      <c r="B88" s="53" t="inlineStr">
        <is>
          <t>label</t>
        </is>
      </c>
      <c r="C88" s="53" t="inlineStr">
        <is>
          <t>매출</t>
        </is>
      </c>
      <c r="D88" s="53" t="inlineStr">
        <is>
          <t>영업이익</t>
        </is>
      </c>
      <c r="E88" s="53" t="inlineStr">
        <is>
          <t>순이익</t>
        </is>
      </c>
      <c r="F88" s="53" t="inlineStr">
        <is>
          <t>EPS</t>
        </is>
      </c>
      <c r="G88" s="53" t="inlineStr">
        <is>
          <t>gp</t>
        </is>
      </c>
      <c r="Z88" s="53" t="inlineStr">
        <is>
          <t>출처</t>
        </is>
      </c>
    </row>
    <row r="89">
      <c r="A89" s="54" t="inlineStr">
        <is>
          <t>FY23-Q4</t>
        </is>
      </c>
      <c r="B89" s="58" t="inlineStr">
        <is>
          <t>23.3~5</t>
        </is>
      </c>
      <c r="C89" s="55" t="n">
        <v>264.36</v>
      </c>
      <c r="D89" s="55" t="n">
        <v>1.67</v>
      </c>
      <c r="E89" s="55" t="n">
        <v>8.82</v>
      </c>
      <c r="F89" s="55" t="n">
        <v>44.62</v>
      </c>
      <c r="G89" s="58" t="n"/>
      <c r="Z89" s="56" t="inlineStr">
        <is>
          <t>2단계 보고서 자료(회사 설명회 자료·공시)</t>
        </is>
      </c>
    </row>
    <row r="90">
      <c r="A90" s="54" t="inlineStr">
        <is>
          <t>FY24-Q1</t>
        </is>
      </c>
      <c r="B90" s="58" t="inlineStr">
        <is>
          <t>23.6~8</t>
        </is>
      </c>
      <c r="C90" s="55" t="n">
        <v>261.83</v>
      </c>
      <c r="D90" s="55" t="n">
        <v>4.09</v>
      </c>
      <c r="E90" s="55" t="n">
        <v>3.08</v>
      </c>
      <c r="F90" s="55" t="n">
        <v>15.6</v>
      </c>
      <c r="G90" s="58" t="n"/>
    </row>
    <row r="91">
      <c r="A91" s="54" t="inlineStr">
        <is>
          <t>FY24-Q2</t>
        </is>
      </c>
      <c r="B91" s="58" t="inlineStr">
        <is>
          <t>23.9~11</t>
        </is>
      </c>
      <c r="C91" s="55" t="n">
        <v>267.51</v>
      </c>
      <c r="D91" s="55" t="n">
        <v>6.5</v>
      </c>
      <c r="E91" s="55" t="n">
        <v>3.97</v>
      </c>
      <c r="F91" s="55" t="n">
        <v>20.09</v>
      </c>
      <c r="G91" s="58" t="n"/>
    </row>
    <row r="92">
      <c r="A92" s="54" t="inlineStr">
        <is>
          <t>FY24-Q3</t>
        </is>
      </c>
      <c r="B92" s="58" t="inlineStr">
        <is>
          <t>23.12~2</t>
        </is>
      </c>
      <c r="C92" s="55" t="n">
        <v>294.54</v>
      </c>
      <c r="D92" s="55" t="n">
        <v>16.96</v>
      </c>
      <c r="E92" s="55" t="n">
        <v>12.08</v>
      </c>
      <c r="F92" s="55" t="n">
        <v>61.13</v>
      </c>
      <c r="G92" s="55" t="n">
        <v>165.35</v>
      </c>
    </row>
    <row r="93">
      <c r="A93" s="54" t="inlineStr">
        <is>
          <t>FY24-Q4</t>
        </is>
      </c>
      <c r="B93" s="58" t="inlineStr">
        <is>
          <t>24.3~5</t>
        </is>
      </c>
      <c r="C93" s="55" t="n">
        <v>292.69</v>
      </c>
      <c r="D93" s="55" t="n">
        <v>2.96</v>
      </c>
      <c r="E93" s="55" t="n">
        <v>-2.08</v>
      </c>
      <c r="F93" s="55" t="n">
        <v>-10.56</v>
      </c>
      <c r="G93" s="55" t="n">
        <v>162.58</v>
      </c>
    </row>
    <row r="94">
      <c r="A94" s="54" t="inlineStr">
        <is>
          <t>FY25-Q1</t>
        </is>
      </c>
      <c r="B94" s="58" t="inlineStr">
        <is>
          <t>24.6~8</t>
        </is>
      </c>
      <c r="C94" s="55" t="n">
        <v>282.92</v>
      </c>
      <c r="D94" s="55" t="n">
        <v>11.12</v>
      </c>
      <c r="E94" s="55" t="n">
        <v>5.77</v>
      </c>
      <c r="F94" s="55" t="n">
        <v>29.23</v>
      </c>
      <c r="G94" s="55" t="n">
        <v>162.14</v>
      </c>
    </row>
    <row r="95">
      <c r="A95" s="54" t="inlineStr">
        <is>
          <t>FY25-Q2</t>
        </is>
      </c>
      <c r="B95" s="58" t="inlineStr">
        <is>
          <t>24.9~11</t>
        </is>
      </c>
      <c r="C95" s="55" t="n">
        <v>284.89</v>
      </c>
      <c r="D95" s="55" t="n">
        <v>3.86</v>
      </c>
      <c r="E95" s="55" t="n">
        <v>3.35</v>
      </c>
      <c r="F95" s="55" t="n">
        <v>16.94</v>
      </c>
      <c r="G95" s="55" t="n">
        <v>161.82</v>
      </c>
    </row>
    <row r="96">
      <c r="A96" s="54" t="inlineStr">
        <is>
          <t>FY25-Q3</t>
        </is>
      </c>
      <c r="B96" s="58" t="inlineStr">
        <is>
          <t>24.12~2</t>
        </is>
      </c>
      <c r="C96" s="55" t="n">
        <v>315.99</v>
      </c>
      <c r="D96" s="55" t="n">
        <v>16.5</v>
      </c>
      <c r="E96" s="55" t="n">
        <v>10.62</v>
      </c>
      <c r="F96" s="55" t="n">
        <v>53.7</v>
      </c>
      <c r="G96" s="55" t="n">
        <v>178.41</v>
      </c>
    </row>
    <row r="97">
      <c r="A97" s="54" t="inlineStr">
        <is>
          <t>FY25-Q4</t>
        </is>
      </c>
      <c r="B97" s="58" t="inlineStr">
        <is>
          <t>25.3~5</t>
        </is>
      </c>
      <c r="C97" s="55" t="n">
        <v>308.25</v>
      </c>
      <c r="D97" s="55" t="n">
        <v>3</v>
      </c>
      <c r="E97" s="55" t="n">
        <v>1.27</v>
      </c>
      <c r="F97" s="55" t="n">
        <v>8.67</v>
      </c>
      <c r="G97" s="55" t="n">
        <v>175.14</v>
      </c>
    </row>
    <row r="98">
      <c r="A98" s="54" t="inlineStr">
        <is>
          <t>FY26-Q1</t>
        </is>
      </c>
      <c r="B98" s="58" t="inlineStr">
        <is>
          <t>25.6~8</t>
        </is>
      </c>
      <c r="C98" s="55" t="n">
        <v>295.11</v>
      </c>
      <c r="D98" s="55" t="n">
        <v>4.82</v>
      </c>
      <c r="E98" s="55" t="n">
        <v>1.93</v>
      </c>
      <c r="F98" s="55" t="n">
        <v>11.03</v>
      </c>
      <c r="G98" s="55" t="n">
        <v>168.22</v>
      </c>
    </row>
    <row r="99">
      <c r="A99" s="54" t="inlineStr">
        <is>
          <t>FY26-Q2</t>
        </is>
      </c>
      <c r="B99" s="58" t="inlineStr">
        <is>
          <t>25.9~11</t>
        </is>
      </c>
      <c r="C99" s="55" t="n">
        <v>315.93</v>
      </c>
      <c r="D99" s="55" t="n">
        <v>7.82</v>
      </c>
      <c r="E99" s="55" t="n">
        <v>5.48</v>
      </c>
      <c r="F99" s="55" t="n">
        <v>31.21</v>
      </c>
      <c r="G99" s="55" t="n">
        <v>178.44</v>
      </c>
    </row>
    <row r="100">
      <c r="A100" s="54" t="inlineStr">
        <is>
          <t>FY26-Q3</t>
        </is>
      </c>
      <c r="B100" s="58" t="inlineStr">
        <is>
          <t>25.12~2</t>
        </is>
      </c>
      <c r="C100" s="55" t="n">
        <v>346.78</v>
      </c>
      <c r="D100" s="55" t="n">
        <v>23.76</v>
      </c>
      <c r="E100" s="55" t="n">
        <v>15.96</v>
      </c>
      <c r="F100" s="55" t="n">
        <v>90.93000000000001</v>
      </c>
      <c r="G100" s="55" t="n">
        <v>197.15</v>
      </c>
    </row>
    <row r="101">
      <c r="A101" s="54" t="inlineStr">
        <is>
          <t>FY26-Q4</t>
        </is>
      </c>
      <c r="B101" s="58" t="inlineStr">
        <is>
          <t>26.3~5</t>
        </is>
      </c>
      <c r="C101" s="55" t="n">
        <v>343.41</v>
      </c>
      <c r="D101" s="55" t="n">
        <v>7.65</v>
      </c>
      <c r="E101" s="55" t="n">
        <v>4.26</v>
      </c>
      <c r="F101" s="55" t="n">
        <v>24.28</v>
      </c>
      <c r="G101" s="55" t="n">
        <v>194.46</v>
      </c>
    </row>
    <row r="102">
      <c r="A102" s="54" t="inlineStr">
        <is>
          <t>FY27-Q1</t>
        </is>
      </c>
      <c r="B102" s="58" t="inlineStr">
        <is>
          <t>26.6~8</t>
        </is>
      </c>
      <c r="C102" s="55" t="n">
        <v>326.2</v>
      </c>
      <c r="D102" s="55" t="n">
        <v>8.710000000000001</v>
      </c>
      <c r="E102" s="55" t="n">
        <v>4.95</v>
      </c>
      <c r="F102" s="55" t="n">
        <v>28.2</v>
      </c>
      <c r="G102" s="55" t="n">
        <v>186.31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2026-10-13</t>
        </is>
      </c>
      <c r="B4" t="inlineStr">
        <is>
          <t>2027년 5월 결산기 １분기 결산단신</t>
        </is>
      </c>
      <c r="C4" t="inlineStr">
        <is>
          <t>https://www2.jpx.co.jp/disc/92780/140120261013549821.pdf</t>
        </is>
      </c>
    </row>
    <row r="5">
      <c r="A5" t="inlineStr">
        <is>
          <t>2026-07-13</t>
        </is>
      </c>
      <c r="B5" t="inlineStr">
        <is>
          <t>2026년 5월 결산기 연간 결산단신</t>
        </is>
      </c>
      <c r="C5" t="inlineStr">
        <is>
          <t>https://www2.jpx.co.jp/disc/92780/140120260713592248.pdf</t>
        </is>
      </c>
    </row>
    <row r="6">
      <c r="A6" t="inlineStr">
        <is>
          <t>2026-04-13</t>
        </is>
      </c>
      <c r="B6" t="inlineStr">
        <is>
          <t>2026년 5월 결산기 ３분기 결산단신</t>
        </is>
      </c>
      <c r="C6" t="inlineStr">
        <is>
          <t>https://www2.jpx.co.jp/disc/92780/140120260413502516.pdf</t>
        </is>
      </c>
    </row>
    <row r="7">
      <c r="A7" t="inlineStr">
        <is>
          <t>2026-01-13</t>
        </is>
      </c>
      <c r="B7" t="inlineStr">
        <is>
          <t>2026년 5월 결산기 ２분기 결산단신</t>
        </is>
      </c>
      <c r="C7" t="inlineStr">
        <is>
          <t>https://www2.jpx.co.jp/disc/92780/140120260113532327.pdf</t>
        </is>
      </c>
    </row>
    <row r="8">
      <c r="A8" t="inlineStr">
        <is>
          <t>2025-10-14</t>
        </is>
      </c>
      <c r="B8" t="inlineStr">
        <is>
          <t>2026년 5월 결산기 １분기 결산단신</t>
        </is>
      </c>
      <c r="C8" t="inlineStr">
        <is>
          <t>https://www2.jpx.co.jp/disc/92780/140120251014572891.pdf</t>
        </is>
      </c>
    </row>
    <row r="9">
      <c r="A9" t="inlineStr">
        <is>
          <t>2025-07-10</t>
        </is>
      </c>
      <c r="B9" t="inlineStr">
        <is>
          <t>2025년 5월 결산기 연간 결산단신</t>
        </is>
      </c>
      <c r="C9" t="inlineStr">
        <is>
          <t>https://www2.jpx.co.jp/disc/92780/140120250710511291.pdf</t>
        </is>
      </c>
    </row>
    <row r="10">
      <c r="A10" t="inlineStr">
        <is>
          <t>2025-04-25</t>
        </is>
      </c>
      <c r="B10" t="inlineStr">
        <is>
          <t>2025년 5월 결산기 3분기 결산단신</t>
        </is>
      </c>
      <c r="C10" t="inlineStr">
        <is>
          <t>https://www2.jpx.co.jp/disc/92780/140120250425523832.pdf</t>
        </is>
      </c>
    </row>
    <row r="11">
      <c r="A11" t="inlineStr">
        <is>
          <t>2025-04-11</t>
        </is>
      </c>
      <c r="B11" t="inlineStr">
        <is>
          <t>2025년 5월 결산기 ３분기 결산단신</t>
        </is>
      </c>
      <c r="C11" t="inlineStr">
        <is>
          <t>https://www2.jpx.co.jp/disc/92780/140120250411513552.pdf</t>
        </is>
      </c>
    </row>
    <row r="12">
      <c r="A12" t="inlineStr">
        <is>
          <t>2025-01-10</t>
        </is>
      </c>
      <c r="B12" t="inlineStr">
        <is>
          <t>2025년 5월 결산기 ２분기 결산단신</t>
        </is>
      </c>
      <c r="C12" t="inlineStr">
        <is>
          <t>https://www2.jpx.co.jp/disc/92780/140120250110549045.pdf</t>
        </is>
      </c>
    </row>
    <row r="13">
      <c r="A13" t="inlineStr">
        <is>
          <t>2024-10-22</t>
        </is>
      </c>
      <c r="B13" t="inlineStr">
        <is>
          <t>2025년 5월 결산기 １분기 결산단신</t>
        </is>
      </c>
      <c r="C13" t="inlineStr">
        <is>
          <t>https://www2.jpx.co.jp/disc/92780/140120241022501097.pdf</t>
        </is>
      </c>
    </row>
    <row r="14">
      <c r="A14" t="inlineStr">
        <is>
          <t>2024-10-15</t>
        </is>
      </c>
      <c r="B14" t="inlineStr">
        <is>
          <t>2024년 5월 결산기 연간 결산단신</t>
        </is>
      </c>
      <c r="C14" t="inlineStr">
        <is>
          <t>https://www2.jpx.co.jp/disc/92780/140120241015598341.pdf</t>
        </is>
      </c>
    </row>
    <row r="15">
      <c r="A15" t="inlineStr">
        <is>
          <t>2024-04-11</t>
        </is>
      </c>
      <c r="B15" t="inlineStr">
        <is>
          <t>2024년 5월 결산기 ３분기 결산단신</t>
        </is>
      </c>
      <c r="C15" t="inlineStr">
        <is>
          <t>https://www2.jpx.co.jp/disc/92780/140120240411568881.pdf</t>
        </is>
      </c>
    </row>
    <row r="16">
      <c r="A16" t="inlineStr">
        <is>
          <t>2024-01-12</t>
        </is>
      </c>
      <c r="B16" t="inlineStr">
        <is>
          <t>2024년 5월 결산기 ２분기 결산단신</t>
        </is>
      </c>
      <c r="C16" t="inlineStr">
        <is>
          <t>https://www2.jpx.co.jp/disc/92780/140120240112514174.pdf</t>
        </is>
      </c>
    </row>
    <row r="17">
      <c r="A17" t="inlineStr">
        <is>
          <t>2023-10-12</t>
        </is>
      </c>
      <c r="B17" t="inlineStr">
        <is>
          <t>2024년 5월 결산기 １분기 결산단신</t>
        </is>
      </c>
      <c r="C17" t="inlineStr">
        <is>
          <t>https://www2.jpx.co.jp/disc/92780/140120231012565550.pdf</t>
        </is>
      </c>
    </row>
    <row r="18">
      <c r="A18" t="inlineStr">
        <is>
          <t>2023-07-10</t>
        </is>
      </c>
      <c r="B18" t="inlineStr">
        <is>
          <t>2023년 5월 결산기 연간 결산단신</t>
        </is>
      </c>
      <c r="C18" t="inlineStr">
        <is>
          <t>https://www2.jpx.co.jp/disc/92780/140120230710519651.pdf</t>
        </is>
      </c>
    </row>
    <row r="19">
      <c r="A19" t="inlineStr">
        <is>
          <t>2023-04-13</t>
        </is>
      </c>
      <c r="B19" t="inlineStr">
        <is>
          <t>2023년 5월 결산기 ３분기 결산단신</t>
        </is>
      </c>
      <c r="C19" t="inlineStr">
        <is>
          <t>https://www2.jpx.co.jp/disc/92780/140120230413546477.pdf</t>
        </is>
      </c>
    </row>
    <row r="20">
      <c r="A20" t="inlineStr">
        <is>
          <t>2022-07-11</t>
        </is>
      </c>
      <c r="B20" t="inlineStr">
        <is>
          <t>2022년 5월 결산기 연간 결산단신</t>
        </is>
      </c>
      <c r="C20" t="inlineStr">
        <is>
          <t>https://www2.jpx.co.jp/disc/92780/140120220711597706.pdf</t>
        </is>
      </c>
    </row>
    <row r="21">
      <c r="A21" t="inlineStr">
        <is>
          <t>2021-07-14</t>
        </is>
      </c>
      <c r="B21" t="inlineStr">
        <is>
          <t>2021년 5월 결산기 연간 결산단신</t>
        </is>
      </c>
      <c r="C21" t="inlineStr">
        <is>
          <t>https://www2.jpx.co.jp/disc/92780/140120210714466782.pdf</t>
        </is>
      </c>
    </row>
    <row r="22">
      <c r="A22" t="inlineStr">
        <is>
          <t>2020-05-29</t>
        </is>
      </c>
      <c r="B22" t="inlineStr">
        <is>
          <t>2020년 3월 결산기 연간 결산단신</t>
        </is>
      </c>
      <c r="C22" t="inlineStr">
        <is>
          <t>https://www2.jpx.co.jp/disc/92780/140120200529429641.pdf</t>
        </is>
      </c>
    </row>
    <row r="23">
      <c r="A23" t="inlineStr">
        <is>
          <t>2019-05-10</t>
        </is>
      </c>
      <c r="B23" t="inlineStr">
        <is>
          <t>2019년 3월 결산기 연간 결산단신</t>
        </is>
      </c>
      <c r="C23" t="inlineStr">
        <is>
          <t>https://www2.jpx.co.jp/disc/92780/140120190510420663.pdf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2026-10-28T07:00:59Z</dcterms:created>
  <dcterms:modified xmlns:dcterms="http://purl.org/dc/terms/" xmlns:xsi="http://www.w3.org/2001/XMLSchema-instance" xsi:type="dcterms:W3CDTF">2026-10-28T07:01:00Z</dcterms:modified>
</cp:coreProperties>
</file>