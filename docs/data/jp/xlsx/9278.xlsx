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포괄손익" sheetId="2" state="visible" r:id="rId2"/>
    <sheet xmlns:r="http://schemas.openxmlformats.org/officeDocument/2006/relationships" name="재무상태표" sheetId="3" state="visible" r:id="rId3"/>
    <sheet xmlns:r="http://schemas.openxmlformats.org/officeDocument/2006/relationships" name="현금흐름표" sheetId="4" state="visible" r:id="rId4"/>
    <sheet xmlns:r="http://schemas.openxmlformats.org/officeDocument/2006/relationships" name="부문" sheetId="5" state="visible" r:id="rId5"/>
    <sheet xmlns:r="http://schemas.openxmlformats.org/officeDocument/2006/relationships" name="섹터 데이터" sheetId="6" state="visible" r:id="rId6"/>
    <sheet xmlns:r="http://schemas.openxmlformats.org/officeDocument/2006/relationships" name="출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\(#,##0.0\);&quot;-&quot;"/>
    <numFmt numFmtId="165" formatCode="0.0%;\-0.0%;&quot;-&quot;"/>
  </numFmts>
  <fonts count="9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color rgb="FFFF0000"/>
      <sz val="9"/>
    </font>
    <font>
      <name val="맑은 고딕"/>
      <color rgb="FF808080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  <font>
      <name val="맑은 고딕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북오프 그룹 홀딩스 손익계산서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5" t="inlineStr">
        <is>
          <t>매출액</t>
        </is>
      </c>
      <c r="C4" s="6" t="n">
        <v>215.93</v>
      </c>
      <c r="D4" s="6" t="n">
        <v>245.64</v>
      </c>
      <c r="E4" s="6" t="n">
        <v>241.98</v>
      </c>
      <c r="F4" s="6" t="n">
        <v>237.26</v>
      </c>
      <c r="G4" s="6" t="n">
        <v>248.42</v>
      </c>
      <c r="H4" s="6" t="n">
        <v>268.39</v>
      </c>
      <c r="I4" s="6" t="n">
        <v>264.36</v>
      </c>
      <c r="J4" s="6" t="n">
        <v>261.83</v>
      </c>
      <c r="K4" s="6" t="n">
        <v>267.51</v>
      </c>
      <c r="L4" s="6" t="n">
        <v>294.54</v>
      </c>
      <c r="M4" s="6" t="n">
        <v>292.69</v>
      </c>
      <c r="N4" s="6" t="n">
        <v>282.92</v>
      </c>
      <c r="O4" s="6" t="n">
        <v>284.89</v>
      </c>
      <c r="P4" s="6" t="n">
        <v>315.99</v>
      </c>
      <c r="Q4" s="6" t="n">
        <v>308.25</v>
      </c>
      <c r="R4" s="6" t="n">
        <v>295.11</v>
      </c>
      <c r="S4" s="6" t="n">
        <v>315.93</v>
      </c>
      <c r="T4" s="6" t="n">
        <v>346.78</v>
      </c>
      <c r="U4" s="6" t="n">
        <v>343.41</v>
      </c>
      <c r="V4" s="6" t="n">
        <v>326.2</v>
      </c>
      <c r="W4" s="6" t="n">
        <v>807.96</v>
      </c>
      <c r="X4" s="6" t="n">
        <v>843.89</v>
      </c>
      <c r="Y4" s="6" t="n">
        <v>801.27</v>
      </c>
      <c r="Z4" s="6" t="n">
        <v>915.38</v>
      </c>
      <c r="AA4" s="6" t="n">
        <v>1018.43</v>
      </c>
      <c r="AB4" s="6" t="n">
        <v>1116.57</v>
      </c>
      <c r="AC4" s="6" t="n">
        <v>1192.05</v>
      </c>
      <c r="AD4" s="6" t="n">
        <v>1301.23</v>
      </c>
      <c r="AE4" s="7" t="inlineStr">
        <is>
          <t>결산단신 XBRL(거래소 공시, TDnet·JPX 보관소). 쓴 문서: 2026-10-13, 2026-07-13, 2026-04-13, 2026-01-13 외 26건 — '출처' 시트에 전부</t>
        </is>
      </c>
    </row>
    <row r="5">
      <c r="A5" s="8" t="inlineStr">
        <is>
          <t>YoY</t>
        </is>
      </c>
      <c r="G5" s="9">
        <f>IF(OR(G4="",C4=""),"",IFERROR(G4/C4-1,""))</f>
        <v/>
      </c>
      <c r="H5" s="9">
        <f>IF(OR(H4="",D4=""),"",IFERROR(H4/D4-1,""))</f>
        <v/>
      </c>
      <c r="I5" s="9">
        <f>IF(OR(I4="",E4=""),"",IFERROR(I4/E4-1,""))</f>
        <v/>
      </c>
      <c r="J5" s="9">
        <f>IF(OR(J4="",F4=""),"",IFERROR(J4/F4-1,""))</f>
        <v/>
      </c>
      <c r="K5" s="9">
        <f>IF(OR(K4="",G4=""),"",IFERROR(K4/G4-1,""))</f>
        <v/>
      </c>
      <c r="L5" s="9">
        <f>IF(OR(L4="",H4=""),"",IFERROR(L4/H4-1,""))</f>
        <v/>
      </c>
      <c r="M5" s="9">
        <f>IF(OR(M4="",I4=""),"",IFERROR(M4/I4-1,""))</f>
        <v/>
      </c>
      <c r="N5" s="9">
        <f>IF(OR(N4="",J4=""),"",IFERROR(N4/J4-1,""))</f>
        <v/>
      </c>
      <c r="O5" s="9">
        <f>IF(OR(O4="",K4=""),"",IFERROR(O4/K4-1,""))</f>
        <v/>
      </c>
      <c r="P5" s="9">
        <f>IF(OR(P4="",L4=""),"",IFERROR(P4/L4-1,""))</f>
        <v/>
      </c>
      <c r="Q5" s="9">
        <f>IF(OR(Q4="",M4=""),"",IFERROR(Q4/M4-1,""))</f>
        <v/>
      </c>
      <c r="R5" s="9">
        <f>IF(OR(R4="",N4=""),"",IFERROR(R4/N4-1,""))</f>
        <v/>
      </c>
      <c r="S5" s="9">
        <f>IF(OR(S4="",O4=""),"",IFERROR(S4/O4-1,""))</f>
        <v/>
      </c>
      <c r="T5" s="9">
        <f>IF(OR(T4="",P4=""),"",IFERROR(T4/P4-1,""))</f>
        <v/>
      </c>
      <c r="U5" s="9">
        <f>IF(OR(U4="",Q4=""),"",IFERROR(U4/Q4-1,""))</f>
        <v/>
      </c>
      <c r="V5" s="9">
        <f>IF(OR(V4="",R4=""),"",IFERROR(V4/R4-1,""))</f>
        <v/>
      </c>
      <c r="X5" s="9">
        <f>IF(OR(X4="",W4=""),"",IFERROR(X4/W4-1,""))</f>
        <v/>
      </c>
      <c r="Y5" s="9">
        <f>IF(OR(Y4="",X4=""),"",IFERROR(Y4/X4-1,""))</f>
        <v/>
      </c>
      <c r="Z5" s="9">
        <f>IF(OR(Z4="",Y4=""),"",IFERROR(Z4/Y4-1,""))</f>
        <v/>
      </c>
      <c r="AA5" s="9">
        <f>IF(OR(AA4="",Z4=""),"",IFERROR(AA4/Z4-1,""))</f>
        <v/>
      </c>
      <c r="AB5" s="9">
        <f>IF(OR(AB4="",AA4=""),"",IFERROR(AB4/AA4-1,""))</f>
        <v/>
      </c>
      <c r="AC5" s="9">
        <f>IF(OR(AC4="",AB4=""),"",IFERROR(AC4/AB4-1,""))</f>
        <v/>
      </c>
      <c r="AD5" s="9">
        <f>IF(OR(AD4="",AC4=""),"",IFERROR(AD4/AC4-1,""))</f>
        <v/>
      </c>
    </row>
    <row r="6">
      <c r="A6" s="5" t="inlineStr">
        <is>
          <t>매출원가</t>
        </is>
      </c>
      <c r="C6" s="6" t="n">
        <v>87.77</v>
      </c>
      <c r="D6" s="6" t="n">
        <v>101.43</v>
      </c>
      <c r="E6" s="6" t="n">
        <v>99.86</v>
      </c>
      <c r="F6" s="6" t="n">
        <v>99.88</v>
      </c>
      <c r="G6" s="6" t="n">
        <v>107.68</v>
      </c>
      <c r="H6" s="6" t="n">
        <v>114.22</v>
      </c>
      <c r="I6" s="6" t="n">
        <v>112.48</v>
      </c>
      <c r="J6" s="6" t="n">
        <v>114.7</v>
      </c>
      <c r="K6" s="6" t="n">
        <v>114.86</v>
      </c>
      <c r="L6" s="6" t="n">
        <v>129.18</v>
      </c>
      <c r="M6" s="6" t="n">
        <v>130.11</v>
      </c>
      <c r="N6" s="6" t="n">
        <v>120.78</v>
      </c>
      <c r="O6" s="6" t="n">
        <v>123.06</v>
      </c>
      <c r="P6" s="6" t="n">
        <v>137.59</v>
      </c>
      <c r="Q6" s="6" t="n">
        <v>133.11</v>
      </c>
      <c r="R6" s="6" t="n">
        <v>126.88</v>
      </c>
      <c r="S6" s="6" t="n">
        <v>137.5</v>
      </c>
      <c r="T6" s="6" t="n">
        <v>149.62</v>
      </c>
      <c r="U6" s="6" t="n">
        <v>148.95</v>
      </c>
      <c r="V6" s="6" t="n">
        <v>139.88</v>
      </c>
      <c r="W6" s="6" t="n">
        <v>325.61</v>
      </c>
      <c r="X6" s="6" t="n">
        <v>333.12</v>
      </c>
      <c r="Y6" s="6" t="n">
        <v>313</v>
      </c>
      <c r="Z6" s="6" t="n">
        <v>373.26</v>
      </c>
      <c r="AA6" s="6" t="n">
        <v>434.26</v>
      </c>
      <c r="AB6" s="6" t="n">
        <v>488.85</v>
      </c>
      <c r="AC6" s="6" t="n">
        <v>514.54</v>
      </c>
      <c r="AD6" s="6" t="n">
        <v>562.95</v>
      </c>
    </row>
    <row r="7">
      <c r="A7" s="5" t="inlineStr">
        <is>
          <t>매출총이익</t>
        </is>
      </c>
      <c r="C7" s="6" t="n">
        <v>128.17</v>
      </c>
      <c r="D7" s="6" t="n">
        <v>144.2</v>
      </c>
      <c r="E7" s="6" t="n">
        <v>142.13</v>
      </c>
      <c r="F7" s="6" t="n">
        <v>137.38</v>
      </c>
      <c r="G7" s="6" t="n">
        <v>140.73</v>
      </c>
      <c r="H7" s="6" t="n">
        <v>154.17</v>
      </c>
      <c r="I7" s="6" t="n">
        <v>151.88</v>
      </c>
      <c r="J7" s="6" t="n">
        <v>147.13</v>
      </c>
      <c r="K7" s="6" t="n">
        <v>152.65</v>
      </c>
      <c r="L7" s="6" t="n">
        <v>165.35</v>
      </c>
      <c r="M7" s="6" t="n">
        <v>162.58</v>
      </c>
      <c r="N7" s="6" t="n">
        <v>162.14</v>
      </c>
      <c r="O7" s="6" t="n">
        <v>161.82</v>
      </c>
      <c r="P7" s="6" t="n">
        <v>178.41</v>
      </c>
      <c r="Q7" s="6" t="n">
        <v>175.14</v>
      </c>
      <c r="R7" s="6" t="n">
        <v>168.22</v>
      </c>
      <c r="S7" s="6" t="n">
        <v>178.44</v>
      </c>
      <c r="T7" s="6" t="n">
        <v>197.15</v>
      </c>
      <c r="U7" s="6" t="n">
        <v>194.46</v>
      </c>
      <c r="V7" s="6" t="n">
        <v>186.31</v>
      </c>
      <c r="W7" s="6" t="n">
        <v>482.35</v>
      </c>
      <c r="X7" s="6" t="n">
        <v>510.77</v>
      </c>
      <c r="Y7" s="6" t="n">
        <v>488.27</v>
      </c>
      <c r="Z7" s="6" t="n">
        <v>542.12</v>
      </c>
      <c r="AA7" s="6" t="n">
        <v>584.16</v>
      </c>
      <c r="AB7" s="6" t="n">
        <v>627.71</v>
      </c>
      <c r="AC7" s="6" t="n">
        <v>677.51</v>
      </c>
      <c r="AD7" s="6" t="n">
        <v>738.27</v>
      </c>
    </row>
    <row r="8">
      <c r="A8" s="8" t="inlineStr">
        <is>
          <t>매출총이익률</t>
        </is>
      </c>
      <c r="C8" s="9">
        <f>IF(OR(C7="",C4=""),"",IFERROR(C7/C4,""))</f>
        <v/>
      </c>
      <c r="D8" s="9">
        <f>IF(OR(D7="",D4=""),"",IFERROR(D7/D4,""))</f>
        <v/>
      </c>
      <c r="E8" s="9">
        <f>IF(OR(E7="",E4=""),"",IFERROR(E7/E4,""))</f>
        <v/>
      </c>
      <c r="F8" s="9">
        <f>IF(OR(F7="",F4=""),"",IFERROR(F7/F4,""))</f>
        <v/>
      </c>
      <c r="G8" s="9">
        <f>IF(OR(G7="",G4=""),"",IFERROR(G7/G4,""))</f>
        <v/>
      </c>
      <c r="H8" s="9">
        <f>IF(OR(H7="",H4=""),"",IFERROR(H7/H4,""))</f>
        <v/>
      </c>
      <c r="I8" s="9">
        <f>IF(OR(I7="",I4=""),"",IFERROR(I7/I4,""))</f>
        <v/>
      </c>
      <c r="J8" s="9">
        <f>IF(OR(J7="",J4=""),"",IFERROR(J7/J4,""))</f>
        <v/>
      </c>
      <c r="K8" s="9">
        <f>IF(OR(K7="",K4=""),"",IFERROR(K7/K4,""))</f>
        <v/>
      </c>
      <c r="L8" s="9">
        <f>IF(OR(L7="",L4=""),"",IFERROR(L7/L4,""))</f>
        <v/>
      </c>
      <c r="M8" s="9">
        <f>IF(OR(M7="",M4=""),"",IFERROR(M7/M4,""))</f>
        <v/>
      </c>
      <c r="N8" s="9">
        <f>IF(OR(N7="",N4=""),"",IFERROR(N7/N4,""))</f>
        <v/>
      </c>
      <c r="O8" s="9">
        <f>IF(OR(O7="",O4=""),"",IFERROR(O7/O4,""))</f>
        <v/>
      </c>
      <c r="P8" s="9">
        <f>IF(OR(P7="",P4=""),"",IFERROR(P7/P4,""))</f>
        <v/>
      </c>
      <c r="Q8" s="9">
        <f>IF(OR(Q7="",Q4=""),"",IFERROR(Q7/Q4,""))</f>
        <v/>
      </c>
      <c r="R8" s="9">
        <f>IF(OR(R7="",R4=""),"",IFERROR(R7/R4,""))</f>
        <v/>
      </c>
      <c r="S8" s="9">
        <f>IF(OR(S7="",S4=""),"",IFERROR(S7/S4,""))</f>
        <v/>
      </c>
      <c r="T8" s="9">
        <f>IF(OR(T7="",T4=""),"",IFERROR(T7/T4,""))</f>
        <v/>
      </c>
      <c r="U8" s="9">
        <f>IF(OR(U7="",U4=""),"",IFERROR(U7/U4,""))</f>
        <v/>
      </c>
      <c r="V8" s="9">
        <f>IF(OR(V7="",V4=""),"",IFERROR(V7/V4,""))</f>
        <v/>
      </c>
      <c r="W8" s="9">
        <f>IF(OR(W7="",W4=""),"",IFERROR(W7/W4,""))</f>
        <v/>
      </c>
      <c r="X8" s="9">
        <f>IF(OR(X7="",X4=""),"",IFERROR(X7/X4,""))</f>
        <v/>
      </c>
      <c r="Y8" s="9">
        <f>IF(OR(Y7="",Y4=""),"",IFERROR(Y7/Y4,""))</f>
        <v/>
      </c>
      <c r="Z8" s="9">
        <f>IF(OR(Z7="",Z4=""),"",IFERROR(Z7/Z4,""))</f>
        <v/>
      </c>
      <c r="AA8" s="9">
        <f>IF(OR(AA7="",AA4=""),"",IFERROR(AA7/AA4,""))</f>
        <v/>
      </c>
      <c r="AB8" s="9">
        <f>IF(OR(AB7="",AB4=""),"",IFERROR(AB7/AB4,""))</f>
        <v/>
      </c>
      <c r="AC8" s="9">
        <f>IF(OR(AC7="",AC4=""),"",IFERROR(AC7/AC4,""))</f>
        <v/>
      </c>
      <c r="AD8" s="9">
        <f>IF(OR(AD7="",AD4=""),"",IFERROR(AD7/AD4,""))</f>
        <v/>
      </c>
    </row>
    <row r="9">
      <c r="A9" s="10" t="inlineStr">
        <is>
          <t>대손충당금 전입</t>
        </is>
      </c>
      <c r="W9" s="11" t="n">
        <v>0.07000000000000001</v>
      </c>
      <c r="X9" s="11" t="n">
        <v>-0.05</v>
      </c>
      <c r="Z9" s="11" t="n">
        <v>-0</v>
      </c>
      <c r="AA9" s="11" t="n">
        <v>0</v>
      </c>
      <c r="AB9" s="11" t="n">
        <v>0</v>
      </c>
      <c r="AC9" s="11" t="n">
        <v>0</v>
      </c>
      <c r="AD9" s="11" t="n">
        <v>0</v>
      </c>
    </row>
    <row r="10">
      <c r="A10" s="10" t="inlineStr">
        <is>
          <t>급여·수당</t>
        </is>
      </c>
      <c r="W10" s="11" t="n">
        <v>48.48</v>
      </c>
      <c r="X10" s="11" t="n">
        <v>53.18</v>
      </c>
      <c r="Z10" s="11" t="n">
        <v>56.76</v>
      </c>
      <c r="AA10" s="11" t="n">
        <v>58.76</v>
      </c>
      <c r="AB10" s="11" t="n">
        <v>63.01</v>
      </c>
      <c r="AC10" s="11" t="n">
        <v>68.81</v>
      </c>
      <c r="AD10" s="11" t="n">
        <v>74.02</v>
      </c>
    </row>
    <row r="11">
      <c r="A11" s="10" t="inlineStr">
        <is>
          <t>파트·아르바이트 급여</t>
        </is>
      </c>
      <c r="W11" s="11" t="n">
        <v>128.31</v>
      </c>
      <c r="X11" s="11" t="n">
        <v>142.78</v>
      </c>
      <c r="Z11" s="11" t="n">
        <v>146.71</v>
      </c>
      <c r="AA11" s="11" t="n">
        <v>156.44</v>
      </c>
      <c r="AB11" s="11" t="n">
        <v>172.04</v>
      </c>
      <c r="AC11" s="11" t="n">
        <v>189.36</v>
      </c>
      <c r="AD11" s="11" t="n">
        <v>206.54</v>
      </c>
    </row>
    <row r="12">
      <c r="A12" s="10" t="inlineStr">
        <is>
          <t>상여충당금 전입</t>
        </is>
      </c>
      <c r="Z12" s="11" t="n">
        <v>5.98</v>
      </c>
      <c r="AA12" s="11" t="n">
        <v>6.45</v>
      </c>
      <c r="AB12" s="11" t="n">
        <v>6.87</v>
      </c>
      <c r="AC12" s="11" t="n">
        <v>8.51</v>
      </c>
      <c r="AD12" s="11" t="n">
        <v>12.08</v>
      </c>
    </row>
    <row r="13">
      <c r="A13" s="10" t="inlineStr">
        <is>
          <t>퇴직급여비용</t>
        </is>
      </c>
      <c r="W13" s="11" t="n">
        <v>0.3</v>
      </c>
      <c r="X13" s="11" t="n">
        <v>0.3</v>
      </c>
      <c r="Z13" s="11" t="n">
        <v>0.38</v>
      </c>
      <c r="AA13" s="11" t="n">
        <v>0.44</v>
      </c>
      <c r="AB13" s="11" t="n">
        <v>0.48</v>
      </c>
      <c r="AC13" s="11" t="n">
        <v>0.55</v>
      </c>
      <c r="AD13" s="11" t="n">
        <v>0.58</v>
      </c>
    </row>
    <row r="14">
      <c r="A14" s="10" t="inlineStr">
        <is>
          <t>지대·임차료</t>
        </is>
      </c>
      <c r="W14" s="11" t="n">
        <v>111.1</v>
      </c>
      <c r="X14" s="11" t="n">
        <v>111.24</v>
      </c>
      <c r="Z14" s="11" t="n">
        <v>112.25</v>
      </c>
      <c r="AA14" s="11" t="n">
        <v>111.3</v>
      </c>
      <c r="AB14" s="11" t="n">
        <v>115.09</v>
      </c>
      <c r="AC14" s="11" t="n">
        <v>117.84</v>
      </c>
      <c r="AD14" s="11" t="n">
        <v>121.29</v>
      </c>
    </row>
    <row r="15">
      <c r="A15" s="10" t="inlineStr">
        <is>
          <t>지급수수료</t>
        </is>
      </c>
      <c r="Z15" s="11" t="n">
        <v>54.26</v>
      </c>
      <c r="AA15" s="11" t="n">
        <v>62.84</v>
      </c>
      <c r="AB15" s="11" t="n">
        <v>67.53</v>
      </c>
      <c r="AC15" s="11" t="n">
        <v>71.97</v>
      </c>
      <c r="AD15" s="11" t="n">
        <v>76.17</v>
      </c>
    </row>
    <row r="16">
      <c r="A16" s="10" t="inlineStr">
        <is>
          <t>기타</t>
        </is>
      </c>
      <c r="W16" s="11" t="n">
        <v>178.56</v>
      </c>
      <c r="X16" s="11" t="n">
        <v>189.02</v>
      </c>
      <c r="Z16" s="11" t="n">
        <v>148.1</v>
      </c>
      <c r="AA16" s="11" t="n">
        <v>162.12</v>
      </c>
      <c r="AB16" s="11" t="n">
        <v>172.14</v>
      </c>
      <c r="AC16" s="11" t="n">
        <v>185.95</v>
      </c>
      <c r="AD16" s="11" t="n">
        <v>203.51</v>
      </c>
    </row>
    <row r="17">
      <c r="A17" s="10" t="inlineStr">
        <is>
          <t>판매비와 관리비</t>
        </is>
      </c>
      <c r="C17" s="11" t="n">
        <v>126.17</v>
      </c>
      <c r="D17" s="11" t="n">
        <v>131.7</v>
      </c>
      <c r="E17" s="11" t="n">
        <v>140.41</v>
      </c>
      <c r="F17" s="11" t="n">
        <v>131.86</v>
      </c>
      <c r="G17" s="11" t="n">
        <v>136.41</v>
      </c>
      <c r="H17" s="11" t="n">
        <v>139.9</v>
      </c>
      <c r="I17" s="11" t="n">
        <v>150.21</v>
      </c>
      <c r="J17" s="11" t="n">
        <v>143.04</v>
      </c>
      <c r="K17" s="11" t="n">
        <v>146.15</v>
      </c>
      <c r="L17" s="11" t="n">
        <v>148.38</v>
      </c>
      <c r="M17" s="11" t="n">
        <v>159.62</v>
      </c>
      <c r="N17" s="11" t="n">
        <v>151.01</v>
      </c>
      <c r="O17" s="11" t="n">
        <v>157.97</v>
      </c>
      <c r="P17" s="11" t="n">
        <v>161.9</v>
      </c>
      <c r="Q17" s="11" t="n">
        <v>172.14</v>
      </c>
      <c r="R17" s="11" t="n">
        <v>163.4</v>
      </c>
      <c r="S17" s="11" t="n">
        <v>170.61</v>
      </c>
      <c r="T17" s="11" t="n">
        <v>173.4</v>
      </c>
      <c r="U17" s="11" t="n">
        <v>186.81</v>
      </c>
      <c r="V17" s="11" t="n">
        <v>177.59</v>
      </c>
      <c r="W17" s="11" t="n">
        <v>466.84</v>
      </c>
      <c r="X17" s="11" t="n">
        <v>496.48</v>
      </c>
      <c r="Y17" s="11" t="n">
        <v>472.05</v>
      </c>
      <c r="Z17" s="11" t="n">
        <v>524.45</v>
      </c>
      <c r="AA17" s="11" t="n">
        <v>558.38</v>
      </c>
      <c r="AB17" s="11" t="n">
        <v>597.1900000000001</v>
      </c>
      <c r="AC17" s="11" t="n">
        <v>643.02</v>
      </c>
      <c r="AD17" s="11" t="n">
        <v>694.22</v>
      </c>
    </row>
    <row r="18">
      <c r="A18" s="5" t="inlineStr">
        <is>
          <t>영업이익</t>
        </is>
      </c>
      <c r="C18" s="6" t="n">
        <v>2</v>
      </c>
      <c r="D18" s="6" t="n">
        <v>12.5</v>
      </c>
      <c r="E18" s="6" t="n">
        <v>1.71</v>
      </c>
      <c r="F18" s="6" t="n">
        <v>5.51</v>
      </c>
      <c r="G18" s="6" t="n">
        <v>4.33</v>
      </c>
      <c r="H18" s="6" t="n">
        <v>14.27</v>
      </c>
      <c r="I18" s="6" t="n">
        <v>1.67</v>
      </c>
      <c r="J18" s="6" t="n">
        <v>4.09</v>
      </c>
      <c r="K18" s="6" t="n">
        <v>6.5</v>
      </c>
      <c r="L18" s="6" t="n">
        <v>16.96</v>
      </c>
      <c r="M18" s="6" t="n">
        <v>2.96</v>
      </c>
      <c r="N18" s="6" t="n">
        <v>11.12</v>
      </c>
      <c r="O18" s="6" t="n">
        <v>3.86</v>
      </c>
      <c r="P18" s="6" t="n">
        <v>16.5</v>
      </c>
      <c r="Q18" s="6" t="n">
        <v>3</v>
      </c>
      <c r="R18" s="6" t="n">
        <v>4.82</v>
      </c>
      <c r="S18" s="6" t="n">
        <v>7.82</v>
      </c>
      <c r="T18" s="6" t="n">
        <v>23.76</v>
      </c>
      <c r="U18" s="6" t="n">
        <v>7.65</v>
      </c>
      <c r="V18" s="6" t="n">
        <v>8.710000000000001</v>
      </c>
      <c r="W18" s="6" t="n">
        <v>15.5</v>
      </c>
      <c r="X18" s="6" t="n">
        <v>14.28</v>
      </c>
      <c r="Y18" s="6" t="n">
        <v>16.22</v>
      </c>
      <c r="Z18" s="6" t="n">
        <v>17.66</v>
      </c>
      <c r="AA18" s="6" t="n">
        <v>25.78</v>
      </c>
      <c r="AB18" s="6" t="n">
        <v>30.51</v>
      </c>
      <c r="AC18" s="6" t="n">
        <v>34.48</v>
      </c>
      <c r="AD18" s="6" t="n">
        <v>44.05</v>
      </c>
    </row>
    <row r="19">
      <c r="A19" s="8" t="inlineStr">
        <is>
          <t>영업이익률</t>
        </is>
      </c>
      <c r="C19" s="9">
        <f>IF(OR(C18="",C4=""),"",IFERROR(C18/C4,""))</f>
        <v/>
      </c>
      <c r="D19" s="9">
        <f>IF(OR(D18="",D4=""),"",IFERROR(D18/D4,""))</f>
        <v/>
      </c>
      <c r="E19" s="9">
        <f>IF(OR(E18="",E4=""),"",IFERROR(E18/E4,""))</f>
        <v/>
      </c>
      <c r="F19" s="9">
        <f>IF(OR(F18="",F4=""),"",IFERROR(F18/F4,""))</f>
        <v/>
      </c>
      <c r="G19" s="9">
        <f>IF(OR(G18="",G4=""),"",IFERROR(G18/G4,""))</f>
        <v/>
      </c>
      <c r="H19" s="9">
        <f>IF(OR(H18="",H4=""),"",IFERROR(H18/H4,""))</f>
        <v/>
      </c>
      <c r="I19" s="9">
        <f>IF(OR(I18="",I4=""),"",IFERROR(I18/I4,""))</f>
        <v/>
      </c>
      <c r="J19" s="9">
        <f>IF(OR(J18="",J4=""),"",IFERROR(J18/J4,""))</f>
        <v/>
      </c>
      <c r="K19" s="9">
        <f>IF(OR(K18="",K4=""),"",IFERROR(K18/K4,""))</f>
        <v/>
      </c>
      <c r="L19" s="9">
        <f>IF(OR(L18="",L4=""),"",IFERROR(L18/L4,""))</f>
        <v/>
      </c>
      <c r="M19" s="9">
        <f>IF(OR(M18="",M4=""),"",IFERROR(M18/M4,""))</f>
        <v/>
      </c>
      <c r="N19" s="9">
        <f>IF(OR(N18="",N4=""),"",IFERROR(N18/N4,""))</f>
        <v/>
      </c>
      <c r="O19" s="9">
        <f>IF(OR(O18="",O4=""),"",IFERROR(O18/O4,""))</f>
        <v/>
      </c>
      <c r="P19" s="9">
        <f>IF(OR(P18="",P4=""),"",IFERROR(P18/P4,""))</f>
        <v/>
      </c>
      <c r="Q19" s="9">
        <f>IF(OR(Q18="",Q4=""),"",IFERROR(Q18/Q4,""))</f>
        <v/>
      </c>
      <c r="R19" s="9">
        <f>IF(OR(R18="",R4=""),"",IFERROR(R18/R4,""))</f>
        <v/>
      </c>
      <c r="S19" s="9">
        <f>IF(OR(S18="",S4=""),"",IFERROR(S18/S4,""))</f>
        <v/>
      </c>
      <c r="T19" s="9">
        <f>IF(OR(T18="",T4=""),"",IFERROR(T18/T4,""))</f>
        <v/>
      </c>
      <c r="U19" s="9">
        <f>IF(OR(U18="",U4=""),"",IFERROR(U18/U4,""))</f>
        <v/>
      </c>
      <c r="V19" s="9">
        <f>IF(OR(V18="",V4=""),"",IFERROR(V18/V4,""))</f>
        <v/>
      </c>
      <c r="W19" s="9">
        <f>IF(OR(W18="",W4=""),"",IFERROR(W18/W4,""))</f>
        <v/>
      </c>
      <c r="X19" s="9">
        <f>IF(OR(X18="",X4=""),"",IFERROR(X18/X4,""))</f>
        <v/>
      </c>
      <c r="Y19" s="9">
        <f>IF(OR(Y18="",Y4=""),"",IFERROR(Y18/Y4,""))</f>
        <v/>
      </c>
      <c r="Z19" s="9">
        <f>IF(OR(Z18="",Z4=""),"",IFERROR(Z18/Z4,""))</f>
        <v/>
      </c>
      <c r="AA19" s="9">
        <f>IF(OR(AA18="",AA4=""),"",IFERROR(AA18/AA4,""))</f>
        <v/>
      </c>
      <c r="AB19" s="9">
        <f>IF(OR(AB18="",AB4=""),"",IFERROR(AB18/AB4,""))</f>
        <v/>
      </c>
      <c r="AC19" s="9">
        <f>IF(OR(AC18="",AC4=""),"",IFERROR(AC18/AC4,""))</f>
        <v/>
      </c>
      <c r="AD19" s="9">
        <f>IF(OR(AD18="",AD4=""),"",IFERROR(AD18/AD4,""))</f>
        <v/>
      </c>
    </row>
    <row r="20">
      <c r="A20" s="8" t="inlineStr">
        <is>
          <t>YoY</t>
        </is>
      </c>
      <c r="G20" s="9">
        <f>IF(OR(G18="",C18=""),"",IFERROR(G18/C18-1,""))</f>
        <v/>
      </c>
      <c r="H20" s="9">
        <f>IF(OR(H18="",D18=""),"",IFERROR(H18/D18-1,""))</f>
        <v/>
      </c>
      <c r="I20" s="9">
        <f>IF(OR(I18="",E18=""),"",IFERROR(I18/E18-1,""))</f>
        <v/>
      </c>
      <c r="J20" s="9">
        <f>IF(OR(J18="",F18=""),"",IFERROR(J18/F18-1,""))</f>
        <v/>
      </c>
      <c r="K20" s="9">
        <f>IF(OR(K18="",G18=""),"",IFERROR(K18/G18-1,""))</f>
        <v/>
      </c>
      <c r="L20" s="9">
        <f>IF(OR(L18="",H18=""),"",IFERROR(L18/H18-1,""))</f>
        <v/>
      </c>
      <c r="M20" s="9">
        <f>IF(OR(M18="",I18=""),"",IFERROR(M18/I18-1,""))</f>
        <v/>
      </c>
      <c r="N20" s="9">
        <f>IF(OR(N18="",J18=""),"",IFERROR(N18/J18-1,""))</f>
        <v/>
      </c>
      <c r="O20" s="9">
        <f>IF(OR(O18="",K18=""),"",IFERROR(O18/K18-1,""))</f>
        <v/>
      </c>
      <c r="P20" s="9">
        <f>IF(OR(P18="",L18=""),"",IFERROR(P18/L18-1,""))</f>
        <v/>
      </c>
      <c r="Q20" s="9">
        <f>IF(OR(Q18="",M18=""),"",IFERROR(Q18/M18-1,""))</f>
        <v/>
      </c>
      <c r="R20" s="9">
        <f>IF(OR(R18="",N18=""),"",IFERROR(R18/N18-1,""))</f>
        <v/>
      </c>
      <c r="S20" s="9">
        <f>IF(OR(S18="",O18=""),"",IFERROR(S18/O18-1,""))</f>
        <v/>
      </c>
      <c r="T20" s="9">
        <f>IF(OR(T18="",P18=""),"",IFERROR(T18/P18-1,""))</f>
        <v/>
      </c>
      <c r="U20" s="9">
        <f>IF(OR(U18="",Q18=""),"",IFERROR(U18/Q18-1,""))</f>
        <v/>
      </c>
      <c r="V20" s="9">
        <f>IF(OR(V18="",R18=""),"",IFERROR(V18/R18-1,""))</f>
        <v/>
      </c>
      <c r="X20" s="9">
        <f>IF(OR(X18="",W18=""),"",IFERROR(X18/W18-1,""))</f>
        <v/>
      </c>
      <c r="Y20" s="9">
        <f>IF(OR(Y18="",X18=""),"",IFERROR(Y18/X18-1,""))</f>
        <v/>
      </c>
      <c r="Z20" s="9">
        <f>IF(OR(Z18="",Y18=""),"",IFERROR(Z18/Y18-1,""))</f>
        <v/>
      </c>
      <c r="AA20" s="9">
        <f>IF(OR(AA18="",Z18=""),"",IFERROR(AA18/Z18-1,""))</f>
        <v/>
      </c>
      <c r="AB20" s="9">
        <f>IF(OR(AB18="",AA18=""),"",IFERROR(AB18/AA18-1,""))</f>
        <v/>
      </c>
      <c r="AC20" s="9">
        <f>IF(OR(AC18="",AB18=""),"",IFERROR(AC18/AB18-1,""))</f>
        <v/>
      </c>
      <c r="AD20" s="9">
        <f>IF(OR(AD18="",AC18=""),"",IFERROR(AD18/AC18-1,""))</f>
        <v/>
      </c>
    </row>
    <row r="21">
      <c r="A21" s="5" t="inlineStr">
        <is>
          <t>설비 임대수입</t>
        </is>
      </c>
      <c r="C21" s="6" t="n">
        <v>0.3</v>
      </c>
      <c r="D21" s="6" t="n">
        <v>0.04</v>
      </c>
      <c r="Y21" s="6" t="n">
        <v>3.22</v>
      </c>
    </row>
    <row r="22">
      <c r="A22" s="5" t="inlineStr">
        <is>
          <t>설비 임대수입</t>
        </is>
      </c>
      <c r="W22" s="6" t="n">
        <v>3.01</v>
      </c>
      <c r="X22" s="6" t="n">
        <v>3.32</v>
      </c>
      <c r="Z22" s="6" t="n">
        <v>1.18</v>
      </c>
    </row>
    <row r="23">
      <c r="A23" s="10" t="inlineStr">
        <is>
          <t>지분법이익</t>
        </is>
      </c>
      <c r="C23" s="11" t="n">
        <v>-0.01</v>
      </c>
      <c r="F23" s="11" t="n">
        <v>0</v>
      </c>
      <c r="G23" s="11" t="n">
        <v>0</v>
      </c>
      <c r="W23" s="11" t="n">
        <v>0</v>
      </c>
      <c r="X23" s="11" t="n">
        <v>0.13</v>
      </c>
      <c r="Z23" s="11" t="n">
        <v>0</v>
      </c>
      <c r="AA23" s="11" t="n">
        <v>0.53</v>
      </c>
      <c r="AB23" s="11" t="n">
        <v>0</v>
      </c>
    </row>
    <row r="24">
      <c r="A24" s="10" t="inlineStr">
        <is>
          <t>자판기 설치료 수입</t>
        </is>
      </c>
      <c r="W24" s="11" t="n">
        <v>1.42</v>
      </c>
      <c r="X24" s="11" t="n">
        <v>1.31</v>
      </c>
      <c r="Z24" s="11" t="n">
        <v>1.21</v>
      </c>
      <c r="AA24" s="11" t="n">
        <v>1.24</v>
      </c>
      <c r="AB24" s="11" t="n">
        <v>1.21</v>
      </c>
      <c r="AC24" s="11" t="n">
        <v>1.21</v>
      </c>
      <c r="AD24" s="11" t="n">
        <v>1.2</v>
      </c>
    </row>
    <row r="25">
      <c r="A25" s="10" t="inlineStr">
        <is>
          <t>폐지 등 재활용 수입</t>
        </is>
      </c>
      <c r="W25" s="11" t="n">
        <v>3.57</v>
      </c>
      <c r="X25" s="11" t="n">
        <v>3.48</v>
      </c>
      <c r="Z25" s="11" t="n">
        <v>2.27</v>
      </c>
      <c r="AA25" s="11" t="n">
        <v>2.48</v>
      </c>
      <c r="AB25" s="11" t="n">
        <v>2.51</v>
      </c>
      <c r="AC25" s="11" t="n">
        <v>2.72</v>
      </c>
      <c r="AD25" s="11" t="n">
        <v>2.59</v>
      </c>
    </row>
    <row r="26">
      <c r="A26" s="10" t="inlineStr">
        <is>
          <t>보조금 수입</t>
        </is>
      </c>
      <c r="C26" s="11" t="n">
        <v>0.9</v>
      </c>
      <c r="D26" s="11" t="n">
        <v>0.5</v>
      </c>
      <c r="E26" s="11" t="n">
        <v>0.14</v>
      </c>
      <c r="X26" s="11" t="n">
        <v>0.21</v>
      </c>
      <c r="Y26" s="11" t="n">
        <v>2.85</v>
      </c>
      <c r="Z26" s="11" t="n">
        <v>2.17</v>
      </c>
    </row>
    <row r="27">
      <c r="A27" s="10" t="inlineStr">
        <is>
          <t>자판기 설치료 수입</t>
        </is>
      </c>
      <c r="C27" s="11" t="n">
        <v>0.32</v>
      </c>
      <c r="D27" s="11" t="n">
        <v>0.29</v>
      </c>
      <c r="F27" s="11" t="n">
        <v>0.33</v>
      </c>
      <c r="G27" s="11" t="n">
        <v>0.34</v>
      </c>
      <c r="H27" s="11" t="n">
        <v>0.29</v>
      </c>
      <c r="J27" s="11" t="n">
        <v>0.33</v>
      </c>
      <c r="K27" s="11" t="n">
        <v>0.31</v>
      </c>
      <c r="L27" s="11" t="n">
        <v>0.29</v>
      </c>
      <c r="N27" s="11" t="n">
        <v>0.32</v>
      </c>
      <c r="R27" s="11" t="n">
        <v>0.31</v>
      </c>
      <c r="V27" s="11" t="n">
        <v>0.3</v>
      </c>
      <c r="Y27" s="11" t="n">
        <v>1.16</v>
      </c>
    </row>
    <row r="28">
      <c r="A28" s="10" t="inlineStr">
        <is>
          <t>폐지 등 재활용 수입</t>
        </is>
      </c>
      <c r="C28" s="11" t="n">
        <v>0.58</v>
      </c>
      <c r="D28" s="11" t="n">
        <v>0.55</v>
      </c>
      <c r="F28" s="11" t="n">
        <v>0.57</v>
      </c>
      <c r="G28" s="11" t="n">
        <v>0.6</v>
      </c>
      <c r="H28" s="11" t="n">
        <v>0.58</v>
      </c>
      <c r="J28" s="11" t="n">
        <v>0.65</v>
      </c>
      <c r="K28" s="11" t="n">
        <v>0.59</v>
      </c>
      <c r="L28" s="11" t="n">
        <v>0.58</v>
      </c>
      <c r="N28" s="11" t="n">
        <v>0.65</v>
      </c>
      <c r="R28" s="11" t="n">
        <v>0.64</v>
      </c>
      <c r="V28" s="11" t="n">
        <v>0.6899999999999999</v>
      </c>
      <c r="Y28" s="11" t="n">
        <v>2.14</v>
      </c>
    </row>
    <row r="29">
      <c r="A29" s="10" t="inlineStr">
        <is>
          <t>기타</t>
        </is>
      </c>
      <c r="C29" s="11" t="n">
        <v>1.52</v>
      </c>
      <c r="D29" s="11" t="n">
        <v>0.86</v>
      </c>
      <c r="E29" s="11" t="n">
        <v>1.01</v>
      </c>
      <c r="F29" s="11" t="n">
        <v>0.72</v>
      </c>
      <c r="G29" s="11" t="n">
        <v>0.79</v>
      </c>
      <c r="H29" s="11" t="n">
        <v>0.43</v>
      </c>
      <c r="I29" s="11" t="n">
        <v>0.5600000000000001</v>
      </c>
      <c r="J29" s="11" t="n">
        <v>0.68</v>
      </c>
      <c r="K29" s="11" t="n">
        <v>0.58</v>
      </c>
      <c r="L29" s="11" t="n">
        <v>0.8100000000000001</v>
      </c>
      <c r="M29" s="11" t="n">
        <v>0.58</v>
      </c>
      <c r="N29" s="11" t="n">
        <v>0.79</v>
      </c>
      <c r="O29" s="11" t="n">
        <v>1.09</v>
      </c>
      <c r="P29" s="11" t="n">
        <v>0.76</v>
      </c>
      <c r="Q29" s="11" t="n">
        <v>1.67</v>
      </c>
      <c r="R29" s="11" t="n">
        <v>0.93</v>
      </c>
      <c r="S29" s="11" t="n">
        <v>1.11</v>
      </c>
      <c r="T29" s="11" t="n">
        <v>0.76</v>
      </c>
      <c r="U29" s="11" t="n">
        <v>1.01</v>
      </c>
      <c r="V29" s="11" t="n">
        <v>1.05</v>
      </c>
      <c r="W29" s="11" t="n">
        <v>2.55</v>
      </c>
      <c r="X29" s="11" t="n">
        <v>1.23</v>
      </c>
      <c r="Y29" s="11" t="n">
        <v>1.09</v>
      </c>
      <c r="Z29" s="11" t="n">
        <v>5.19</v>
      </c>
      <c r="AA29" s="11" t="n">
        <v>2.5</v>
      </c>
      <c r="AB29" s="11" t="n">
        <v>2.65</v>
      </c>
      <c r="AC29" s="11" t="n">
        <v>4.31</v>
      </c>
      <c r="AD29" s="11" t="n">
        <v>3.81</v>
      </c>
    </row>
    <row r="30">
      <c r="A30" s="5" t="inlineStr">
        <is>
          <t>영업외수익 합계</t>
        </is>
      </c>
      <c r="C30" s="6" t="n">
        <v>2.41</v>
      </c>
      <c r="D30" s="6" t="n">
        <v>1.71</v>
      </c>
      <c r="E30" s="6" t="n">
        <v>1.91</v>
      </c>
      <c r="F30" s="6" t="n">
        <v>1.63</v>
      </c>
      <c r="G30" s="6" t="n">
        <v>1.72</v>
      </c>
      <c r="H30" s="6" t="n">
        <v>1.32</v>
      </c>
      <c r="I30" s="6" t="n">
        <v>2.09</v>
      </c>
      <c r="J30" s="6" t="n">
        <v>1.66</v>
      </c>
      <c r="K30" s="6" t="n">
        <v>1.49</v>
      </c>
      <c r="L30" s="6" t="n">
        <v>1.68</v>
      </c>
      <c r="M30" s="6" t="n">
        <v>1.56</v>
      </c>
      <c r="N30" s="6" t="n">
        <v>1.78</v>
      </c>
      <c r="O30" s="6" t="n">
        <v>2.02</v>
      </c>
      <c r="P30" s="6" t="n">
        <v>1.74</v>
      </c>
      <c r="Q30" s="6" t="n">
        <v>2.71</v>
      </c>
      <c r="R30" s="6" t="n">
        <v>1.89</v>
      </c>
      <c r="S30" s="6" t="n">
        <v>2.05</v>
      </c>
      <c r="T30" s="6" t="n">
        <v>1.68</v>
      </c>
      <c r="U30" s="6" t="n">
        <v>1.98</v>
      </c>
      <c r="V30" s="6" t="n">
        <v>2.05</v>
      </c>
      <c r="W30" s="6" t="n">
        <v>10.56</v>
      </c>
      <c r="X30" s="6" t="n">
        <v>9.69</v>
      </c>
      <c r="Y30" s="6" t="n">
        <v>10.48</v>
      </c>
      <c r="Z30" s="6" t="n">
        <v>8.68</v>
      </c>
      <c r="AA30" s="6" t="n">
        <v>6.76</v>
      </c>
      <c r="AB30" s="6" t="n">
        <v>6.39</v>
      </c>
      <c r="AC30" s="6" t="n">
        <v>8.25</v>
      </c>
      <c r="AD30" s="6" t="n">
        <v>7.6</v>
      </c>
    </row>
    <row r="31">
      <c r="A31" s="10" t="inlineStr">
        <is>
          <t>이자비용</t>
        </is>
      </c>
      <c r="C31" s="11" t="n">
        <v>0.35</v>
      </c>
      <c r="D31" s="11" t="n">
        <v>0.36</v>
      </c>
      <c r="E31" s="11" t="n">
        <v>0.38</v>
      </c>
      <c r="F31" s="11" t="n">
        <v>0.37</v>
      </c>
      <c r="G31" s="11" t="n">
        <v>0.37</v>
      </c>
      <c r="H31" s="11" t="n">
        <v>0.39</v>
      </c>
      <c r="I31" s="11" t="n">
        <v>0.58</v>
      </c>
      <c r="J31" s="11" t="n">
        <v>0.43</v>
      </c>
      <c r="K31" s="11" t="n">
        <v>0.45</v>
      </c>
      <c r="L31" s="11" t="n">
        <v>0.47</v>
      </c>
      <c r="M31" s="11" t="n">
        <v>0.59</v>
      </c>
      <c r="N31" s="11" t="n">
        <v>0.55</v>
      </c>
      <c r="O31" s="11" t="n">
        <v>0.57</v>
      </c>
      <c r="P31" s="11" t="n">
        <v>0.62</v>
      </c>
      <c r="Q31" s="11" t="n">
        <v>0.8</v>
      </c>
      <c r="R31" s="11" t="n">
        <v>0.67</v>
      </c>
      <c r="S31" s="11" t="n">
        <v>0.8100000000000001</v>
      </c>
      <c r="T31" s="11" t="n">
        <v>0.95</v>
      </c>
      <c r="U31" s="11" t="n">
        <v>0.93</v>
      </c>
      <c r="V31" s="11" t="n">
        <v>0.96</v>
      </c>
      <c r="W31" s="11" t="n">
        <v>1.56</v>
      </c>
      <c r="X31" s="11" t="n">
        <v>1.59</v>
      </c>
      <c r="Y31" s="11" t="n">
        <v>1.57</v>
      </c>
      <c r="Z31" s="11" t="n">
        <v>1.45</v>
      </c>
      <c r="AA31" s="11" t="n">
        <v>1.71</v>
      </c>
      <c r="AB31" s="11" t="n">
        <v>1.94</v>
      </c>
      <c r="AC31" s="11" t="n">
        <v>2.54</v>
      </c>
      <c r="AD31" s="11" t="n">
        <v>3.36</v>
      </c>
    </row>
    <row r="32">
      <c r="A32" s="10" t="inlineStr">
        <is>
          <t>지분법손실</t>
        </is>
      </c>
      <c r="C32" s="11" t="n">
        <v>0</v>
      </c>
      <c r="D32" s="11" t="n">
        <v>0.01</v>
      </c>
      <c r="E32" s="11" t="n">
        <v>0.02</v>
      </c>
      <c r="F32" s="11" t="n">
        <v>0.01</v>
      </c>
      <c r="G32" s="11" t="n">
        <v>0.03</v>
      </c>
      <c r="H32" s="11" t="n">
        <v>0.02</v>
      </c>
      <c r="I32" s="11" t="n">
        <v>-0.06</v>
      </c>
      <c r="J32" s="11" t="n">
        <v>0.02</v>
      </c>
      <c r="K32" s="11" t="n">
        <v>0.04</v>
      </c>
      <c r="L32" s="11" t="n">
        <v>0.03</v>
      </c>
      <c r="M32" s="11" t="n">
        <v>0.07000000000000001</v>
      </c>
      <c r="N32" s="11" t="n">
        <v>0.03</v>
      </c>
      <c r="O32" s="11" t="n">
        <v>0.01</v>
      </c>
      <c r="P32" s="11" t="n">
        <v>0.02</v>
      </c>
      <c r="Q32" s="11" t="n">
        <v>0.04</v>
      </c>
      <c r="R32" s="11" t="n">
        <v>0.02</v>
      </c>
      <c r="S32" s="11" t="n">
        <v>0.04</v>
      </c>
      <c r="T32" s="11" t="n">
        <v>0.03</v>
      </c>
      <c r="U32" s="11" t="n">
        <v>0.05</v>
      </c>
      <c r="V32" s="11" t="n">
        <v>0.02</v>
      </c>
      <c r="W32" s="11" t="n">
        <v>0.08</v>
      </c>
      <c r="X32" s="11" t="n">
        <v>0</v>
      </c>
      <c r="Y32" s="11" t="n">
        <v>0.09</v>
      </c>
      <c r="Z32" s="11" t="n">
        <v>0.03</v>
      </c>
      <c r="AA32" s="11" t="n">
        <v>0</v>
      </c>
      <c r="AB32" s="11" t="n">
        <v>0.16</v>
      </c>
      <c r="AC32" s="11" t="n">
        <v>0.1</v>
      </c>
      <c r="AD32" s="11" t="n">
        <v>0.14</v>
      </c>
    </row>
    <row r="33">
      <c r="A33" s="10" t="inlineStr">
        <is>
          <t>설비 임대원가</t>
        </is>
      </c>
      <c r="C33" s="11" t="n">
        <v>0.26</v>
      </c>
      <c r="D33" s="11" t="n">
        <v>0.01</v>
      </c>
      <c r="Y33" s="11" t="n">
        <v>3.05</v>
      </c>
    </row>
    <row r="34">
      <c r="A34" s="10" t="inlineStr">
        <is>
          <t>설비 임대원가</t>
        </is>
      </c>
      <c r="W34" s="11" t="n">
        <v>2.78</v>
      </c>
      <c r="X34" s="11" t="n">
        <v>3.07</v>
      </c>
      <c r="Z34" s="11" t="n">
        <v>1.03</v>
      </c>
    </row>
    <row r="35">
      <c r="A35" s="10" t="inlineStr">
        <is>
          <t>사채발행비 상각</t>
        </is>
      </c>
      <c r="J35" s="11" t="n">
        <v>0</v>
      </c>
      <c r="N35" s="11" t="n">
        <v>0.27</v>
      </c>
      <c r="R35" s="11" t="n">
        <v>0</v>
      </c>
      <c r="AB35" s="11" t="n">
        <v>0</v>
      </c>
      <c r="AC35" s="11" t="n">
        <v>0.46</v>
      </c>
      <c r="AD35" s="11" t="n">
        <v>0</v>
      </c>
    </row>
    <row r="36">
      <c r="A36" s="10" t="inlineStr">
        <is>
          <t>기타</t>
        </is>
      </c>
      <c r="C36" s="11" t="n">
        <v>0.32</v>
      </c>
      <c r="D36" s="11" t="n">
        <v>0.04</v>
      </c>
      <c r="E36" s="11" t="n">
        <v>0.5600000000000001</v>
      </c>
      <c r="F36" s="11" t="n">
        <v>0.11</v>
      </c>
      <c r="G36" s="11" t="n">
        <v>0.04</v>
      </c>
      <c r="H36" s="11" t="n">
        <v>0.11</v>
      </c>
      <c r="I36" s="11" t="n">
        <v>0.16</v>
      </c>
      <c r="J36" s="11" t="n">
        <v>0.05</v>
      </c>
      <c r="K36" s="11" t="n">
        <v>0.07000000000000001</v>
      </c>
      <c r="L36" s="11" t="n">
        <v>0.08</v>
      </c>
      <c r="M36" s="11" t="n">
        <v>0.11</v>
      </c>
      <c r="N36" s="11" t="n">
        <v>0.1</v>
      </c>
      <c r="O36" s="11" t="n">
        <v>0.38</v>
      </c>
      <c r="P36" s="11" t="n">
        <v>0.28</v>
      </c>
      <c r="Q36" s="11" t="n">
        <v>-0.18</v>
      </c>
      <c r="R36" s="11" t="n">
        <v>0.15</v>
      </c>
      <c r="S36" s="11" t="n">
        <v>0.35</v>
      </c>
      <c r="T36" s="11" t="n">
        <v>0.33</v>
      </c>
      <c r="U36" s="11" t="n">
        <v>0.1</v>
      </c>
      <c r="V36" s="11" t="n">
        <v>0.18</v>
      </c>
      <c r="W36" s="11" t="n">
        <v>0.43</v>
      </c>
      <c r="X36" s="11" t="n">
        <v>0.32</v>
      </c>
      <c r="Y36" s="11" t="n">
        <v>0.62</v>
      </c>
      <c r="Z36" s="11" t="n">
        <v>1.78</v>
      </c>
      <c r="AA36" s="11" t="n">
        <v>0.42</v>
      </c>
      <c r="AB36" s="11" t="n">
        <v>0.31</v>
      </c>
      <c r="AC36" s="11" t="n">
        <v>0.58</v>
      </c>
      <c r="AD36" s="11" t="n">
        <v>0.93</v>
      </c>
    </row>
    <row r="37">
      <c r="A37" s="10" t="inlineStr">
        <is>
          <t>영업외비용 합계</t>
        </is>
      </c>
      <c r="C37" s="11" t="n">
        <v>0.67</v>
      </c>
      <c r="D37" s="11" t="n">
        <v>0.42</v>
      </c>
      <c r="E37" s="11" t="n">
        <v>0.96</v>
      </c>
      <c r="F37" s="11" t="n">
        <v>0.51</v>
      </c>
      <c r="G37" s="11" t="n">
        <v>0.43</v>
      </c>
      <c r="H37" s="11" t="n">
        <v>0.51</v>
      </c>
      <c r="I37" s="11" t="n">
        <v>0.6899999999999999</v>
      </c>
      <c r="J37" s="11" t="n">
        <v>0.51</v>
      </c>
      <c r="K37" s="11" t="n">
        <v>0.55</v>
      </c>
      <c r="L37" s="11" t="n">
        <v>0.59</v>
      </c>
      <c r="M37" s="11" t="n">
        <v>0.77</v>
      </c>
      <c r="N37" s="11" t="n">
        <v>0.96</v>
      </c>
      <c r="O37" s="11" t="n">
        <v>0.6899999999999999</v>
      </c>
      <c r="P37" s="11" t="n">
        <v>0.92</v>
      </c>
      <c r="Q37" s="11" t="n">
        <v>1.13</v>
      </c>
      <c r="R37" s="11" t="n">
        <v>0.85</v>
      </c>
      <c r="S37" s="11" t="n">
        <v>1.2</v>
      </c>
      <c r="T37" s="11" t="n">
        <v>1.3</v>
      </c>
      <c r="U37" s="11" t="n">
        <v>1.1</v>
      </c>
      <c r="V37" s="11" t="n">
        <v>1.17</v>
      </c>
      <c r="W37" s="11" t="n">
        <v>4.86</v>
      </c>
      <c r="X37" s="11" t="n">
        <v>5</v>
      </c>
      <c r="Y37" s="11" t="n">
        <v>5.34</v>
      </c>
      <c r="Z37" s="11" t="n">
        <v>3.27</v>
      </c>
      <c r="AA37" s="11" t="n">
        <v>2.14</v>
      </c>
      <c r="AB37" s="11" t="n">
        <v>2.42</v>
      </c>
      <c r="AC37" s="11" t="n">
        <v>3.7</v>
      </c>
      <c r="AD37" s="11" t="n">
        <v>4.45</v>
      </c>
    </row>
    <row r="38">
      <c r="A38" s="5" t="inlineStr">
        <is>
          <t>경상이익</t>
        </is>
      </c>
      <c r="C38" s="6" t="n">
        <v>3.74</v>
      </c>
      <c r="D38" s="6" t="n">
        <v>13.79</v>
      </c>
      <c r="E38" s="6" t="n">
        <v>2.66</v>
      </c>
      <c r="F38" s="6" t="n">
        <v>6.63</v>
      </c>
      <c r="G38" s="6" t="n">
        <v>5.61</v>
      </c>
      <c r="H38" s="6" t="n">
        <v>15.08</v>
      </c>
      <c r="I38" s="6" t="n">
        <v>3.08</v>
      </c>
      <c r="J38" s="6" t="n">
        <v>5.24</v>
      </c>
      <c r="K38" s="6" t="n">
        <v>7.44</v>
      </c>
      <c r="L38" s="6" t="n">
        <v>18.06</v>
      </c>
      <c r="M38" s="6" t="n">
        <v>3.74</v>
      </c>
      <c r="N38" s="6" t="n">
        <v>11.94</v>
      </c>
      <c r="O38" s="6" t="n">
        <v>5.19</v>
      </c>
      <c r="P38" s="6" t="n">
        <v>17.32</v>
      </c>
      <c r="Q38" s="6" t="n">
        <v>4.58</v>
      </c>
      <c r="R38" s="6" t="n">
        <v>5.86</v>
      </c>
      <c r="S38" s="6" t="n">
        <v>8.68</v>
      </c>
      <c r="T38" s="6" t="n">
        <v>24.13</v>
      </c>
      <c r="U38" s="6" t="n">
        <v>8.529999999999999</v>
      </c>
      <c r="V38" s="6" t="n">
        <v>9.59</v>
      </c>
      <c r="W38" s="6" t="n">
        <v>21.2</v>
      </c>
      <c r="X38" s="6" t="n">
        <v>18.98</v>
      </c>
      <c r="Y38" s="6" t="n">
        <v>21.35</v>
      </c>
      <c r="Z38" s="6" t="n">
        <v>23.07</v>
      </c>
      <c r="AA38" s="6" t="n">
        <v>30.4</v>
      </c>
      <c r="AB38" s="6" t="n">
        <v>34.48</v>
      </c>
      <c r="AC38" s="6" t="n">
        <v>39.03</v>
      </c>
      <c r="AD38" s="6" t="n">
        <v>47.2</v>
      </c>
    </row>
    <row r="39">
      <c r="A39" s="8" t="inlineStr">
        <is>
          <t>경상이익률</t>
        </is>
      </c>
      <c r="C39" s="9">
        <f>IF(OR(C38="",C4=""),"",IFERROR(C38/C4,""))</f>
        <v/>
      </c>
      <c r="D39" s="9">
        <f>IF(OR(D38="",D4=""),"",IFERROR(D38/D4,""))</f>
        <v/>
      </c>
      <c r="E39" s="9">
        <f>IF(OR(E38="",E4=""),"",IFERROR(E38/E4,""))</f>
        <v/>
      </c>
      <c r="F39" s="9">
        <f>IF(OR(F38="",F4=""),"",IFERROR(F38/F4,""))</f>
        <v/>
      </c>
      <c r="G39" s="9">
        <f>IF(OR(G38="",G4=""),"",IFERROR(G38/G4,""))</f>
        <v/>
      </c>
      <c r="H39" s="9">
        <f>IF(OR(H38="",H4=""),"",IFERROR(H38/H4,""))</f>
        <v/>
      </c>
      <c r="I39" s="9">
        <f>IF(OR(I38="",I4=""),"",IFERROR(I38/I4,""))</f>
        <v/>
      </c>
      <c r="J39" s="9">
        <f>IF(OR(J38="",J4=""),"",IFERROR(J38/J4,""))</f>
        <v/>
      </c>
      <c r="K39" s="9">
        <f>IF(OR(K38="",K4=""),"",IFERROR(K38/K4,""))</f>
        <v/>
      </c>
      <c r="L39" s="9">
        <f>IF(OR(L38="",L4=""),"",IFERROR(L38/L4,""))</f>
        <v/>
      </c>
      <c r="M39" s="9">
        <f>IF(OR(M38="",M4=""),"",IFERROR(M38/M4,""))</f>
        <v/>
      </c>
      <c r="N39" s="9">
        <f>IF(OR(N38="",N4=""),"",IFERROR(N38/N4,""))</f>
        <v/>
      </c>
      <c r="O39" s="9">
        <f>IF(OR(O38="",O4=""),"",IFERROR(O38/O4,""))</f>
        <v/>
      </c>
      <c r="P39" s="9">
        <f>IF(OR(P38="",P4=""),"",IFERROR(P38/P4,""))</f>
        <v/>
      </c>
      <c r="Q39" s="9">
        <f>IF(OR(Q38="",Q4=""),"",IFERROR(Q38/Q4,""))</f>
        <v/>
      </c>
      <c r="R39" s="9">
        <f>IF(OR(R38="",R4=""),"",IFERROR(R38/R4,""))</f>
        <v/>
      </c>
      <c r="S39" s="9">
        <f>IF(OR(S38="",S4=""),"",IFERROR(S38/S4,""))</f>
        <v/>
      </c>
      <c r="T39" s="9">
        <f>IF(OR(T38="",T4=""),"",IFERROR(T38/T4,""))</f>
        <v/>
      </c>
      <c r="U39" s="9">
        <f>IF(OR(U38="",U4=""),"",IFERROR(U38/U4,""))</f>
        <v/>
      </c>
      <c r="V39" s="9">
        <f>IF(OR(V38="",V4=""),"",IFERROR(V38/V4,""))</f>
        <v/>
      </c>
      <c r="W39" s="9">
        <f>IF(OR(W38="",W4=""),"",IFERROR(W38/W4,""))</f>
        <v/>
      </c>
      <c r="X39" s="9">
        <f>IF(OR(X38="",X4=""),"",IFERROR(X38/X4,""))</f>
        <v/>
      </c>
      <c r="Y39" s="9">
        <f>IF(OR(Y38="",Y4=""),"",IFERROR(Y38/Y4,""))</f>
        <v/>
      </c>
      <c r="Z39" s="9">
        <f>IF(OR(Z38="",Z4=""),"",IFERROR(Z38/Z4,""))</f>
        <v/>
      </c>
      <c r="AA39" s="9">
        <f>IF(OR(AA38="",AA4=""),"",IFERROR(AA38/AA4,""))</f>
        <v/>
      </c>
      <c r="AB39" s="9">
        <f>IF(OR(AB38="",AB4=""),"",IFERROR(AB38/AB4,""))</f>
        <v/>
      </c>
      <c r="AC39" s="9">
        <f>IF(OR(AC38="",AC4=""),"",IFERROR(AC38/AC4,""))</f>
        <v/>
      </c>
      <c r="AD39" s="9">
        <f>IF(OR(AD38="",AD4=""),"",IFERROR(AD38/AD4,""))</f>
        <v/>
      </c>
    </row>
    <row r="40">
      <c r="A40" s="10" t="inlineStr">
        <is>
          <t>고정자산 매각이익</t>
        </is>
      </c>
      <c r="D40" s="11" t="n">
        <v>0</v>
      </c>
      <c r="E40" s="11" t="n">
        <v>0</v>
      </c>
      <c r="F40" s="11" t="n">
        <v>0</v>
      </c>
      <c r="G40" s="11" t="n">
        <v>0.02</v>
      </c>
      <c r="H40" s="11" t="n">
        <v>0.01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0.01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0.03</v>
      </c>
      <c r="T40" s="11" t="n">
        <v>0.01</v>
      </c>
      <c r="U40" s="11" t="n">
        <v>0</v>
      </c>
      <c r="V40" s="11" t="n">
        <v>0</v>
      </c>
      <c r="W40" s="11" t="n">
        <v>0.73</v>
      </c>
      <c r="X40" s="11" t="n">
        <v>0</v>
      </c>
      <c r="Z40" s="11" t="n">
        <v>0</v>
      </c>
      <c r="AA40" s="11" t="n">
        <v>0.03</v>
      </c>
      <c r="AB40" s="11" t="n">
        <v>0.01</v>
      </c>
      <c r="AC40" s="11" t="n">
        <v>0</v>
      </c>
      <c r="AD40" s="11" t="n">
        <v>0.04</v>
      </c>
    </row>
    <row r="41">
      <c r="A41" s="10" t="inlineStr">
        <is>
          <t>점포 양도이익</t>
        </is>
      </c>
      <c r="W41" s="11" t="n">
        <v>0.26</v>
      </c>
      <c r="X41" s="11" t="n">
        <v>0</v>
      </c>
    </row>
    <row r="42">
      <c r="A42" s="10" t="inlineStr">
        <is>
          <t>투자유가증권 매각이익</t>
        </is>
      </c>
      <c r="P42" s="11" t="n">
        <v>0</v>
      </c>
      <c r="Q42" s="11" t="n">
        <v>0</v>
      </c>
      <c r="T42" s="11" t="n">
        <v>0</v>
      </c>
      <c r="U42" s="11" t="n">
        <v>0</v>
      </c>
      <c r="AA42" s="11" t="n">
        <v>0</v>
      </c>
      <c r="AB42" s="11" t="n">
        <v>0.17</v>
      </c>
      <c r="AC42" s="11" t="n">
        <v>0</v>
      </c>
      <c r="AD42" s="11" t="n">
        <v>0.67</v>
      </c>
    </row>
    <row r="43">
      <c r="A43" s="10" t="inlineStr">
        <is>
          <t>이전 보상금</t>
        </is>
      </c>
      <c r="D43" s="11" t="n">
        <v>0</v>
      </c>
      <c r="E43" s="11" t="n">
        <v>0</v>
      </c>
      <c r="H43" s="11" t="n">
        <v>0</v>
      </c>
      <c r="I43" s="11" t="n">
        <v>0</v>
      </c>
      <c r="M43" s="11" t="n">
        <v>0</v>
      </c>
      <c r="Q43" s="11" t="n">
        <v>0</v>
      </c>
      <c r="W43" s="11" t="n">
        <v>0.6</v>
      </c>
      <c r="X43" s="11" t="n">
        <v>0.06</v>
      </c>
      <c r="Z43" s="11" t="n">
        <v>0.58</v>
      </c>
      <c r="AA43" s="11" t="n">
        <v>0</v>
      </c>
      <c r="AB43" s="11" t="n">
        <v>0.93</v>
      </c>
      <c r="AC43" s="11" t="n">
        <v>0</v>
      </c>
      <c r="AD43" s="11" t="n">
        <v>0.9</v>
      </c>
    </row>
    <row r="44">
      <c r="A44" s="10" t="inlineStr">
        <is>
          <t>관계회사 청산이익</t>
        </is>
      </c>
      <c r="W44" s="11" t="n">
        <v>0</v>
      </c>
      <c r="X44" s="11" t="n">
        <v>0.11</v>
      </c>
    </row>
    <row r="45">
      <c r="A45" s="10" t="inlineStr">
        <is>
          <t>채무면제이익</t>
        </is>
      </c>
      <c r="C45" s="11" t="n">
        <v>0</v>
      </c>
      <c r="D45" s="11" t="n">
        <v>0.01</v>
      </c>
      <c r="E45" s="11" t="n">
        <v>0.7</v>
      </c>
      <c r="F45" s="11" t="n">
        <v>0</v>
      </c>
      <c r="G45" s="11" t="n">
        <v>0</v>
      </c>
      <c r="H45" s="11" t="n">
        <v>0</v>
      </c>
      <c r="I45" s="11" t="n">
        <v>0</v>
      </c>
      <c r="Z45" s="11" t="n">
        <v>1.39</v>
      </c>
      <c r="AA45" s="11" t="n">
        <v>0</v>
      </c>
    </row>
    <row r="46">
      <c r="A46" s="10" t="inlineStr">
        <is>
          <t>특별이익 합계</t>
        </is>
      </c>
      <c r="C46" s="11" t="n">
        <v>0.58</v>
      </c>
      <c r="D46" s="11" t="n">
        <v>0.01</v>
      </c>
      <c r="E46" s="11" t="n">
        <v>0.7</v>
      </c>
      <c r="F46" s="11" t="n">
        <v>0</v>
      </c>
      <c r="G46" s="11" t="n">
        <v>0.02</v>
      </c>
      <c r="H46" s="11" t="n">
        <v>0.01</v>
      </c>
      <c r="I46" s="11" t="n">
        <v>0</v>
      </c>
      <c r="J46" s="11" t="n">
        <v>0</v>
      </c>
      <c r="K46" s="11" t="n">
        <v>0</v>
      </c>
      <c r="L46" s="11" t="n">
        <v>0.9399999999999999</v>
      </c>
      <c r="M46" s="11" t="n">
        <v>0.19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0.7</v>
      </c>
      <c r="T46" s="11" t="n">
        <v>0.01</v>
      </c>
      <c r="U46" s="11" t="n">
        <v>0.9</v>
      </c>
      <c r="V46" s="11" t="n">
        <v>0</v>
      </c>
      <c r="W46" s="11" t="n">
        <v>1.6</v>
      </c>
      <c r="X46" s="11" t="n">
        <v>0.18</v>
      </c>
      <c r="Z46" s="11" t="n">
        <v>1.97</v>
      </c>
      <c r="AA46" s="11" t="n">
        <v>0.03</v>
      </c>
      <c r="AB46" s="11" t="n">
        <v>1.13</v>
      </c>
      <c r="AC46" s="11" t="n">
        <v>0</v>
      </c>
      <c r="AD46" s="11" t="n">
        <v>1.61</v>
      </c>
    </row>
    <row r="47">
      <c r="A47" s="10" t="inlineStr">
        <is>
          <t>투자유가증권 매각손실</t>
        </is>
      </c>
      <c r="C47" s="11" t="n">
        <v>0</v>
      </c>
      <c r="D47" s="11" t="n">
        <v>0</v>
      </c>
      <c r="E47" s="11" t="n">
        <v>0.02</v>
      </c>
      <c r="F47" s="11" t="n">
        <v>0.02</v>
      </c>
      <c r="G47" s="11" t="n">
        <v>0</v>
      </c>
      <c r="H47" s="11" t="n">
        <v>0</v>
      </c>
      <c r="J47" s="11" t="n">
        <v>0</v>
      </c>
      <c r="K47" s="11" t="n">
        <v>0</v>
      </c>
      <c r="L47" s="11" t="n">
        <v>0</v>
      </c>
      <c r="Z47" s="11" t="n">
        <v>0.02</v>
      </c>
    </row>
    <row r="48">
      <c r="A48" s="10" t="inlineStr">
        <is>
          <t>투자유가증권 평가손실</t>
        </is>
      </c>
      <c r="W48" s="11" t="n">
        <v>0</v>
      </c>
      <c r="X48" s="11" t="n">
        <v>0.02</v>
      </c>
      <c r="Y48" s="11" t="n">
        <v>0.01</v>
      </c>
      <c r="Z48" s="11" t="n">
        <v>0</v>
      </c>
    </row>
    <row r="49">
      <c r="A49" s="10" t="inlineStr">
        <is>
          <t>관계회사 출자금 매각손실</t>
        </is>
      </c>
      <c r="AC49" s="11" t="n">
        <v>0</v>
      </c>
      <c r="AD49" s="11" t="n">
        <v>0.52</v>
      </c>
    </row>
    <row r="50">
      <c r="A50" s="10" t="inlineStr">
        <is>
          <t>점포 폐쇄손실</t>
        </is>
      </c>
      <c r="W50" s="11" t="n">
        <v>0.49</v>
      </c>
      <c r="X50" s="11" t="n">
        <v>0.74</v>
      </c>
      <c r="Z50" s="11" t="n">
        <v>0.04</v>
      </c>
      <c r="AA50" s="11" t="n">
        <v>0.53</v>
      </c>
      <c r="AB50" s="11" t="n">
        <v>0.42</v>
      </c>
      <c r="AC50" s="11" t="n">
        <v>0.5</v>
      </c>
      <c r="AD50" s="11" t="n">
        <v>0.6899999999999999</v>
      </c>
    </row>
    <row r="51">
      <c r="A51" s="10" t="inlineStr">
        <is>
          <t>점포 폐쇄손실 충당금 전입</t>
        </is>
      </c>
      <c r="W51" s="11" t="n">
        <v>0.4</v>
      </c>
      <c r="X51" s="11" t="n">
        <v>0.02</v>
      </c>
      <c r="Z51" s="11" t="n">
        <v>0.18</v>
      </c>
      <c r="AA51" s="11" t="n">
        <v>0.11</v>
      </c>
      <c r="AB51" s="11" t="n">
        <v>0.2</v>
      </c>
      <c r="AC51" s="11" t="n">
        <v>0.2</v>
      </c>
      <c r="AD51" s="11" t="n">
        <v>0.63</v>
      </c>
    </row>
    <row r="52">
      <c r="A52" s="10" t="inlineStr">
        <is>
          <t>특별조사 비용 충당금 전입</t>
        </is>
      </c>
      <c r="AA52" s="11" t="n">
        <v>0</v>
      </c>
      <c r="AB52" s="11" t="n">
        <v>5.5</v>
      </c>
      <c r="AC52" s="11" t="n">
        <v>0</v>
      </c>
    </row>
    <row r="53">
      <c r="A53" s="10" t="inlineStr">
        <is>
          <t>관계회사 출자금 매각손실</t>
        </is>
      </c>
      <c r="N53" s="11" t="n">
        <v>0</v>
      </c>
      <c r="R53" s="11" t="n">
        <v>0.52</v>
      </c>
      <c r="V53" s="11" t="n">
        <v>0</v>
      </c>
    </row>
    <row r="54">
      <c r="A54" s="10" t="inlineStr">
        <is>
          <t>점포 폐쇄손실</t>
        </is>
      </c>
      <c r="C54" s="11" t="n">
        <v>0</v>
      </c>
      <c r="D54" s="11" t="n">
        <v>0</v>
      </c>
      <c r="F54" s="11" t="n">
        <v>0</v>
      </c>
      <c r="G54" s="11" t="n">
        <v>0.34</v>
      </c>
      <c r="H54" s="11" t="n">
        <v>0.13</v>
      </c>
      <c r="J54" s="11" t="n">
        <v>0</v>
      </c>
      <c r="K54" s="11" t="n">
        <v>0.14</v>
      </c>
      <c r="L54" s="11" t="n">
        <v>0.07000000000000001</v>
      </c>
      <c r="N54" s="11" t="n">
        <v>0</v>
      </c>
      <c r="R54" s="11" t="n">
        <v>0</v>
      </c>
      <c r="V54" s="11" t="n">
        <v>0.01</v>
      </c>
      <c r="Y54" s="11" t="n">
        <v>0.07000000000000001</v>
      </c>
    </row>
    <row r="55">
      <c r="A55" s="10" t="inlineStr">
        <is>
          <t>점포 폐쇄손실 충당금 전입</t>
        </is>
      </c>
      <c r="C55" s="11" t="n">
        <v>0</v>
      </c>
      <c r="D55" s="11" t="n">
        <v>0</v>
      </c>
      <c r="F55" s="11" t="n">
        <v>0.5600000000000001</v>
      </c>
      <c r="G55" s="11" t="n">
        <v>-0.43</v>
      </c>
      <c r="H55" s="11" t="n">
        <v>-0.04</v>
      </c>
      <c r="J55" s="11" t="n">
        <v>0.06</v>
      </c>
      <c r="K55" s="11" t="n">
        <v>-0.06</v>
      </c>
      <c r="L55" s="11" t="n">
        <v>0.24</v>
      </c>
      <c r="N55" s="11" t="n">
        <v>0.12</v>
      </c>
      <c r="R55" s="11" t="n">
        <v>0.23</v>
      </c>
      <c r="V55" s="11" t="n">
        <v>0.14</v>
      </c>
      <c r="Y55" s="11" t="n">
        <v>0.04</v>
      </c>
    </row>
    <row r="56">
      <c r="A56" s="10" t="inlineStr">
        <is>
          <t>고정자산 제각손실</t>
        </is>
      </c>
      <c r="C56" s="11" t="n">
        <v>0.15</v>
      </c>
      <c r="D56" s="11" t="n">
        <v>0.04</v>
      </c>
      <c r="E56" s="11" t="n">
        <v>0.54</v>
      </c>
      <c r="F56" s="11" t="n">
        <v>0.05</v>
      </c>
      <c r="G56" s="11" t="n">
        <v>0.19</v>
      </c>
      <c r="H56" s="11" t="n">
        <v>0.04</v>
      </c>
      <c r="I56" s="11" t="n">
        <v>0.71</v>
      </c>
      <c r="J56" s="11" t="n">
        <v>0.05</v>
      </c>
      <c r="K56" s="11" t="n">
        <v>0.13</v>
      </c>
      <c r="L56" s="11" t="n">
        <v>0.07000000000000001</v>
      </c>
      <c r="M56" s="11" t="n">
        <v>0.48</v>
      </c>
      <c r="N56" s="11" t="n">
        <v>0.06</v>
      </c>
      <c r="O56" s="11" t="n">
        <v>0.06</v>
      </c>
      <c r="P56" s="11" t="n">
        <v>0.09</v>
      </c>
      <c r="Q56" s="11" t="n">
        <v>0.25</v>
      </c>
      <c r="R56" s="11" t="n">
        <v>0.13</v>
      </c>
      <c r="S56" s="11" t="n">
        <v>0.17</v>
      </c>
      <c r="T56" s="11" t="n">
        <v>0.13</v>
      </c>
      <c r="U56" s="11" t="n">
        <v>0.26</v>
      </c>
      <c r="V56" s="11" t="n">
        <v>0.2</v>
      </c>
      <c r="W56" s="11" t="n">
        <v>1.21</v>
      </c>
      <c r="X56" s="11" t="n">
        <v>2.29</v>
      </c>
      <c r="Y56" s="11" t="n">
        <v>0.5600000000000001</v>
      </c>
      <c r="Z56" s="11" t="n">
        <v>0.75</v>
      </c>
      <c r="AA56" s="11" t="n">
        <v>0.99</v>
      </c>
      <c r="AB56" s="11" t="n">
        <v>0.73</v>
      </c>
      <c r="AC56" s="11" t="n">
        <v>0.46</v>
      </c>
      <c r="AD56" s="11" t="n">
        <v>0.6899999999999999</v>
      </c>
    </row>
    <row r="57">
      <c r="A57" s="10" t="inlineStr">
        <is>
          <t>손상차손</t>
        </is>
      </c>
      <c r="C57" s="11" t="n">
        <v>0</v>
      </c>
      <c r="D57" s="11" t="n">
        <v>0</v>
      </c>
      <c r="E57" s="11" t="n">
        <v>0</v>
      </c>
      <c r="F57" s="11" t="n">
        <v>0.26</v>
      </c>
      <c r="G57" s="11" t="n">
        <v>0.47</v>
      </c>
      <c r="H57" s="11" t="n">
        <v>0.22</v>
      </c>
      <c r="I57" s="11" t="n">
        <v>0.09</v>
      </c>
      <c r="J57" s="11" t="n">
        <v>0.12</v>
      </c>
      <c r="K57" s="11" t="n">
        <v>0</v>
      </c>
      <c r="L57" s="11" t="n">
        <v>0.26</v>
      </c>
      <c r="M57" s="11" t="n">
        <v>0.55</v>
      </c>
      <c r="N57" s="11" t="n">
        <v>0.03</v>
      </c>
      <c r="O57" s="11" t="n">
        <v>0.2</v>
      </c>
      <c r="P57" s="11" t="n">
        <v>0.01</v>
      </c>
      <c r="Q57" s="11" t="n">
        <v>2.28</v>
      </c>
      <c r="R57" s="11" t="n">
        <v>0.09</v>
      </c>
      <c r="S57" s="11" t="n">
        <v>0.28</v>
      </c>
      <c r="T57" s="11" t="n">
        <v>0.15</v>
      </c>
      <c r="U57" s="11" t="n">
        <v>1.79</v>
      </c>
      <c r="V57" s="11" t="n">
        <v>0.23</v>
      </c>
      <c r="W57" s="11" t="n">
        <v>2.74</v>
      </c>
      <c r="X57" s="11" t="n">
        <v>5.92</v>
      </c>
      <c r="Y57" s="11" t="n">
        <v>6.74</v>
      </c>
      <c r="Z57" s="11" t="n">
        <v>0</v>
      </c>
      <c r="AA57" s="11" t="n">
        <v>1.04</v>
      </c>
      <c r="AB57" s="11" t="n">
        <v>0.93</v>
      </c>
      <c r="AC57" s="11" t="n">
        <v>2.52</v>
      </c>
      <c r="AD57" s="11" t="n">
        <v>2.31</v>
      </c>
    </row>
    <row r="58">
      <c r="A58" s="10" t="inlineStr">
        <is>
          <t>관계회사 청산손실</t>
        </is>
      </c>
      <c r="W58" s="11" t="n">
        <v>0</v>
      </c>
      <c r="X58" s="11" t="n">
        <v>0.71</v>
      </c>
    </row>
    <row r="59">
      <c r="A59" s="10" t="inlineStr">
        <is>
          <t>코로나19 관련 손실</t>
        </is>
      </c>
      <c r="C59" s="11" t="n">
        <v>0.39</v>
      </c>
      <c r="D59" s="11" t="n">
        <v>0.01</v>
      </c>
      <c r="F59" s="11" t="n">
        <v>0</v>
      </c>
      <c r="G59" s="11" t="n">
        <v>0</v>
      </c>
      <c r="H59" s="11" t="n">
        <v>0</v>
      </c>
      <c r="Y59" s="11" t="n">
        <v>7.77</v>
      </c>
    </row>
    <row r="60">
      <c r="A60" s="10" t="inlineStr">
        <is>
          <t>코로나19 관련 손실</t>
        </is>
      </c>
      <c r="X60" s="11" t="n">
        <v>0.14</v>
      </c>
      <c r="Z60" s="11" t="n">
        <v>0.71</v>
      </c>
      <c r="AA60" s="11" t="n">
        <v>0</v>
      </c>
    </row>
    <row r="61">
      <c r="A61" s="10" t="inlineStr">
        <is>
          <t>재해 손실</t>
        </is>
      </c>
      <c r="W61" s="11" t="n">
        <v>0.18</v>
      </c>
      <c r="X61" s="11" t="n">
        <v>0.29</v>
      </c>
      <c r="AB61" s="11" t="n">
        <v>0</v>
      </c>
      <c r="AC61" s="11" t="n">
        <v>0.25</v>
      </c>
      <c r="AD61" s="11" t="n">
        <v>0</v>
      </c>
    </row>
    <row r="62">
      <c r="A62" s="10" t="inlineStr">
        <is>
          <t>기타</t>
        </is>
      </c>
      <c r="D62" s="11" t="n">
        <v>0</v>
      </c>
      <c r="E62" s="11" t="n">
        <v>0.02</v>
      </c>
      <c r="I62" s="11" t="n">
        <v>0.02</v>
      </c>
      <c r="L62" s="11" t="n">
        <v>0.01</v>
      </c>
      <c r="M62" s="11" t="n">
        <v>0</v>
      </c>
      <c r="P62" s="11" t="n">
        <v>0.2</v>
      </c>
      <c r="Q62" s="11" t="n">
        <v>-0.02</v>
      </c>
      <c r="T62" s="11" t="n">
        <v>0</v>
      </c>
      <c r="U62" s="11" t="n">
        <v>0</v>
      </c>
      <c r="Z62" s="11" t="n">
        <v>0.02</v>
      </c>
      <c r="AA62" s="11" t="n">
        <v>0.02</v>
      </c>
      <c r="AB62" s="11" t="n">
        <v>0.01</v>
      </c>
      <c r="AC62" s="11" t="n">
        <v>0.18</v>
      </c>
      <c r="AD62" s="11" t="n">
        <v>0</v>
      </c>
    </row>
    <row r="63">
      <c r="A63" s="10" t="inlineStr">
        <is>
          <t>특별손실 합계</t>
        </is>
      </c>
      <c r="C63" s="11" t="n">
        <v>0.54</v>
      </c>
      <c r="D63" s="11" t="n">
        <v>0.05</v>
      </c>
      <c r="E63" s="11" t="n">
        <v>0.8</v>
      </c>
      <c r="F63" s="11" t="n">
        <v>0.92</v>
      </c>
      <c r="G63" s="11" t="n">
        <v>0.57</v>
      </c>
      <c r="H63" s="11" t="n">
        <v>0.34</v>
      </c>
      <c r="I63" s="11" t="n">
        <v>0.88</v>
      </c>
      <c r="J63" s="11" t="n">
        <v>0.24</v>
      </c>
      <c r="K63" s="11" t="n">
        <v>0.21</v>
      </c>
      <c r="L63" s="11" t="n">
        <v>0.67</v>
      </c>
      <c r="M63" s="11" t="n">
        <v>6.7</v>
      </c>
      <c r="N63" s="11" t="n">
        <v>0.22</v>
      </c>
      <c r="O63" s="11" t="n">
        <v>0.64</v>
      </c>
      <c r="P63" s="11" t="n">
        <v>0.33</v>
      </c>
      <c r="Q63" s="11" t="n">
        <v>2.95</v>
      </c>
      <c r="R63" s="11" t="n">
        <v>0.98</v>
      </c>
      <c r="S63" s="11" t="n">
        <v>0.8</v>
      </c>
      <c r="T63" s="11" t="n">
        <v>0.45</v>
      </c>
      <c r="U63" s="11" t="n">
        <v>2.62</v>
      </c>
      <c r="V63" s="11" t="n">
        <v>0.6</v>
      </c>
      <c r="W63" s="11" t="n">
        <v>5.03</v>
      </c>
      <c r="X63" s="11" t="n">
        <v>10.15</v>
      </c>
      <c r="Y63" s="11" t="n">
        <v>15.23</v>
      </c>
      <c r="Z63" s="11" t="n">
        <v>1.72</v>
      </c>
      <c r="AA63" s="11" t="n">
        <v>2.71</v>
      </c>
      <c r="AB63" s="11" t="n">
        <v>7.82</v>
      </c>
      <c r="AC63" s="11" t="n">
        <v>4.14</v>
      </c>
      <c r="AD63" s="11" t="n">
        <v>4.85</v>
      </c>
    </row>
    <row r="64">
      <c r="A64" s="10" t="inlineStr">
        <is>
          <t>법인세차감전 순이익</t>
        </is>
      </c>
      <c r="C64" s="11" t="n">
        <v>3.78</v>
      </c>
      <c r="D64" s="11" t="n">
        <v>13.75</v>
      </c>
      <c r="E64" s="11" t="n">
        <v>2.56</v>
      </c>
      <c r="F64" s="11" t="n">
        <v>5.7</v>
      </c>
      <c r="G64" s="11" t="n">
        <v>5.08</v>
      </c>
      <c r="H64" s="11" t="n">
        <v>14.74</v>
      </c>
      <c r="I64" s="11" t="n">
        <v>2.19</v>
      </c>
      <c r="J64" s="11" t="n">
        <v>5</v>
      </c>
      <c r="K64" s="11" t="n">
        <v>7.23</v>
      </c>
      <c r="L64" s="11" t="n">
        <v>18.33</v>
      </c>
      <c r="M64" s="11" t="n">
        <v>-2.77</v>
      </c>
      <c r="N64" s="11" t="n">
        <v>11.72</v>
      </c>
      <c r="O64" s="11" t="n">
        <v>4.56</v>
      </c>
      <c r="P64" s="11" t="n">
        <v>16.98</v>
      </c>
      <c r="Q64" s="11" t="n">
        <v>1.64</v>
      </c>
      <c r="R64" s="11" t="n">
        <v>4.88</v>
      </c>
      <c r="S64" s="11" t="n">
        <v>8.59</v>
      </c>
      <c r="T64" s="11" t="n">
        <v>23.67</v>
      </c>
      <c r="U64" s="11" t="n">
        <v>6.82</v>
      </c>
      <c r="V64" s="11" t="n">
        <v>8.99</v>
      </c>
      <c r="W64" s="11" t="n">
        <v>17.77</v>
      </c>
      <c r="X64" s="11" t="n">
        <v>9.01</v>
      </c>
      <c r="Y64" s="11" t="n">
        <v>6.11</v>
      </c>
      <c r="Z64" s="11" t="n">
        <v>23.32</v>
      </c>
      <c r="AA64" s="11" t="n">
        <v>27.71</v>
      </c>
      <c r="AB64" s="11" t="n">
        <v>27.79</v>
      </c>
      <c r="AC64" s="11" t="n">
        <v>34.9</v>
      </c>
      <c r="AD64" s="11" t="n">
        <v>43.96</v>
      </c>
    </row>
    <row r="65">
      <c r="A65" s="10" t="inlineStr">
        <is>
          <t>법인세·주민세·사업세</t>
        </is>
      </c>
      <c r="C65" s="11" t="n">
        <v>1.46</v>
      </c>
      <c r="D65" s="11" t="n">
        <v>3.11</v>
      </c>
      <c r="E65" s="11" t="n">
        <v>2.42</v>
      </c>
      <c r="F65" s="11" t="n">
        <v>1.28</v>
      </c>
      <c r="G65" s="11" t="n">
        <v>1.31</v>
      </c>
      <c r="H65" s="11" t="n">
        <v>1.67</v>
      </c>
      <c r="I65" s="11" t="n">
        <v>3.52</v>
      </c>
      <c r="J65" s="11" t="n">
        <v>0.76</v>
      </c>
      <c r="K65" s="11" t="n">
        <v>3.3</v>
      </c>
      <c r="L65" s="11" t="n">
        <v>5.18</v>
      </c>
      <c r="M65" s="11" t="n">
        <v>2.89</v>
      </c>
      <c r="N65" s="11" t="n">
        <v>1.57</v>
      </c>
      <c r="O65" s="11" t="n">
        <v>2.95</v>
      </c>
      <c r="P65" s="11" t="n">
        <v>4.6</v>
      </c>
      <c r="Q65" s="11" t="n">
        <v>3.7</v>
      </c>
      <c r="R65" s="11" t="n">
        <v>1.51</v>
      </c>
      <c r="S65" s="11" t="n">
        <v>2.46</v>
      </c>
      <c r="T65" s="11" t="n">
        <v>6.81</v>
      </c>
      <c r="U65" s="11" t="n">
        <v>6.16</v>
      </c>
      <c r="V65" s="11" t="n">
        <v>2.23</v>
      </c>
      <c r="W65" s="11" t="n">
        <v>3.73</v>
      </c>
      <c r="X65" s="11" t="n">
        <v>3.69</v>
      </c>
      <c r="Y65" s="11" t="n">
        <v>4.93</v>
      </c>
      <c r="Z65" s="11" t="n">
        <v>7.91</v>
      </c>
      <c r="AA65" s="11" t="n">
        <v>7.78</v>
      </c>
      <c r="AB65" s="11" t="n">
        <v>12.13</v>
      </c>
      <c r="AC65" s="11" t="n">
        <v>12.82</v>
      </c>
      <c r="AD65" s="11" t="n">
        <v>16.94</v>
      </c>
    </row>
    <row r="66">
      <c r="A66" s="10" t="inlineStr">
        <is>
          <t>법인세 조정액</t>
        </is>
      </c>
      <c r="C66" s="11" t="n">
        <v>0.12</v>
      </c>
      <c r="D66" s="11" t="n">
        <v>2</v>
      </c>
      <c r="E66" s="11" t="n">
        <v>-1.53</v>
      </c>
      <c r="F66" s="11" t="n">
        <v>-2.38</v>
      </c>
      <c r="G66" s="11" t="n">
        <v>0.71</v>
      </c>
      <c r="H66" s="11" t="n">
        <v>3.06</v>
      </c>
      <c r="I66" s="11" t="n">
        <v>-10.41</v>
      </c>
      <c r="J66" s="11" t="n">
        <v>0.93</v>
      </c>
      <c r="K66" s="11" t="n">
        <v>-0.43</v>
      </c>
      <c r="L66" s="11" t="n">
        <v>0.72</v>
      </c>
      <c r="M66" s="11" t="n">
        <v>-3.91</v>
      </c>
      <c r="N66" s="11" t="n">
        <v>3.99</v>
      </c>
      <c r="O66" s="11" t="n">
        <v>-1.81</v>
      </c>
      <c r="P66" s="11" t="n">
        <v>1.4</v>
      </c>
      <c r="Q66" s="11" t="n">
        <v>-3.45</v>
      </c>
      <c r="R66" s="11" t="n">
        <v>1.17</v>
      </c>
      <c r="S66" s="11" t="n">
        <v>0.4</v>
      </c>
      <c r="T66" s="11" t="n">
        <v>0.55</v>
      </c>
      <c r="U66" s="11" t="n">
        <v>-3.73</v>
      </c>
      <c r="V66" s="11" t="n">
        <v>1.59</v>
      </c>
      <c r="W66" s="11" t="n">
        <v>-7.91</v>
      </c>
      <c r="X66" s="11" t="n">
        <v>2.48</v>
      </c>
      <c r="Y66" s="11" t="n">
        <v>1.75</v>
      </c>
      <c r="Z66" s="11" t="n">
        <v>0.71</v>
      </c>
      <c r="AA66" s="11" t="n">
        <v>-9.02</v>
      </c>
      <c r="AB66" s="11" t="n">
        <v>-2.69</v>
      </c>
      <c r="AC66" s="11" t="n">
        <v>0.13</v>
      </c>
      <c r="AD66" s="11" t="n">
        <v>-1.61</v>
      </c>
    </row>
    <row r="67">
      <c r="A67" s="10" t="inlineStr">
        <is>
          <t>법인세 등 합계</t>
        </is>
      </c>
      <c r="C67" s="11" t="n">
        <v>1.59</v>
      </c>
      <c r="D67" s="11" t="n">
        <v>5.11</v>
      </c>
      <c r="E67" s="11" t="n">
        <v>0.88</v>
      </c>
      <c r="F67" s="11" t="n">
        <v>-1.09</v>
      </c>
      <c r="G67" s="11" t="n">
        <v>2.01</v>
      </c>
      <c r="H67" s="11" t="n">
        <v>4.74</v>
      </c>
      <c r="I67" s="11" t="n">
        <v>-6.9</v>
      </c>
      <c r="J67" s="11" t="n">
        <v>1.7</v>
      </c>
      <c r="K67" s="11" t="n">
        <v>2.86</v>
      </c>
      <c r="L67" s="11" t="n">
        <v>5.9</v>
      </c>
      <c r="M67" s="11" t="n">
        <v>-1.03</v>
      </c>
      <c r="N67" s="11" t="n">
        <v>5.56</v>
      </c>
      <c r="O67" s="11" t="n">
        <v>1.15</v>
      </c>
      <c r="P67" s="11" t="n">
        <v>6</v>
      </c>
      <c r="Q67" s="11" t="n">
        <v>0.25</v>
      </c>
      <c r="R67" s="11" t="n">
        <v>2.68</v>
      </c>
      <c r="S67" s="11" t="n">
        <v>2.86</v>
      </c>
      <c r="T67" s="11" t="n">
        <v>7.36</v>
      </c>
      <c r="U67" s="11" t="n">
        <v>2.42</v>
      </c>
      <c r="V67" s="11" t="n">
        <v>3.82</v>
      </c>
      <c r="W67" s="11" t="n">
        <v>-4.18</v>
      </c>
      <c r="X67" s="11" t="n">
        <v>6.17</v>
      </c>
      <c r="Y67" s="11" t="n">
        <v>6.69</v>
      </c>
      <c r="Z67" s="11" t="n">
        <v>8.619999999999999</v>
      </c>
      <c r="AA67" s="11" t="n">
        <v>-1.24</v>
      </c>
      <c r="AB67" s="11" t="n">
        <v>9.43</v>
      </c>
      <c r="AC67" s="11" t="n">
        <v>12.96</v>
      </c>
      <c r="AD67" s="11" t="n">
        <v>15.32</v>
      </c>
    </row>
    <row r="68">
      <c r="A68" s="5" t="inlineStr">
        <is>
          <t>순이익</t>
        </is>
      </c>
      <c r="C68" s="6" t="n">
        <v>2.2</v>
      </c>
      <c r="D68" s="6" t="n">
        <v>8.640000000000001</v>
      </c>
      <c r="E68" s="6" t="n">
        <v>1.68</v>
      </c>
      <c r="F68" s="6" t="n">
        <v>6.8</v>
      </c>
      <c r="G68" s="6" t="n">
        <v>3.05</v>
      </c>
      <c r="H68" s="6" t="n">
        <v>10.01</v>
      </c>
      <c r="I68" s="6" t="n">
        <v>9.1</v>
      </c>
      <c r="J68" s="6" t="n">
        <v>3.3</v>
      </c>
      <c r="K68" s="6" t="n">
        <v>4.37</v>
      </c>
      <c r="L68" s="6" t="n">
        <v>12.42</v>
      </c>
      <c r="M68" s="6" t="n">
        <v>-1.74</v>
      </c>
      <c r="N68" s="6" t="n">
        <v>6.15</v>
      </c>
      <c r="O68" s="6" t="n">
        <v>3.41</v>
      </c>
      <c r="P68" s="6" t="n">
        <v>10.99</v>
      </c>
      <c r="Q68" s="6" t="n">
        <v>1.39</v>
      </c>
      <c r="R68" s="6" t="n">
        <v>2.19</v>
      </c>
      <c r="S68" s="6" t="n">
        <v>5.73</v>
      </c>
      <c r="T68" s="6" t="n">
        <v>16.32</v>
      </c>
      <c r="U68" s="6" t="n">
        <v>4.39</v>
      </c>
      <c r="V68" s="6" t="n">
        <v>5.16</v>
      </c>
      <c r="W68" s="6" t="n">
        <v>21.95</v>
      </c>
      <c r="X68" s="6" t="n">
        <v>2.83</v>
      </c>
      <c r="Y68" s="6" t="n">
        <v>-0.57</v>
      </c>
      <c r="Z68" s="6" t="n">
        <v>14.7</v>
      </c>
      <c r="AA68" s="6" t="n">
        <v>28.96</v>
      </c>
      <c r="AB68" s="6" t="n">
        <v>18.35</v>
      </c>
      <c r="AC68" s="6" t="n">
        <v>21.94</v>
      </c>
      <c r="AD68" s="6" t="n">
        <v>28.63</v>
      </c>
    </row>
    <row r="69">
      <c r="A69" s="5" t="inlineStr">
        <is>
          <t>비지배주주 순이익</t>
        </is>
      </c>
      <c r="C69" s="6" t="n">
        <v>-0.06</v>
      </c>
      <c r="D69" s="6" t="n">
        <v>0.29</v>
      </c>
      <c r="E69" s="6" t="n">
        <v>0.09</v>
      </c>
      <c r="F69" s="6" t="n">
        <v>0.29</v>
      </c>
      <c r="G69" s="6" t="n">
        <v>0.34</v>
      </c>
      <c r="H69" s="6" t="n">
        <v>0.35</v>
      </c>
      <c r="I69" s="6" t="n">
        <v>0.28</v>
      </c>
      <c r="J69" s="6" t="n">
        <v>0.21</v>
      </c>
      <c r="K69" s="6" t="n">
        <v>0.41</v>
      </c>
      <c r="L69" s="6" t="n">
        <v>0.34</v>
      </c>
      <c r="M69" s="6" t="n">
        <v>0.34</v>
      </c>
      <c r="N69" s="6" t="n">
        <v>0.37</v>
      </c>
      <c r="O69" s="6" t="n">
        <v>0.07000000000000001</v>
      </c>
      <c r="P69" s="6" t="n">
        <v>0.36</v>
      </c>
      <c r="Q69" s="6" t="n">
        <v>0.13</v>
      </c>
      <c r="R69" s="6" t="n">
        <v>0.25</v>
      </c>
      <c r="S69" s="6" t="n">
        <v>0.26</v>
      </c>
      <c r="T69" s="6" t="n">
        <v>0.36</v>
      </c>
      <c r="U69" s="6" t="n">
        <v>0.13</v>
      </c>
      <c r="V69" s="6" t="n">
        <v>0.21</v>
      </c>
      <c r="W69" s="6" t="n">
        <v>0.23</v>
      </c>
      <c r="X69" s="6" t="n">
        <v>0.43</v>
      </c>
      <c r="Y69" s="6" t="n">
        <v>0.11</v>
      </c>
      <c r="Z69" s="6" t="n">
        <v>0.2</v>
      </c>
      <c r="AA69" s="6" t="n">
        <v>1.26</v>
      </c>
      <c r="AB69" s="6" t="n">
        <v>1.3</v>
      </c>
      <c r="AC69" s="6" t="n">
        <v>0.93</v>
      </c>
      <c r="AD69" s="6" t="n">
        <v>1</v>
      </c>
    </row>
    <row r="70">
      <c r="A70" s="5" t="inlineStr">
        <is>
          <t>지배주주 순이익</t>
        </is>
      </c>
      <c r="C70" s="6" t="n">
        <v>2.26</v>
      </c>
      <c r="D70" s="6" t="n">
        <v>8.33</v>
      </c>
      <c r="E70" s="6" t="n">
        <v>1.59</v>
      </c>
      <c r="F70" s="6" t="n">
        <v>6.51</v>
      </c>
      <c r="G70" s="6" t="n">
        <v>2.7</v>
      </c>
      <c r="H70" s="6" t="n">
        <v>9.66</v>
      </c>
      <c r="I70" s="6" t="n">
        <v>8.82</v>
      </c>
      <c r="J70" s="6" t="n">
        <v>3.08</v>
      </c>
      <c r="K70" s="6" t="n">
        <v>3.97</v>
      </c>
      <c r="L70" s="6" t="n">
        <v>12.08</v>
      </c>
      <c r="M70" s="6" t="n">
        <v>-2.08</v>
      </c>
      <c r="N70" s="6" t="n">
        <v>5.77</v>
      </c>
      <c r="O70" s="6" t="n">
        <v>3.35</v>
      </c>
      <c r="P70" s="6" t="n">
        <v>10.62</v>
      </c>
      <c r="Q70" s="6" t="n">
        <v>1.27</v>
      </c>
      <c r="R70" s="6" t="n">
        <v>1.93</v>
      </c>
      <c r="S70" s="6" t="n">
        <v>5.48</v>
      </c>
      <c r="T70" s="6" t="n">
        <v>15.96</v>
      </c>
      <c r="U70" s="6" t="n">
        <v>4.26</v>
      </c>
      <c r="V70" s="6" t="n">
        <v>4.95</v>
      </c>
      <c r="W70" s="6" t="n">
        <v>21.72</v>
      </c>
      <c r="X70" s="6" t="n">
        <v>2.4</v>
      </c>
      <c r="Y70" s="6" t="n">
        <v>-0.6899999999999999</v>
      </c>
      <c r="Z70" s="6" t="n">
        <v>14.49</v>
      </c>
      <c r="AA70" s="6" t="n">
        <v>27.69</v>
      </c>
      <c r="AB70" s="6" t="n">
        <v>17.05</v>
      </c>
      <c r="AC70" s="6" t="n">
        <v>21.01</v>
      </c>
      <c r="AD70" s="6" t="n">
        <v>27.63</v>
      </c>
    </row>
    <row r="71">
      <c r="A71" s="8" t="inlineStr">
        <is>
          <t>순이익률</t>
        </is>
      </c>
      <c r="C71" s="9">
        <f>IF(OR(C70="",C4=""),"",IFERROR(C70/C4,""))</f>
        <v/>
      </c>
      <c r="D71" s="9">
        <f>IF(OR(D70="",D4=""),"",IFERROR(D70/D4,""))</f>
        <v/>
      </c>
      <c r="E71" s="9">
        <f>IF(OR(E70="",E4=""),"",IFERROR(E70/E4,""))</f>
        <v/>
      </c>
      <c r="F71" s="9">
        <f>IF(OR(F70="",F4=""),"",IFERROR(F70/F4,""))</f>
        <v/>
      </c>
      <c r="G71" s="9">
        <f>IF(OR(G70="",G4=""),"",IFERROR(G70/G4,""))</f>
        <v/>
      </c>
      <c r="H71" s="9">
        <f>IF(OR(H70="",H4=""),"",IFERROR(H70/H4,""))</f>
        <v/>
      </c>
      <c r="I71" s="9">
        <f>IF(OR(I70="",I4=""),"",IFERROR(I70/I4,""))</f>
        <v/>
      </c>
      <c r="J71" s="9">
        <f>IF(OR(J70="",J4=""),"",IFERROR(J70/J4,""))</f>
        <v/>
      </c>
      <c r="K71" s="9">
        <f>IF(OR(K70="",K4=""),"",IFERROR(K70/K4,""))</f>
        <v/>
      </c>
      <c r="L71" s="9">
        <f>IF(OR(L70="",L4=""),"",IFERROR(L70/L4,""))</f>
        <v/>
      </c>
      <c r="M71" s="9">
        <f>IF(OR(M70="",M4=""),"",IFERROR(M70/M4,""))</f>
        <v/>
      </c>
      <c r="N71" s="9">
        <f>IF(OR(N70="",N4=""),"",IFERROR(N70/N4,""))</f>
        <v/>
      </c>
      <c r="O71" s="9">
        <f>IF(OR(O70="",O4=""),"",IFERROR(O70/O4,""))</f>
        <v/>
      </c>
      <c r="P71" s="9">
        <f>IF(OR(P70="",P4=""),"",IFERROR(P70/P4,""))</f>
        <v/>
      </c>
      <c r="Q71" s="9">
        <f>IF(OR(Q70="",Q4=""),"",IFERROR(Q70/Q4,""))</f>
        <v/>
      </c>
      <c r="R71" s="9">
        <f>IF(OR(R70="",R4=""),"",IFERROR(R70/R4,""))</f>
        <v/>
      </c>
      <c r="S71" s="9">
        <f>IF(OR(S70="",S4=""),"",IFERROR(S70/S4,""))</f>
        <v/>
      </c>
      <c r="T71" s="9">
        <f>IF(OR(T70="",T4=""),"",IFERROR(T70/T4,""))</f>
        <v/>
      </c>
      <c r="U71" s="9">
        <f>IF(OR(U70="",U4=""),"",IFERROR(U70/U4,""))</f>
        <v/>
      </c>
      <c r="V71" s="9">
        <f>IF(OR(V70="",V4=""),"",IFERROR(V70/V4,""))</f>
        <v/>
      </c>
      <c r="W71" s="9">
        <f>IF(OR(W70="",W4=""),"",IFERROR(W70/W4,""))</f>
        <v/>
      </c>
      <c r="X71" s="9">
        <f>IF(OR(X70="",X4=""),"",IFERROR(X70/X4,""))</f>
        <v/>
      </c>
      <c r="Y71" s="9">
        <f>IF(OR(Y70="",Y4=""),"",IFERROR(Y70/Y4,""))</f>
        <v/>
      </c>
      <c r="Z71" s="9">
        <f>IF(OR(Z70="",Z4=""),"",IFERROR(Z70/Z4,""))</f>
        <v/>
      </c>
      <c r="AA71" s="9">
        <f>IF(OR(AA70="",AA4=""),"",IFERROR(AA70/AA4,""))</f>
        <v/>
      </c>
      <c r="AB71" s="9">
        <f>IF(OR(AB70="",AB4=""),"",IFERROR(AB70/AB4,""))</f>
        <v/>
      </c>
      <c r="AC71" s="9">
        <f>IF(OR(AC70="",AC4=""),"",IFERROR(AC70/AC4,""))</f>
        <v/>
      </c>
      <c r="AD71" s="9">
        <f>IF(OR(AD70="",AD4=""),"",IFERROR(AD70/AD4,""))</f>
        <v/>
      </c>
    </row>
    <row r="72">
      <c r="A72" s="8" t="inlineStr">
        <is>
          <t>YoY</t>
        </is>
      </c>
      <c r="G72" s="9">
        <f>IF(OR(G70="",C70=""),"",IFERROR(G70/C70-1,""))</f>
        <v/>
      </c>
      <c r="H72" s="9">
        <f>IF(OR(H70="",D70=""),"",IFERROR(H70/D70-1,""))</f>
        <v/>
      </c>
      <c r="I72" s="9">
        <f>IF(OR(I70="",E70=""),"",IFERROR(I70/E70-1,""))</f>
        <v/>
      </c>
      <c r="J72" s="9">
        <f>IF(OR(J70="",F70=""),"",IFERROR(J70/F70-1,""))</f>
        <v/>
      </c>
      <c r="K72" s="9">
        <f>IF(OR(K70="",G70=""),"",IFERROR(K70/G70-1,""))</f>
        <v/>
      </c>
      <c r="L72" s="9">
        <f>IF(OR(L70="",H70=""),"",IFERROR(L70/H70-1,""))</f>
        <v/>
      </c>
      <c r="M72" s="9">
        <f>IF(OR(M70="",I70=""),"",IFERROR(M70/I70-1,""))</f>
        <v/>
      </c>
      <c r="N72" s="9">
        <f>IF(OR(N70="",J70=""),"",IFERROR(N70/J70-1,""))</f>
        <v/>
      </c>
      <c r="O72" s="9">
        <f>IF(OR(O70="",K70=""),"",IFERROR(O70/K70-1,""))</f>
        <v/>
      </c>
      <c r="P72" s="9">
        <f>IF(OR(P70="",L70=""),"",IFERROR(P70/L70-1,""))</f>
        <v/>
      </c>
      <c r="Q72" s="9">
        <f>IF(OR(Q70="",M70=""),"",IFERROR(Q70/M70-1,""))</f>
        <v/>
      </c>
      <c r="R72" s="9">
        <f>IF(OR(R70="",N70=""),"",IFERROR(R70/N70-1,""))</f>
        <v/>
      </c>
      <c r="S72" s="9">
        <f>IF(OR(S70="",O70=""),"",IFERROR(S70/O70-1,""))</f>
        <v/>
      </c>
      <c r="T72" s="9">
        <f>IF(OR(T70="",P70=""),"",IFERROR(T70/P70-1,""))</f>
        <v/>
      </c>
      <c r="U72" s="9">
        <f>IF(OR(U70="",Q70=""),"",IFERROR(U70/Q70-1,""))</f>
        <v/>
      </c>
      <c r="V72" s="9">
        <f>IF(OR(V70="",R70=""),"",IFERROR(V70/R70-1,""))</f>
        <v/>
      </c>
      <c r="X72" s="9">
        <f>IF(OR(X70="",W70=""),"",IFERROR(X70/W70-1,""))</f>
        <v/>
      </c>
      <c r="Y72" s="9">
        <f>IF(OR(Y70="",X70=""),"",IFERROR(Y70/X70-1,""))</f>
        <v/>
      </c>
      <c r="Z72" s="9">
        <f>IF(OR(Z70="",Y70=""),"",IFERROR(Z70/Y70-1,""))</f>
        <v/>
      </c>
      <c r="AA72" s="9">
        <f>IF(OR(AA70="",Z70=""),"",IFERROR(AA70/Z70-1,""))</f>
        <v/>
      </c>
      <c r="AB72" s="9">
        <f>IF(OR(AB70="",AA70=""),"",IFERROR(AB70/AA70-1,""))</f>
        <v/>
      </c>
      <c r="AC72" s="9">
        <f>IF(OR(AC70="",AB70=""),"",IFERROR(AC70/AB70-1,""))</f>
        <v/>
      </c>
      <c r="AD72" s="9">
        <f>IF(OR(AD70="",AC70=""),"",IFERROR(AD70/AC70-1,""))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북오프 그룹 홀딩스 포괄손익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5" t="inlineStr">
        <is>
          <t>순이익</t>
        </is>
      </c>
      <c r="C4" s="6" t="n">
        <v>2.2</v>
      </c>
      <c r="D4" s="6" t="n">
        <v>8.640000000000001</v>
      </c>
      <c r="E4" s="6" t="n">
        <v>1.68</v>
      </c>
      <c r="F4" s="6" t="n">
        <v>6.8</v>
      </c>
      <c r="G4" s="6" t="n">
        <v>3.05</v>
      </c>
      <c r="H4" s="6" t="n">
        <v>10.01</v>
      </c>
      <c r="I4" s="6" t="n">
        <v>9.1</v>
      </c>
      <c r="J4" s="6" t="n">
        <v>3.3</v>
      </c>
      <c r="K4" s="6" t="n">
        <v>4.37</v>
      </c>
      <c r="L4" s="6" t="n">
        <v>12.42</v>
      </c>
      <c r="M4" s="6" t="n">
        <v>-1.74</v>
      </c>
      <c r="N4" s="6" t="n">
        <v>6.15</v>
      </c>
      <c r="O4" s="6" t="n">
        <v>3.41</v>
      </c>
      <c r="P4" s="6" t="n">
        <v>10.99</v>
      </c>
      <c r="Q4" s="6" t="n">
        <v>1.39</v>
      </c>
      <c r="R4" s="6" t="n">
        <v>2.19</v>
      </c>
      <c r="S4" s="6" t="n">
        <v>5.73</v>
      </c>
      <c r="T4" s="6" t="n">
        <v>16.32</v>
      </c>
      <c r="U4" s="6" t="n">
        <v>4.39</v>
      </c>
      <c r="V4" s="6" t="n">
        <v>5.16</v>
      </c>
      <c r="W4" s="6" t="n">
        <v>21.95</v>
      </c>
      <c r="X4" s="6" t="n">
        <v>2.83</v>
      </c>
      <c r="Y4" s="6" t="n">
        <v>-0.57</v>
      </c>
      <c r="Z4" s="6" t="n">
        <v>14.7</v>
      </c>
      <c r="AA4" s="6" t="n">
        <v>28.96</v>
      </c>
      <c r="AB4" s="6" t="n">
        <v>18.35</v>
      </c>
      <c r="AC4" s="6" t="n">
        <v>21.94</v>
      </c>
      <c r="AD4" s="6" t="n">
        <v>28.63</v>
      </c>
      <c r="AE4" s="7" t="inlineStr">
        <is>
          <t>결산단신 XBRL(거래소 공시, TDnet·JPX 보관소). 쓴 문서: 2026-10-13, 2026-07-13, 2026-04-13, 2026-01-13 외 26건 — '출처' 시트에 전부</t>
        </is>
      </c>
    </row>
    <row r="5">
      <c r="A5" s="10" t="inlineStr">
        <is>
          <t>기타유가증권 평가차액</t>
        </is>
      </c>
      <c r="C5" s="11" t="n">
        <v>-0.14</v>
      </c>
      <c r="D5" s="11" t="n">
        <v>0.04</v>
      </c>
      <c r="E5" s="11" t="n">
        <v>-0.04</v>
      </c>
      <c r="F5" s="11" t="n">
        <v>0.2</v>
      </c>
      <c r="G5" s="11" t="n">
        <v>0.06</v>
      </c>
      <c r="H5" s="11" t="n">
        <v>0.06</v>
      </c>
      <c r="I5" s="11" t="n">
        <v>0.06</v>
      </c>
      <c r="J5" s="11" t="n">
        <v>0.14</v>
      </c>
      <c r="K5" s="11" t="n">
        <v>0.02</v>
      </c>
      <c r="L5" s="11" t="n">
        <v>0.13</v>
      </c>
      <c r="M5" s="11" t="n">
        <v>-0.09</v>
      </c>
      <c r="N5" s="11" t="n">
        <v>0.22</v>
      </c>
      <c r="O5" s="11" t="n">
        <v>-0.07000000000000001</v>
      </c>
      <c r="P5" s="11" t="n">
        <v>-0.01</v>
      </c>
      <c r="Q5" s="11" t="n">
        <v>-0.11</v>
      </c>
      <c r="R5" s="11" t="n">
        <v>0.2</v>
      </c>
      <c r="S5" s="11" t="n">
        <v>-0.39</v>
      </c>
      <c r="T5" s="11" t="n">
        <v>0.07000000000000001</v>
      </c>
      <c r="U5" s="11" t="n">
        <v>0.1</v>
      </c>
      <c r="V5" s="11" t="n">
        <v>0.11</v>
      </c>
      <c r="W5" s="11" t="n">
        <v>0.09</v>
      </c>
      <c r="X5" s="11" t="n">
        <v>-0.58</v>
      </c>
      <c r="Y5" s="11" t="n">
        <v>0.24</v>
      </c>
      <c r="Z5" s="11" t="n">
        <v>-0.15</v>
      </c>
      <c r="AA5" s="11" t="n">
        <v>0.38</v>
      </c>
      <c r="AB5" s="11" t="n">
        <v>0.2</v>
      </c>
      <c r="AC5" s="11" t="n">
        <v>0.03</v>
      </c>
      <c r="AD5" s="11" t="n">
        <v>-0.02</v>
      </c>
    </row>
    <row r="6">
      <c r="A6" s="10" t="inlineStr">
        <is>
          <t>해외사업환산조정</t>
        </is>
      </c>
      <c r="C6" s="11" t="n">
        <v>-0.05</v>
      </c>
      <c r="D6" s="11" t="n">
        <v>0.26</v>
      </c>
      <c r="E6" s="11" t="n">
        <v>0.19</v>
      </c>
      <c r="F6" s="11" t="n">
        <v>1.1</v>
      </c>
      <c r="G6" s="11" t="n">
        <v>0.65</v>
      </c>
      <c r="H6" s="11" t="n">
        <v>-0.27</v>
      </c>
      <c r="I6" s="11" t="n">
        <v>-0.1</v>
      </c>
      <c r="J6" s="11" t="n">
        <v>0.37</v>
      </c>
      <c r="K6" s="11" t="n">
        <v>0.72</v>
      </c>
      <c r="L6" s="11" t="n">
        <v>-0.26</v>
      </c>
      <c r="M6" s="11" t="n">
        <v>0.6899999999999999</v>
      </c>
      <c r="N6" s="11" t="n">
        <v>1.09</v>
      </c>
      <c r="O6" s="11" t="n">
        <v>-0.91</v>
      </c>
      <c r="P6" s="11" t="n">
        <v>0.82</v>
      </c>
      <c r="Q6" s="11" t="n">
        <v>-0.86</v>
      </c>
      <c r="R6" s="11" t="n">
        <v>-0.36</v>
      </c>
      <c r="S6" s="11" t="n">
        <v>0.55</v>
      </c>
      <c r="T6" s="11" t="n">
        <v>2.03</v>
      </c>
      <c r="U6" s="11" t="n">
        <v>0.21</v>
      </c>
      <c r="V6" s="11" t="n">
        <v>0.55</v>
      </c>
      <c r="W6" s="11" t="n">
        <v>-0.22</v>
      </c>
      <c r="X6" s="11" t="n">
        <v>0.75</v>
      </c>
      <c r="Y6" s="11" t="n">
        <v>-0.22</v>
      </c>
      <c r="Z6" s="11" t="n">
        <v>0.52</v>
      </c>
      <c r="AA6" s="11" t="n">
        <v>1.38</v>
      </c>
      <c r="AB6" s="11" t="n">
        <v>1.52</v>
      </c>
      <c r="AC6" s="11" t="n">
        <v>0.14</v>
      </c>
      <c r="AD6" s="11" t="n">
        <v>2.43</v>
      </c>
    </row>
    <row r="7">
      <c r="A7" s="10" t="inlineStr">
        <is>
          <t>지분법 적용회사 지분 해당액</t>
        </is>
      </c>
      <c r="C7" s="11" t="n">
        <v>0.13</v>
      </c>
      <c r="D7" s="11" t="n">
        <v>-0.07000000000000001</v>
      </c>
      <c r="E7" s="11" t="n">
        <v>0</v>
      </c>
      <c r="F7" s="11" t="n">
        <v>-0.07000000000000001</v>
      </c>
      <c r="G7" s="11" t="n">
        <v>0.07000000000000001</v>
      </c>
      <c r="H7" s="11" t="n">
        <v>0.02</v>
      </c>
      <c r="I7" s="11" t="n">
        <v>-0.55</v>
      </c>
      <c r="J7" s="11" t="n">
        <v>-0</v>
      </c>
      <c r="K7" s="11" t="n">
        <v>0</v>
      </c>
      <c r="L7" s="11" t="n">
        <v>-0</v>
      </c>
      <c r="M7" s="11" t="n">
        <v>0</v>
      </c>
      <c r="N7" s="11" t="n">
        <v>-0.02</v>
      </c>
      <c r="O7" s="11" t="n">
        <v>-0.01</v>
      </c>
      <c r="P7" s="11" t="n">
        <v>-0.01</v>
      </c>
      <c r="Q7" s="11" t="n">
        <v>-0.01</v>
      </c>
      <c r="R7" s="11" t="n">
        <v>0</v>
      </c>
      <c r="S7" s="11" t="n">
        <v>0.01</v>
      </c>
      <c r="T7" s="11" t="n">
        <v>0</v>
      </c>
      <c r="U7" s="11" t="n">
        <v>-0.01</v>
      </c>
      <c r="V7" s="11" t="n">
        <v>-0</v>
      </c>
      <c r="W7" s="11" t="n">
        <v>0.67</v>
      </c>
      <c r="X7" s="11" t="n">
        <v>-0.67</v>
      </c>
      <c r="Y7" s="11" t="n">
        <v>0.29</v>
      </c>
      <c r="Z7" s="11" t="n">
        <v>0.13</v>
      </c>
      <c r="AA7" s="11" t="n">
        <v>-0.53</v>
      </c>
      <c r="AB7" s="11" t="n">
        <v>0</v>
      </c>
      <c r="AC7" s="11" t="n">
        <v>-0.05</v>
      </c>
      <c r="AD7" s="11" t="n">
        <v>0</v>
      </c>
    </row>
    <row r="8">
      <c r="A8" s="10" t="inlineStr">
        <is>
          <t>기타포괄손익 합계</t>
        </is>
      </c>
      <c r="C8" s="11" t="n">
        <v>-0.05</v>
      </c>
      <c r="D8" s="11" t="n">
        <v>0.23</v>
      </c>
      <c r="E8" s="11" t="n">
        <v>0.14</v>
      </c>
      <c r="F8" s="11" t="n">
        <v>1.23</v>
      </c>
      <c r="G8" s="11" t="n">
        <v>0.8</v>
      </c>
      <c r="H8" s="11" t="n">
        <v>-0.19</v>
      </c>
      <c r="I8" s="11" t="n">
        <v>-0.61</v>
      </c>
      <c r="J8" s="11" t="n">
        <v>0.52</v>
      </c>
      <c r="K8" s="11" t="n">
        <v>0.73</v>
      </c>
      <c r="L8" s="11" t="n">
        <v>-0.13</v>
      </c>
      <c r="M8" s="11" t="n">
        <v>0.61</v>
      </c>
      <c r="N8" s="11" t="n">
        <v>1.29</v>
      </c>
      <c r="O8" s="11" t="n">
        <v>-0.98</v>
      </c>
      <c r="P8" s="11" t="n">
        <v>0.79</v>
      </c>
      <c r="Q8" s="11" t="n">
        <v>-0.98</v>
      </c>
      <c r="R8" s="11" t="n">
        <v>-0.14</v>
      </c>
      <c r="S8" s="11" t="n">
        <v>0.16</v>
      </c>
      <c r="T8" s="11" t="n">
        <v>2.09</v>
      </c>
      <c r="U8" s="11" t="n">
        <v>0.3</v>
      </c>
      <c r="V8" s="11" t="n">
        <v>0.66</v>
      </c>
      <c r="W8" s="11" t="n">
        <v>0.54</v>
      </c>
      <c r="X8" s="11" t="n">
        <v>-0.51</v>
      </c>
      <c r="Y8" s="11" t="n">
        <v>0.31</v>
      </c>
      <c r="Z8" s="11" t="n">
        <v>0.49</v>
      </c>
      <c r="AA8" s="11" t="n">
        <v>1.23</v>
      </c>
      <c r="AB8" s="11" t="n">
        <v>1.73</v>
      </c>
      <c r="AC8" s="11" t="n">
        <v>0.12</v>
      </c>
      <c r="AD8" s="11" t="n">
        <v>2.41</v>
      </c>
    </row>
    <row r="9">
      <c r="A9" s="10" t="inlineStr">
        <is>
          <t>포괄이익</t>
        </is>
      </c>
      <c r="C9" s="11" t="n">
        <v>2.14</v>
      </c>
      <c r="D9" s="11" t="n">
        <v>8.869999999999999</v>
      </c>
      <c r="E9" s="11" t="n">
        <v>1.82</v>
      </c>
      <c r="F9" s="11" t="n">
        <v>8.039999999999999</v>
      </c>
      <c r="G9" s="11" t="n">
        <v>3.84</v>
      </c>
      <c r="H9" s="11" t="n">
        <v>9.82</v>
      </c>
      <c r="I9" s="11" t="n">
        <v>8.49</v>
      </c>
      <c r="J9" s="11" t="n">
        <v>3.82</v>
      </c>
      <c r="K9" s="11" t="n">
        <v>5.11</v>
      </c>
      <c r="L9" s="11" t="n">
        <v>12.29</v>
      </c>
      <c r="M9" s="11" t="n">
        <v>-1.13</v>
      </c>
      <c r="N9" s="11" t="n">
        <v>7.45</v>
      </c>
      <c r="O9" s="11" t="n">
        <v>2.43</v>
      </c>
      <c r="P9" s="11" t="n">
        <v>11.77</v>
      </c>
      <c r="Q9" s="11" t="n">
        <v>0.41</v>
      </c>
      <c r="R9" s="11" t="n">
        <v>2.04</v>
      </c>
      <c r="S9" s="11" t="n">
        <v>5.9</v>
      </c>
      <c r="T9" s="11" t="n">
        <v>18.41</v>
      </c>
      <c r="U9" s="11" t="n">
        <v>4.7</v>
      </c>
      <c r="V9" s="11" t="n">
        <v>5.83</v>
      </c>
      <c r="W9" s="11" t="n">
        <v>22.5</v>
      </c>
      <c r="X9" s="11" t="n">
        <v>2.32</v>
      </c>
      <c r="Y9" s="11" t="n">
        <v>-0.26</v>
      </c>
      <c r="Z9" s="11" t="n">
        <v>15.19</v>
      </c>
      <c r="AA9" s="11" t="n">
        <v>30.19</v>
      </c>
      <c r="AB9" s="11" t="n">
        <v>20.09</v>
      </c>
      <c r="AC9" s="11" t="n">
        <v>22.06</v>
      </c>
      <c r="AD9" s="11" t="n">
        <v>31.05</v>
      </c>
    </row>
    <row r="10">
      <c r="A10" s="10" t="inlineStr">
        <is>
          <t>지배주주 포괄이익</t>
        </is>
      </c>
      <c r="C10" s="11" t="n">
        <v>2.2</v>
      </c>
      <c r="D10" s="11" t="n">
        <v>8.529999999999999</v>
      </c>
      <c r="E10" s="11" t="n">
        <v>1.67</v>
      </c>
      <c r="F10" s="11" t="n">
        <v>7.65</v>
      </c>
      <c r="G10" s="11" t="n">
        <v>3.49</v>
      </c>
      <c r="H10" s="11" t="n">
        <v>9.539999999999999</v>
      </c>
      <c r="I10" s="11" t="n">
        <v>8.210000000000001</v>
      </c>
      <c r="J10" s="11" t="n">
        <v>3.56</v>
      </c>
      <c r="K10" s="11" t="n">
        <v>4.63</v>
      </c>
      <c r="L10" s="11" t="n">
        <v>12.04</v>
      </c>
      <c r="M10" s="11" t="n">
        <v>-1.59</v>
      </c>
      <c r="N10" s="11" t="n">
        <v>6.89</v>
      </c>
      <c r="O10" s="11" t="n">
        <v>2.34</v>
      </c>
      <c r="P10" s="11" t="n">
        <v>11.32</v>
      </c>
      <c r="Q10" s="11" t="n">
        <v>0.5</v>
      </c>
      <c r="R10" s="11" t="n">
        <v>1.71</v>
      </c>
      <c r="S10" s="11" t="n">
        <v>5.56</v>
      </c>
      <c r="T10" s="11" t="n">
        <v>17.75</v>
      </c>
      <c r="U10" s="11" t="n">
        <v>4.48</v>
      </c>
      <c r="V10" s="11" t="n">
        <v>5.58</v>
      </c>
      <c r="W10" s="11" t="n">
        <v>22.28</v>
      </c>
      <c r="X10" s="11" t="n">
        <v>1.88</v>
      </c>
      <c r="Y10" s="11" t="n">
        <v>-0.35</v>
      </c>
      <c r="Z10" s="11" t="n">
        <v>14.89</v>
      </c>
      <c r="AA10" s="11" t="n">
        <v>28.89</v>
      </c>
      <c r="AB10" s="11" t="n">
        <v>18.64</v>
      </c>
      <c r="AC10" s="11" t="n">
        <v>21.05</v>
      </c>
      <c r="AD10" s="11" t="n">
        <v>29.5</v>
      </c>
    </row>
    <row r="11">
      <c r="A11" s="10" t="inlineStr">
        <is>
          <t>비지배주주 포괄이익</t>
        </is>
      </c>
      <c r="C11" s="11" t="n">
        <v>-0.06</v>
      </c>
      <c r="D11" s="11" t="n">
        <v>0.33</v>
      </c>
      <c r="E11" s="11" t="n">
        <v>0.15</v>
      </c>
      <c r="F11" s="11" t="n">
        <v>0.38</v>
      </c>
      <c r="G11" s="11" t="n">
        <v>0.36</v>
      </c>
      <c r="H11" s="11" t="n">
        <v>0.27</v>
      </c>
      <c r="I11" s="11" t="n">
        <v>0.29</v>
      </c>
      <c r="J11" s="11" t="n">
        <v>0.26</v>
      </c>
      <c r="K11" s="11" t="n">
        <v>0.47</v>
      </c>
      <c r="L11" s="11" t="n">
        <v>0.25</v>
      </c>
      <c r="M11" s="11" t="n">
        <v>0.47</v>
      </c>
      <c r="N11" s="11" t="n">
        <v>0.55</v>
      </c>
      <c r="O11" s="11" t="n">
        <v>0.09</v>
      </c>
      <c r="P11" s="11" t="n">
        <v>0.46</v>
      </c>
      <c r="Q11" s="11" t="n">
        <v>-0.1</v>
      </c>
      <c r="R11" s="11" t="n">
        <v>0.33</v>
      </c>
      <c r="S11" s="11" t="n">
        <v>0.33</v>
      </c>
      <c r="T11" s="11" t="n">
        <v>0.67</v>
      </c>
      <c r="U11" s="11" t="n">
        <v>0.21</v>
      </c>
      <c r="V11" s="11" t="n">
        <v>0.25</v>
      </c>
      <c r="W11" s="11" t="n">
        <v>0.21</v>
      </c>
      <c r="X11" s="11" t="n">
        <v>0.43</v>
      </c>
      <c r="Y11" s="11" t="n">
        <v>0.08</v>
      </c>
      <c r="Z11" s="11" t="n">
        <v>0.3</v>
      </c>
      <c r="AA11" s="11" t="n">
        <v>1.3</v>
      </c>
      <c r="AB11" s="11" t="n">
        <v>1.45</v>
      </c>
      <c r="AC11" s="11" t="n">
        <v>1</v>
      </c>
      <c r="AD11" s="11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북오프 그룹 홀딩스 재무상태표</t>
        </is>
      </c>
    </row>
    <row r="2">
      <c r="A2" s="2" t="inlineStr">
        <is>
          <t>결산기 기준(27.2Q = 2027년 결산기 2분기) · 5월 결산 · 연결 · 분기 말 잔액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현금 및 예금</t>
        </is>
      </c>
      <c r="D4" s="11" t="n">
        <v>60.5</v>
      </c>
      <c r="E4" s="11" t="n">
        <v>82.03</v>
      </c>
      <c r="F4" s="11" t="n">
        <v>81.34999999999999</v>
      </c>
      <c r="G4" s="11" t="n">
        <v>71.95</v>
      </c>
      <c r="H4" s="11" t="n">
        <v>64.81999999999999</v>
      </c>
      <c r="I4" s="11" t="n">
        <v>55.44</v>
      </c>
      <c r="J4" s="11" t="n">
        <v>66.65000000000001</v>
      </c>
      <c r="K4" s="11" t="n">
        <v>66.16</v>
      </c>
      <c r="L4" s="11" t="n">
        <v>67.15000000000001</v>
      </c>
      <c r="M4" s="11" t="n">
        <v>71.8</v>
      </c>
      <c r="N4" s="11" t="n">
        <v>71.84999999999999</v>
      </c>
      <c r="O4" s="11" t="n">
        <v>70.41</v>
      </c>
      <c r="P4" s="11" t="n">
        <v>71.28</v>
      </c>
      <c r="Q4" s="11" t="n">
        <v>66.28</v>
      </c>
      <c r="R4" s="11" t="n">
        <v>62.76</v>
      </c>
      <c r="S4" s="11" t="n">
        <v>69.98</v>
      </c>
      <c r="T4" s="11" t="n">
        <v>77.14</v>
      </c>
      <c r="U4" s="11" t="n">
        <v>64.59</v>
      </c>
      <c r="V4" s="11" t="n">
        <v>79.52</v>
      </c>
      <c r="W4" s="11" t="n">
        <v>61.42</v>
      </c>
      <c r="X4" s="11" t="n">
        <v>60.94</v>
      </c>
      <c r="Y4" s="11" t="n">
        <v>58.37</v>
      </c>
      <c r="Z4" s="11" t="n">
        <v>82.03</v>
      </c>
      <c r="AA4" s="11" t="n">
        <v>55.44</v>
      </c>
      <c r="AB4" s="11" t="n">
        <v>71.8</v>
      </c>
      <c r="AC4" s="11" t="n">
        <v>66.28</v>
      </c>
      <c r="AD4" s="11" t="n">
        <v>64.59</v>
      </c>
      <c r="AE4" s="7" t="inlineStr">
        <is>
          <t>결산단신 XBRL(거래소 공시, TDnet·JPX 보관소). 쓴 문서: 2026-10-13, 2026-07-13, 2026-04-13, 2026-01-13 외 26건 — '출처' 시트에 전부</t>
        </is>
      </c>
    </row>
    <row r="5">
      <c r="A5" s="10" t="inlineStr">
        <is>
          <t>매출채권</t>
        </is>
      </c>
      <c r="D5" s="11" t="n">
        <v>20.49</v>
      </c>
      <c r="E5" s="11" t="n">
        <v>23.33</v>
      </c>
      <c r="F5" s="11" t="n">
        <v>23.57</v>
      </c>
      <c r="G5" s="11" t="n">
        <v>26.84</v>
      </c>
      <c r="H5" s="11" t="n">
        <v>26.04</v>
      </c>
      <c r="I5" s="11" t="n">
        <v>30.08</v>
      </c>
      <c r="J5" s="11" t="n">
        <v>29.01</v>
      </c>
      <c r="K5" s="11" t="n">
        <v>32.25</v>
      </c>
      <c r="L5" s="11" t="n">
        <v>31.24</v>
      </c>
      <c r="M5" s="11" t="n">
        <v>33.97</v>
      </c>
      <c r="N5" s="11" t="n">
        <v>33.71</v>
      </c>
      <c r="O5" s="11" t="n">
        <v>36.08</v>
      </c>
      <c r="P5" s="11" t="n">
        <v>34.72</v>
      </c>
      <c r="Q5" s="11" t="n">
        <v>38.88</v>
      </c>
      <c r="R5" s="11" t="n">
        <v>40.19</v>
      </c>
      <c r="S5" s="11" t="n">
        <v>41.33</v>
      </c>
      <c r="T5" s="11" t="n">
        <v>38.23</v>
      </c>
      <c r="U5" s="11" t="n">
        <v>45.41</v>
      </c>
      <c r="V5" s="11" t="n">
        <v>44.26</v>
      </c>
      <c r="W5" s="11" t="n">
        <v>15.9</v>
      </c>
      <c r="X5" s="11" t="n">
        <v>18.98</v>
      </c>
      <c r="Y5" s="11" t="n">
        <v>21.2</v>
      </c>
      <c r="Z5" s="11" t="n">
        <v>23.33</v>
      </c>
      <c r="AA5" s="11" t="n">
        <v>30.08</v>
      </c>
      <c r="AB5" s="11" t="n">
        <v>33.97</v>
      </c>
      <c r="AC5" s="11" t="n">
        <v>38.88</v>
      </c>
      <c r="AD5" s="11" t="n">
        <v>45.41</v>
      </c>
    </row>
    <row r="6">
      <c r="A6" s="10" t="inlineStr">
        <is>
          <t>상품</t>
        </is>
      </c>
      <c r="D6" s="11" t="n">
        <v>149.89</v>
      </c>
      <c r="E6" s="11" t="n">
        <v>154.12</v>
      </c>
      <c r="F6" s="11" t="n">
        <v>158.05</v>
      </c>
      <c r="G6" s="11" t="n">
        <v>166.4</v>
      </c>
      <c r="H6" s="11" t="n">
        <v>167.71</v>
      </c>
      <c r="I6" s="11" t="n">
        <v>176.12</v>
      </c>
      <c r="J6" s="11" t="n">
        <v>177.01</v>
      </c>
      <c r="K6" s="11" t="n">
        <v>189.77</v>
      </c>
      <c r="L6" s="11" t="n">
        <v>185.88</v>
      </c>
      <c r="M6" s="11" t="n">
        <v>188.25</v>
      </c>
      <c r="N6" s="11" t="n">
        <v>180.32</v>
      </c>
      <c r="O6" s="11" t="n">
        <v>191.59</v>
      </c>
      <c r="P6" s="11" t="n">
        <v>190.69</v>
      </c>
      <c r="Q6" s="11" t="n">
        <v>197.31</v>
      </c>
      <c r="R6" s="11" t="n">
        <v>197.08</v>
      </c>
      <c r="S6" s="11" t="n">
        <v>200.32</v>
      </c>
      <c r="T6" s="11" t="n">
        <v>199.64</v>
      </c>
      <c r="U6" s="11" t="n">
        <v>210.84</v>
      </c>
      <c r="V6" s="11" t="n">
        <v>223.74</v>
      </c>
      <c r="W6" s="11" t="n">
        <v>129.15</v>
      </c>
      <c r="X6" s="11" t="n">
        <v>131.29</v>
      </c>
      <c r="Y6" s="11" t="n">
        <v>137.78</v>
      </c>
      <c r="Z6" s="11" t="n">
        <v>154.12</v>
      </c>
      <c r="AA6" s="11" t="n">
        <v>176.12</v>
      </c>
      <c r="AB6" s="11" t="n">
        <v>188.25</v>
      </c>
      <c r="AC6" s="11" t="n">
        <v>197.31</v>
      </c>
      <c r="AD6" s="11" t="n">
        <v>210.84</v>
      </c>
    </row>
    <row r="7">
      <c r="A7" s="10" t="inlineStr">
        <is>
          <t>기타</t>
        </is>
      </c>
      <c r="D7" s="11" t="n">
        <v>23.21</v>
      </c>
      <c r="E7" s="11" t="n">
        <v>23.8</v>
      </c>
      <c r="F7" s="11" t="n">
        <v>26.92</v>
      </c>
      <c r="G7" s="11" t="n">
        <v>25.71</v>
      </c>
      <c r="H7" s="11" t="n">
        <v>28.02</v>
      </c>
      <c r="I7" s="11" t="n">
        <v>29.48</v>
      </c>
      <c r="J7" s="11" t="n">
        <v>29.66</v>
      </c>
      <c r="K7" s="11" t="n">
        <v>27.11</v>
      </c>
      <c r="L7" s="11" t="n">
        <v>31.13</v>
      </c>
      <c r="M7" s="11" t="n">
        <v>28.03</v>
      </c>
      <c r="N7" s="11" t="n">
        <v>31.25</v>
      </c>
      <c r="O7" s="11" t="n">
        <v>31.53</v>
      </c>
      <c r="P7" s="11" t="n">
        <v>29.02</v>
      </c>
      <c r="Q7" s="11" t="n">
        <v>32.68</v>
      </c>
      <c r="R7" s="11" t="n">
        <v>35.73</v>
      </c>
      <c r="S7" s="11" t="n">
        <v>35.51</v>
      </c>
      <c r="T7" s="11" t="n">
        <v>34.67</v>
      </c>
      <c r="U7" s="11" t="n">
        <v>38.09</v>
      </c>
      <c r="V7" s="11" t="n">
        <v>35.63</v>
      </c>
      <c r="W7" s="11" t="n">
        <v>31.22</v>
      </c>
      <c r="X7" s="11" t="n">
        <v>25.83</v>
      </c>
      <c r="Y7" s="11" t="n">
        <v>22.82</v>
      </c>
      <c r="Z7" s="11" t="n">
        <v>23.8</v>
      </c>
      <c r="AA7" s="11" t="n">
        <v>29.48</v>
      </c>
      <c r="AB7" s="11" t="n">
        <v>28.03</v>
      </c>
      <c r="AC7" s="11" t="n">
        <v>32.68</v>
      </c>
      <c r="AD7" s="11" t="n">
        <v>38.09</v>
      </c>
    </row>
    <row r="8">
      <c r="A8" s="10" t="inlineStr">
        <is>
          <t>대손충당금</t>
        </is>
      </c>
      <c r="D8" s="11" t="n">
        <v>-0</v>
      </c>
      <c r="E8" s="11" t="n">
        <v>-0</v>
      </c>
      <c r="F8" s="11" t="n">
        <v>-0</v>
      </c>
      <c r="G8" s="11" t="n">
        <v>-0</v>
      </c>
      <c r="H8" s="11" t="n">
        <v>-0</v>
      </c>
      <c r="I8" s="11" t="n">
        <v>-0</v>
      </c>
      <c r="J8" s="11" t="n">
        <v>-0</v>
      </c>
      <c r="K8" s="11" t="n">
        <v>-0</v>
      </c>
      <c r="L8" s="11" t="n">
        <v>-0</v>
      </c>
      <c r="M8" s="11" t="n">
        <v>-0</v>
      </c>
      <c r="N8" s="11" t="n">
        <v>-0</v>
      </c>
      <c r="O8" s="11" t="n">
        <v>-0</v>
      </c>
      <c r="P8" s="11" t="n">
        <v>-0</v>
      </c>
      <c r="Q8" s="11" t="n">
        <v>-0</v>
      </c>
      <c r="R8" s="11" t="n">
        <v>-0.4</v>
      </c>
      <c r="S8" s="11" t="n">
        <v>-0.23</v>
      </c>
      <c r="T8" s="11" t="n">
        <v>-0.23</v>
      </c>
      <c r="U8" s="11" t="n">
        <v>-0.23</v>
      </c>
      <c r="V8" s="11" t="n">
        <v>-0.23</v>
      </c>
      <c r="W8" s="11" t="n">
        <v>-0.06</v>
      </c>
      <c r="X8" s="11" t="n">
        <v>-0</v>
      </c>
      <c r="Y8" s="11" t="n">
        <v>-0</v>
      </c>
      <c r="Z8" s="11" t="n">
        <v>-0</v>
      </c>
      <c r="AA8" s="11" t="n">
        <v>-0</v>
      </c>
      <c r="AB8" s="11" t="n">
        <v>-0</v>
      </c>
      <c r="AC8" s="11" t="n">
        <v>-0</v>
      </c>
      <c r="AD8" s="11" t="n">
        <v>-0.23</v>
      </c>
    </row>
    <row r="9">
      <c r="A9" s="10" t="inlineStr">
        <is>
          <t>유동자산 합계</t>
        </is>
      </c>
      <c r="D9" s="11" t="n">
        <v>254.1</v>
      </c>
      <c r="E9" s="11" t="n">
        <v>283.29</v>
      </c>
      <c r="F9" s="11" t="n">
        <v>289.91</v>
      </c>
      <c r="G9" s="11" t="n">
        <v>290.91</v>
      </c>
      <c r="H9" s="11" t="n">
        <v>286.61</v>
      </c>
      <c r="I9" s="11" t="n">
        <v>291.12</v>
      </c>
      <c r="J9" s="11" t="n">
        <v>302.34</v>
      </c>
      <c r="K9" s="11" t="n">
        <v>315.3</v>
      </c>
      <c r="L9" s="11" t="n">
        <v>315.42</v>
      </c>
      <c r="M9" s="11" t="n">
        <v>322.08</v>
      </c>
      <c r="N9" s="11" t="n">
        <v>317.14</v>
      </c>
      <c r="O9" s="11" t="n">
        <v>329.62</v>
      </c>
      <c r="P9" s="11" t="n">
        <v>325.72</v>
      </c>
      <c r="Q9" s="11" t="n">
        <v>335.17</v>
      </c>
      <c r="R9" s="11" t="n">
        <v>335.38</v>
      </c>
      <c r="S9" s="11" t="n">
        <v>346.91</v>
      </c>
      <c r="T9" s="11" t="n">
        <v>349.45</v>
      </c>
      <c r="U9" s="11" t="n">
        <v>358.7</v>
      </c>
      <c r="V9" s="11" t="n">
        <v>382.93</v>
      </c>
      <c r="W9" s="11" t="n">
        <v>237.65</v>
      </c>
      <c r="X9" s="11" t="n">
        <v>237.04</v>
      </c>
      <c r="Y9" s="11" t="n">
        <v>240.17</v>
      </c>
      <c r="Z9" s="11" t="n">
        <v>283.29</v>
      </c>
      <c r="AA9" s="11" t="n">
        <v>291.12</v>
      </c>
      <c r="AB9" s="11" t="n">
        <v>322.08</v>
      </c>
      <c r="AC9" s="11" t="n">
        <v>335.17</v>
      </c>
      <c r="AD9" s="11" t="n">
        <v>358.7</v>
      </c>
    </row>
    <row r="10">
      <c r="A10" s="10" t="inlineStr">
        <is>
          <t>건물·구축물</t>
        </is>
      </c>
      <c r="E10" s="11" t="n">
        <v>156.6</v>
      </c>
      <c r="F10" s="11" t="n">
        <v>156.6</v>
      </c>
      <c r="I10" s="11" t="n">
        <v>162.43</v>
      </c>
      <c r="M10" s="11" t="n">
        <v>165.73</v>
      </c>
      <c r="Q10" s="11" t="n">
        <v>168.58</v>
      </c>
      <c r="U10" s="11" t="n">
        <v>172.04</v>
      </c>
      <c r="W10" s="11" t="n">
        <v>149.36</v>
      </c>
      <c r="X10" s="11" t="n">
        <v>153.83</v>
      </c>
      <c r="Z10" s="11" t="n">
        <v>156.6</v>
      </c>
      <c r="AA10" s="11" t="n">
        <v>162.43</v>
      </c>
      <c r="AB10" s="11" t="n">
        <v>165.73</v>
      </c>
      <c r="AC10" s="11" t="n">
        <v>168.58</v>
      </c>
      <c r="AD10" s="11" t="n">
        <v>172.04</v>
      </c>
    </row>
    <row r="11">
      <c r="A11" s="10" t="inlineStr">
        <is>
          <t>감가상각누계액</t>
        </is>
      </c>
      <c r="E11" s="11" t="n">
        <v>-115.44</v>
      </c>
      <c r="F11" s="11" t="n">
        <v>-115.44</v>
      </c>
      <c r="I11" s="11" t="n">
        <v>-115.84</v>
      </c>
      <c r="M11" s="11" t="n">
        <v>-118.03</v>
      </c>
      <c r="Q11" s="11" t="n">
        <v>-120.39</v>
      </c>
      <c r="U11" s="11" t="n">
        <v>-120.65</v>
      </c>
      <c r="W11" s="11" t="n">
        <v>-111.66</v>
      </c>
      <c r="X11" s="11" t="n">
        <v>-111.96</v>
      </c>
      <c r="Z11" s="11" t="n">
        <v>-115.44</v>
      </c>
      <c r="AA11" s="11" t="n">
        <v>-115.84</v>
      </c>
      <c r="AB11" s="11" t="n">
        <v>-118.03</v>
      </c>
      <c r="AC11" s="11" t="n">
        <v>-120.39</v>
      </c>
      <c r="AD11" s="11" t="n">
        <v>-120.65</v>
      </c>
    </row>
    <row r="12">
      <c r="A12" s="10" t="inlineStr">
        <is>
          <t>건물·구축물(순액)</t>
        </is>
      </c>
      <c r="D12" s="11" t="n">
        <v>38.97</v>
      </c>
      <c r="E12" s="11" t="n">
        <v>41.16</v>
      </c>
      <c r="F12" s="11" t="n">
        <v>42.73</v>
      </c>
      <c r="G12" s="11" t="n">
        <v>42.16</v>
      </c>
      <c r="H12" s="11" t="n">
        <v>41.97</v>
      </c>
      <c r="I12" s="11" t="n">
        <v>46.58</v>
      </c>
      <c r="J12" s="11" t="n">
        <v>46.39</v>
      </c>
      <c r="K12" s="11" t="n">
        <v>47.04</v>
      </c>
      <c r="L12" s="11" t="n">
        <v>45.72</v>
      </c>
      <c r="M12" s="11" t="n">
        <v>47.7</v>
      </c>
      <c r="N12" s="11" t="n">
        <v>47.54</v>
      </c>
      <c r="O12" s="11" t="n">
        <v>48.72</v>
      </c>
      <c r="P12" s="11" t="n">
        <v>48.39</v>
      </c>
      <c r="Q12" s="11" t="n">
        <v>48.19</v>
      </c>
      <c r="R12" s="11" t="n">
        <v>48.61</v>
      </c>
      <c r="S12" s="11" t="n">
        <v>49.53</v>
      </c>
      <c r="T12" s="11" t="n">
        <v>49.64</v>
      </c>
      <c r="U12" s="11" t="n">
        <v>51.39</v>
      </c>
      <c r="V12" s="11" t="n">
        <v>52.33</v>
      </c>
      <c r="W12" s="11" t="n">
        <v>37.7</v>
      </c>
      <c r="X12" s="11" t="n">
        <v>41.87</v>
      </c>
      <c r="Y12" s="11" t="n">
        <v>39.74</v>
      </c>
      <c r="Z12" s="11" t="n">
        <v>41.16</v>
      </c>
      <c r="AA12" s="11" t="n">
        <v>46.58</v>
      </c>
      <c r="AB12" s="11" t="n">
        <v>47.7</v>
      </c>
      <c r="AC12" s="11" t="n">
        <v>48.19</v>
      </c>
      <c r="AD12" s="11" t="n">
        <v>51.39</v>
      </c>
    </row>
    <row r="13">
      <c r="A13" s="10" t="inlineStr">
        <is>
          <t>토지</t>
        </is>
      </c>
      <c r="E13" s="11" t="n">
        <v>1.75</v>
      </c>
      <c r="F13" s="11" t="n">
        <v>1.75</v>
      </c>
      <c r="I13" s="11" t="n">
        <v>6.48</v>
      </c>
      <c r="M13" s="11" t="n">
        <v>6.48</v>
      </c>
      <c r="Q13" s="11" t="n">
        <v>12.53</v>
      </c>
      <c r="U13" s="11" t="n">
        <v>12.28</v>
      </c>
      <c r="W13" s="11" t="n">
        <v>1.75</v>
      </c>
      <c r="X13" s="11" t="n">
        <v>1.75</v>
      </c>
      <c r="Z13" s="11" t="n">
        <v>1.75</v>
      </c>
      <c r="AA13" s="11" t="n">
        <v>6.48</v>
      </c>
      <c r="AB13" s="11" t="n">
        <v>6.48</v>
      </c>
      <c r="AC13" s="11" t="n">
        <v>12.53</v>
      </c>
      <c r="AD13" s="11" t="n">
        <v>12.28</v>
      </c>
    </row>
    <row r="14">
      <c r="A14" s="10" t="inlineStr">
        <is>
          <t>리스자산</t>
        </is>
      </c>
      <c r="E14" s="11" t="n">
        <v>22.24</v>
      </c>
      <c r="F14" s="11" t="n">
        <v>22.24</v>
      </c>
      <c r="I14" s="11" t="n">
        <v>39.01</v>
      </c>
      <c r="M14" s="11" t="n">
        <v>44.83</v>
      </c>
      <c r="Q14" s="11" t="n">
        <v>55.68</v>
      </c>
      <c r="U14" s="11" t="n">
        <v>60.51</v>
      </c>
      <c r="W14" s="11" t="n">
        <v>24.7</v>
      </c>
      <c r="X14" s="11" t="n">
        <v>26.17</v>
      </c>
      <c r="Z14" s="11" t="n">
        <v>22.24</v>
      </c>
      <c r="AA14" s="11" t="n">
        <v>39.01</v>
      </c>
      <c r="AB14" s="11" t="n">
        <v>44.83</v>
      </c>
      <c r="AC14" s="11" t="n">
        <v>55.68</v>
      </c>
      <c r="AD14" s="11" t="n">
        <v>60.51</v>
      </c>
    </row>
    <row r="15">
      <c r="A15" s="10" t="inlineStr">
        <is>
          <t>감가상각누계액</t>
        </is>
      </c>
      <c r="E15" s="11" t="n">
        <v>-10.72</v>
      </c>
      <c r="F15" s="11" t="n">
        <v>-10.72</v>
      </c>
      <c r="I15" s="11" t="n">
        <v>-11.97</v>
      </c>
      <c r="M15" s="11" t="n">
        <v>-13.76</v>
      </c>
      <c r="Q15" s="11" t="n">
        <v>-15.15</v>
      </c>
      <c r="U15" s="11" t="n">
        <v>-17.7</v>
      </c>
      <c r="W15" s="11" t="n">
        <v>-11.18</v>
      </c>
      <c r="X15" s="11" t="n">
        <v>-12.58</v>
      </c>
      <c r="Z15" s="11" t="n">
        <v>-10.72</v>
      </c>
      <c r="AA15" s="11" t="n">
        <v>-11.97</v>
      </c>
      <c r="AB15" s="11" t="n">
        <v>-13.76</v>
      </c>
      <c r="AC15" s="11" t="n">
        <v>-15.15</v>
      </c>
      <c r="AD15" s="11" t="n">
        <v>-17.7</v>
      </c>
    </row>
    <row r="16">
      <c r="A16" s="10" t="inlineStr">
        <is>
          <t>리스자산(순액)</t>
        </is>
      </c>
      <c r="D16" s="11" t="n">
        <v>10.81</v>
      </c>
      <c r="E16" s="11" t="n">
        <v>11.51</v>
      </c>
      <c r="F16" s="11" t="n">
        <v>19.99</v>
      </c>
      <c r="G16" s="11" t="n">
        <v>20.65</v>
      </c>
      <c r="H16" s="11" t="n">
        <v>22.3</v>
      </c>
      <c r="I16" s="11" t="n">
        <v>27.03</v>
      </c>
      <c r="J16" s="11" t="n">
        <v>29.86</v>
      </c>
      <c r="K16" s="11" t="n">
        <v>29.7</v>
      </c>
      <c r="L16" s="11" t="n">
        <v>31.16</v>
      </c>
      <c r="M16" s="11" t="n">
        <v>31.07</v>
      </c>
      <c r="N16" s="11" t="n">
        <v>33.05</v>
      </c>
      <c r="O16" s="11" t="n">
        <v>36.07</v>
      </c>
      <c r="P16" s="11" t="n">
        <v>42.43</v>
      </c>
      <c r="Q16" s="11" t="n">
        <v>40.53</v>
      </c>
      <c r="R16" s="11" t="n">
        <v>38.95</v>
      </c>
      <c r="S16" s="11" t="n">
        <v>39.39</v>
      </c>
      <c r="T16" s="11" t="n">
        <v>43.52</v>
      </c>
      <c r="U16" s="11" t="n">
        <v>42.8</v>
      </c>
      <c r="V16" s="11" t="n">
        <v>45.02</v>
      </c>
      <c r="W16" s="11" t="n">
        <v>13.52</v>
      </c>
      <c r="X16" s="11" t="n">
        <v>13.59</v>
      </c>
      <c r="Y16" s="11" t="n">
        <v>11.26</v>
      </c>
      <c r="Z16" s="11" t="n">
        <v>11.51</v>
      </c>
      <c r="AA16" s="11" t="n">
        <v>27.03</v>
      </c>
      <c r="AB16" s="11" t="n">
        <v>31.07</v>
      </c>
      <c r="AC16" s="11" t="n">
        <v>40.53</v>
      </c>
      <c r="AD16" s="11" t="n">
        <v>42.8</v>
      </c>
    </row>
    <row r="17">
      <c r="A17" s="10" t="inlineStr">
        <is>
          <t>건설중인자산</t>
        </is>
      </c>
      <c r="F17" s="11" t="n">
        <v>0.2</v>
      </c>
      <c r="W17" s="11" t="n">
        <v>0.01</v>
      </c>
      <c r="X17" s="11" t="n">
        <v>0.03</v>
      </c>
    </row>
    <row r="18">
      <c r="A18" s="10" t="inlineStr">
        <is>
          <t>기타</t>
        </is>
      </c>
      <c r="E18" s="11" t="n">
        <v>32.55</v>
      </c>
      <c r="F18" s="11" t="n">
        <v>32.35</v>
      </c>
      <c r="I18" s="11" t="n">
        <v>33.73</v>
      </c>
      <c r="M18" s="11" t="n">
        <v>38.76</v>
      </c>
      <c r="Q18" s="11" t="n">
        <v>42.21</v>
      </c>
      <c r="U18" s="11" t="n">
        <v>52.58</v>
      </c>
      <c r="W18" s="11" t="n">
        <v>24.67</v>
      </c>
      <c r="X18" s="11" t="n">
        <v>24.97</v>
      </c>
      <c r="Z18" s="11" t="n">
        <v>32.55</v>
      </c>
      <c r="AA18" s="11" t="n">
        <v>33.73</v>
      </c>
      <c r="AB18" s="11" t="n">
        <v>38.76</v>
      </c>
      <c r="AC18" s="11" t="n">
        <v>42.21</v>
      </c>
      <c r="AD18" s="11" t="n">
        <v>52.58</v>
      </c>
    </row>
    <row r="19">
      <c r="A19" s="10" t="inlineStr">
        <is>
          <t>감가상각누계액</t>
        </is>
      </c>
      <c r="E19" s="11" t="n">
        <v>-24.83</v>
      </c>
      <c r="F19" s="11" t="n">
        <v>-24.83</v>
      </c>
      <c r="I19" s="11" t="n">
        <v>-25.31</v>
      </c>
      <c r="M19" s="11" t="n">
        <v>-25.47</v>
      </c>
      <c r="Q19" s="11" t="n">
        <v>-26.05</v>
      </c>
      <c r="U19" s="11" t="n">
        <v>-30.6</v>
      </c>
      <c r="W19" s="11" t="n">
        <v>-18.33</v>
      </c>
      <c r="X19" s="11" t="n">
        <v>-19.49</v>
      </c>
      <c r="Z19" s="11" t="n">
        <v>-24.83</v>
      </c>
      <c r="AA19" s="11" t="n">
        <v>-25.31</v>
      </c>
      <c r="AB19" s="11" t="n">
        <v>-25.47</v>
      </c>
      <c r="AC19" s="11" t="n">
        <v>-26.05</v>
      </c>
      <c r="AD19" s="11" t="n">
        <v>-30.6</v>
      </c>
    </row>
    <row r="20">
      <c r="A20" s="10" t="inlineStr">
        <is>
          <t>기타(순액)</t>
        </is>
      </c>
      <c r="D20" s="11" t="n">
        <v>8.83</v>
      </c>
      <c r="E20" s="11" t="n">
        <v>7.71</v>
      </c>
      <c r="F20" s="11" t="n">
        <v>14.04</v>
      </c>
      <c r="G20" s="11" t="n">
        <v>14.05</v>
      </c>
      <c r="H20" s="11" t="n">
        <v>14.32</v>
      </c>
      <c r="I20" s="11" t="n">
        <v>8.42</v>
      </c>
      <c r="J20" s="11" t="n">
        <v>16.21</v>
      </c>
      <c r="K20" s="11" t="n">
        <v>17.63</v>
      </c>
      <c r="L20" s="11" t="n">
        <v>18.28</v>
      </c>
      <c r="M20" s="11" t="n">
        <v>13.28</v>
      </c>
      <c r="N20" s="11" t="n">
        <v>26.48</v>
      </c>
      <c r="O20" s="11" t="n">
        <v>27.46</v>
      </c>
      <c r="P20" s="11" t="n">
        <v>28.08</v>
      </c>
      <c r="Q20" s="11" t="n">
        <v>16.16</v>
      </c>
      <c r="R20" s="11" t="n">
        <v>28.49</v>
      </c>
      <c r="S20" s="11" t="n">
        <v>31.16</v>
      </c>
      <c r="T20" s="11" t="n">
        <v>33.8</v>
      </c>
      <c r="U20" s="11" t="n">
        <v>34.27</v>
      </c>
      <c r="V20" s="11" t="n">
        <v>35.75</v>
      </c>
      <c r="W20" s="11" t="n">
        <v>6.33</v>
      </c>
      <c r="X20" s="11" t="n">
        <v>5.48</v>
      </c>
      <c r="Y20" s="11" t="n">
        <v>7.47</v>
      </c>
      <c r="Z20" s="11" t="n">
        <v>7.71</v>
      </c>
      <c r="AA20" s="11" t="n">
        <v>8.42</v>
      </c>
      <c r="AB20" s="11" t="n">
        <v>13.28</v>
      </c>
      <c r="AC20" s="11" t="n">
        <v>16.16</v>
      </c>
      <c r="AD20" s="11" t="n">
        <v>34.27</v>
      </c>
    </row>
    <row r="21">
      <c r="A21" s="10" t="inlineStr">
        <is>
          <t>유형자산 합계</t>
        </is>
      </c>
      <c r="D21" s="11" t="n">
        <v>58.62</v>
      </c>
      <c r="E21" s="11" t="n">
        <v>62.14</v>
      </c>
      <c r="F21" s="11" t="n">
        <v>76.78</v>
      </c>
      <c r="G21" s="11" t="n">
        <v>76.87</v>
      </c>
      <c r="H21" s="11" t="n">
        <v>78.59999999999999</v>
      </c>
      <c r="I21" s="11" t="n">
        <v>88.52</v>
      </c>
      <c r="J21" s="11" t="n">
        <v>92.45999999999999</v>
      </c>
      <c r="K21" s="11" t="n">
        <v>94.38</v>
      </c>
      <c r="L21" s="11" t="n">
        <v>95.18000000000001</v>
      </c>
      <c r="M21" s="11" t="n">
        <v>98.54000000000001</v>
      </c>
      <c r="N21" s="11" t="n">
        <v>107.09</v>
      </c>
      <c r="O21" s="11" t="n">
        <v>112.26</v>
      </c>
      <c r="P21" s="11" t="n">
        <v>118.91</v>
      </c>
      <c r="Q21" s="11" t="n">
        <v>117.42</v>
      </c>
      <c r="R21" s="11" t="n">
        <v>116.06</v>
      </c>
      <c r="S21" s="11" t="n">
        <v>120.09</v>
      </c>
      <c r="T21" s="11" t="n">
        <v>126.96</v>
      </c>
      <c r="U21" s="11" t="n">
        <v>128.47</v>
      </c>
      <c r="V21" s="11" t="n">
        <v>133.12</v>
      </c>
      <c r="W21" s="11" t="n">
        <v>59.32</v>
      </c>
      <c r="X21" s="11" t="n">
        <v>62.73</v>
      </c>
      <c r="Y21" s="11" t="n">
        <v>58.48</v>
      </c>
      <c r="Z21" s="11" t="n">
        <v>62.14</v>
      </c>
      <c r="AA21" s="11" t="n">
        <v>88.52</v>
      </c>
      <c r="AB21" s="11" t="n">
        <v>98.54000000000001</v>
      </c>
      <c r="AC21" s="11" t="n">
        <v>117.42</v>
      </c>
      <c r="AD21" s="11" t="n">
        <v>128.47</v>
      </c>
    </row>
    <row r="22">
      <c r="A22" s="10" t="inlineStr">
        <is>
          <t>영업권</t>
        </is>
      </c>
      <c r="D22" s="11" t="n">
        <v>1.11</v>
      </c>
      <c r="E22" s="11" t="n">
        <v>0.87</v>
      </c>
      <c r="F22" s="11" t="n">
        <v>0.75</v>
      </c>
      <c r="G22" s="11" t="n">
        <v>0.63</v>
      </c>
      <c r="H22" s="11" t="n">
        <v>0.51</v>
      </c>
      <c r="W22" s="11" t="n">
        <v>0.84</v>
      </c>
      <c r="X22" s="11" t="n">
        <v>7.93</v>
      </c>
      <c r="Y22" s="11" t="n">
        <v>1.36</v>
      </c>
      <c r="Z22" s="11" t="n">
        <v>0.87</v>
      </c>
    </row>
    <row r="23">
      <c r="A23" s="10" t="inlineStr">
        <is>
          <t>리스자산</t>
        </is>
      </c>
      <c r="F23" s="11" t="n">
        <v>0.02</v>
      </c>
      <c r="W23" s="11" t="n">
        <v>0.12</v>
      </c>
      <c r="X23" s="11" t="n">
        <v>0.06</v>
      </c>
    </row>
    <row r="24">
      <c r="A24" s="10" t="inlineStr">
        <is>
          <t>소프트웨어</t>
        </is>
      </c>
      <c r="E24" s="11" t="n">
        <v>5.47</v>
      </c>
      <c r="I24" s="11" t="n">
        <v>3.82</v>
      </c>
      <c r="J24" s="11" t="n">
        <v>3.57</v>
      </c>
      <c r="K24" s="11" t="n">
        <v>23.65</v>
      </c>
      <c r="L24" s="11" t="n">
        <v>23.07</v>
      </c>
      <c r="M24" s="11" t="n">
        <v>21.86</v>
      </c>
      <c r="N24" s="11" t="n">
        <v>22.57</v>
      </c>
      <c r="O24" s="11" t="n">
        <v>21.42</v>
      </c>
      <c r="P24" s="11" t="n">
        <v>20.17</v>
      </c>
      <c r="Q24" s="11" t="n">
        <v>19.89</v>
      </c>
      <c r="R24" s="11" t="n">
        <v>18.68</v>
      </c>
      <c r="S24" s="11" t="n">
        <v>17.34</v>
      </c>
      <c r="T24" s="11" t="n">
        <v>15.99</v>
      </c>
      <c r="U24" s="11" t="n">
        <v>17.04</v>
      </c>
      <c r="V24" s="11" t="n">
        <v>16.33</v>
      </c>
      <c r="Z24" s="11" t="n">
        <v>5.47</v>
      </c>
      <c r="AA24" s="11" t="n">
        <v>3.82</v>
      </c>
      <c r="AB24" s="11" t="n">
        <v>21.86</v>
      </c>
      <c r="AC24" s="11" t="n">
        <v>19.89</v>
      </c>
      <c r="AD24" s="11" t="n">
        <v>17.04</v>
      </c>
    </row>
    <row r="25">
      <c r="A25" s="10" t="inlineStr">
        <is>
          <t>개발 중 소프트웨어</t>
        </is>
      </c>
      <c r="E25" s="11" t="n">
        <v>9.470000000000001</v>
      </c>
      <c r="I25" s="11" t="n">
        <v>19.98</v>
      </c>
      <c r="J25" s="11" t="n">
        <v>21.26</v>
      </c>
      <c r="K25" s="11" t="n">
        <v>1</v>
      </c>
      <c r="L25" s="11" t="n">
        <v>1.29</v>
      </c>
      <c r="M25" s="11" t="n">
        <v>2.12</v>
      </c>
      <c r="N25" s="11" t="n">
        <v>1.14</v>
      </c>
      <c r="O25" s="11" t="n">
        <v>1.74</v>
      </c>
      <c r="P25" s="11" t="n">
        <v>2.05</v>
      </c>
      <c r="Q25" s="11" t="n">
        <v>1.03</v>
      </c>
      <c r="R25" s="11" t="n">
        <v>1.52</v>
      </c>
      <c r="S25" s="11" t="n">
        <v>1.73</v>
      </c>
      <c r="T25" s="11" t="n">
        <v>2.32</v>
      </c>
      <c r="U25" s="11" t="n">
        <v>0.8100000000000001</v>
      </c>
      <c r="V25" s="11" t="n">
        <v>0.8</v>
      </c>
      <c r="Z25" s="11" t="n">
        <v>9.470000000000001</v>
      </c>
      <c r="AA25" s="11" t="n">
        <v>19.98</v>
      </c>
      <c r="AB25" s="11" t="n">
        <v>2.12</v>
      </c>
      <c r="AC25" s="11" t="n">
        <v>1.03</v>
      </c>
      <c r="AD25" s="11" t="n">
        <v>0.8100000000000001</v>
      </c>
    </row>
    <row r="26">
      <c r="A26" s="10" t="inlineStr">
        <is>
          <t>기타</t>
        </is>
      </c>
      <c r="D26" s="11" t="n">
        <v>12.67</v>
      </c>
      <c r="E26" s="11" t="n">
        <v>1.12</v>
      </c>
      <c r="F26" s="11" t="n">
        <v>17.93</v>
      </c>
      <c r="G26" s="11" t="n">
        <v>21.21</v>
      </c>
      <c r="H26" s="11" t="n">
        <v>22.92</v>
      </c>
      <c r="I26" s="11" t="n">
        <v>0.63</v>
      </c>
      <c r="J26" s="11" t="n">
        <v>0.51</v>
      </c>
      <c r="K26" s="11" t="n">
        <v>0.44</v>
      </c>
      <c r="L26" s="11" t="n">
        <v>0.36</v>
      </c>
      <c r="M26" s="11" t="n">
        <v>0.29</v>
      </c>
      <c r="N26" s="11" t="n">
        <v>0.28</v>
      </c>
      <c r="O26" s="11" t="n">
        <v>0.27</v>
      </c>
      <c r="P26" s="11" t="n">
        <v>0.26</v>
      </c>
      <c r="Q26" s="11" t="n">
        <v>0.25</v>
      </c>
      <c r="R26" s="11" t="n">
        <v>0.89</v>
      </c>
      <c r="S26" s="11" t="n">
        <v>0.85</v>
      </c>
      <c r="T26" s="11" t="n">
        <v>0.8100000000000001</v>
      </c>
      <c r="U26" s="11" t="n">
        <v>0.78</v>
      </c>
      <c r="V26" s="11" t="n">
        <v>0.9399999999999999</v>
      </c>
      <c r="W26" s="11" t="n">
        <v>11.07</v>
      </c>
      <c r="X26" s="11" t="n">
        <v>12.03</v>
      </c>
      <c r="Y26" s="11" t="n">
        <v>10.84</v>
      </c>
      <c r="Z26" s="11" t="n">
        <v>1.12</v>
      </c>
      <c r="AA26" s="11" t="n">
        <v>0.63</v>
      </c>
      <c r="AB26" s="11" t="n">
        <v>0.29</v>
      </c>
      <c r="AC26" s="11" t="n">
        <v>0.25</v>
      </c>
      <c r="AD26" s="11" t="n">
        <v>0.78</v>
      </c>
    </row>
    <row r="27">
      <c r="A27" s="10" t="inlineStr">
        <is>
          <t>무형자산 합계</t>
        </is>
      </c>
      <c r="D27" s="11" t="n">
        <v>13.79</v>
      </c>
      <c r="E27" s="11" t="n">
        <v>16.07</v>
      </c>
      <c r="F27" s="11" t="n">
        <v>18.69</v>
      </c>
      <c r="G27" s="11" t="n">
        <v>21.84</v>
      </c>
      <c r="H27" s="11" t="n">
        <v>23.43</v>
      </c>
      <c r="I27" s="11" t="n">
        <v>24.43</v>
      </c>
      <c r="J27" s="11" t="n">
        <v>25.36</v>
      </c>
      <c r="K27" s="11" t="n">
        <v>25.1</v>
      </c>
      <c r="L27" s="11" t="n">
        <v>24.73</v>
      </c>
      <c r="M27" s="11" t="n">
        <v>24.28</v>
      </c>
      <c r="N27" s="11" t="n">
        <v>24</v>
      </c>
      <c r="O27" s="11" t="n">
        <v>23.44</v>
      </c>
      <c r="P27" s="11" t="n">
        <v>22.49</v>
      </c>
      <c r="Q27" s="11" t="n">
        <v>21.18</v>
      </c>
      <c r="R27" s="11" t="n">
        <v>21.1</v>
      </c>
      <c r="S27" s="11" t="n">
        <v>19.92</v>
      </c>
      <c r="T27" s="11" t="n">
        <v>19.13</v>
      </c>
      <c r="U27" s="11" t="n">
        <v>18.64</v>
      </c>
      <c r="V27" s="11" t="n">
        <v>18.09</v>
      </c>
      <c r="W27" s="11" t="n">
        <v>12.04</v>
      </c>
      <c r="X27" s="11" t="n">
        <v>20.03</v>
      </c>
      <c r="Y27" s="11" t="n">
        <v>12.2</v>
      </c>
      <c r="Z27" s="11" t="n">
        <v>16.07</v>
      </c>
      <c r="AA27" s="11" t="n">
        <v>24.43</v>
      </c>
      <c r="AB27" s="11" t="n">
        <v>24.28</v>
      </c>
      <c r="AC27" s="11" t="n">
        <v>21.18</v>
      </c>
      <c r="AD27" s="11" t="n">
        <v>18.64</v>
      </c>
    </row>
    <row r="28">
      <c r="A28" s="10" t="inlineStr">
        <is>
          <t>투자유가증권</t>
        </is>
      </c>
      <c r="E28" s="11" t="n">
        <v>3.48</v>
      </c>
      <c r="F28" s="11" t="n">
        <v>3.48</v>
      </c>
      <c r="I28" s="11" t="n">
        <v>3.34</v>
      </c>
      <c r="M28" s="11" t="n">
        <v>3.05</v>
      </c>
      <c r="Q28" s="11" t="n">
        <v>2.96</v>
      </c>
      <c r="U28" s="11" t="n">
        <v>2.31</v>
      </c>
      <c r="W28" s="11" t="n">
        <v>4.55</v>
      </c>
      <c r="X28" s="11" t="n">
        <v>3.41</v>
      </c>
      <c r="Z28" s="11" t="n">
        <v>3.48</v>
      </c>
      <c r="AA28" s="11" t="n">
        <v>3.34</v>
      </c>
      <c r="AB28" s="11" t="n">
        <v>3.05</v>
      </c>
      <c r="AC28" s="11" t="n">
        <v>2.96</v>
      </c>
      <c r="AD28" s="11" t="n">
        <v>2.31</v>
      </c>
    </row>
    <row r="29">
      <c r="A29" s="10" t="inlineStr">
        <is>
          <t>이연법인세자산</t>
        </is>
      </c>
      <c r="E29" s="11" t="n">
        <v>12.02</v>
      </c>
      <c r="F29" s="11" t="n">
        <v>12.02</v>
      </c>
      <c r="I29" s="11" t="n">
        <v>20.9</v>
      </c>
      <c r="M29" s="11" t="n">
        <v>23.51</v>
      </c>
      <c r="Q29" s="11" t="n">
        <v>23.35</v>
      </c>
      <c r="U29" s="11" t="n">
        <v>25.39</v>
      </c>
      <c r="W29" s="11" t="n">
        <v>16.43</v>
      </c>
      <c r="X29" s="11" t="n">
        <v>15.43</v>
      </c>
      <c r="Z29" s="11" t="n">
        <v>12.02</v>
      </c>
      <c r="AA29" s="11" t="n">
        <v>20.9</v>
      </c>
      <c r="AB29" s="11" t="n">
        <v>23.51</v>
      </c>
      <c r="AC29" s="11" t="n">
        <v>23.35</v>
      </c>
      <c r="AD29" s="11" t="n">
        <v>25.39</v>
      </c>
    </row>
    <row r="30">
      <c r="A30" s="10" t="inlineStr">
        <is>
          <t>보증금</t>
        </is>
      </c>
      <c r="D30" s="11" t="n">
        <v>72.91</v>
      </c>
      <c r="E30" s="11" t="n">
        <v>73.06</v>
      </c>
      <c r="F30" s="11" t="n">
        <v>73.3</v>
      </c>
      <c r="G30" s="11" t="n">
        <v>71.81999999999999</v>
      </c>
      <c r="H30" s="11" t="n">
        <v>71.98999999999999</v>
      </c>
      <c r="I30" s="11" t="n">
        <v>72.95999999999999</v>
      </c>
      <c r="J30" s="11" t="n">
        <v>73.06999999999999</v>
      </c>
      <c r="K30" s="11" t="n">
        <v>73.36</v>
      </c>
      <c r="L30" s="11" t="n">
        <v>73.14</v>
      </c>
      <c r="M30" s="11" t="n">
        <v>73.11</v>
      </c>
      <c r="N30" s="11" t="n">
        <v>73.40000000000001</v>
      </c>
      <c r="O30" s="11" t="n">
        <v>73.41</v>
      </c>
      <c r="P30" s="11" t="n">
        <v>72.59999999999999</v>
      </c>
      <c r="Q30" s="11" t="n">
        <v>72.86</v>
      </c>
      <c r="R30" s="11" t="n">
        <v>72.90000000000001</v>
      </c>
      <c r="S30" s="11" t="n">
        <v>73.97</v>
      </c>
      <c r="T30" s="11" t="n">
        <v>75.06</v>
      </c>
      <c r="U30" s="11" t="n">
        <v>74.92</v>
      </c>
      <c r="V30" s="11" t="n">
        <v>74.61</v>
      </c>
      <c r="W30" s="11" t="n">
        <v>75.3</v>
      </c>
      <c r="X30" s="11" t="n">
        <v>75.61</v>
      </c>
      <c r="Y30" s="11" t="n">
        <v>74.92</v>
      </c>
      <c r="Z30" s="11" t="n">
        <v>73.06</v>
      </c>
      <c r="AA30" s="11" t="n">
        <v>72.95999999999999</v>
      </c>
      <c r="AB30" s="11" t="n">
        <v>73.11</v>
      </c>
      <c r="AC30" s="11" t="n">
        <v>72.86</v>
      </c>
      <c r="AD30" s="11" t="n">
        <v>74.92</v>
      </c>
    </row>
    <row r="31">
      <c r="A31" s="10" t="inlineStr">
        <is>
          <t>기타</t>
        </is>
      </c>
      <c r="D31" s="11" t="n">
        <v>17.8</v>
      </c>
      <c r="E31" s="11" t="n">
        <v>1.46</v>
      </c>
      <c r="F31" s="11" t="n">
        <v>18.87</v>
      </c>
      <c r="G31" s="11" t="n">
        <v>18.25</v>
      </c>
      <c r="H31" s="11" t="n">
        <v>15.28</v>
      </c>
      <c r="I31" s="11" t="n">
        <v>1.44</v>
      </c>
      <c r="J31" s="11" t="n">
        <v>24.86</v>
      </c>
      <c r="K31" s="11" t="n">
        <v>25.4</v>
      </c>
      <c r="L31" s="11" t="n">
        <v>24.96</v>
      </c>
      <c r="M31" s="11" t="n">
        <v>1.45</v>
      </c>
      <c r="N31" s="11" t="n">
        <v>24.24</v>
      </c>
      <c r="O31" s="11" t="n">
        <v>25.92</v>
      </c>
      <c r="P31" s="11" t="n">
        <v>24.55</v>
      </c>
      <c r="Q31" s="11" t="n">
        <v>1.45</v>
      </c>
      <c r="R31" s="11" t="n">
        <v>27.78</v>
      </c>
      <c r="S31" s="11" t="n">
        <v>26.62</v>
      </c>
      <c r="T31" s="11" t="n">
        <v>26.12</v>
      </c>
      <c r="U31" s="11" t="n">
        <v>29.93</v>
      </c>
      <c r="V31" s="11" t="n">
        <v>28.22</v>
      </c>
      <c r="W31" s="11" t="n">
        <v>1.75</v>
      </c>
      <c r="X31" s="11" t="n">
        <v>1.66</v>
      </c>
      <c r="Y31" s="11" t="n">
        <v>18.03</v>
      </c>
      <c r="Z31" s="11" t="n">
        <v>1.46</v>
      </c>
      <c r="AA31" s="11" t="n">
        <v>1.44</v>
      </c>
      <c r="AB31" s="11" t="n">
        <v>1.45</v>
      </c>
      <c r="AC31" s="11" t="n">
        <v>1.45</v>
      </c>
      <c r="AD31" s="11" t="n">
        <v>29.93</v>
      </c>
    </row>
    <row r="32">
      <c r="A32" s="10" t="inlineStr">
        <is>
          <t>대손충당금</t>
        </is>
      </c>
      <c r="D32" s="11" t="n">
        <v>-0.6</v>
      </c>
      <c r="E32" s="11" t="n">
        <v>-0.6</v>
      </c>
      <c r="F32" s="11" t="n">
        <v>-0.6</v>
      </c>
      <c r="G32" s="11" t="n">
        <v>-0.6</v>
      </c>
      <c r="H32" s="11" t="n">
        <v>-0.6</v>
      </c>
      <c r="I32" s="11" t="n">
        <v>-0.6</v>
      </c>
      <c r="J32" s="11" t="n">
        <v>-0.6</v>
      </c>
      <c r="K32" s="11" t="n">
        <v>-0.6</v>
      </c>
      <c r="L32" s="11" t="n">
        <v>-0.6</v>
      </c>
      <c r="M32" s="11" t="n">
        <v>-0.6</v>
      </c>
      <c r="N32" s="11" t="n">
        <v>-0.6</v>
      </c>
      <c r="O32" s="11" t="n">
        <v>-0.6</v>
      </c>
      <c r="P32" s="11" t="n">
        <v>-0.6</v>
      </c>
      <c r="Q32" s="11" t="n">
        <v>-0.6</v>
      </c>
      <c r="R32" s="11" t="n">
        <v>-1.3</v>
      </c>
      <c r="S32" s="11" t="n">
        <v>-1.3</v>
      </c>
      <c r="T32" s="11" t="n">
        <v>-1.3</v>
      </c>
      <c r="U32" s="11" t="n">
        <v>-1.3</v>
      </c>
      <c r="V32" s="11" t="n">
        <v>-1.07</v>
      </c>
      <c r="W32" s="11" t="n">
        <v>-0.6</v>
      </c>
      <c r="X32" s="11" t="n">
        <v>-0.6</v>
      </c>
      <c r="Y32" s="11" t="n">
        <v>-0.6</v>
      </c>
      <c r="Z32" s="11" t="n">
        <v>-0.6</v>
      </c>
      <c r="AA32" s="11" t="n">
        <v>-0.6</v>
      </c>
      <c r="AB32" s="11" t="n">
        <v>-0.6</v>
      </c>
      <c r="AC32" s="11" t="n">
        <v>-0.6</v>
      </c>
      <c r="AD32" s="11" t="n">
        <v>-1.3</v>
      </c>
    </row>
    <row r="33">
      <c r="A33" s="10" t="inlineStr">
        <is>
          <t>투자 및 기타자산 합계</t>
        </is>
      </c>
      <c r="D33" s="11" t="n">
        <v>90.11</v>
      </c>
      <c r="E33" s="11" t="n">
        <v>89.43000000000001</v>
      </c>
      <c r="F33" s="11" t="n">
        <v>91.56999999999999</v>
      </c>
      <c r="G33" s="11" t="n">
        <v>89.47</v>
      </c>
      <c r="H33" s="11" t="n">
        <v>86.67</v>
      </c>
      <c r="I33" s="11" t="n">
        <v>98.04000000000001</v>
      </c>
      <c r="J33" s="11" t="n">
        <v>97.33</v>
      </c>
      <c r="K33" s="11" t="n">
        <v>98.15000000000001</v>
      </c>
      <c r="L33" s="11" t="n">
        <v>97.5</v>
      </c>
      <c r="M33" s="11" t="n">
        <v>100.52</v>
      </c>
      <c r="N33" s="11" t="n">
        <v>97.04000000000001</v>
      </c>
      <c r="O33" s="11" t="n">
        <v>98.73</v>
      </c>
      <c r="P33" s="11" t="n">
        <v>96.55</v>
      </c>
      <c r="Q33" s="11" t="n">
        <v>100.02</v>
      </c>
      <c r="R33" s="11" t="n">
        <v>99.38</v>
      </c>
      <c r="S33" s="11" t="n">
        <v>99.28</v>
      </c>
      <c r="T33" s="11" t="n">
        <v>99.87</v>
      </c>
      <c r="U33" s="11" t="n">
        <v>103.54</v>
      </c>
      <c r="V33" s="11" t="n">
        <v>101.75</v>
      </c>
      <c r="W33" s="11" t="n">
        <v>97.44</v>
      </c>
      <c r="X33" s="11" t="n">
        <v>95.53</v>
      </c>
      <c r="Y33" s="11" t="n">
        <v>92.34</v>
      </c>
      <c r="Z33" s="11" t="n">
        <v>89.43000000000001</v>
      </c>
      <c r="AA33" s="11" t="n">
        <v>98.04000000000001</v>
      </c>
      <c r="AB33" s="11" t="n">
        <v>100.52</v>
      </c>
      <c r="AC33" s="11" t="n">
        <v>100.02</v>
      </c>
      <c r="AD33" s="11" t="n">
        <v>103.54</v>
      </c>
    </row>
    <row r="34">
      <c r="A34" s="10" t="inlineStr">
        <is>
          <t>비유동자산 합계</t>
        </is>
      </c>
      <c r="D34" s="11" t="n">
        <v>162.53</v>
      </c>
      <c r="E34" s="11" t="n">
        <v>167.66</v>
      </c>
      <c r="F34" s="11" t="n">
        <v>187.04</v>
      </c>
      <c r="G34" s="11" t="n">
        <v>188.19</v>
      </c>
      <c r="H34" s="11" t="n">
        <v>188.71</v>
      </c>
      <c r="I34" s="11" t="n">
        <v>211.01</v>
      </c>
      <c r="J34" s="11" t="n">
        <v>215.16</v>
      </c>
      <c r="K34" s="11" t="n">
        <v>217.64</v>
      </c>
      <c r="L34" s="11" t="n">
        <v>217.42</v>
      </c>
      <c r="M34" s="11" t="n">
        <v>223.34</v>
      </c>
      <c r="N34" s="11" t="n">
        <v>228.13</v>
      </c>
      <c r="O34" s="11" t="n">
        <v>234.44</v>
      </c>
      <c r="P34" s="11" t="n">
        <v>237.96</v>
      </c>
      <c r="Q34" s="11" t="n">
        <v>238.63</v>
      </c>
      <c r="R34" s="11" t="n">
        <v>236.55</v>
      </c>
      <c r="S34" s="11" t="n">
        <v>239.31</v>
      </c>
      <c r="T34" s="11" t="n">
        <v>245.98</v>
      </c>
      <c r="U34" s="11" t="n">
        <v>250.66</v>
      </c>
      <c r="V34" s="11" t="n">
        <v>252.97</v>
      </c>
      <c r="W34" s="11" t="n">
        <v>168.82</v>
      </c>
      <c r="X34" s="11" t="n">
        <v>178.3</v>
      </c>
      <c r="Y34" s="11" t="n">
        <v>163.04</v>
      </c>
      <c r="Z34" s="11" t="n">
        <v>167.66</v>
      </c>
      <c r="AA34" s="11" t="n">
        <v>211.01</v>
      </c>
      <c r="AB34" s="11" t="n">
        <v>223.34</v>
      </c>
      <c r="AC34" s="11" t="n">
        <v>238.63</v>
      </c>
      <c r="AD34" s="11" t="n">
        <v>250.66</v>
      </c>
    </row>
    <row r="35">
      <c r="A35" s="10" t="inlineStr">
        <is>
          <t>자산 합계</t>
        </is>
      </c>
      <c r="D35" s="11" t="n">
        <v>416.64</v>
      </c>
      <c r="E35" s="11" t="n">
        <v>450.96</v>
      </c>
      <c r="F35" s="11" t="n">
        <v>476.95</v>
      </c>
      <c r="G35" s="11" t="n">
        <v>479.11</v>
      </c>
      <c r="H35" s="11" t="n">
        <v>475.32</v>
      </c>
      <c r="I35" s="11" t="n">
        <v>502.13</v>
      </c>
      <c r="J35" s="11" t="n">
        <v>517.5</v>
      </c>
      <c r="K35" s="11" t="n">
        <v>532.95</v>
      </c>
      <c r="L35" s="11" t="n">
        <v>532.84</v>
      </c>
      <c r="M35" s="11" t="n">
        <v>545.42</v>
      </c>
      <c r="N35" s="11" t="n">
        <v>545.27</v>
      </c>
      <c r="O35" s="11" t="n">
        <v>564.0599999999999</v>
      </c>
      <c r="P35" s="11" t="n">
        <v>563.6900000000001</v>
      </c>
      <c r="Q35" s="11" t="n">
        <v>573.8</v>
      </c>
      <c r="R35" s="11" t="n">
        <v>571.9299999999999</v>
      </c>
      <c r="S35" s="11" t="n">
        <v>586.23</v>
      </c>
      <c r="T35" s="11" t="n">
        <v>595.4299999999999</v>
      </c>
      <c r="U35" s="11" t="n">
        <v>609.37</v>
      </c>
      <c r="V35" s="11" t="n">
        <v>635.9</v>
      </c>
      <c r="W35" s="11" t="n">
        <v>406.47</v>
      </c>
      <c r="X35" s="11" t="n">
        <v>415.35</v>
      </c>
      <c r="Y35" s="11" t="n">
        <v>403.21</v>
      </c>
      <c r="Z35" s="11" t="n">
        <v>450.96</v>
      </c>
      <c r="AA35" s="11" t="n">
        <v>502.13</v>
      </c>
      <c r="AB35" s="11" t="n">
        <v>545.42</v>
      </c>
      <c r="AC35" s="11" t="n">
        <v>573.8</v>
      </c>
      <c r="AD35" s="11" t="n">
        <v>609.37</v>
      </c>
    </row>
    <row r="36">
      <c r="A36" s="10" t="inlineStr">
        <is>
          <t>매입채무</t>
        </is>
      </c>
      <c r="D36" s="11" t="n">
        <v>7.24</v>
      </c>
      <c r="E36" s="11" t="n">
        <v>7.35</v>
      </c>
      <c r="F36" s="11" t="n">
        <v>8.279999999999999</v>
      </c>
      <c r="G36" s="11" t="n">
        <v>8.279999999999999</v>
      </c>
      <c r="H36" s="11" t="n">
        <v>8.119999999999999</v>
      </c>
      <c r="I36" s="11" t="n">
        <v>8.140000000000001</v>
      </c>
      <c r="J36" s="11" t="n">
        <v>7.66</v>
      </c>
      <c r="K36" s="11" t="n">
        <v>8.98</v>
      </c>
      <c r="L36" s="11" t="n">
        <v>8.199999999999999</v>
      </c>
      <c r="M36" s="11" t="n">
        <v>7.83</v>
      </c>
      <c r="N36" s="11" t="n">
        <v>7.51</v>
      </c>
      <c r="O36" s="11" t="n">
        <v>9.07</v>
      </c>
      <c r="P36" s="11" t="n">
        <v>8.85</v>
      </c>
      <c r="Q36" s="11" t="n">
        <v>6.59</v>
      </c>
      <c r="R36" s="11" t="n">
        <v>7.96</v>
      </c>
      <c r="S36" s="11" t="n">
        <v>9.9</v>
      </c>
      <c r="T36" s="11" t="n">
        <v>10.01</v>
      </c>
      <c r="U36" s="11" t="n">
        <v>8.460000000000001</v>
      </c>
      <c r="V36" s="11" t="n">
        <v>11.06</v>
      </c>
      <c r="W36" s="11" t="n">
        <v>4.31</v>
      </c>
      <c r="X36" s="11" t="n">
        <v>4.59</v>
      </c>
      <c r="Y36" s="11" t="n">
        <v>5.6</v>
      </c>
      <c r="Z36" s="11" t="n">
        <v>7.35</v>
      </c>
      <c r="AA36" s="11" t="n">
        <v>8.140000000000001</v>
      </c>
      <c r="AB36" s="11" t="n">
        <v>7.83</v>
      </c>
      <c r="AC36" s="11" t="n">
        <v>6.59</v>
      </c>
      <c r="AD36" s="11" t="n">
        <v>8.460000000000001</v>
      </c>
    </row>
    <row r="37">
      <c r="A37" s="10" t="inlineStr">
        <is>
          <t>단기차입금</t>
        </is>
      </c>
      <c r="D37" s="11" t="n">
        <v>82.93000000000001</v>
      </c>
      <c r="E37" s="11" t="n">
        <v>48.83</v>
      </c>
      <c r="F37" s="11" t="n">
        <v>76.12</v>
      </c>
      <c r="G37" s="11" t="n">
        <v>69.58</v>
      </c>
      <c r="H37" s="11" t="n">
        <v>63.33</v>
      </c>
      <c r="I37" s="11" t="n">
        <v>63.83</v>
      </c>
      <c r="J37" s="11" t="n">
        <v>84.90000000000001</v>
      </c>
      <c r="K37" s="11" t="n">
        <v>89.09999999999999</v>
      </c>
      <c r="L37" s="11" t="n">
        <v>76.83</v>
      </c>
      <c r="M37" s="11" t="n">
        <v>63.33</v>
      </c>
      <c r="N37" s="11" t="n">
        <v>53.4</v>
      </c>
      <c r="O37" s="11" t="n">
        <v>66.59999999999999</v>
      </c>
      <c r="P37" s="11" t="n">
        <v>37.33</v>
      </c>
      <c r="Q37" s="11" t="n">
        <v>64.33</v>
      </c>
      <c r="R37" s="11" t="n">
        <v>82.90000000000001</v>
      </c>
      <c r="S37" s="11" t="n">
        <v>42.1</v>
      </c>
      <c r="T37" s="11" t="n">
        <v>36</v>
      </c>
      <c r="U37" s="11" t="n">
        <v>37.75</v>
      </c>
      <c r="V37" s="11" t="n">
        <v>86.7</v>
      </c>
      <c r="W37" s="11" t="n">
        <v>59.26</v>
      </c>
      <c r="X37" s="11" t="n">
        <v>59.6</v>
      </c>
      <c r="Y37" s="11" t="n">
        <v>72.31999999999999</v>
      </c>
      <c r="Z37" s="11" t="n">
        <v>48.83</v>
      </c>
      <c r="AA37" s="11" t="n">
        <v>63.83</v>
      </c>
      <c r="AB37" s="11" t="n">
        <v>63.33</v>
      </c>
      <c r="AC37" s="11" t="n">
        <v>64.33</v>
      </c>
      <c r="AD37" s="11" t="n">
        <v>37.75</v>
      </c>
    </row>
    <row r="38">
      <c r="A38" s="10" t="inlineStr">
        <is>
          <t>1년 내 상환 사채</t>
        </is>
      </c>
      <c r="M38" s="11" t="n">
        <v>0</v>
      </c>
      <c r="Q38" s="11" t="n">
        <v>6.6</v>
      </c>
      <c r="R38" s="11" t="n">
        <v>6.6</v>
      </c>
      <c r="S38" s="11" t="n">
        <v>6.6</v>
      </c>
      <c r="T38" s="11" t="n">
        <v>6.6</v>
      </c>
      <c r="U38" s="11" t="n">
        <v>16.6</v>
      </c>
      <c r="V38" s="11" t="n">
        <v>16.6</v>
      </c>
      <c r="AB38" s="11" t="n">
        <v>0</v>
      </c>
      <c r="AC38" s="11" t="n">
        <v>6.6</v>
      </c>
      <c r="AD38" s="11" t="n">
        <v>16.6</v>
      </c>
    </row>
    <row r="39">
      <c r="A39" s="10" t="inlineStr">
        <is>
          <t>1년 내 상환 장기차입금</t>
        </is>
      </c>
      <c r="D39" s="11" t="n">
        <v>33.85</v>
      </c>
      <c r="E39" s="11" t="n">
        <v>33.76</v>
      </c>
      <c r="F39" s="11" t="n">
        <v>30.78</v>
      </c>
      <c r="G39" s="11" t="n">
        <v>34.01</v>
      </c>
      <c r="H39" s="11" t="n">
        <v>33.5</v>
      </c>
      <c r="I39" s="11" t="n">
        <v>33.47</v>
      </c>
      <c r="J39" s="11" t="n">
        <v>46.85</v>
      </c>
      <c r="K39" s="11" t="n">
        <v>43.46</v>
      </c>
      <c r="L39" s="11" t="n">
        <v>44.41</v>
      </c>
      <c r="M39" s="11" t="n">
        <v>44.83</v>
      </c>
      <c r="N39" s="11" t="n">
        <v>29.64</v>
      </c>
      <c r="O39" s="11" t="n">
        <v>31.45</v>
      </c>
      <c r="P39" s="11" t="n">
        <v>30.89</v>
      </c>
      <c r="Q39" s="11" t="n">
        <v>30.27</v>
      </c>
      <c r="R39" s="11" t="n">
        <v>29.63</v>
      </c>
      <c r="S39" s="11" t="n">
        <v>36.35</v>
      </c>
      <c r="T39" s="11" t="n">
        <v>33.4</v>
      </c>
      <c r="U39" s="11" t="n">
        <v>34.83</v>
      </c>
      <c r="V39" s="11" t="n">
        <v>38.1</v>
      </c>
      <c r="W39" s="11" t="n">
        <v>37.16</v>
      </c>
      <c r="X39" s="11" t="n">
        <v>38.03</v>
      </c>
      <c r="Y39" s="11" t="n">
        <v>39.52</v>
      </c>
      <c r="Z39" s="11" t="n">
        <v>33.76</v>
      </c>
      <c r="AA39" s="11" t="n">
        <v>33.47</v>
      </c>
      <c r="AB39" s="11" t="n">
        <v>44.83</v>
      </c>
      <c r="AC39" s="11" t="n">
        <v>30.27</v>
      </c>
      <c r="AD39" s="11" t="n">
        <v>34.83</v>
      </c>
    </row>
    <row r="40">
      <c r="A40" s="10" t="inlineStr">
        <is>
          <t>리스부채</t>
        </is>
      </c>
      <c r="D40" s="11" t="n">
        <v>2.61</v>
      </c>
      <c r="E40" s="11" t="n">
        <v>2.55</v>
      </c>
      <c r="F40" s="11" t="n">
        <v>4.4</v>
      </c>
      <c r="G40" s="11" t="n">
        <v>4.45</v>
      </c>
      <c r="H40" s="11" t="n">
        <v>4.89</v>
      </c>
      <c r="I40" s="11" t="n">
        <v>6.54</v>
      </c>
      <c r="J40" s="11" t="n">
        <v>6.83</v>
      </c>
      <c r="K40" s="11" t="n">
        <v>6.95</v>
      </c>
      <c r="L40" s="11" t="n">
        <v>7.34</v>
      </c>
      <c r="M40" s="11" t="n">
        <v>7.64</v>
      </c>
      <c r="N40" s="11" t="n">
        <v>7.73</v>
      </c>
      <c r="O40" s="11" t="n">
        <v>8.26</v>
      </c>
      <c r="P40" s="11" t="n">
        <v>8.890000000000001</v>
      </c>
      <c r="Q40" s="11" t="n">
        <v>8.66</v>
      </c>
      <c r="R40" s="11" t="n">
        <v>8.41</v>
      </c>
      <c r="S40" s="11" t="n">
        <v>9.210000000000001</v>
      </c>
      <c r="T40" s="11" t="n">
        <v>9.74</v>
      </c>
      <c r="U40" s="11" t="n">
        <v>10.06</v>
      </c>
      <c r="V40" s="11" t="n">
        <v>10.12</v>
      </c>
      <c r="W40" s="11" t="n">
        <v>3.48</v>
      </c>
      <c r="X40" s="11" t="n">
        <v>4.17</v>
      </c>
      <c r="Y40" s="11" t="n">
        <v>2.97</v>
      </c>
      <c r="Z40" s="11" t="n">
        <v>2.55</v>
      </c>
      <c r="AA40" s="11" t="n">
        <v>6.54</v>
      </c>
      <c r="AB40" s="11" t="n">
        <v>7.64</v>
      </c>
      <c r="AC40" s="11" t="n">
        <v>8.66</v>
      </c>
      <c r="AD40" s="11" t="n">
        <v>10.06</v>
      </c>
    </row>
    <row r="41">
      <c r="A41" s="10" t="inlineStr">
        <is>
          <t>미지급금</t>
        </is>
      </c>
      <c r="E41" s="11" t="n">
        <v>28.81</v>
      </c>
      <c r="F41" s="11" t="n">
        <v>28.81</v>
      </c>
      <c r="I41" s="11" t="n">
        <v>29.71</v>
      </c>
      <c r="M41" s="11" t="n">
        <v>30.84</v>
      </c>
      <c r="Q41" s="11" t="n">
        <v>33.69</v>
      </c>
      <c r="U41" s="11" t="n">
        <v>37.04</v>
      </c>
      <c r="W41" s="11" t="n">
        <v>25.37</v>
      </c>
      <c r="X41" s="11" t="n">
        <v>24.16</v>
      </c>
      <c r="Z41" s="11" t="n">
        <v>28.81</v>
      </c>
      <c r="AA41" s="11" t="n">
        <v>29.71</v>
      </c>
      <c r="AB41" s="11" t="n">
        <v>30.84</v>
      </c>
      <c r="AC41" s="11" t="n">
        <v>33.69</v>
      </c>
      <c r="AD41" s="11" t="n">
        <v>37.04</v>
      </c>
    </row>
    <row r="42">
      <c r="A42" s="10" t="inlineStr">
        <is>
          <t>미지급법인세</t>
        </is>
      </c>
      <c r="D42" s="11" t="n">
        <v>2.04</v>
      </c>
      <c r="E42" s="11" t="n">
        <v>6.13</v>
      </c>
      <c r="F42" s="11" t="n">
        <v>1.53</v>
      </c>
      <c r="G42" s="11" t="n">
        <v>2.22</v>
      </c>
      <c r="H42" s="11" t="n">
        <v>0.8</v>
      </c>
      <c r="I42" s="11" t="n">
        <v>3.4</v>
      </c>
      <c r="J42" s="11" t="n">
        <v>1.82</v>
      </c>
      <c r="K42" s="11" t="n">
        <v>4.96</v>
      </c>
      <c r="L42" s="11" t="n">
        <v>7.24</v>
      </c>
      <c r="M42" s="11" t="n">
        <v>8.32</v>
      </c>
      <c r="N42" s="11" t="n">
        <v>1.12</v>
      </c>
      <c r="O42" s="11" t="n">
        <v>3.34</v>
      </c>
      <c r="P42" s="11" t="n">
        <v>2.21</v>
      </c>
      <c r="Q42" s="11" t="n">
        <v>5.62</v>
      </c>
      <c r="R42" s="11" t="n">
        <v>1.22</v>
      </c>
      <c r="S42" s="11" t="n">
        <v>3.7</v>
      </c>
      <c r="T42" s="11" t="n">
        <v>5.46</v>
      </c>
      <c r="U42" s="11" t="n">
        <v>10.18</v>
      </c>
      <c r="V42" s="11" t="n">
        <v>1.43</v>
      </c>
      <c r="W42" s="11" t="n">
        <v>1.35</v>
      </c>
      <c r="X42" s="11" t="n">
        <v>2.82</v>
      </c>
      <c r="Y42" s="11" t="n">
        <v>1.15</v>
      </c>
      <c r="Z42" s="11" t="n">
        <v>6.13</v>
      </c>
      <c r="AA42" s="11" t="n">
        <v>3.4</v>
      </c>
      <c r="AB42" s="11" t="n">
        <v>8.32</v>
      </c>
      <c r="AC42" s="11" t="n">
        <v>5.62</v>
      </c>
      <c r="AD42" s="11" t="n">
        <v>10.18</v>
      </c>
    </row>
    <row r="43">
      <c r="A43" s="10" t="inlineStr">
        <is>
          <t>매출리베이트 충당금</t>
        </is>
      </c>
      <c r="D43" s="11" t="n">
        <v>0</v>
      </c>
      <c r="E43" s="11" t="n">
        <v>0</v>
      </c>
      <c r="F43" s="11" t="n">
        <v>0</v>
      </c>
      <c r="W43" s="11" t="n">
        <v>5.46</v>
      </c>
      <c r="X43" s="11" t="n">
        <v>5.12</v>
      </c>
      <c r="Y43" s="11" t="n">
        <v>4.21</v>
      </c>
      <c r="Z43" s="11" t="n">
        <v>0</v>
      </c>
    </row>
    <row r="44">
      <c r="A44" s="10" t="inlineStr">
        <is>
          <t>상여충당금</t>
        </is>
      </c>
      <c r="D44" s="11" t="n">
        <v>5.39</v>
      </c>
      <c r="E44" s="11" t="n">
        <v>5.98</v>
      </c>
      <c r="F44" s="11" t="n">
        <v>3.08</v>
      </c>
      <c r="G44" s="11" t="n">
        <v>6.02</v>
      </c>
      <c r="H44" s="11" t="n">
        <v>3.29</v>
      </c>
      <c r="I44" s="11" t="n">
        <v>6.44</v>
      </c>
      <c r="J44" s="11" t="n">
        <v>3.27</v>
      </c>
      <c r="K44" s="11" t="n">
        <v>6.05</v>
      </c>
      <c r="L44" s="11" t="n">
        <v>3.49</v>
      </c>
      <c r="M44" s="11" t="n">
        <v>6.86</v>
      </c>
      <c r="N44" s="11" t="n">
        <v>3.48</v>
      </c>
      <c r="O44" s="11" t="n">
        <v>6.41</v>
      </c>
      <c r="P44" s="11" t="n">
        <v>4.39</v>
      </c>
      <c r="Q44" s="11" t="n">
        <v>8.51</v>
      </c>
      <c r="R44" s="11" t="n">
        <v>3.98</v>
      </c>
      <c r="S44" s="11" t="n">
        <v>7.48</v>
      </c>
      <c r="T44" s="11" t="n">
        <v>4.99</v>
      </c>
      <c r="U44" s="11" t="n">
        <v>12.18</v>
      </c>
      <c r="V44" s="11" t="n">
        <v>4.31</v>
      </c>
      <c r="X44" s="11" t="n">
        <v>3.92</v>
      </c>
      <c r="Y44" s="11" t="n">
        <v>5.82</v>
      </c>
      <c r="Z44" s="11" t="n">
        <v>5.98</v>
      </c>
      <c r="AA44" s="11" t="n">
        <v>6.44</v>
      </c>
      <c r="AB44" s="11" t="n">
        <v>6.86</v>
      </c>
      <c r="AC44" s="11" t="n">
        <v>8.51</v>
      </c>
      <c r="AD44" s="11" t="n">
        <v>12.18</v>
      </c>
    </row>
    <row r="45">
      <c r="A45" s="10" t="inlineStr">
        <is>
          <t>점포 폐쇄손실 충당금</t>
        </is>
      </c>
      <c r="M45" s="11" t="n">
        <v>0.24</v>
      </c>
      <c r="O45" s="11" t="n">
        <v>0.23</v>
      </c>
      <c r="Q45" s="11" t="n">
        <v>0.15</v>
      </c>
      <c r="S45" s="11" t="n">
        <v>0.27</v>
      </c>
      <c r="AB45" s="11" t="n">
        <v>0.24</v>
      </c>
      <c r="AC45" s="11" t="n">
        <v>0.15</v>
      </c>
    </row>
    <row r="46">
      <c r="A46" s="10" t="inlineStr">
        <is>
          <t>특별조사 비용 충당금</t>
        </is>
      </c>
      <c r="M46" s="11" t="n">
        <v>5.5</v>
      </c>
      <c r="O46" s="11" t="n">
        <v>0</v>
      </c>
      <c r="AB46" s="11" t="n">
        <v>5.5</v>
      </c>
    </row>
    <row r="47">
      <c r="A47" s="10" t="inlineStr">
        <is>
          <t>점포 폐쇄손실 충당금</t>
        </is>
      </c>
      <c r="E47" s="11" t="n">
        <v>0.18</v>
      </c>
      <c r="F47" s="11" t="n">
        <v>0.18</v>
      </c>
      <c r="I47" s="11" t="n">
        <v>0.11</v>
      </c>
      <c r="M47" s="11" t="n">
        <v>0.24</v>
      </c>
      <c r="Q47" s="11" t="n">
        <v>0.15</v>
      </c>
      <c r="U47" s="11" t="n">
        <v>0.57</v>
      </c>
      <c r="W47" s="11" t="n">
        <v>0.44</v>
      </c>
      <c r="X47" s="11" t="n">
        <v>0.27</v>
      </c>
      <c r="Z47" s="11" t="n">
        <v>0.18</v>
      </c>
      <c r="AA47" s="11" t="n">
        <v>0.11</v>
      </c>
      <c r="AB47" s="11" t="n">
        <v>0.24</v>
      </c>
      <c r="AC47" s="11" t="n">
        <v>0.15</v>
      </c>
      <c r="AD47" s="11" t="n">
        <v>0.57</v>
      </c>
    </row>
    <row r="48">
      <c r="A48" s="10" t="inlineStr">
        <is>
          <t>특별조사 비용 충당금</t>
        </is>
      </c>
      <c r="I48" s="11" t="n">
        <v>0</v>
      </c>
      <c r="M48" s="11" t="n">
        <v>5.5</v>
      </c>
      <c r="Q48" s="11" t="n">
        <v>0</v>
      </c>
      <c r="AA48" s="11" t="n">
        <v>0</v>
      </c>
      <c r="AB48" s="11" t="n">
        <v>5.5</v>
      </c>
      <c r="AC48" s="11" t="n">
        <v>0</v>
      </c>
    </row>
    <row r="49">
      <c r="A49" s="10" t="inlineStr">
        <is>
          <t>점포 폐쇄손실 충당금</t>
        </is>
      </c>
      <c r="E49" s="11" t="n">
        <v>0.18</v>
      </c>
      <c r="F49" s="11" t="n">
        <v>0.62</v>
      </c>
      <c r="G49" s="11" t="n">
        <v>0.13</v>
      </c>
      <c r="H49" s="11" t="n">
        <v>0.09</v>
      </c>
      <c r="I49" s="11" t="n">
        <v>0.11</v>
      </c>
      <c r="J49" s="11" t="n">
        <v>0.14</v>
      </c>
      <c r="K49" s="11" t="n">
        <v>0.08</v>
      </c>
      <c r="L49" s="11" t="n">
        <v>0.29</v>
      </c>
      <c r="M49" s="11" t="n">
        <v>0.24</v>
      </c>
      <c r="N49" s="11" t="n">
        <v>0.21</v>
      </c>
      <c r="P49" s="11" t="n">
        <v>0.16</v>
      </c>
      <c r="Q49" s="11" t="n">
        <v>0.15</v>
      </c>
      <c r="R49" s="11" t="n">
        <v>0.24</v>
      </c>
      <c r="T49" s="11" t="n">
        <v>0.27</v>
      </c>
      <c r="U49" s="11" t="n">
        <v>0.57</v>
      </c>
      <c r="V49" s="11" t="n">
        <v>0.64</v>
      </c>
      <c r="W49" s="11" t="n">
        <v>0.44</v>
      </c>
      <c r="X49" s="11" t="n">
        <v>0.27</v>
      </c>
      <c r="Y49" s="11" t="n">
        <v>0.13</v>
      </c>
      <c r="Z49" s="11" t="n">
        <v>0.18</v>
      </c>
      <c r="AA49" s="11" t="n">
        <v>0.11</v>
      </c>
      <c r="AB49" s="11" t="n">
        <v>0.24</v>
      </c>
      <c r="AC49" s="11" t="n">
        <v>0.15</v>
      </c>
      <c r="AD49" s="11" t="n">
        <v>0.57</v>
      </c>
    </row>
    <row r="50">
      <c r="A50" s="10" t="inlineStr">
        <is>
          <t>특별조사 비용 충당금</t>
        </is>
      </c>
      <c r="M50" s="11" t="n">
        <v>5.5</v>
      </c>
      <c r="N50" s="11" t="n">
        <v>2.55</v>
      </c>
      <c r="P50" s="11" t="n">
        <v>0</v>
      </c>
      <c r="AB50" s="11" t="n">
        <v>5.5</v>
      </c>
    </row>
    <row r="51">
      <c r="A51" s="10" t="inlineStr">
        <is>
          <t>기타 충당금</t>
        </is>
      </c>
      <c r="D51" s="11" t="n">
        <v>2.15</v>
      </c>
      <c r="E51" s="11" t="n">
        <v>3.15</v>
      </c>
      <c r="F51" s="11" t="n">
        <v>1.59</v>
      </c>
      <c r="G51" s="11" t="n">
        <v>1.37</v>
      </c>
      <c r="H51" s="11" t="n">
        <v>1.26</v>
      </c>
      <c r="I51" s="11" t="n">
        <v>1.89</v>
      </c>
      <c r="J51" s="11" t="n">
        <v>1.72</v>
      </c>
      <c r="K51" s="11" t="n">
        <v>1.36</v>
      </c>
      <c r="L51" s="11" t="n">
        <v>1.26</v>
      </c>
      <c r="M51" s="11" t="n">
        <v>2.09</v>
      </c>
      <c r="N51" s="11" t="n">
        <v>2</v>
      </c>
      <c r="O51" s="11" t="n">
        <v>1.5</v>
      </c>
      <c r="P51" s="11" t="n">
        <v>1.45</v>
      </c>
      <c r="Q51" s="11" t="n">
        <v>2.03</v>
      </c>
      <c r="R51" s="11" t="n">
        <v>1.84</v>
      </c>
      <c r="S51" s="11" t="n">
        <v>1.46</v>
      </c>
      <c r="T51" s="11" t="n">
        <v>1.35</v>
      </c>
      <c r="U51" s="11" t="n">
        <v>2.16</v>
      </c>
      <c r="V51" s="11" t="n">
        <v>2.18</v>
      </c>
      <c r="W51" s="11" t="n">
        <v>4.69</v>
      </c>
      <c r="X51" s="11" t="n">
        <v>1.31</v>
      </c>
      <c r="Y51" s="11" t="n">
        <v>0.93</v>
      </c>
      <c r="Z51" s="11" t="n">
        <v>3.15</v>
      </c>
      <c r="AA51" s="11" t="n">
        <v>1.89</v>
      </c>
      <c r="AB51" s="11" t="n">
        <v>2.09</v>
      </c>
      <c r="AC51" s="11" t="n">
        <v>2.03</v>
      </c>
      <c r="AD51" s="11" t="n">
        <v>2.16</v>
      </c>
    </row>
    <row r="52">
      <c r="A52" s="10" t="inlineStr">
        <is>
          <t>기타</t>
        </is>
      </c>
      <c r="D52" s="11" t="n">
        <v>43.46</v>
      </c>
      <c r="E52" s="11" t="n">
        <v>26.12</v>
      </c>
      <c r="F52" s="11" t="n">
        <v>51.05</v>
      </c>
      <c r="G52" s="11" t="n">
        <v>46.06</v>
      </c>
      <c r="H52" s="11" t="n">
        <v>45.35</v>
      </c>
      <c r="I52" s="11" t="n">
        <v>25.87</v>
      </c>
      <c r="J52" s="11" t="n">
        <v>53.63</v>
      </c>
      <c r="K52" s="11" t="n">
        <v>49.62</v>
      </c>
      <c r="L52" s="11" t="n">
        <v>52.3</v>
      </c>
      <c r="M52" s="11" t="n">
        <v>27.98</v>
      </c>
      <c r="N52" s="11" t="n">
        <v>64.63</v>
      </c>
      <c r="O52" s="11" t="n">
        <v>63.18</v>
      </c>
      <c r="P52" s="11" t="n">
        <v>56.94</v>
      </c>
      <c r="Q52" s="11" t="n">
        <v>35.43</v>
      </c>
      <c r="R52" s="11" t="n">
        <v>67.93000000000001</v>
      </c>
      <c r="S52" s="11" t="n">
        <v>67.19</v>
      </c>
      <c r="T52" s="11" t="n">
        <v>68.72</v>
      </c>
      <c r="U52" s="11" t="n">
        <v>75.90000000000001</v>
      </c>
      <c r="V52" s="11" t="n">
        <v>67.06</v>
      </c>
      <c r="W52" s="11" t="n">
        <v>23.61</v>
      </c>
      <c r="X52" s="11" t="n">
        <v>23.21</v>
      </c>
      <c r="Y52" s="11" t="n">
        <v>43.28</v>
      </c>
      <c r="Z52" s="11" t="n">
        <v>26.12</v>
      </c>
      <c r="AA52" s="11" t="n">
        <v>25.87</v>
      </c>
      <c r="AB52" s="11" t="n">
        <v>27.98</v>
      </c>
      <c r="AC52" s="11" t="n">
        <v>35.43</v>
      </c>
      <c r="AD52" s="11" t="n">
        <v>75.90000000000001</v>
      </c>
    </row>
    <row r="53">
      <c r="A53" s="10" t="inlineStr">
        <is>
          <t>유동부채 합계</t>
        </is>
      </c>
      <c r="D53" s="11" t="n">
        <v>179.71</v>
      </c>
      <c r="E53" s="11" t="n">
        <v>162.89</v>
      </c>
      <c r="F53" s="11" t="n">
        <v>177.48</v>
      </c>
      <c r="G53" s="11" t="n">
        <v>172.16</v>
      </c>
      <c r="H53" s="11" t="n">
        <v>160.66</v>
      </c>
      <c r="I53" s="11" t="n">
        <v>179.45</v>
      </c>
      <c r="J53" s="11" t="n">
        <v>206.85</v>
      </c>
      <c r="K53" s="11" t="n">
        <v>210.57</v>
      </c>
      <c r="L53" s="11" t="n">
        <v>201.4</v>
      </c>
      <c r="M53" s="11" t="n">
        <v>205.51</v>
      </c>
      <c r="N53" s="11" t="n">
        <v>172.3</v>
      </c>
      <c r="O53" s="11" t="n">
        <v>190.07</v>
      </c>
      <c r="P53" s="11" t="n">
        <v>151.15</v>
      </c>
      <c r="Q53" s="11" t="n">
        <v>201.92</v>
      </c>
      <c r="R53" s="11" t="n">
        <v>210.75</v>
      </c>
      <c r="S53" s="11" t="n">
        <v>184.3</v>
      </c>
      <c r="T53" s="11" t="n">
        <v>176.57</v>
      </c>
      <c r="U53" s="11" t="n">
        <v>208.73</v>
      </c>
      <c r="V53" s="11" t="n">
        <v>238.23</v>
      </c>
      <c r="W53" s="11" t="n">
        <v>165.18</v>
      </c>
      <c r="X53" s="11" t="n">
        <v>166.97</v>
      </c>
      <c r="Y53" s="11" t="n">
        <v>175.84</v>
      </c>
      <c r="Z53" s="11" t="n">
        <v>162.89</v>
      </c>
      <c r="AA53" s="11" t="n">
        <v>179.45</v>
      </c>
      <c r="AB53" s="11" t="n">
        <v>205.51</v>
      </c>
      <c r="AC53" s="11" t="n">
        <v>201.92</v>
      </c>
      <c r="AD53" s="11" t="n">
        <v>208.73</v>
      </c>
    </row>
    <row r="54">
      <c r="A54" s="10" t="inlineStr">
        <is>
          <t>사채</t>
        </is>
      </c>
      <c r="E54" s="11" t="n">
        <v>10</v>
      </c>
      <c r="F54" s="11" t="n">
        <v>10</v>
      </c>
      <c r="G54" s="11" t="n">
        <v>10</v>
      </c>
      <c r="H54" s="11" t="n">
        <v>10</v>
      </c>
      <c r="I54" s="11" t="n">
        <v>10</v>
      </c>
      <c r="J54" s="11" t="n">
        <v>10</v>
      </c>
      <c r="K54" s="11" t="n">
        <v>10</v>
      </c>
      <c r="L54" s="11" t="n">
        <v>10</v>
      </c>
      <c r="M54" s="11" t="n">
        <v>10</v>
      </c>
      <c r="N54" s="11" t="n">
        <v>40</v>
      </c>
      <c r="O54" s="11" t="n">
        <v>40</v>
      </c>
      <c r="P54" s="11" t="n">
        <v>45</v>
      </c>
      <c r="Q54" s="11" t="n">
        <v>43.4</v>
      </c>
      <c r="R54" s="11" t="n">
        <v>40.1</v>
      </c>
      <c r="S54" s="11" t="n">
        <v>40.1</v>
      </c>
      <c r="T54" s="11" t="n">
        <v>36.8</v>
      </c>
      <c r="U54" s="11" t="n">
        <v>26.8</v>
      </c>
      <c r="V54" s="11" t="n">
        <v>23.5</v>
      </c>
      <c r="Z54" s="11" t="n">
        <v>10</v>
      </c>
      <c r="AA54" s="11" t="n">
        <v>10</v>
      </c>
      <c r="AB54" s="11" t="n">
        <v>10</v>
      </c>
      <c r="AC54" s="11" t="n">
        <v>43.4</v>
      </c>
      <c r="AD54" s="11" t="n">
        <v>26.8</v>
      </c>
    </row>
    <row r="55">
      <c r="A55" s="10" t="inlineStr">
        <is>
          <t>장기차입금</t>
        </is>
      </c>
      <c r="D55" s="11" t="n">
        <v>68.51000000000001</v>
      </c>
      <c r="E55" s="11" t="n">
        <v>76.93000000000001</v>
      </c>
      <c r="F55" s="11" t="n">
        <v>78.05</v>
      </c>
      <c r="G55" s="11" t="n">
        <v>80.84</v>
      </c>
      <c r="H55" s="11" t="n">
        <v>77.29000000000001</v>
      </c>
      <c r="I55" s="11" t="n">
        <v>73.41</v>
      </c>
      <c r="J55" s="11" t="n">
        <v>60.11</v>
      </c>
      <c r="K55" s="11" t="n">
        <v>66.51000000000001</v>
      </c>
      <c r="L55" s="11" t="n">
        <v>62.24</v>
      </c>
      <c r="M55" s="11" t="n">
        <v>72.87</v>
      </c>
      <c r="N55" s="11" t="n">
        <v>71.31999999999999</v>
      </c>
      <c r="O55" s="11" t="n">
        <v>67.12</v>
      </c>
      <c r="P55" s="11" t="n">
        <v>83.34</v>
      </c>
      <c r="Q55" s="11" t="n">
        <v>79.01000000000001</v>
      </c>
      <c r="R55" s="11" t="n">
        <v>74.69</v>
      </c>
      <c r="S55" s="11" t="n">
        <v>109.72</v>
      </c>
      <c r="T55" s="11" t="n">
        <v>107.65</v>
      </c>
      <c r="U55" s="11" t="n">
        <v>96.98999999999999</v>
      </c>
      <c r="V55" s="11" t="n">
        <v>95.40000000000001</v>
      </c>
      <c r="W55" s="11" t="n">
        <v>77.75</v>
      </c>
      <c r="X55" s="11" t="n">
        <v>80.58</v>
      </c>
      <c r="Y55" s="11" t="n">
        <v>61.33</v>
      </c>
      <c r="Z55" s="11" t="n">
        <v>76.93000000000001</v>
      </c>
      <c r="AA55" s="11" t="n">
        <v>73.41</v>
      </c>
      <c r="AB55" s="11" t="n">
        <v>72.87</v>
      </c>
      <c r="AC55" s="11" t="n">
        <v>79.01000000000001</v>
      </c>
      <c r="AD55" s="11" t="n">
        <v>96.98999999999999</v>
      </c>
    </row>
    <row r="56">
      <c r="A56" s="10" t="inlineStr">
        <is>
          <t>점포 폐쇄손실 충당금</t>
        </is>
      </c>
      <c r="W56" s="11" t="n">
        <v>0.29</v>
      </c>
      <c r="X56" s="11" t="n">
        <v>0.09</v>
      </c>
      <c r="Y56" s="11" t="n">
        <v>0</v>
      </c>
    </row>
    <row r="57">
      <c r="A57" s="10" t="inlineStr">
        <is>
          <t>리스부채</t>
        </is>
      </c>
      <c r="D57" s="11" t="n">
        <v>9.08</v>
      </c>
      <c r="E57" s="11" t="n">
        <v>9.859999999999999</v>
      </c>
      <c r="F57" s="11" t="n">
        <v>16.53</v>
      </c>
      <c r="G57" s="11" t="n">
        <v>17.19</v>
      </c>
      <c r="H57" s="11" t="n">
        <v>18.43</v>
      </c>
      <c r="I57" s="11" t="n">
        <v>21.91</v>
      </c>
      <c r="J57" s="11" t="n">
        <v>24.42</v>
      </c>
      <c r="K57" s="11" t="n">
        <v>24.18</v>
      </c>
      <c r="L57" s="11" t="n">
        <v>25.38</v>
      </c>
      <c r="M57" s="11" t="n">
        <v>25.14</v>
      </c>
      <c r="N57" s="11" t="n">
        <v>27.07</v>
      </c>
      <c r="O57" s="11" t="n">
        <v>29.62</v>
      </c>
      <c r="P57" s="11" t="n">
        <v>35.2</v>
      </c>
      <c r="Q57" s="11" t="n">
        <v>33.64</v>
      </c>
      <c r="R57" s="11" t="n">
        <v>32.7</v>
      </c>
      <c r="S57" s="11" t="n">
        <v>32.48</v>
      </c>
      <c r="T57" s="11" t="n">
        <v>36.23</v>
      </c>
      <c r="U57" s="11" t="n">
        <v>35.36</v>
      </c>
      <c r="V57" s="11" t="n">
        <v>37.6</v>
      </c>
      <c r="W57" s="11" t="n">
        <v>11.59</v>
      </c>
      <c r="X57" s="11" t="n">
        <v>11.81</v>
      </c>
      <c r="Y57" s="11" t="n">
        <v>9.390000000000001</v>
      </c>
      <c r="Z57" s="11" t="n">
        <v>9.859999999999999</v>
      </c>
      <c r="AA57" s="11" t="n">
        <v>21.91</v>
      </c>
      <c r="AB57" s="11" t="n">
        <v>25.14</v>
      </c>
      <c r="AC57" s="11" t="n">
        <v>33.64</v>
      </c>
      <c r="AD57" s="11" t="n">
        <v>35.36</v>
      </c>
    </row>
    <row r="58">
      <c r="A58" s="10" t="inlineStr">
        <is>
          <t>점포 폐쇄손실 충당금</t>
        </is>
      </c>
      <c r="W58" s="11" t="n">
        <v>0.29</v>
      </c>
      <c r="X58" s="11" t="n">
        <v>0.09</v>
      </c>
    </row>
    <row r="59">
      <c r="A59" s="10" t="inlineStr">
        <is>
          <t>자산복구부채</t>
        </is>
      </c>
      <c r="D59" s="11" t="n">
        <v>23.95</v>
      </c>
      <c r="E59" s="11" t="n">
        <v>24.05</v>
      </c>
      <c r="F59" s="11" t="n">
        <v>23.66</v>
      </c>
      <c r="G59" s="11" t="n">
        <v>23.76</v>
      </c>
      <c r="H59" s="11" t="n">
        <v>23.96</v>
      </c>
      <c r="I59" s="11" t="n">
        <v>24.5</v>
      </c>
      <c r="J59" s="11" t="n">
        <v>24.46</v>
      </c>
      <c r="K59" s="11" t="n">
        <v>24.85</v>
      </c>
      <c r="L59" s="11" t="n">
        <v>24.67</v>
      </c>
      <c r="M59" s="11" t="n">
        <v>24.84</v>
      </c>
      <c r="N59" s="11" t="n">
        <v>25.03</v>
      </c>
      <c r="O59" s="11" t="n">
        <v>25.26</v>
      </c>
      <c r="P59" s="11" t="n">
        <v>25.19</v>
      </c>
      <c r="Q59" s="11" t="n">
        <v>25.23</v>
      </c>
      <c r="R59" s="11" t="n">
        <v>25.48</v>
      </c>
      <c r="S59" s="11" t="n">
        <v>25.43</v>
      </c>
      <c r="T59" s="11" t="n">
        <v>25.65</v>
      </c>
      <c r="U59" s="11" t="n">
        <v>25.42</v>
      </c>
      <c r="V59" s="11" t="n">
        <v>25.77</v>
      </c>
      <c r="W59" s="11" t="n">
        <v>17.47</v>
      </c>
      <c r="X59" s="11" t="n">
        <v>23.58</v>
      </c>
      <c r="Y59" s="11" t="n">
        <v>23.83</v>
      </c>
      <c r="Z59" s="11" t="n">
        <v>24.05</v>
      </c>
      <c r="AA59" s="11" t="n">
        <v>24.5</v>
      </c>
      <c r="AB59" s="11" t="n">
        <v>24.84</v>
      </c>
      <c r="AC59" s="11" t="n">
        <v>25.23</v>
      </c>
      <c r="AD59" s="11" t="n">
        <v>25.42</v>
      </c>
    </row>
    <row r="60">
      <c r="A60" s="10" t="inlineStr">
        <is>
          <t>기타</t>
        </is>
      </c>
      <c r="D60" s="11" t="n">
        <v>2.36</v>
      </c>
      <c r="E60" s="11" t="n">
        <v>2.38</v>
      </c>
      <c r="F60" s="11" t="n">
        <v>2.3</v>
      </c>
      <c r="G60" s="11" t="n">
        <v>2.32</v>
      </c>
      <c r="H60" s="11" t="n">
        <v>2.33</v>
      </c>
      <c r="I60" s="11" t="n">
        <v>2.26</v>
      </c>
      <c r="J60" s="11" t="n">
        <v>2.19</v>
      </c>
      <c r="K60" s="11" t="n">
        <v>2.17</v>
      </c>
      <c r="L60" s="11" t="n">
        <v>2.19</v>
      </c>
      <c r="M60" s="11" t="n">
        <v>1.95</v>
      </c>
      <c r="N60" s="11" t="n">
        <v>1.95</v>
      </c>
      <c r="O60" s="11" t="n">
        <v>1.95</v>
      </c>
      <c r="P60" s="11" t="n">
        <v>1.91</v>
      </c>
      <c r="Q60" s="11" t="n">
        <v>1.91</v>
      </c>
      <c r="R60" s="11" t="n">
        <v>1.89</v>
      </c>
      <c r="S60" s="11" t="n">
        <v>1.88</v>
      </c>
      <c r="T60" s="11" t="n">
        <v>1.8</v>
      </c>
      <c r="U60" s="11" t="n">
        <v>1.73</v>
      </c>
      <c r="V60" s="11" t="n">
        <v>1.54</v>
      </c>
      <c r="W60" s="11" t="n">
        <v>4.1</v>
      </c>
      <c r="X60" s="11" t="n">
        <v>3.81</v>
      </c>
      <c r="Y60" s="11" t="n">
        <v>3.37</v>
      </c>
      <c r="Z60" s="11" t="n">
        <v>2.38</v>
      </c>
      <c r="AA60" s="11" t="n">
        <v>2.26</v>
      </c>
      <c r="AB60" s="11" t="n">
        <v>1.95</v>
      </c>
      <c r="AC60" s="11" t="n">
        <v>1.91</v>
      </c>
      <c r="AD60" s="11" t="n">
        <v>1.73</v>
      </c>
    </row>
    <row r="61">
      <c r="A61" s="10" t="inlineStr">
        <is>
          <t>비유동부채 합계</t>
        </is>
      </c>
      <c r="D61" s="11" t="n">
        <v>103.91</v>
      </c>
      <c r="E61" s="11" t="n">
        <v>123.24</v>
      </c>
      <c r="F61" s="11" t="n">
        <v>130.56</v>
      </c>
      <c r="G61" s="11" t="n">
        <v>134.12</v>
      </c>
      <c r="H61" s="11" t="n">
        <v>132.02</v>
      </c>
      <c r="I61" s="11" t="n">
        <v>132.1</v>
      </c>
      <c r="J61" s="11" t="n">
        <v>121.19</v>
      </c>
      <c r="K61" s="11" t="n">
        <v>127.73</v>
      </c>
      <c r="L61" s="11" t="n">
        <v>124.49</v>
      </c>
      <c r="M61" s="11" t="n">
        <v>134.83</v>
      </c>
      <c r="N61" s="11" t="n">
        <v>165.38</v>
      </c>
      <c r="O61" s="11" t="n">
        <v>163.96</v>
      </c>
      <c r="P61" s="11" t="n">
        <v>190.65</v>
      </c>
      <c r="Q61" s="11" t="n">
        <v>183.2</v>
      </c>
      <c r="R61" s="11" t="n">
        <v>174.88</v>
      </c>
      <c r="S61" s="11" t="n">
        <v>209.63</v>
      </c>
      <c r="T61" s="11" t="n">
        <v>208.15</v>
      </c>
      <c r="U61" s="11" t="n">
        <v>186.32</v>
      </c>
      <c r="V61" s="11" t="n">
        <v>183.83</v>
      </c>
      <c r="W61" s="11" t="n">
        <v>111.21</v>
      </c>
      <c r="X61" s="11" t="n">
        <v>119.9</v>
      </c>
      <c r="Y61" s="11" t="n">
        <v>97.93000000000001</v>
      </c>
      <c r="Z61" s="11" t="n">
        <v>123.24</v>
      </c>
      <c r="AA61" s="11" t="n">
        <v>132.1</v>
      </c>
      <c r="AB61" s="11" t="n">
        <v>134.83</v>
      </c>
      <c r="AC61" s="11" t="n">
        <v>183.2</v>
      </c>
      <c r="AD61" s="11" t="n">
        <v>186.32</v>
      </c>
    </row>
    <row r="62">
      <c r="A62" s="10" t="inlineStr">
        <is>
          <t>부채 합계</t>
        </is>
      </c>
      <c r="D62" s="11" t="n">
        <v>283.62</v>
      </c>
      <c r="E62" s="11" t="n">
        <v>286.14</v>
      </c>
      <c r="F62" s="11" t="n">
        <v>308.04</v>
      </c>
      <c r="G62" s="11" t="n">
        <v>306.29</v>
      </c>
      <c r="H62" s="11" t="n">
        <v>292.68</v>
      </c>
      <c r="I62" s="11" t="n">
        <v>311.55</v>
      </c>
      <c r="J62" s="11" t="n">
        <v>328.04</v>
      </c>
      <c r="K62" s="11" t="n">
        <v>338.3</v>
      </c>
      <c r="L62" s="11" t="n">
        <v>325.9</v>
      </c>
      <c r="M62" s="11" t="n">
        <v>340.34</v>
      </c>
      <c r="N62" s="11" t="n">
        <v>337.68</v>
      </c>
      <c r="O62" s="11" t="n">
        <v>354.04</v>
      </c>
      <c r="P62" s="11" t="n">
        <v>341.81</v>
      </c>
      <c r="Q62" s="11" t="n">
        <v>385.13</v>
      </c>
      <c r="R62" s="11" t="n">
        <v>385.63</v>
      </c>
      <c r="S62" s="11" t="n">
        <v>393.93</v>
      </c>
      <c r="T62" s="11" t="n">
        <v>384.72</v>
      </c>
      <c r="U62" s="11" t="n">
        <v>395.05</v>
      </c>
      <c r="V62" s="11" t="n">
        <v>422.07</v>
      </c>
      <c r="W62" s="11" t="n">
        <v>276.4</v>
      </c>
      <c r="X62" s="11" t="n">
        <v>286.87</v>
      </c>
      <c r="Y62" s="11" t="n">
        <v>273.77</v>
      </c>
      <c r="Z62" s="11" t="n">
        <v>286.14</v>
      </c>
      <c r="AA62" s="11" t="n">
        <v>311.55</v>
      </c>
      <c r="AB62" s="11" t="n">
        <v>340.34</v>
      </c>
      <c r="AC62" s="11" t="n">
        <v>385.13</v>
      </c>
      <c r="AD62" s="11" t="n">
        <v>395.05</v>
      </c>
    </row>
    <row r="63">
      <c r="A63" s="10" t="inlineStr">
        <is>
          <t>자본금</t>
        </is>
      </c>
      <c r="D63" s="11" t="n">
        <v>1</v>
      </c>
      <c r="E63" s="11" t="n">
        <v>1</v>
      </c>
      <c r="F63" s="11" t="n">
        <v>1</v>
      </c>
      <c r="G63" s="11" t="n">
        <v>1</v>
      </c>
      <c r="H63" s="11" t="n">
        <v>1</v>
      </c>
      <c r="I63" s="11" t="n">
        <v>1</v>
      </c>
      <c r="J63" s="11" t="n">
        <v>1</v>
      </c>
      <c r="K63" s="11" t="n">
        <v>1</v>
      </c>
      <c r="L63" s="11" t="n">
        <v>1</v>
      </c>
      <c r="M63" s="11" t="n">
        <v>1</v>
      </c>
      <c r="N63" s="11" t="n">
        <v>1</v>
      </c>
      <c r="O63" s="11" t="n">
        <v>1</v>
      </c>
      <c r="P63" s="11" t="n">
        <v>1</v>
      </c>
      <c r="Q63" s="11" t="n">
        <v>1</v>
      </c>
      <c r="R63" s="11" t="n">
        <v>1</v>
      </c>
      <c r="S63" s="11" t="n">
        <v>1</v>
      </c>
      <c r="T63" s="11" t="n">
        <v>1</v>
      </c>
      <c r="U63" s="11" t="n">
        <v>1</v>
      </c>
      <c r="V63" s="11" t="n">
        <v>1</v>
      </c>
      <c r="W63" s="11" t="n">
        <v>1</v>
      </c>
      <c r="X63" s="11" t="n">
        <v>1</v>
      </c>
      <c r="Y63" s="11" t="n">
        <v>1</v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</row>
    <row r="64">
      <c r="A64" s="10" t="inlineStr">
        <is>
          <t>자본잉여금</t>
        </is>
      </c>
      <c r="D64" s="11" t="n">
        <v>64.87</v>
      </c>
      <c r="E64" s="11" t="n">
        <v>68.58</v>
      </c>
      <c r="F64" s="11" t="n">
        <v>68.58</v>
      </c>
      <c r="G64" s="11" t="n">
        <v>68.59999999999999</v>
      </c>
      <c r="H64" s="11" t="n">
        <v>68.59999999999999</v>
      </c>
      <c r="I64" s="11" t="n">
        <v>68.59999999999999</v>
      </c>
      <c r="J64" s="11" t="n">
        <v>68.59999999999999</v>
      </c>
      <c r="K64" s="11" t="n">
        <v>68.63</v>
      </c>
      <c r="L64" s="11" t="n">
        <v>68.63</v>
      </c>
      <c r="M64" s="11" t="n">
        <v>68.63</v>
      </c>
      <c r="N64" s="11" t="n">
        <v>68.63</v>
      </c>
      <c r="O64" s="11" t="n">
        <v>68.63</v>
      </c>
      <c r="P64" s="11" t="n">
        <v>68.67</v>
      </c>
      <c r="Q64" s="11" t="n">
        <v>68.67</v>
      </c>
      <c r="R64" s="11" t="n">
        <v>68.67</v>
      </c>
      <c r="S64" s="11" t="n">
        <v>68.69</v>
      </c>
      <c r="T64" s="11" t="n">
        <v>68.69</v>
      </c>
      <c r="U64" s="11" t="n">
        <v>68.69</v>
      </c>
      <c r="V64" s="11" t="n">
        <v>68.69</v>
      </c>
      <c r="W64" s="11" t="n">
        <v>64.89</v>
      </c>
      <c r="X64" s="11" t="n">
        <v>64.84999999999999</v>
      </c>
      <c r="Y64" s="11" t="n">
        <v>64.84999999999999</v>
      </c>
      <c r="Z64" s="11" t="n">
        <v>68.58</v>
      </c>
      <c r="AA64" s="11" t="n">
        <v>68.59999999999999</v>
      </c>
      <c r="AB64" s="11" t="n">
        <v>68.63</v>
      </c>
      <c r="AC64" s="11" t="n">
        <v>68.67</v>
      </c>
      <c r="AD64" s="11" t="n">
        <v>68.69</v>
      </c>
    </row>
    <row r="65">
      <c r="A65" s="10" t="inlineStr">
        <is>
          <t>이익잉여금</t>
        </is>
      </c>
      <c r="D65" s="11" t="n">
        <v>89.56</v>
      </c>
      <c r="E65" s="11" t="n">
        <v>99.48</v>
      </c>
      <c r="F65" s="11" t="n">
        <v>102.04</v>
      </c>
      <c r="G65" s="11" t="n">
        <v>104.74</v>
      </c>
      <c r="H65" s="11" t="n">
        <v>114.4</v>
      </c>
      <c r="I65" s="11" t="n">
        <v>123.22</v>
      </c>
      <c r="J65" s="11" t="n">
        <v>121.37</v>
      </c>
      <c r="K65" s="11" t="n">
        <v>125.34</v>
      </c>
      <c r="L65" s="11" t="n">
        <v>137.42</v>
      </c>
      <c r="M65" s="11" t="n">
        <v>135.34</v>
      </c>
      <c r="N65" s="11" t="n">
        <v>136.17</v>
      </c>
      <c r="O65" s="11" t="n">
        <v>139.52</v>
      </c>
      <c r="P65" s="11" t="n">
        <v>150.14</v>
      </c>
      <c r="Q65" s="11" t="n">
        <v>151.4</v>
      </c>
      <c r="R65" s="11" t="n">
        <v>148.95</v>
      </c>
      <c r="S65" s="11" t="n">
        <v>154.43</v>
      </c>
      <c r="T65" s="11" t="n">
        <v>170.39</v>
      </c>
      <c r="U65" s="11" t="n">
        <v>174.65</v>
      </c>
      <c r="V65" s="11" t="n">
        <v>173.28</v>
      </c>
      <c r="W65" s="11" t="n">
        <v>85.70999999999999</v>
      </c>
      <c r="X65" s="11" t="n">
        <v>85.5</v>
      </c>
      <c r="Y65" s="11" t="n">
        <v>86.03</v>
      </c>
      <c r="Z65" s="11" t="n">
        <v>99.48</v>
      </c>
      <c r="AA65" s="11" t="n">
        <v>123.22</v>
      </c>
      <c r="AB65" s="11" t="n">
        <v>135.34</v>
      </c>
      <c r="AC65" s="11" t="n">
        <v>151.4</v>
      </c>
      <c r="AD65" s="11" t="n">
        <v>174.65</v>
      </c>
    </row>
    <row r="66">
      <c r="A66" s="10" t="inlineStr">
        <is>
          <t>자기주식</t>
        </is>
      </c>
      <c r="D66" s="11" t="n">
        <v>-23.35</v>
      </c>
      <c r="E66" s="11" t="n">
        <v>-5.96</v>
      </c>
      <c r="F66" s="11" t="n">
        <v>-5.96</v>
      </c>
      <c r="G66" s="11" t="n">
        <v>-5.91</v>
      </c>
      <c r="H66" s="11" t="n">
        <v>-5.91</v>
      </c>
      <c r="I66" s="11" t="n">
        <v>-5.91</v>
      </c>
      <c r="J66" s="11" t="n">
        <v>-5.91</v>
      </c>
      <c r="K66" s="11" t="n">
        <v>-5.87</v>
      </c>
      <c r="L66" s="11" t="n">
        <v>-5.87</v>
      </c>
      <c r="M66" s="11" t="n">
        <v>-5.87</v>
      </c>
      <c r="N66" s="11" t="n">
        <v>-5.87</v>
      </c>
      <c r="O66" s="11" t="n">
        <v>-5.87</v>
      </c>
      <c r="P66" s="11" t="n">
        <v>-5.82</v>
      </c>
      <c r="Q66" s="11" t="n">
        <v>-38.13</v>
      </c>
      <c r="R66" s="11" t="n">
        <v>-38.13</v>
      </c>
      <c r="S66" s="11" t="n">
        <v>-38.05</v>
      </c>
      <c r="T66" s="11" t="n">
        <v>-38.05</v>
      </c>
      <c r="U66" s="11" t="n">
        <v>-38.05</v>
      </c>
      <c r="V66" s="11" t="n">
        <v>-38.05</v>
      </c>
      <c r="W66" s="11" t="n">
        <v>-23.43</v>
      </c>
      <c r="X66" s="11" t="n">
        <v>-23.43</v>
      </c>
      <c r="Y66" s="11" t="n">
        <v>-23.43</v>
      </c>
      <c r="Z66" s="11" t="n">
        <v>-5.96</v>
      </c>
      <c r="AA66" s="11" t="n">
        <v>-5.91</v>
      </c>
      <c r="AB66" s="11" t="n">
        <v>-5.87</v>
      </c>
      <c r="AC66" s="11" t="n">
        <v>-38.13</v>
      </c>
      <c r="AD66" s="11" t="n">
        <v>-38.05</v>
      </c>
    </row>
    <row r="67">
      <c r="A67" s="10" t="inlineStr">
        <is>
          <t>주주자본 합계</t>
        </is>
      </c>
      <c r="D67" s="11" t="n">
        <v>132.09</v>
      </c>
      <c r="E67" s="11" t="n">
        <v>163.1</v>
      </c>
      <c r="F67" s="11" t="n">
        <v>165.66</v>
      </c>
      <c r="G67" s="11" t="n">
        <v>168.43</v>
      </c>
      <c r="H67" s="11" t="n">
        <v>178.09</v>
      </c>
      <c r="I67" s="11" t="n">
        <v>186.91</v>
      </c>
      <c r="J67" s="11" t="n">
        <v>185.05</v>
      </c>
      <c r="K67" s="11" t="n">
        <v>189.1</v>
      </c>
      <c r="L67" s="11" t="n">
        <v>201.18</v>
      </c>
      <c r="M67" s="11" t="n">
        <v>199.09</v>
      </c>
      <c r="N67" s="11" t="n">
        <v>199.93</v>
      </c>
      <c r="O67" s="11" t="n">
        <v>203.28</v>
      </c>
      <c r="P67" s="11" t="n">
        <v>213.98</v>
      </c>
      <c r="Q67" s="11" t="n">
        <v>182.95</v>
      </c>
      <c r="R67" s="11" t="n">
        <v>180.5</v>
      </c>
      <c r="S67" s="11" t="n">
        <v>186.07</v>
      </c>
      <c r="T67" s="11" t="n">
        <v>202.03</v>
      </c>
      <c r="U67" s="11" t="n">
        <v>206.29</v>
      </c>
      <c r="V67" s="11" t="n">
        <v>204.92</v>
      </c>
      <c r="W67" s="11" t="n">
        <v>128.17</v>
      </c>
      <c r="X67" s="11" t="n">
        <v>127.92</v>
      </c>
      <c r="Y67" s="11" t="n">
        <v>128.45</v>
      </c>
      <c r="Z67" s="11" t="n">
        <v>163.1</v>
      </c>
      <c r="AA67" s="11" t="n">
        <v>186.91</v>
      </c>
      <c r="AB67" s="11" t="n">
        <v>199.09</v>
      </c>
      <c r="AC67" s="11" t="n">
        <v>182.95</v>
      </c>
      <c r="AD67" s="11" t="n">
        <v>206.29</v>
      </c>
    </row>
    <row r="68">
      <c r="A68" s="10" t="inlineStr">
        <is>
          <t>기타유가증권 평가차액</t>
        </is>
      </c>
      <c r="D68" s="11" t="n">
        <v>0.8</v>
      </c>
      <c r="E68" s="11" t="n">
        <v>0.72</v>
      </c>
      <c r="F68" s="11" t="n">
        <v>0.86</v>
      </c>
      <c r="G68" s="11" t="n">
        <v>1</v>
      </c>
      <c r="H68" s="11" t="n">
        <v>1.08</v>
      </c>
      <c r="I68" s="11" t="n">
        <v>0.57</v>
      </c>
      <c r="J68" s="11" t="n">
        <v>0.72</v>
      </c>
      <c r="K68" s="11" t="n">
        <v>0.74</v>
      </c>
      <c r="L68" s="11" t="n">
        <v>0.86</v>
      </c>
      <c r="M68" s="11" t="n">
        <v>0.78</v>
      </c>
      <c r="N68" s="11" t="n">
        <v>0.98</v>
      </c>
      <c r="O68" s="11" t="n">
        <v>0.91</v>
      </c>
      <c r="P68" s="11" t="n">
        <v>0.88</v>
      </c>
      <c r="Q68" s="11" t="n">
        <v>0.76</v>
      </c>
      <c r="R68" s="11" t="n">
        <v>0.98</v>
      </c>
      <c r="S68" s="11" t="n">
        <v>0.59</v>
      </c>
      <c r="T68" s="11" t="n">
        <v>0.65</v>
      </c>
      <c r="U68" s="11" t="n">
        <v>0.75</v>
      </c>
      <c r="V68" s="11" t="n">
        <v>0.86</v>
      </c>
      <c r="W68" s="11" t="n">
        <v>1.58</v>
      </c>
      <c r="X68" s="11" t="n">
        <v>0.31</v>
      </c>
      <c r="Y68" s="11" t="n">
        <v>0.75</v>
      </c>
      <c r="Z68" s="11" t="n">
        <v>0.72</v>
      </c>
      <c r="AA68" s="11" t="n">
        <v>0.57</v>
      </c>
      <c r="AB68" s="11" t="n">
        <v>0.78</v>
      </c>
      <c r="AC68" s="11" t="n">
        <v>0.76</v>
      </c>
      <c r="AD68" s="11" t="n">
        <v>0.75</v>
      </c>
    </row>
    <row r="69">
      <c r="A69" s="10" t="inlineStr">
        <is>
          <t>해외사업환산조정</t>
        </is>
      </c>
      <c r="D69" s="11" t="n">
        <v>-0.59</v>
      </c>
      <c r="E69" s="11" t="n">
        <v>-0.24</v>
      </c>
      <c r="F69" s="11" t="n">
        <v>0.76</v>
      </c>
      <c r="G69" s="11" t="n">
        <v>1.4</v>
      </c>
      <c r="H69" s="11" t="n">
        <v>1.21</v>
      </c>
      <c r="I69" s="11" t="n">
        <v>1.09</v>
      </c>
      <c r="J69" s="11" t="n">
        <v>1.43</v>
      </c>
      <c r="K69" s="11" t="n">
        <v>2.07</v>
      </c>
      <c r="L69" s="11" t="n">
        <v>1.9</v>
      </c>
      <c r="M69" s="11" t="n">
        <v>2.48</v>
      </c>
      <c r="N69" s="11" t="n">
        <v>3.39</v>
      </c>
      <c r="O69" s="11" t="n">
        <v>2.46</v>
      </c>
      <c r="P69" s="11" t="n">
        <v>3.18</v>
      </c>
      <c r="Q69" s="11" t="n">
        <v>2.54</v>
      </c>
      <c r="R69" s="11" t="n">
        <v>2.11</v>
      </c>
      <c r="S69" s="11" t="n">
        <v>2.58</v>
      </c>
      <c r="T69" s="11" t="n">
        <v>4.31</v>
      </c>
      <c r="U69" s="11" t="n">
        <v>4.43</v>
      </c>
      <c r="V69" s="11" t="n">
        <v>4.95</v>
      </c>
      <c r="W69" s="11" t="n">
        <v>-1.31</v>
      </c>
      <c r="X69" s="11" t="n">
        <v>-0.55</v>
      </c>
      <c r="Y69" s="11" t="n">
        <v>-0.66</v>
      </c>
      <c r="Z69" s="11" t="n">
        <v>-0.24</v>
      </c>
      <c r="AA69" s="11" t="n">
        <v>1.09</v>
      </c>
      <c r="AB69" s="11" t="n">
        <v>2.48</v>
      </c>
      <c r="AC69" s="11" t="n">
        <v>2.54</v>
      </c>
      <c r="AD69" s="11" t="n">
        <v>4.43</v>
      </c>
    </row>
    <row r="70">
      <c r="A70" s="10" t="inlineStr">
        <is>
          <t>기타포괄손익누계액 합계</t>
        </is>
      </c>
      <c r="D70" s="11" t="n">
        <v>0.2</v>
      </c>
      <c r="E70" s="11" t="n">
        <v>0.48</v>
      </c>
      <c r="F70" s="11" t="n">
        <v>1.62</v>
      </c>
      <c r="G70" s="11" t="n">
        <v>2.4</v>
      </c>
      <c r="H70" s="11" t="n">
        <v>2.29</v>
      </c>
      <c r="I70" s="11" t="n">
        <v>1.67</v>
      </c>
      <c r="J70" s="11" t="n">
        <v>2.15</v>
      </c>
      <c r="K70" s="11" t="n">
        <v>2.81</v>
      </c>
      <c r="L70" s="11" t="n">
        <v>2.77</v>
      </c>
      <c r="M70" s="11" t="n">
        <v>3.26</v>
      </c>
      <c r="N70" s="11" t="n">
        <v>4.38</v>
      </c>
      <c r="O70" s="11" t="n">
        <v>3.38</v>
      </c>
      <c r="P70" s="11" t="n">
        <v>4.07</v>
      </c>
      <c r="Q70" s="11" t="n">
        <v>3.31</v>
      </c>
      <c r="R70" s="11" t="n">
        <v>3.09</v>
      </c>
      <c r="S70" s="11" t="n">
        <v>3.17</v>
      </c>
      <c r="T70" s="11" t="n">
        <v>4.97</v>
      </c>
      <c r="U70" s="11" t="n">
        <v>5.19</v>
      </c>
      <c r="V70" s="11" t="n">
        <v>5.82</v>
      </c>
      <c r="W70" s="11" t="n">
        <v>0.27</v>
      </c>
      <c r="X70" s="11" t="n">
        <v>-0.24</v>
      </c>
      <c r="Y70" s="11" t="n">
        <v>0.08</v>
      </c>
      <c r="Z70" s="11" t="n">
        <v>0.48</v>
      </c>
      <c r="AA70" s="11" t="n">
        <v>1.67</v>
      </c>
      <c r="AB70" s="11" t="n">
        <v>3.26</v>
      </c>
      <c r="AC70" s="11" t="n">
        <v>3.31</v>
      </c>
      <c r="AD70" s="11" t="n">
        <v>5.19</v>
      </c>
    </row>
    <row r="71">
      <c r="A71" s="10" t="inlineStr">
        <is>
          <t>비지배지분</t>
        </is>
      </c>
      <c r="D71" s="11" t="n">
        <v>0.71</v>
      </c>
      <c r="E71" s="11" t="n">
        <v>1.23</v>
      </c>
      <c r="F71" s="11" t="n">
        <v>1.61</v>
      </c>
      <c r="G71" s="11" t="n">
        <v>1.97</v>
      </c>
      <c r="H71" s="11" t="n">
        <v>2.24</v>
      </c>
      <c r="I71" s="11" t="n">
        <v>1.98</v>
      </c>
      <c r="J71" s="11" t="n">
        <v>2.25</v>
      </c>
      <c r="K71" s="11" t="n">
        <v>2.72</v>
      </c>
      <c r="L71" s="11" t="n">
        <v>2.97</v>
      </c>
      <c r="M71" s="11" t="n">
        <v>2.71</v>
      </c>
      <c r="N71" s="11" t="n">
        <v>3.27</v>
      </c>
      <c r="O71" s="11" t="n">
        <v>3.35</v>
      </c>
      <c r="P71" s="11" t="n">
        <v>3.81</v>
      </c>
      <c r="Q71" s="11" t="n">
        <v>2.4</v>
      </c>
      <c r="R71" s="11" t="n">
        <v>2.7</v>
      </c>
      <c r="S71" s="11" t="n">
        <v>3.04</v>
      </c>
      <c r="T71" s="11" t="n">
        <v>3.7</v>
      </c>
      <c r="U71" s="11" t="n">
        <v>2.83</v>
      </c>
      <c r="V71" s="11" t="n">
        <v>3.08</v>
      </c>
      <c r="W71" s="11" t="n">
        <v>1.61</v>
      </c>
      <c r="X71" s="11" t="n">
        <v>0.79</v>
      </c>
      <c r="Y71" s="11" t="n">
        <v>0.9</v>
      </c>
      <c r="Z71" s="11" t="n">
        <v>1.23</v>
      </c>
      <c r="AA71" s="11" t="n">
        <v>1.98</v>
      </c>
      <c r="AB71" s="11" t="n">
        <v>2.71</v>
      </c>
      <c r="AC71" s="11" t="n">
        <v>2.4</v>
      </c>
      <c r="AD71" s="11" t="n">
        <v>2.83</v>
      </c>
    </row>
    <row r="72">
      <c r="A72" s="10" t="inlineStr">
        <is>
          <t>순자산 합계</t>
        </is>
      </c>
      <c r="D72" s="11" t="n">
        <v>133.01</v>
      </c>
      <c r="E72" s="11" t="n">
        <v>164.82</v>
      </c>
      <c r="F72" s="11" t="n">
        <v>168.9</v>
      </c>
      <c r="G72" s="11" t="n">
        <v>172.81</v>
      </c>
      <c r="H72" s="11" t="n">
        <v>182.63</v>
      </c>
      <c r="I72" s="11" t="n">
        <v>190.57</v>
      </c>
      <c r="J72" s="11" t="n">
        <v>189.46</v>
      </c>
      <c r="K72" s="11" t="n">
        <v>194.64</v>
      </c>
      <c r="L72" s="11" t="n">
        <v>206.93</v>
      </c>
      <c r="M72" s="11" t="n">
        <v>205.07</v>
      </c>
      <c r="N72" s="11" t="n">
        <v>207.59</v>
      </c>
      <c r="O72" s="11" t="n">
        <v>210.01</v>
      </c>
      <c r="P72" s="11" t="n">
        <v>221.87</v>
      </c>
      <c r="Q72" s="11" t="n">
        <v>188.67</v>
      </c>
      <c r="R72" s="11" t="n">
        <v>186.3</v>
      </c>
      <c r="S72" s="11" t="n">
        <v>192.29</v>
      </c>
      <c r="T72" s="11" t="n">
        <v>210.7</v>
      </c>
      <c r="U72" s="11" t="n">
        <v>214.31</v>
      </c>
      <c r="V72" s="11" t="n">
        <v>213.83</v>
      </c>
      <c r="W72" s="11" t="n">
        <v>130.06</v>
      </c>
      <c r="X72" s="11" t="n">
        <v>128.48</v>
      </c>
      <c r="Y72" s="11" t="n">
        <v>129.44</v>
      </c>
      <c r="Z72" s="11" t="n">
        <v>164.82</v>
      </c>
      <c r="AA72" s="11" t="n">
        <v>190.57</v>
      </c>
      <c r="AB72" s="11" t="n">
        <v>205.07</v>
      </c>
      <c r="AC72" s="11" t="n">
        <v>188.67</v>
      </c>
      <c r="AD72" s="11" t="n">
        <v>214.31</v>
      </c>
    </row>
    <row r="73">
      <c r="A73" s="10" t="inlineStr">
        <is>
          <t>부채·순자산 합계</t>
        </is>
      </c>
      <c r="D73" s="11" t="n">
        <v>416.64</v>
      </c>
      <c r="E73" s="11" t="n">
        <v>450.96</v>
      </c>
      <c r="F73" s="11" t="n">
        <v>476.95</v>
      </c>
      <c r="G73" s="11" t="n">
        <v>479.11</v>
      </c>
      <c r="H73" s="11" t="n">
        <v>475.32</v>
      </c>
      <c r="I73" s="11" t="n">
        <v>502.13</v>
      </c>
      <c r="J73" s="11" t="n">
        <v>517.5</v>
      </c>
      <c r="K73" s="11" t="n">
        <v>532.95</v>
      </c>
      <c r="L73" s="11" t="n">
        <v>532.84</v>
      </c>
      <c r="M73" s="11" t="n">
        <v>545.42</v>
      </c>
      <c r="N73" s="11" t="n">
        <v>545.27</v>
      </c>
      <c r="O73" s="11" t="n">
        <v>564.0599999999999</v>
      </c>
      <c r="P73" s="11" t="n">
        <v>563.6900000000001</v>
      </c>
      <c r="Q73" s="11" t="n">
        <v>573.8</v>
      </c>
      <c r="R73" s="11" t="n">
        <v>571.9299999999999</v>
      </c>
      <c r="S73" s="11" t="n">
        <v>586.23</v>
      </c>
      <c r="T73" s="11" t="n">
        <v>595.4299999999999</v>
      </c>
      <c r="U73" s="11" t="n">
        <v>609.37</v>
      </c>
      <c r="V73" s="11" t="n">
        <v>635.9</v>
      </c>
      <c r="W73" s="11" t="n">
        <v>406.47</v>
      </c>
      <c r="X73" s="11" t="n">
        <v>415.35</v>
      </c>
      <c r="Y73" s="11" t="n">
        <v>403.21</v>
      </c>
      <c r="Z73" s="11" t="n">
        <v>450.96</v>
      </c>
      <c r="AA73" s="11" t="n">
        <v>502.13</v>
      </c>
      <c r="AB73" s="11" t="n">
        <v>545.42</v>
      </c>
      <c r="AC73" s="11" t="n">
        <v>573.8</v>
      </c>
      <c r="AD73" s="11" t="n">
        <v>609.37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북오프 그룹 홀딩스 현금흐름표</t>
        </is>
      </c>
    </row>
    <row r="2">
      <c r="A2" s="2" t="inlineStr">
        <is>
          <t>결산기 기준(27.2Q = 2027년 결산기 2분기) · 5월 결산 · 연결 · 누계(그 분기까지)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법인세차감전 순이익</t>
        </is>
      </c>
      <c r="C4" s="11" t="n">
        <v>7.01</v>
      </c>
      <c r="E4" s="11" t="n">
        <v>23.32</v>
      </c>
      <c r="G4" s="11" t="n">
        <v>10.78</v>
      </c>
      <c r="I4" s="11" t="n">
        <v>27.71</v>
      </c>
      <c r="K4" s="11" t="n">
        <v>12.23</v>
      </c>
      <c r="M4" s="11" t="n">
        <v>27.79</v>
      </c>
      <c r="O4" s="11" t="n">
        <v>16.28</v>
      </c>
      <c r="Q4" s="11" t="n">
        <v>34.9</v>
      </c>
      <c r="S4" s="11" t="n">
        <v>13.47</v>
      </c>
      <c r="U4" s="11" t="n">
        <v>43.96</v>
      </c>
      <c r="W4" s="11" t="n">
        <v>17.77</v>
      </c>
      <c r="X4" s="11" t="n">
        <v>9.01</v>
      </c>
      <c r="Y4" s="11" t="n">
        <v>6.11</v>
      </c>
      <c r="Z4" s="11" t="n">
        <v>23.32</v>
      </c>
      <c r="AA4" s="11" t="n">
        <v>27.71</v>
      </c>
      <c r="AB4" s="11" t="n">
        <v>27.79</v>
      </c>
      <c r="AC4" s="11" t="n">
        <v>34.9</v>
      </c>
      <c r="AD4" s="11" t="n">
        <v>43.96</v>
      </c>
      <c r="AE4" s="7" t="inlineStr">
        <is>
          <t>결산단신 XBRL(거래소 공시, TDnet·JPX 보관소). 쓴 문서: 2026-10-13, 2026-07-13, 2026-04-13, 2026-01-13 외 26건 — '출처' 시트에 전부</t>
        </is>
      </c>
    </row>
    <row r="5">
      <c r="A5" s="10" t="inlineStr">
        <is>
          <t>감가상각비</t>
        </is>
      </c>
      <c r="C5" s="11" t="n">
        <v>7.36</v>
      </c>
      <c r="E5" s="11" t="n">
        <v>15.23</v>
      </c>
      <c r="G5" s="11" t="n">
        <v>7.43</v>
      </c>
      <c r="I5" s="11" t="n">
        <v>16.5</v>
      </c>
      <c r="K5" s="11" t="n">
        <v>8.140000000000001</v>
      </c>
      <c r="M5" s="11" t="n">
        <v>18.6</v>
      </c>
      <c r="O5" s="11" t="n">
        <v>10.59</v>
      </c>
      <c r="Q5" s="11" t="n">
        <v>22.01</v>
      </c>
      <c r="S5" s="11" t="n">
        <v>11.17</v>
      </c>
      <c r="U5" s="11" t="n">
        <v>23.95</v>
      </c>
      <c r="W5" s="11" t="n">
        <v>15.7</v>
      </c>
      <c r="X5" s="11" t="n">
        <v>15.81</v>
      </c>
      <c r="Y5" s="11" t="n">
        <v>14.7</v>
      </c>
      <c r="Z5" s="11" t="n">
        <v>15.23</v>
      </c>
      <c r="AA5" s="11" t="n">
        <v>16.5</v>
      </c>
      <c r="AB5" s="11" t="n">
        <v>18.6</v>
      </c>
      <c r="AC5" s="11" t="n">
        <v>22.01</v>
      </c>
      <c r="AD5" s="11" t="n">
        <v>23.95</v>
      </c>
    </row>
    <row r="6">
      <c r="A6" s="10" t="inlineStr">
        <is>
          <t>손상차손</t>
        </is>
      </c>
      <c r="C6" s="11" t="n">
        <v>0</v>
      </c>
      <c r="E6" s="11" t="n">
        <v>0</v>
      </c>
      <c r="G6" s="11" t="n">
        <v>0.73</v>
      </c>
      <c r="I6" s="11" t="n">
        <v>1.04</v>
      </c>
      <c r="K6" s="11" t="n">
        <v>0.12</v>
      </c>
      <c r="M6" s="11" t="n">
        <v>0.93</v>
      </c>
      <c r="O6" s="11" t="n">
        <v>0.23</v>
      </c>
      <c r="Q6" s="11" t="n">
        <v>2.52</v>
      </c>
      <c r="S6" s="11" t="n">
        <v>0.37</v>
      </c>
      <c r="U6" s="11" t="n">
        <v>2.31</v>
      </c>
      <c r="W6" s="11" t="n">
        <v>2.74</v>
      </c>
      <c r="X6" s="11" t="n">
        <v>5.92</v>
      </c>
      <c r="Y6" s="11" t="n">
        <v>6.74</v>
      </c>
      <c r="Z6" s="11" t="n">
        <v>0</v>
      </c>
      <c r="AA6" s="11" t="n">
        <v>1.04</v>
      </c>
      <c r="AB6" s="11" t="n">
        <v>0.93</v>
      </c>
      <c r="AC6" s="11" t="n">
        <v>2.52</v>
      </c>
      <c r="AD6" s="11" t="n">
        <v>2.31</v>
      </c>
    </row>
    <row r="7">
      <c r="A7" s="10" t="inlineStr">
        <is>
          <t>영업권 상각</t>
        </is>
      </c>
      <c r="C7" s="11" t="n">
        <v>0.24</v>
      </c>
      <c r="E7" s="11" t="n">
        <v>0.48</v>
      </c>
      <c r="G7" s="11" t="n">
        <v>0.24</v>
      </c>
      <c r="I7" s="11" t="n">
        <v>0.47</v>
      </c>
      <c r="K7" s="11" t="n">
        <v>0.21</v>
      </c>
      <c r="M7" s="11" t="n">
        <v>0.4</v>
      </c>
      <c r="O7" s="11" t="n">
        <v>0.01</v>
      </c>
      <c r="Q7" s="11" t="n">
        <v>0.03</v>
      </c>
      <c r="S7" s="11" t="n">
        <v>0.05</v>
      </c>
      <c r="U7" s="11" t="n">
        <v>0.13</v>
      </c>
      <c r="W7" s="11" t="n">
        <v>0.75</v>
      </c>
      <c r="X7" s="11" t="n">
        <v>1.3</v>
      </c>
      <c r="Y7" s="11" t="n">
        <v>1.29</v>
      </c>
      <c r="Z7" s="11" t="n">
        <v>0.48</v>
      </c>
      <c r="AA7" s="11" t="n">
        <v>0.47</v>
      </c>
      <c r="AB7" s="11" t="n">
        <v>0.4</v>
      </c>
      <c r="AC7" s="11" t="n">
        <v>0.03</v>
      </c>
      <c r="AD7" s="11" t="n">
        <v>0.13</v>
      </c>
    </row>
    <row r="8">
      <c r="A8" s="10" t="inlineStr">
        <is>
          <t>상여충당금 증감</t>
        </is>
      </c>
      <c r="C8" s="11" t="n">
        <v>-0.42</v>
      </c>
      <c r="E8" s="11" t="n">
        <v>0.16</v>
      </c>
      <c r="G8" s="11" t="n">
        <v>0.04</v>
      </c>
      <c r="I8" s="11" t="n">
        <v>0.46</v>
      </c>
      <c r="K8" s="11" t="n">
        <v>-0.39</v>
      </c>
      <c r="M8" s="11" t="n">
        <v>0.42</v>
      </c>
      <c r="O8" s="11" t="n">
        <v>-0.45</v>
      </c>
      <c r="Q8" s="11" t="n">
        <v>1.64</v>
      </c>
      <c r="S8" s="11" t="n">
        <v>-1.04</v>
      </c>
      <c r="U8" s="11" t="n">
        <v>3.66</v>
      </c>
      <c r="X8" s="11" t="n">
        <v>0.25</v>
      </c>
      <c r="Z8" s="11" t="n">
        <v>0.16</v>
      </c>
      <c r="AA8" s="11" t="n">
        <v>0.46</v>
      </c>
      <c r="AB8" s="11" t="n">
        <v>0.42</v>
      </c>
      <c r="AC8" s="11" t="n">
        <v>1.64</v>
      </c>
      <c r="AD8" s="11" t="n">
        <v>3.66</v>
      </c>
    </row>
    <row r="9">
      <c r="A9" s="10" t="inlineStr">
        <is>
          <t>대손충당금 증감</t>
        </is>
      </c>
      <c r="C9" s="11" t="n">
        <v>-0</v>
      </c>
      <c r="E9" s="11" t="n">
        <v>-0</v>
      </c>
      <c r="G9" s="11" t="n">
        <v>0</v>
      </c>
      <c r="I9" s="11" t="n">
        <v>0</v>
      </c>
      <c r="K9" s="11" t="n">
        <v>0</v>
      </c>
      <c r="M9" s="11" t="n">
        <v>0</v>
      </c>
      <c r="O9" s="11" t="n">
        <v>0</v>
      </c>
      <c r="Q9" s="11" t="n">
        <v>0</v>
      </c>
      <c r="S9" s="11" t="n">
        <v>0.93</v>
      </c>
      <c r="U9" s="11" t="n">
        <v>0.93</v>
      </c>
      <c r="W9" s="11" t="n">
        <v>0.07000000000000001</v>
      </c>
      <c r="X9" s="11" t="n">
        <v>-0.05</v>
      </c>
      <c r="Y9" s="11" t="n">
        <v>-0</v>
      </c>
      <c r="Z9" s="11" t="n">
        <v>-0</v>
      </c>
      <c r="AA9" s="11" t="n">
        <v>0</v>
      </c>
      <c r="AB9" s="11" t="n">
        <v>0</v>
      </c>
      <c r="AC9" s="11" t="n">
        <v>0</v>
      </c>
      <c r="AD9" s="11" t="n">
        <v>0.93</v>
      </c>
    </row>
    <row r="10">
      <c r="A10" s="10" t="inlineStr">
        <is>
          <t>매출리베이트 충당금 증감</t>
        </is>
      </c>
      <c r="C10" s="11" t="n">
        <v>0</v>
      </c>
      <c r="Y10" s="11" t="n">
        <v>-1.07</v>
      </c>
    </row>
    <row r="11">
      <c r="A11" s="10" t="inlineStr">
        <is>
          <t>점포 폐쇄손실 충당금 증감</t>
        </is>
      </c>
      <c r="C11" s="11" t="n">
        <v>-0.07000000000000001</v>
      </c>
      <c r="G11" s="11" t="n">
        <v>-0.05</v>
      </c>
      <c r="K11" s="11" t="n">
        <v>-0.02</v>
      </c>
      <c r="Y11" s="11" t="n">
        <v>0.04</v>
      </c>
    </row>
    <row r="12">
      <c r="A12" s="10" t="inlineStr">
        <is>
          <t>점포 폐쇄손실 충당금 증감</t>
        </is>
      </c>
      <c r="K12" s="11" t="n">
        <v>-0.02</v>
      </c>
      <c r="O12" s="11" t="n">
        <v>-0.01</v>
      </c>
      <c r="S12" s="11" t="n">
        <v>0.12</v>
      </c>
    </row>
    <row r="13">
      <c r="A13" s="10" t="inlineStr">
        <is>
          <t>점포 폐쇄손실 충당금 증감</t>
        </is>
      </c>
      <c r="E13" s="11" t="n">
        <v>0.13</v>
      </c>
      <c r="I13" s="11" t="n">
        <v>0.04</v>
      </c>
      <c r="M13" s="11" t="n">
        <v>0.34</v>
      </c>
      <c r="Q13" s="11" t="n">
        <v>-0.09</v>
      </c>
      <c r="U13" s="11" t="n">
        <v>0.42</v>
      </c>
      <c r="W13" s="11" t="n">
        <v>0.4</v>
      </c>
      <c r="X13" s="11" t="n">
        <v>0.02</v>
      </c>
      <c r="Z13" s="11" t="n">
        <v>0.13</v>
      </c>
      <c r="AA13" s="11" t="n">
        <v>0.04</v>
      </c>
      <c r="AB13" s="11" t="n">
        <v>0.34</v>
      </c>
      <c r="AC13" s="11" t="n">
        <v>-0.09</v>
      </c>
      <c r="AD13" s="11" t="n">
        <v>0.42</v>
      </c>
    </row>
    <row r="14">
      <c r="A14" s="10" t="inlineStr">
        <is>
          <t>매출리베이트 충당금 증감</t>
        </is>
      </c>
      <c r="E14" s="11" t="n">
        <v>0</v>
      </c>
      <c r="W14" s="11" t="n">
        <v>-1.34</v>
      </c>
      <c r="X14" s="11" t="n">
        <v>-0.5600000000000001</v>
      </c>
      <c r="Z14" s="11" t="n">
        <v>0</v>
      </c>
    </row>
    <row r="15">
      <c r="A15" s="10" t="inlineStr">
        <is>
          <t>특별조사 비용 충당금 증감</t>
        </is>
      </c>
      <c r="I15" s="11" t="n">
        <v>0</v>
      </c>
      <c r="M15" s="11" t="n">
        <v>5.5</v>
      </c>
      <c r="AA15" s="11" t="n">
        <v>0</v>
      </c>
      <c r="AB15" s="11" t="n">
        <v>5.5</v>
      </c>
    </row>
    <row r="16">
      <c r="A16" s="10" t="inlineStr">
        <is>
          <t>기타 충당금 증감</t>
        </is>
      </c>
      <c r="C16" s="11" t="n">
        <v>-0.38</v>
      </c>
      <c r="E16" s="11" t="n">
        <v>0.67</v>
      </c>
      <c r="G16" s="11" t="n">
        <v>-1.77</v>
      </c>
      <c r="I16" s="11" t="n">
        <v>-1.25</v>
      </c>
      <c r="K16" s="11" t="n">
        <v>-0.53</v>
      </c>
      <c r="M16" s="11" t="n">
        <v>0.19</v>
      </c>
      <c r="O16" s="11" t="n">
        <v>-0.58</v>
      </c>
      <c r="Q16" s="11" t="n">
        <v>-0.05</v>
      </c>
      <c r="S16" s="11" t="n">
        <v>-0.5600000000000001</v>
      </c>
      <c r="U16" s="11" t="n">
        <v>0.12</v>
      </c>
      <c r="Z16" s="11" t="n">
        <v>0.67</v>
      </c>
      <c r="AA16" s="11" t="n">
        <v>-1.25</v>
      </c>
      <c r="AB16" s="11" t="n">
        <v>0.19</v>
      </c>
      <c r="AC16" s="11" t="n">
        <v>-0.05</v>
      </c>
      <c r="AD16" s="11" t="n">
        <v>0.12</v>
      </c>
    </row>
    <row r="17">
      <c r="A17" s="10" t="inlineStr">
        <is>
          <t>이자비용</t>
        </is>
      </c>
      <c r="C17" s="11" t="n">
        <v>0.71</v>
      </c>
      <c r="E17" s="11" t="n">
        <v>1.45</v>
      </c>
      <c r="G17" s="11" t="n">
        <v>0.74</v>
      </c>
      <c r="I17" s="11" t="n">
        <v>1.71</v>
      </c>
      <c r="K17" s="11" t="n">
        <v>0.88</v>
      </c>
      <c r="M17" s="11" t="n">
        <v>1.94</v>
      </c>
      <c r="O17" s="11" t="n">
        <v>1.12</v>
      </c>
      <c r="Q17" s="11" t="n">
        <v>2.54</v>
      </c>
      <c r="S17" s="11" t="n">
        <v>1.48</v>
      </c>
      <c r="U17" s="11" t="n">
        <v>3.36</v>
      </c>
      <c r="W17" s="11" t="n">
        <v>1.56</v>
      </c>
      <c r="X17" s="11" t="n">
        <v>1.59</v>
      </c>
      <c r="Y17" s="11" t="n">
        <v>1.57</v>
      </c>
      <c r="Z17" s="11" t="n">
        <v>1.45</v>
      </c>
      <c r="AA17" s="11" t="n">
        <v>1.71</v>
      </c>
      <c r="AB17" s="11" t="n">
        <v>1.94</v>
      </c>
      <c r="AC17" s="11" t="n">
        <v>2.54</v>
      </c>
      <c r="AD17" s="11" t="n">
        <v>3.36</v>
      </c>
    </row>
    <row r="18">
      <c r="A18" s="10" t="inlineStr">
        <is>
          <t>지분법손익</t>
        </is>
      </c>
      <c r="C18" s="11" t="n">
        <v>-0</v>
      </c>
      <c r="E18" s="11" t="n">
        <v>0.03</v>
      </c>
      <c r="G18" s="11" t="n">
        <v>0.04</v>
      </c>
      <c r="I18" s="11" t="n">
        <v>-0.53</v>
      </c>
      <c r="K18" s="11" t="n">
        <v>0.06</v>
      </c>
      <c r="M18" s="11" t="n">
        <v>0.16</v>
      </c>
      <c r="O18" s="11" t="n">
        <v>0.04</v>
      </c>
      <c r="Q18" s="11" t="n">
        <v>0.1</v>
      </c>
      <c r="S18" s="11" t="n">
        <v>0.06</v>
      </c>
      <c r="U18" s="11" t="n">
        <v>0.14</v>
      </c>
      <c r="W18" s="11" t="n">
        <v>0.08</v>
      </c>
      <c r="X18" s="11" t="n">
        <v>-0.13</v>
      </c>
      <c r="Y18" s="11" t="n">
        <v>0.09</v>
      </c>
      <c r="Z18" s="11" t="n">
        <v>0.03</v>
      </c>
      <c r="AA18" s="11" t="n">
        <v>-0.53</v>
      </c>
      <c r="AB18" s="11" t="n">
        <v>0.16</v>
      </c>
      <c r="AC18" s="11" t="n">
        <v>0.1</v>
      </c>
      <c r="AD18" s="11" t="n">
        <v>0.14</v>
      </c>
    </row>
    <row r="19">
      <c r="A19" s="10" t="inlineStr">
        <is>
          <t>점포 폐쇄손실</t>
        </is>
      </c>
      <c r="G19" s="11" t="n">
        <v>0.34</v>
      </c>
      <c r="K19" s="11" t="n">
        <v>0.14</v>
      </c>
      <c r="Y19" s="11" t="n">
        <v>0.07000000000000001</v>
      </c>
    </row>
    <row r="20">
      <c r="A20" s="10" t="inlineStr">
        <is>
          <t>점포 폐쇄손실</t>
        </is>
      </c>
      <c r="K20" s="11" t="n">
        <v>0.14</v>
      </c>
      <c r="O20" s="11" t="n">
        <v>0.07000000000000001</v>
      </c>
    </row>
    <row r="21">
      <c r="A21" s="10" t="inlineStr">
        <is>
          <t>점포 폐쇄손실</t>
        </is>
      </c>
      <c r="E21" s="11" t="n">
        <v>0.04</v>
      </c>
      <c r="I21" s="11" t="n">
        <v>0.53</v>
      </c>
      <c r="M21" s="11" t="n">
        <v>0.42</v>
      </c>
      <c r="Q21" s="11" t="n">
        <v>0.5</v>
      </c>
      <c r="W21" s="11" t="n">
        <v>0.49</v>
      </c>
      <c r="X21" s="11" t="n">
        <v>0.74</v>
      </c>
      <c r="Z21" s="11" t="n">
        <v>0.04</v>
      </c>
      <c r="AA21" s="11" t="n">
        <v>0.53</v>
      </c>
      <c r="AB21" s="11" t="n">
        <v>0.42</v>
      </c>
      <c r="AC21" s="11" t="n">
        <v>0.5</v>
      </c>
    </row>
    <row r="22">
      <c r="A22" s="10" t="inlineStr">
        <is>
          <t>점포 폐쇄손실 충당금 전입</t>
        </is>
      </c>
      <c r="E22" s="11" t="n">
        <v>0.18</v>
      </c>
      <c r="Z22" s="11" t="n">
        <v>0.18</v>
      </c>
    </row>
    <row r="23">
      <c r="A23" s="10" t="inlineStr">
        <is>
          <t>투자유가증권 매각손익</t>
        </is>
      </c>
      <c r="C23" s="11" t="n">
        <v>0</v>
      </c>
      <c r="E23" s="11" t="n">
        <v>0.02</v>
      </c>
      <c r="G23" s="11" t="n">
        <v>0.02</v>
      </c>
      <c r="I23" s="11" t="n">
        <v>0.02</v>
      </c>
      <c r="K23" s="11" t="n">
        <v>0</v>
      </c>
      <c r="M23" s="11" t="n">
        <v>-0.17</v>
      </c>
      <c r="O23" s="11" t="n">
        <v>0</v>
      </c>
      <c r="Q23" s="11" t="n">
        <v>0</v>
      </c>
      <c r="S23" s="11" t="n">
        <v>-0.67</v>
      </c>
      <c r="U23" s="11" t="n">
        <v>-0.67</v>
      </c>
      <c r="Z23" s="11" t="n">
        <v>0.02</v>
      </c>
      <c r="AA23" s="11" t="n">
        <v>0.02</v>
      </c>
      <c r="AB23" s="11" t="n">
        <v>-0.17</v>
      </c>
      <c r="AC23" s="11" t="n">
        <v>0</v>
      </c>
      <c r="AD23" s="11" t="n">
        <v>-0.67</v>
      </c>
    </row>
    <row r="24">
      <c r="A24" s="10" t="inlineStr">
        <is>
          <t>투자유가증권 평가손익</t>
        </is>
      </c>
      <c r="E24" s="11" t="n">
        <v>0</v>
      </c>
      <c r="W24" s="11" t="n">
        <v>0</v>
      </c>
      <c r="X24" s="11" t="n">
        <v>0.02</v>
      </c>
      <c r="Y24" s="11" t="n">
        <v>0.01</v>
      </c>
      <c r="Z24" s="11" t="n">
        <v>0</v>
      </c>
    </row>
    <row r="25">
      <c r="A25" s="10" t="inlineStr">
        <is>
          <t>특별조사 비용</t>
        </is>
      </c>
      <c r="K25" s="11" t="n">
        <v>0</v>
      </c>
      <c r="O25" s="11" t="n">
        <v>0.18</v>
      </c>
      <c r="S25" s="11" t="n">
        <v>0</v>
      </c>
    </row>
    <row r="26">
      <c r="A26" s="10" t="inlineStr">
        <is>
          <t>고정자산 매각손익</t>
        </is>
      </c>
      <c r="C26" s="11" t="n">
        <v>0</v>
      </c>
      <c r="E26" s="11" t="n">
        <v>0</v>
      </c>
      <c r="G26" s="11" t="n">
        <v>-0.02</v>
      </c>
      <c r="I26" s="11" t="n">
        <v>-0.03</v>
      </c>
      <c r="K26" s="11" t="n">
        <v>-0</v>
      </c>
      <c r="M26" s="11" t="n">
        <v>0</v>
      </c>
      <c r="O26" s="11" t="n">
        <v>-0</v>
      </c>
      <c r="Q26" s="11" t="n">
        <v>-0</v>
      </c>
      <c r="S26" s="11" t="n">
        <v>-0.03</v>
      </c>
      <c r="U26" s="11" t="n">
        <v>-0.04</v>
      </c>
      <c r="Z26" s="11" t="n">
        <v>0</v>
      </c>
      <c r="AA26" s="11" t="n">
        <v>-0.03</v>
      </c>
      <c r="AB26" s="11" t="n">
        <v>0</v>
      </c>
      <c r="AC26" s="11" t="n">
        <v>-0</v>
      </c>
      <c r="AD26" s="11" t="n">
        <v>-0.04</v>
      </c>
    </row>
    <row r="27">
      <c r="A27" s="10" t="inlineStr">
        <is>
          <t>고정자산 제각손실</t>
        </is>
      </c>
      <c r="C27" s="11" t="n">
        <v>0.17</v>
      </c>
      <c r="E27" s="11" t="n">
        <v>0.75</v>
      </c>
      <c r="G27" s="11" t="n">
        <v>0.24</v>
      </c>
      <c r="I27" s="11" t="n">
        <v>0.99</v>
      </c>
      <c r="K27" s="11" t="n">
        <v>0.18</v>
      </c>
      <c r="M27" s="11" t="n">
        <v>0.73</v>
      </c>
      <c r="O27" s="11" t="n">
        <v>0.12</v>
      </c>
      <c r="Q27" s="11" t="n">
        <v>0.46</v>
      </c>
      <c r="S27" s="11" t="n">
        <v>0.3</v>
      </c>
      <c r="U27" s="11" t="n">
        <v>0.6899999999999999</v>
      </c>
      <c r="W27" s="11" t="n">
        <v>1.21</v>
      </c>
      <c r="X27" s="11" t="n">
        <v>2.29</v>
      </c>
      <c r="Y27" s="11" t="n">
        <v>0.5600000000000001</v>
      </c>
      <c r="Z27" s="11" t="n">
        <v>0.75</v>
      </c>
      <c r="AA27" s="11" t="n">
        <v>0.99</v>
      </c>
      <c r="AB27" s="11" t="n">
        <v>0.73</v>
      </c>
      <c r="AC27" s="11" t="n">
        <v>0.46</v>
      </c>
      <c r="AD27" s="11" t="n">
        <v>0.6899999999999999</v>
      </c>
    </row>
    <row r="28">
      <c r="A28" s="10" t="inlineStr">
        <is>
          <t>관계회사 출자금 매각손익</t>
        </is>
      </c>
      <c r="O28" s="11" t="n">
        <v>0</v>
      </c>
      <c r="S28" s="11" t="n">
        <v>0.52</v>
      </c>
    </row>
    <row r="29">
      <c r="A29" s="10" t="inlineStr">
        <is>
          <t>이전 보상금</t>
        </is>
      </c>
      <c r="C29" s="11" t="n">
        <v>-0.58</v>
      </c>
      <c r="E29" s="11" t="n">
        <v>-0.58</v>
      </c>
      <c r="G29" s="11" t="n">
        <v>0</v>
      </c>
      <c r="I29" s="11" t="n">
        <v>0</v>
      </c>
      <c r="M29" s="11" t="n">
        <v>-0.93</v>
      </c>
      <c r="Q29" s="11" t="n">
        <v>0</v>
      </c>
      <c r="U29" s="11" t="n">
        <v>-0.9</v>
      </c>
      <c r="W29" s="11" t="n">
        <v>-0.6</v>
      </c>
      <c r="X29" s="11" t="n">
        <v>-0.06</v>
      </c>
      <c r="Z29" s="11" t="n">
        <v>-0.58</v>
      </c>
      <c r="AA29" s="11" t="n">
        <v>0</v>
      </c>
      <c r="AB29" s="11" t="n">
        <v>-0.93</v>
      </c>
      <c r="AC29" s="11" t="n">
        <v>0</v>
      </c>
      <c r="AD29" s="11" t="n">
        <v>-0.9</v>
      </c>
    </row>
    <row r="30">
      <c r="A30" s="10" t="inlineStr">
        <is>
          <t>관계회사 청산이익</t>
        </is>
      </c>
      <c r="W30" s="11" t="n">
        <v>0</v>
      </c>
      <c r="X30" s="11" t="n">
        <v>-0.11</v>
      </c>
    </row>
    <row r="31">
      <c r="A31" s="10" t="inlineStr">
        <is>
          <t>관계회사 청산손실</t>
        </is>
      </c>
      <c r="W31" s="11" t="n">
        <v>0</v>
      </c>
      <c r="X31" s="11" t="n">
        <v>0.71</v>
      </c>
    </row>
    <row r="32">
      <c r="A32" s="10" t="inlineStr">
        <is>
          <t>채무면제이익</t>
        </is>
      </c>
      <c r="C32" s="11" t="n">
        <v>-0.68</v>
      </c>
      <c r="E32" s="11" t="n">
        <v>-1.39</v>
      </c>
      <c r="G32" s="11" t="n">
        <v>0</v>
      </c>
      <c r="I32" s="11" t="n">
        <v>0</v>
      </c>
      <c r="Z32" s="11" t="n">
        <v>-1.39</v>
      </c>
      <c r="AA32" s="11" t="n">
        <v>0</v>
      </c>
    </row>
    <row r="33">
      <c r="A33" s="10" t="inlineStr">
        <is>
          <t>코로나19 관련 손실</t>
        </is>
      </c>
      <c r="C33" s="11" t="n">
        <v>0.6899999999999999</v>
      </c>
      <c r="G33" s="11" t="n">
        <v>0</v>
      </c>
      <c r="Y33" s="11" t="n">
        <v>7.77</v>
      </c>
    </row>
    <row r="34">
      <c r="A34" s="10" t="inlineStr">
        <is>
          <t>코로나19 관련 손실</t>
        </is>
      </c>
      <c r="E34" s="11" t="n">
        <v>0.71</v>
      </c>
      <c r="I34" s="11" t="n">
        <v>0</v>
      </c>
      <c r="X34" s="11" t="n">
        <v>0.14</v>
      </c>
      <c r="Z34" s="11" t="n">
        <v>0.71</v>
      </c>
      <c r="AA34" s="11" t="n">
        <v>0</v>
      </c>
    </row>
    <row r="35">
      <c r="A35" s="10" t="inlineStr">
        <is>
          <t>재해 손실</t>
        </is>
      </c>
      <c r="M35" s="11" t="n">
        <v>0</v>
      </c>
      <c r="Q35" s="11" t="n">
        <v>0.25</v>
      </c>
      <c r="U35" s="11" t="n">
        <v>0</v>
      </c>
      <c r="W35" s="11" t="n">
        <v>0.18</v>
      </c>
      <c r="X35" s="11" t="n">
        <v>0.29</v>
      </c>
      <c r="AB35" s="11" t="n">
        <v>0</v>
      </c>
      <c r="AC35" s="11" t="n">
        <v>0.25</v>
      </c>
      <c r="AD35" s="11" t="n">
        <v>0</v>
      </c>
    </row>
    <row r="36">
      <c r="A36" s="10" t="inlineStr">
        <is>
          <t>관계회사 출자금 매각손익</t>
        </is>
      </c>
      <c r="Q36" s="11" t="n">
        <v>0</v>
      </c>
      <c r="U36" s="11" t="n">
        <v>0.52</v>
      </c>
      <c r="AC36" s="11" t="n">
        <v>0</v>
      </c>
      <c r="AD36" s="11" t="n">
        <v>0.52</v>
      </c>
    </row>
    <row r="37">
      <c r="A37" s="10" t="inlineStr">
        <is>
          <t>매출채권 증감</t>
        </is>
      </c>
      <c r="C37" s="11" t="n">
        <v>0.7</v>
      </c>
      <c r="E37" s="11" t="n">
        <v>-2.11</v>
      </c>
      <c r="G37" s="11" t="n">
        <v>-3.48</v>
      </c>
      <c r="I37" s="11" t="n">
        <v>-6.72</v>
      </c>
      <c r="K37" s="11" t="n">
        <v>-2.16</v>
      </c>
      <c r="M37" s="11" t="n">
        <v>-3.88</v>
      </c>
      <c r="O37" s="11" t="n">
        <v>-2.11</v>
      </c>
      <c r="Q37" s="11" t="n">
        <v>-4.91</v>
      </c>
      <c r="S37" s="11" t="n">
        <v>-2.36</v>
      </c>
      <c r="U37" s="11" t="n">
        <v>-6.42</v>
      </c>
      <c r="W37" s="11" t="n">
        <v>-1.03</v>
      </c>
      <c r="X37" s="11" t="n">
        <v>-2.63</v>
      </c>
      <c r="Y37" s="11" t="n">
        <v>-1.74</v>
      </c>
      <c r="Z37" s="11" t="n">
        <v>-2.11</v>
      </c>
      <c r="AA37" s="11" t="n">
        <v>-6.72</v>
      </c>
      <c r="AB37" s="11" t="n">
        <v>-3.88</v>
      </c>
      <c r="AC37" s="11" t="n">
        <v>-4.91</v>
      </c>
      <c r="AD37" s="11" t="n">
        <v>-6.42</v>
      </c>
    </row>
    <row r="38">
      <c r="A38" s="10" t="inlineStr">
        <is>
          <t>재고자산 증감</t>
        </is>
      </c>
      <c r="C38" s="11" t="n">
        <v>-12.05</v>
      </c>
      <c r="E38" s="11" t="n">
        <v>-15.91</v>
      </c>
      <c r="G38" s="11" t="n">
        <v>-11.6</v>
      </c>
      <c r="I38" s="11" t="n">
        <v>-21.42</v>
      </c>
      <c r="K38" s="11" t="n">
        <v>-13.28</v>
      </c>
      <c r="M38" s="11" t="n">
        <v>-11.36</v>
      </c>
      <c r="O38" s="11" t="n">
        <v>-3.48</v>
      </c>
      <c r="Q38" s="11" t="n">
        <v>-9.09</v>
      </c>
      <c r="S38" s="11" t="n">
        <v>-2.21</v>
      </c>
      <c r="U38" s="11" t="n">
        <v>-12</v>
      </c>
      <c r="W38" s="11" t="n">
        <v>0.78</v>
      </c>
      <c r="X38" s="11" t="n">
        <v>0.54</v>
      </c>
      <c r="Y38" s="11" t="n">
        <v>-3.32</v>
      </c>
      <c r="Z38" s="11" t="n">
        <v>-15.91</v>
      </c>
      <c r="AA38" s="11" t="n">
        <v>-21.42</v>
      </c>
      <c r="AB38" s="11" t="n">
        <v>-11.36</v>
      </c>
      <c r="AC38" s="11" t="n">
        <v>-9.09</v>
      </c>
      <c r="AD38" s="11" t="n">
        <v>-12</v>
      </c>
    </row>
    <row r="39">
      <c r="A39" s="10" t="inlineStr">
        <is>
          <t>매입채무 증감</t>
        </is>
      </c>
      <c r="C39" s="11" t="n">
        <v>1.64</v>
      </c>
      <c r="E39" s="11" t="n">
        <v>1.74</v>
      </c>
      <c r="G39" s="11" t="n">
        <v>0.92</v>
      </c>
      <c r="I39" s="11" t="n">
        <v>0.78</v>
      </c>
      <c r="K39" s="11" t="n">
        <v>0.82</v>
      </c>
      <c r="M39" s="11" t="n">
        <v>-0.32</v>
      </c>
      <c r="O39" s="11" t="n">
        <v>1.23</v>
      </c>
      <c r="Q39" s="11" t="n">
        <v>-1.24</v>
      </c>
      <c r="S39" s="11" t="n">
        <v>3.22</v>
      </c>
      <c r="U39" s="11" t="n">
        <v>1.76</v>
      </c>
      <c r="W39" s="11" t="n">
        <v>-0.2</v>
      </c>
      <c r="X39" s="11" t="n">
        <v>0.14</v>
      </c>
      <c r="Y39" s="11" t="n">
        <v>1.45</v>
      </c>
      <c r="Z39" s="11" t="n">
        <v>1.74</v>
      </c>
      <c r="AA39" s="11" t="n">
        <v>0.78</v>
      </c>
      <c r="AB39" s="11" t="n">
        <v>-0.32</v>
      </c>
      <c r="AC39" s="11" t="n">
        <v>-1.24</v>
      </c>
      <c r="AD39" s="11" t="n">
        <v>1.76</v>
      </c>
    </row>
    <row r="40">
      <c r="A40" s="10" t="inlineStr">
        <is>
          <t>미지급금 증감</t>
        </is>
      </c>
      <c r="W40" s="11" t="n">
        <v>4.95</v>
      </c>
      <c r="X40" s="11" t="n">
        <v>-0.82</v>
      </c>
    </row>
    <row r="41">
      <c r="A41" s="10" t="inlineStr">
        <is>
          <t>기타</t>
        </is>
      </c>
      <c r="C41" s="11" t="n">
        <v>-1.91</v>
      </c>
      <c r="E41" s="11" t="n">
        <v>5.14</v>
      </c>
      <c r="G41" s="11" t="n">
        <v>-7</v>
      </c>
      <c r="I41" s="11" t="n">
        <v>-5.74</v>
      </c>
      <c r="K41" s="11" t="n">
        <v>-3.06</v>
      </c>
      <c r="M41" s="11" t="n">
        <v>11.32</v>
      </c>
      <c r="O41" s="11" t="n">
        <v>0.99</v>
      </c>
      <c r="Q41" s="11" t="n">
        <v>5.48</v>
      </c>
      <c r="S41" s="11" t="n">
        <v>-5.36</v>
      </c>
      <c r="U41" s="11" t="n">
        <v>1.43</v>
      </c>
      <c r="W41" s="11" t="n">
        <v>-4.49</v>
      </c>
      <c r="X41" s="11" t="n">
        <v>2.95</v>
      </c>
      <c r="Y41" s="11" t="n">
        <v>4.24</v>
      </c>
      <c r="Z41" s="11" t="n">
        <v>5.14</v>
      </c>
      <c r="AA41" s="11" t="n">
        <v>-5.74</v>
      </c>
      <c r="AB41" s="11" t="n">
        <v>11.32</v>
      </c>
      <c r="AC41" s="11" t="n">
        <v>5.48</v>
      </c>
      <c r="AD41" s="11" t="n">
        <v>1.43</v>
      </c>
    </row>
    <row r="42">
      <c r="A42" s="10" t="inlineStr">
        <is>
          <t>소계</t>
        </is>
      </c>
      <c r="C42" s="11" t="n">
        <v>2.43</v>
      </c>
      <c r="E42" s="11" t="n">
        <v>29.9</v>
      </c>
      <c r="G42" s="11" t="n">
        <v>-2.37</v>
      </c>
      <c r="I42" s="11" t="n">
        <v>14.59</v>
      </c>
      <c r="K42" s="11" t="n">
        <v>3.34</v>
      </c>
      <c r="M42" s="11" t="n">
        <v>46.62</v>
      </c>
      <c r="O42" s="11" t="n">
        <v>24.17</v>
      </c>
      <c r="Q42" s="11" t="n">
        <v>54.57</v>
      </c>
      <c r="S42" s="11" t="n">
        <v>19.47</v>
      </c>
      <c r="U42" s="11" t="n">
        <v>63.39</v>
      </c>
      <c r="W42" s="11" t="n">
        <v>39.03</v>
      </c>
      <c r="X42" s="11" t="n">
        <v>38.19</v>
      </c>
      <c r="Y42" s="11" t="n">
        <v>38.56</v>
      </c>
      <c r="Z42" s="11" t="n">
        <v>29.9</v>
      </c>
      <c r="AA42" s="11" t="n">
        <v>14.59</v>
      </c>
      <c r="AB42" s="11" t="n">
        <v>46.62</v>
      </c>
      <c r="AC42" s="11" t="n">
        <v>54.57</v>
      </c>
      <c r="AD42" s="11" t="n">
        <v>63.39</v>
      </c>
    </row>
    <row r="43">
      <c r="A43" s="10" t="inlineStr">
        <is>
          <t>이자·배당금 수취</t>
        </is>
      </c>
      <c r="C43" s="11" t="n">
        <v>0.03</v>
      </c>
      <c r="E43" s="11" t="n">
        <v>0.07000000000000001</v>
      </c>
      <c r="G43" s="11" t="n">
        <v>0.04</v>
      </c>
      <c r="I43" s="11" t="n">
        <v>0.08</v>
      </c>
      <c r="K43" s="11" t="n">
        <v>0.05</v>
      </c>
      <c r="M43" s="11" t="n">
        <v>0.05</v>
      </c>
      <c r="O43" s="11" t="n">
        <v>0.08</v>
      </c>
      <c r="Q43" s="11" t="n">
        <v>0.2</v>
      </c>
      <c r="S43" s="11" t="n">
        <v>0.13</v>
      </c>
      <c r="U43" s="11" t="n">
        <v>0.27</v>
      </c>
      <c r="W43" s="11" t="n">
        <v>0.07000000000000001</v>
      </c>
      <c r="X43" s="11" t="n">
        <v>0.07000000000000001</v>
      </c>
      <c r="Y43" s="11" t="n">
        <v>0.07000000000000001</v>
      </c>
      <c r="Z43" s="11" t="n">
        <v>0.07000000000000001</v>
      </c>
      <c r="AA43" s="11" t="n">
        <v>0.08</v>
      </c>
      <c r="AB43" s="11" t="n">
        <v>0.05</v>
      </c>
      <c r="AC43" s="11" t="n">
        <v>0.2</v>
      </c>
      <c r="AD43" s="11" t="n">
        <v>0.27</v>
      </c>
    </row>
    <row r="44">
      <c r="A44" s="10" t="inlineStr">
        <is>
          <t>이자 지급</t>
        </is>
      </c>
      <c r="C44" s="11" t="n">
        <v>-0.71</v>
      </c>
      <c r="E44" s="11" t="n">
        <v>-1.45</v>
      </c>
      <c r="G44" s="11" t="n">
        <v>-0.75</v>
      </c>
      <c r="I44" s="11" t="n">
        <v>-1.72</v>
      </c>
      <c r="K44" s="11" t="n">
        <v>-0.88</v>
      </c>
      <c r="M44" s="11" t="n">
        <v>-1.75</v>
      </c>
      <c r="O44" s="11" t="n">
        <v>-1.02</v>
      </c>
      <c r="Q44" s="11" t="n">
        <v>-2.43</v>
      </c>
      <c r="S44" s="11" t="n">
        <v>-1.53</v>
      </c>
      <c r="U44" s="11" t="n">
        <v>-3.35</v>
      </c>
      <c r="W44" s="11" t="n">
        <v>-1.55</v>
      </c>
      <c r="X44" s="11" t="n">
        <v>-1.6</v>
      </c>
      <c r="Y44" s="11" t="n">
        <v>-1.58</v>
      </c>
      <c r="Z44" s="11" t="n">
        <v>-1.45</v>
      </c>
      <c r="AA44" s="11" t="n">
        <v>-1.72</v>
      </c>
      <c r="AB44" s="11" t="n">
        <v>-1.75</v>
      </c>
      <c r="AC44" s="11" t="n">
        <v>-2.43</v>
      </c>
      <c r="AD44" s="11" t="n">
        <v>-3.35</v>
      </c>
    </row>
    <row r="45">
      <c r="A45" s="10" t="inlineStr">
        <is>
          <t>특별조사 비용 지급</t>
        </is>
      </c>
      <c r="K45" s="11" t="n">
        <v>0</v>
      </c>
      <c r="O45" s="11" t="n">
        <v>-4.52</v>
      </c>
      <c r="S45" s="11" t="n">
        <v>0</v>
      </c>
    </row>
    <row r="46">
      <c r="A46" s="10" t="inlineStr">
        <is>
          <t>이전 보상금 수취</t>
        </is>
      </c>
      <c r="C46" s="11" t="n">
        <v>0.58</v>
      </c>
      <c r="E46" s="11" t="n">
        <v>0.58</v>
      </c>
      <c r="G46" s="11" t="n">
        <v>0</v>
      </c>
      <c r="I46" s="11" t="n">
        <v>0</v>
      </c>
      <c r="M46" s="11" t="n">
        <v>0.93</v>
      </c>
      <c r="Q46" s="11" t="n">
        <v>0</v>
      </c>
      <c r="U46" s="11" t="n">
        <v>0.9</v>
      </c>
      <c r="W46" s="11" t="n">
        <v>0.6</v>
      </c>
      <c r="X46" s="11" t="n">
        <v>0.06</v>
      </c>
      <c r="Z46" s="11" t="n">
        <v>0.58</v>
      </c>
      <c r="AA46" s="11" t="n">
        <v>0</v>
      </c>
      <c r="AB46" s="11" t="n">
        <v>0.93</v>
      </c>
      <c r="AC46" s="11" t="n">
        <v>0</v>
      </c>
      <c r="AD46" s="11" t="n">
        <v>0.9</v>
      </c>
    </row>
    <row r="47">
      <c r="A47" s="10" t="inlineStr">
        <is>
          <t>코로나19 손실 지급</t>
        </is>
      </c>
      <c r="C47" s="11" t="n">
        <v>-0.63</v>
      </c>
      <c r="G47" s="11" t="n">
        <v>0</v>
      </c>
      <c r="Y47" s="11" t="n">
        <v>-7.38</v>
      </c>
    </row>
    <row r="48">
      <c r="A48" s="10" t="inlineStr">
        <is>
          <t>채무면제이익 수취</t>
        </is>
      </c>
      <c r="E48" s="11" t="n">
        <v>1.39</v>
      </c>
      <c r="I48" s="11" t="n">
        <v>0</v>
      </c>
      <c r="Z48" s="11" t="n">
        <v>1.39</v>
      </c>
      <c r="AA48" s="11" t="n">
        <v>0</v>
      </c>
    </row>
    <row r="49">
      <c r="A49" s="10" t="inlineStr">
        <is>
          <t>코로나19 손실 지급</t>
        </is>
      </c>
      <c r="E49" s="11" t="n">
        <v>-0.64</v>
      </c>
      <c r="I49" s="11" t="n">
        <v>0</v>
      </c>
      <c r="X49" s="11" t="n">
        <v>0</v>
      </c>
      <c r="Z49" s="11" t="n">
        <v>-0.64</v>
      </c>
      <c r="AA49" s="11" t="n">
        <v>0</v>
      </c>
    </row>
    <row r="50">
      <c r="A50" s="10" t="inlineStr">
        <is>
          <t>특별조사 비용 지급</t>
        </is>
      </c>
      <c r="M50" s="11" t="n">
        <v>0</v>
      </c>
      <c r="Q50" s="11" t="n">
        <v>-5.68</v>
      </c>
      <c r="U50" s="11" t="n">
        <v>0</v>
      </c>
      <c r="AB50" s="11" t="n">
        <v>0</v>
      </c>
      <c r="AC50" s="11" t="n">
        <v>-5.68</v>
      </c>
      <c r="AD50" s="11" t="n">
        <v>0</v>
      </c>
    </row>
    <row r="51">
      <c r="A51" s="10" t="inlineStr">
        <is>
          <t>재해손실 지급</t>
        </is>
      </c>
      <c r="M51" s="11" t="n">
        <v>0</v>
      </c>
      <c r="Q51" s="11" t="n">
        <v>-0.25</v>
      </c>
      <c r="U51" s="11" t="n">
        <v>0</v>
      </c>
      <c r="W51" s="11" t="n">
        <v>-0.18</v>
      </c>
      <c r="X51" s="11" t="n">
        <v>-0.29</v>
      </c>
      <c r="AB51" s="11" t="n">
        <v>0</v>
      </c>
      <c r="AC51" s="11" t="n">
        <v>-0.25</v>
      </c>
      <c r="AD51" s="11" t="n">
        <v>0</v>
      </c>
    </row>
    <row r="52">
      <c r="A52" s="10" t="inlineStr">
        <is>
          <t>법인세 납부</t>
        </is>
      </c>
      <c r="C52" s="11" t="n">
        <v>-1.51</v>
      </c>
      <c r="E52" s="11" t="n">
        <v>-2.16</v>
      </c>
      <c r="G52" s="11" t="n">
        <v>-6.01</v>
      </c>
      <c r="I52" s="11" t="n">
        <v>-11</v>
      </c>
      <c r="K52" s="11" t="n">
        <v>-2.62</v>
      </c>
      <c r="M52" s="11" t="n">
        <v>-7.35</v>
      </c>
      <c r="O52" s="11" t="n">
        <v>-9.5</v>
      </c>
      <c r="Q52" s="11" t="n">
        <v>-15.94</v>
      </c>
      <c r="S52" s="11" t="n">
        <v>-5.97</v>
      </c>
      <c r="U52" s="11" t="n">
        <v>-12.45</v>
      </c>
      <c r="W52" s="11" t="n">
        <v>-10.59</v>
      </c>
      <c r="X52" s="11" t="n">
        <v>-5.29</v>
      </c>
      <c r="Y52" s="11" t="n">
        <v>-3.63</v>
      </c>
      <c r="Z52" s="11" t="n">
        <v>-2.16</v>
      </c>
      <c r="AA52" s="11" t="n">
        <v>-11</v>
      </c>
      <c r="AB52" s="11" t="n">
        <v>-7.35</v>
      </c>
      <c r="AC52" s="11" t="n">
        <v>-15.94</v>
      </c>
      <c r="AD52" s="11" t="n">
        <v>-12.45</v>
      </c>
    </row>
    <row r="53">
      <c r="A53" s="10" t="inlineStr">
        <is>
          <t>법인세 환급</t>
        </is>
      </c>
      <c r="C53" s="11" t="n">
        <v>0.13</v>
      </c>
      <c r="E53" s="11" t="n">
        <v>0.13</v>
      </c>
      <c r="G53" s="11" t="n">
        <v>0.48</v>
      </c>
      <c r="I53" s="11" t="n">
        <v>0.48</v>
      </c>
      <c r="K53" s="11" t="n">
        <v>2.31</v>
      </c>
      <c r="M53" s="11" t="n">
        <v>2.33</v>
      </c>
      <c r="O53" s="11" t="n">
        <v>0.14</v>
      </c>
      <c r="Q53" s="11" t="n">
        <v>0.16</v>
      </c>
      <c r="S53" s="11" t="n">
        <v>0.47</v>
      </c>
      <c r="U53" s="11" t="n">
        <v>0.18</v>
      </c>
      <c r="W53" s="11" t="n">
        <v>0.14</v>
      </c>
      <c r="X53" s="11" t="n">
        <v>4.29</v>
      </c>
      <c r="Y53" s="11" t="n">
        <v>2.52</v>
      </c>
      <c r="Z53" s="11" t="n">
        <v>0.13</v>
      </c>
      <c r="AA53" s="11" t="n">
        <v>0.48</v>
      </c>
      <c r="AB53" s="11" t="n">
        <v>2.33</v>
      </c>
      <c r="AC53" s="11" t="n">
        <v>0.16</v>
      </c>
      <c r="AD53" s="11" t="n">
        <v>0.18</v>
      </c>
    </row>
    <row r="54">
      <c r="A54" s="10" t="inlineStr">
        <is>
          <t>리스해약 손실 지급</t>
        </is>
      </c>
      <c r="Q54" s="11" t="n">
        <v>0</v>
      </c>
      <c r="U54" s="11" t="n">
        <v>-0</v>
      </c>
      <c r="AC54" s="11" t="n">
        <v>0</v>
      </c>
      <c r="AD54" s="11" t="n">
        <v>-0</v>
      </c>
    </row>
    <row r="55">
      <c r="A55" s="10" t="inlineStr">
        <is>
          <t>영업활동 현금흐름</t>
        </is>
      </c>
      <c r="C55" s="11" t="n">
        <v>0.33</v>
      </c>
      <c r="E55" s="11" t="n">
        <v>27.82</v>
      </c>
      <c r="G55" s="11" t="n">
        <v>-8.609999999999999</v>
      </c>
      <c r="I55" s="11" t="n">
        <v>2.43</v>
      </c>
      <c r="K55" s="11" t="n">
        <v>2.2</v>
      </c>
      <c r="M55" s="11" t="n">
        <v>40.84</v>
      </c>
      <c r="O55" s="11" t="n">
        <v>9.35</v>
      </c>
      <c r="Q55" s="11" t="n">
        <v>30.62</v>
      </c>
      <c r="S55" s="11" t="n">
        <v>12.57</v>
      </c>
      <c r="U55" s="11" t="n">
        <v>48.94</v>
      </c>
      <c r="W55" s="11" t="n">
        <v>27.51</v>
      </c>
      <c r="X55" s="11" t="n">
        <v>35.43</v>
      </c>
      <c r="Y55" s="11" t="n">
        <v>28.55</v>
      </c>
      <c r="Z55" s="11" t="n">
        <v>27.82</v>
      </c>
      <c r="AA55" s="11" t="n">
        <v>2.43</v>
      </c>
      <c r="AB55" s="11" t="n">
        <v>40.84</v>
      </c>
      <c r="AC55" s="11" t="n">
        <v>30.62</v>
      </c>
      <c r="AD55" s="11" t="n">
        <v>48.94</v>
      </c>
    </row>
    <row r="56">
      <c r="A56" s="10" t="inlineStr">
        <is>
          <t>유형자산 취득(설비투자)</t>
        </is>
      </c>
      <c r="C56" s="11" t="n">
        <v>-4.15</v>
      </c>
      <c r="E56" s="11" t="n">
        <v>-8.800000000000001</v>
      </c>
      <c r="G56" s="11" t="n">
        <v>-14.93</v>
      </c>
      <c r="I56" s="11" t="n">
        <v>-20.33</v>
      </c>
      <c r="K56" s="11" t="n">
        <v>-9.27</v>
      </c>
      <c r="M56" s="11" t="n">
        <v>-17.32</v>
      </c>
      <c r="O56" s="11" t="n">
        <v>-13.92</v>
      </c>
      <c r="Q56" s="11" t="n">
        <v>-21.54</v>
      </c>
      <c r="S56" s="11" t="n">
        <v>-9.220000000000001</v>
      </c>
      <c r="U56" s="11" t="n">
        <v>-21.5</v>
      </c>
      <c r="W56" s="11" t="n">
        <v>-6.63</v>
      </c>
      <c r="X56" s="11" t="n">
        <v>-11.61</v>
      </c>
      <c r="Y56" s="11" t="n">
        <v>-5.44</v>
      </c>
      <c r="Z56" s="11" t="n">
        <v>-8.800000000000001</v>
      </c>
      <c r="AA56" s="11" t="n">
        <v>-20.33</v>
      </c>
      <c r="AB56" s="11" t="n">
        <v>-17.32</v>
      </c>
      <c r="AC56" s="11" t="n">
        <v>-21.54</v>
      </c>
      <c r="AD56" s="11" t="n">
        <v>-21.5</v>
      </c>
    </row>
    <row r="57">
      <c r="A57" s="10" t="inlineStr">
        <is>
          <t>무형자산 취득</t>
        </is>
      </c>
      <c r="C57" s="11" t="n">
        <v>-4.61</v>
      </c>
      <c r="E57" s="11" t="n">
        <v>-10.07</v>
      </c>
      <c r="G57" s="11" t="n">
        <v>-7.34</v>
      </c>
      <c r="I57" s="11" t="n">
        <v>-12.59</v>
      </c>
      <c r="K57" s="11" t="n">
        <v>-2.15</v>
      </c>
      <c r="M57" s="11" t="n">
        <v>-4.33</v>
      </c>
      <c r="O57" s="11" t="n">
        <v>-2.19</v>
      </c>
      <c r="Q57" s="11" t="n">
        <v>-3.31</v>
      </c>
      <c r="S57" s="11" t="n">
        <v>-1.33</v>
      </c>
      <c r="U57" s="11" t="n">
        <v>-3.12</v>
      </c>
      <c r="W57" s="11" t="n">
        <v>-3.93</v>
      </c>
      <c r="X57" s="11" t="n">
        <v>-4.49</v>
      </c>
      <c r="Y57" s="11" t="n">
        <v>-3.53</v>
      </c>
      <c r="Z57" s="11" t="n">
        <v>-10.07</v>
      </c>
      <c r="AA57" s="11" t="n">
        <v>-12.59</v>
      </c>
      <c r="AB57" s="11" t="n">
        <v>-4.33</v>
      </c>
      <c r="AC57" s="11" t="n">
        <v>-3.31</v>
      </c>
      <c r="AD57" s="11" t="n">
        <v>-3.12</v>
      </c>
    </row>
    <row r="58">
      <c r="A58" s="10" t="inlineStr">
        <is>
          <t>보증금 증가</t>
        </is>
      </c>
      <c r="W58" s="11" t="n">
        <v>-1.26</v>
      </c>
      <c r="X58" s="11" t="n">
        <v>-3.81</v>
      </c>
    </row>
    <row r="59">
      <c r="A59" s="10" t="inlineStr">
        <is>
          <t>보증금 감소</t>
        </is>
      </c>
      <c r="W59" s="11" t="n">
        <v>5.62</v>
      </c>
      <c r="X59" s="11" t="n">
        <v>3.59</v>
      </c>
    </row>
    <row r="60">
      <c r="A60" s="10" t="inlineStr">
        <is>
          <t>투자유가증권 매각</t>
        </is>
      </c>
      <c r="C60" s="11" t="n">
        <v>0</v>
      </c>
      <c r="G60" s="11" t="n">
        <v>0.7</v>
      </c>
      <c r="K60" s="11" t="n">
        <v>0</v>
      </c>
      <c r="O60" s="11" t="n">
        <v>0</v>
      </c>
      <c r="Q60" s="11" t="n">
        <v>0</v>
      </c>
      <c r="S60" s="11" t="n">
        <v>1.14</v>
      </c>
      <c r="U60" s="11" t="n">
        <v>1.14</v>
      </c>
      <c r="AC60" s="11" t="n">
        <v>0</v>
      </c>
      <c r="AD60" s="11" t="n">
        <v>1.14</v>
      </c>
    </row>
    <row r="61">
      <c r="A61" s="10" t="inlineStr">
        <is>
          <t>보증금 납입</t>
        </is>
      </c>
      <c r="C61" s="11" t="n">
        <v>-0.2</v>
      </c>
      <c r="E61" s="11" t="n">
        <v>-0.4</v>
      </c>
      <c r="G61" s="11" t="n">
        <v>-0.99</v>
      </c>
      <c r="I61" s="11" t="n">
        <v>-3.04</v>
      </c>
      <c r="K61" s="11" t="n">
        <v>-1.1</v>
      </c>
      <c r="M61" s="11" t="n">
        <v>-2.74</v>
      </c>
      <c r="O61" s="11" t="n">
        <v>-2.44</v>
      </c>
      <c r="Q61" s="11" t="n">
        <v>-3.04</v>
      </c>
      <c r="S61" s="11" t="n">
        <v>-2.11</v>
      </c>
      <c r="U61" s="11" t="n">
        <v>-4.54</v>
      </c>
      <c r="X61" s="11" t="n">
        <v>-3.81</v>
      </c>
      <c r="Y61" s="11" t="n">
        <v>-0.9</v>
      </c>
      <c r="Z61" s="11" t="n">
        <v>-0.4</v>
      </c>
      <c r="AA61" s="11" t="n">
        <v>-3.04</v>
      </c>
      <c r="AB61" s="11" t="n">
        <v>-2.74</v>
      </c>
      <c r="AC61" s="11" t="n">
        <v>-3.04</v>
      </c>
      <c r="AD61" s="11" t="n">
        <v>-4.54</v>
      </c>
    </row>
    <row r="62">
      <c r="A62" s="10" t="inlineStr">
        <is>
          <t>보증금 회수</t>
        </is>
      </c>
      <c r="C62" s="11" t="n">
        <v>2.25</v>
      </c>
      <c r="E62" s="11" t="n">
        <v>2.41</v>
      </c>
      <c r="G62" s="11" t="n">
        <v>1.26</v>
      </c>
      <c r="I62" s="11" t="n">
        <v>2.94</v>
      </c>
      <c r="K62" s="11" t="n">
        <v>0.6899999999999999</v>
      </c>
      <c r="M62" s="11" t="n">
        <v>2.25</v>
      </c>
      <c r="O62" s="11" t="n">
        <v>1.74</v>
      </c>
      <c r="Q62" s="11" t="n">
        <v>3.27</v>
      </c>
      <c r="S62" s="11" t="n">
        <v>1.69</v>
      </c>
      <c r="U62" s="11" t="n">
        <v>2.25</v>
      </c>
      <c r="X62" s="11" t="n">
        <v>3.59</v>
      </c>
      <c r="Y62" s="11" t="n">
        <v>2.34</v>
      </c>
      <c r="Z62" s="11" t="n">
        <v>2.41</v>
      </c>
      <c r="AA62" s="11" t="n">
        <v>2.94</v>
      </c>
      <c r="AB62" s="11" t="n">
        <v>2.25</v>
      </c>
      <c r="AC62" s="11" t="n">
        <v>3.27</v>
      </c>
      <c r="AD62" s="11" t="n">
        <v>2.25</v>
      </c>
    </row>
    <row r="63">
      <c r="A63" s="10" t="inlineStr">
        <is>
          <t>점포 양수</t>
        </is>
      </c>
      <c r="W63" s="11" t="n">
        <v>-1.6</v>
      </c>
      <c r="X63" s="11" t="n">
        <v>-5.9</v>
      </c>
    </row>
    <row r="64">
      <c r="A64" s="10" t="inlineStr">
        <is>
          <t>점포 양수</t>
        </is>
      </c>
      <c r="C64" s="11" t="n">
        <v>0</v>
      </c>
      <c r="Y64" s="11" t="n">
        <v>-1.26</v>
      </c>
    </row>
    <row r="65">
      <c r="A65" s="10" t="inlineStr">
        <is>
          <t>대여금 회수</t>
        </is>
      </c>
      <c r="O65" s="11" t="n">
        <v>0</v>
      </c>
      <c r="Q65" s="11" t="n">
        <v>0</v>
      </c>
      <c r="S65" s="11" t="n">
        <v>0.47</v>
      </c>
      <c r="U65" s="11" t="n">
        <v>0.47</v>
      </c>
      <c r="AC65" s="11" t="n">
        <v>0</v>
      </c>
      <c r="AD65" s="11" t="n">
        <v>0.47</v>
      </c>
    </row>
    <row r="66">
      <c r="A66" s="10" t="inlineStr">
        <is>
          <t>점포 양수</t>
        </is>
      </c>
      <c r="O66" s="11" t="n">
        <v>0</v>
      </c>
      <c r="S66" s="11" t="n">
        <v>-3.39</v>
      </c>
    </row>
    <row r="67">
      <c r="A67" s="10" t="inlineStr">
        <is>
          <t>점포 양수</t>
        </is>
      </c>
      <c r="E67" s="11" t="n">
        <v>-0.17</v>
      </c>
      <c r="I67" s="11" t="n">
        <v>0</v>
      </c>
      <c r="M67" s="11" t="n">
        <v>-0.52</v>
      </c>
      <c r="Q67" s="11" t="n">
        <v>0</v>
      </c>
      <c r="U67" s="11" t="n">
        <v>-3.39</v>
      </c>
      <c r="Z67" s="11" t="n">
        <v>-0.17</v>
      </c>
      <c r="AA67" s="11" t="n">
        <v>0</v>
      </c>
      <c r="AB67" s="11" t="n">
        <v>-0.52</v>
      </c>
      <c r="AC67" s="11" t="n">
        <v>0</v>
      </c>
      <c r="AD67" s="11" t="n">
        <v>-3.39</v>
      </c>
    </row>
    <row r="68">
      <c r="A68" s="10" t="inlineStr">
        <is>
          <t>기타</t>
        </is>
      </c>
      <c r="C68" s="11" t="n">
        <v>-1.46</v>
      </c>
      <c r="E68" s="11" t="n">
        <v>-1.59</v>
      </c>
      <c r="G68" s="11" t="n">
        <v>-0.17</v>
      </c>
      <c r="I68" s="11" t="n">
        <v>-1.5</v>
      </c>
      <c r="K68" s="11" t="n">
        <v>-0.85</v>
      </c>
      <c r="M68" s="11" t="n">
        <v>-1.44</v>
      </c>
      <c r="O68" s="11" t="n">
        <v>-0.82</v>
      </c>
      <c r="Q68" s="11" t="n">
        <v>-0.47</v>
      </c>
      <c r="S68" s="11" t="n">
        <v>-0.89</v>
      </c>
      <c r="U68" s="11" t="n">
        <v>-1.74</v>
      </c>
      <c r="W68" s="11" t="n">
        <v>2.22</v>
      </c>
      <c r="X68" s="11" t="n">
        <v>-5.19</v>
      </c>
      <c r="Y68" s="11" t="n">
        <v>-1.39</v>
      </c>
      <c r="Z68" s="11" t="n">
        <v>-1.59</v>
      </c>
      <c r="AA68" s="11" t="n">
        <v>-1.5</v>
      </c>
      <c r="AB68" s="11" t="n">
        <v>-1.44</v>
      </c>
      <c r="AC68" s="11" t="n">
        <v>-0.47</v>
      </c>
      <c r="AD68" s="11" t="n">
        <v>-1.74</v>
      </c>
    </row>
    <row r="69">
      <c r="A69" s="10" t="inlineStr">
        <is>
          <t>투자활동 현금흐름</t>
        </is>
      </c>
      <c r="C69" s="11" t="n">
        <v>-8.17</v>
      </c>
      <c r="E69" s="11" t="n">
        <v>-18.63</v>
      </c>
      <c r="G69" s="11" t="n">
        <v>-21.47</v>
      </c>
      <c r="I69" s="11" t="n">
        <v>-34.53</v>
      </c>
      <c r="K69" s="11" t="n">
        <v>-12.69</v>
      </c>
      <c r="M69" s="11" t="n">
        <v>-24.11</v>
      </c>
      <c r="O69" s="11" t="n">
        <v>-17.63</v>
      </c>
      <c r="Q69" s="11" t="n">
        <v>-25.1</v>
      </c>
      <c r="S69" s="11" t="n">
        <v>-13.64</v>
      </c>
      <c r="U69" s="11" t="n">
        <v>-30.42</v>
      </c>
      <c r="W69" s="11" t="n">
        <v>-5.59</v>
      </c>
      <c r="X69" s="11" t="n">
        <v>-27.44</v>
      </c>
      <c r="Y69" s="11" t="n">
        <v>-10.19</v>
      </c>
      <c r="Z69" s="11" t="n">
        <v>-18.63</v>
      </c>
      <c r="AA69" s="11" t="n">
        <v>-34.53</v>
      </c>
      <c r="AB69" s="11" t="n">
        <v>-24.11</v>
      </c>
      <c r="AC69" s="11" t="n">
        <v>-25.1</v>
      </c>
      <c r="AD69" s="11" t="n">
        <v>-30.42</v>
      </c>
    </row>
    <row r="70">
      <c r="A70" s="10" t="inlineStr">
        <is>
          <t>단기차입금 순증감</t>
        </is>
      </c>
      <c r="C70" s="11" t="n">
        <v>11.25</v>
      </c>
      <c r="E70" s="11" t="n">
        <v>-22.16</v>
      </c>
      <c r="G70" s="11" t="n">
        <v>20.74</v>
      </c>
      <c r="I70" s="11" t="n">
        <v>15</v>
      </c>
      <c r="K70" s="11" t="n">
        <v>25.26</v>
      </c>
      <c r="M70" s="11" t="n">
        <v>-0.5</v>
      </c>
      <c r="O70" s="11" t="n">
        <v>3.26</v>
      </c>
      <c r="Q70" s="11" t="n">
        <v>1</v>
      </c>
      <c r="S70" s="11" t="n">
        <v>-22.23</v>
      </c>
      <c r="U70" s="11" t="n">
        <v>-26.61</v>
      </c>
      <c r="W70" s="11" t="n">
        <v>5.39</v>
      </c>
      <c r="X70" s="11" t="n">
        <v>0.33</v>
      </c>
      <c r="Y70" s="11" t="n">
        <v>6.89</v>
      </c>
      <c r="Z70" s="11" t="n">
        <v>-22.16</v>
      </c>
      <c r="AA70" s="11" t="n">
        <v>15</v>
      </c>
      <c r="AB70" s="11" t="n">
        <v>-0.5</v>
      </c>
      <c r="AC70" s="11" t="n">
        <v>1</v>
      </c>
      <c r="AD70" s="11" t="n">
        <v>-26.61</v>
      </c>
    </row>
    <row r="71">
      <c r="A71" s="10" t="inlineStr">
        <is>
          <t>장기차입</t>
        </is>
      </c>
      <c r="C71" s="11" t="n">
        <v>23</v>
      </c>
      <c r="E71" s="11" t="n">
        <v>51.95</v>
      </c>
      <c r="G71" s="11" t="n">
        <v>20</v>
      </c>
      <c r="I71" s="11" t="n">
        <v>32</v>
      </c>
      <c r="K71" s="11" t="n">
        <v>18</v>
      </c>
      <c r="M71" s="11" t="n">
        <v>47</v>
      </c>
      <c r="O71" s="11" t="n">
        <v>6</v>
      </c>
      <c r="Q71" s="11" t="n">
        <v>37</v>
      </c>
      <c r="S71" s="11" t="n">
        <v>50</v>
      </c>
      <c r="U71" s="11" t="n">
        <v>57</v>
      </c>
      <c r="W71" s="11" t="n">
        <v>54</v>
      </c>
      <c r="X71" s="11" t="n">
        <v>40.5</v>
      </c>
      <c r="Y71" s="11" t="n">
        <v>25.5</v>
      </c>
      <c r="Z71" s="11" t="n">
        <v>51.95</v>
      </c>
      <c r="AA71" s="11" t="n">
        <v>32</v>
      </c>
      <c r="AB71" s="11" t="n">
        <v>47</v>
      </c>
      <c r="AC71" s="11" t="n">
        <v>37</v>
      </c>
      <c r="AD71" s="11" t="n">
        <v>57</v>
      </c>
    </row>
    <row r="72">
      <c r="A72" s="10" t="inlineStr">
        <is>
          <t>장기차입금 상환</t>
        </is>
      </c>
      <c r="C72" s="11" t="n">
        <v>-21.48</v>
      </c>
      <c r="E72" s="11" t="n">
        <v>-42.1</v>
      </c>
      <c r="G72" s="11" t="n">
        <v>-15.83</v>
      </c>
      <c r="I72" s="11" t="n">
        <v>-35.8</v>
      </c>
      <c r="K72" s="11" t="n">
        <v>-14.91</v>
      </c>
      <c r="M72" s="11" t="n">
        <v>-36.17</v>
      </c>
      <c r="O72" s="11" t="n">
        <v>-25.13</v>
      </c>
      <c r="Q72" s="11" t="n">
        <v>-45.41</v>
      </c>
      <c r="S72" s="11" t="n">
        <v>-13.21</v>
      </c>
      <c r="U72" s="11" t="n">
        <v>-34.45</v>
      </c>
      <c r="W72" s="11" t="n">
        <v>-51.43</v>
      </c>
      <c r="X72" s="11" t="n">
        <v>-40.9</v>
      </c>
      <c r="Y72" s="11" t="n">
        <v>-39.9</v>
      </c>
      <c r="Z72" s="11" t="n">
        <v>-42.1</v>
      </c>
      <c r="AA72" s="11" t="n">
        <v>-35.8</v>
      </c>
      <c r="AB72" s="11" t="n">
        <v>-36.17</v>
      </c>
      <c r="AC72" s="11" t="n">
        <v>-45.41</v>
      </c>
      <c r="AD72" s="11" t="n">
        <v>-34.45</v>
      </c>
    </row>
    <row r="73">
      <c r="A73" s="10" t="inlineStr">
        <is>
          <t>전환사채 상환</t>
        </is>
      </c>
      <c r="W73" s="11" t="n">
        <v>-77</v>
      </c>
      <c r="X73" s="11" t="n">
        <v>0</v>
      </c>
    </row>
    <row r="74">
      <c r="A74" s="10" t="inlineStr">
        <is>
          <t>사채 상환</t>
        </is>
      </c>
      <c r="O74" s="11" t="n">
        <v>0</v>
      </c>
      <c r="Q74" s="11" t="n">
        <v>0</v>
      </c>
      <c r="S74" s="11" t="n">
        <v>-3.3</v>
      </c>
      <c r="U74" s="11" t="n">
        <v>-6.6</v>
      </c>
      <c r="AC74" s="11" t="n">
        <v>0</v>
      </c>
      <c r="AD74" s="11" t="n">
        <v>-6.6</v>
      </c>
    </row>
    <row r="75">
      <c r="A75" s="10" t="inlineStr">
        <is>
          <t>사채 발행</t>
        </is>
      </c>
      <c r="E75" s="11" t="n">
        <v>9.69</v>
      </c>
      <c r="I75" s="11" t="n">
        <v>0</v>
      </c>
      <c r="K75" s="11" t="n">
        <v>0</v>
      </c>
      <c r="M75" s="11" t="n">
        <v>0</v>
      </c>
      <c r="O75" s="11" t="n">
        <v>30</v>
      </c>
      <c r="Q75" s="11" t="n">
        <v>40</v>
      </c>
      <c r="S75" s="11" t="n">
        <v>0</v>
      </c>
      <c r="U75" s="11" t="n">
        <v>0</v>
      </c>
      <c r="Z75" s="11" t="n">
        <v>9.69</v>
      </c>
      <c r="AA75" s="11" t="n">
        <v>0</v>
      </c>
      <c r="AB75" s="11" t="n">
        <v>0</v>
      </c>
      <c r="AC75" s="11" t="n">
        <v>40</v>
      </c>
      <c r="AD75" s="11" t="n">
        <v>0</v>
      </c>
    </row>
    <row r="76">
      <c r="A76" s="10" t="inlineStr">
        <is>
          <t>리스부채 상환</t>
        </is>
      </c>
      <c r="C76" s="11" t="n">
        <v>-1.81</v>
      </c>
      <c r="E76" s="11" t="n">
        <v>-3.38</v>
      </c>
      <c r="G76" s="11" t="n">
        <v>-1.76</v>
      </c>
      <c r="I76" s="11" t="n">
        <v>-2.2</v>
      </c>
      <c r="K76" s="11" t="n">
        <v>-2.73</v>
      </c>
      <c r="M76" s="11" t="n">
        <v>-5.66</v>
      </c>
      <c r="O76" s="11" t="n">
        <v>-2.61</v>
      </c>
      <c r="Q76" s="11" t="n">
        <v>-5.21</v>
      </c>
      <c r="S76" s="11" t="n">
        <v>-2.15</v>
      </c>
      <c r="U76" s="11" t="n">
        <v>-4.86</v>
      </c>
      <c r="W76" s="11" t="n">
        <v>-4.02</v>
      </c>
      <c r="X76" s="11" t="n">
        <v>-4.16</v>
      </c>
      <c r="Y76" s="11" t="n">
        <v>-4.18</v>
      </c>
      <c r="Z76" s="11" t="n">
        <v>-3.38</v>
      </c>
      <c r="AA76" s="11" t="n">
        <v>-2.2</v>
      </c>
      <c r="AB76" s="11" t="n">
        <v>-5.66</v>
      </c>
      <c r="AC76" s="11" t="n">
        <v>-5.21</v>
      </c>
      <c r="AD76" s="11" t="n">
        <v>-4.86</v>
      </c>
    </row>
    <row r="77">
      <c r="A77" s="10" t="inlineStr">
        <is>
          <t>자기주식 취득</t>
        </is>
      </c>
      <c r="E77" s="11" t="n">
        <v>0</v>
      </c>
      <c r="I77" s="11" t="n">
        <v>-0</v>
      </c>
      <c r="K77" s="11" t="n">
        <v>0</v>
      </c>
      <c r="M77" s="11" t="n">
        <v>-0</v>
      </c>
      <c r="O77" s="11" t="n">
        <v>-0</v>
      </c>
      <c r="Q77" s="11" t="n">
        <v>-32.3</v>
      </c>
      <c r="S77" s="11" t="n">
        <v>0</v>
      </c>
      <c r="U77" s="11" t="n">
        <v>0</v>
      </c>
      <c r="W77" s="11" t="n">
        <v>-23.43</v>
      </c>
      <c r="X77" s="11" t="n">
        <v>0</v>
      </c>
      <c r="Z77" s="11" t="n">
        <v>0</v>
      </c>
      <c r="AA77" s="11" t="n">
        <v>-0</v>
      </c>
      <c r="AB77" s="11" t="n">
        <v>-0</v>
      </c>
      <c r="AC77" s="11" t="n">
        <v>-32.3</v>
      </c>
      <c r="AD77" s="11" t="n">
        <v>0</v>
      </c>
    </row>
    <row r="78">
      <c r="A78" s="10" t="inlineStr">
        <is>
          <t>자기주식 처분</t>
        </is>
      </c>
      <c r="E78" s="11" t="n">
        <v>21.11</v>
      </c>
      <c r="I78" s="11" t="n">
        <v>0.04</v>
      </c>
      <c r="M78" s="11" t="n">
        <v>0</v>
      </c>
      <c r="Z78" s="11" t="n">
        <v>21.11</v>
      </c>
      <c r="AA78" s="11" t="n">
        <v>0.04</v>
      </c>
      <c r="AB78" s="11" t="n">
        <v>0</v>
      </c>
    </row>
    <row r="79">
      <c r="A79" s="10" t="inlineStr">
        <is>
          <t>비지배주주 납입</t>
        </is>
      </c>
      <c r="E79" s="11" t="n">
        <v>0.02</v>
      </c>
      <c r="I79" s="11" t="n">
        <v>0</v>
      </c>
      <c r="Z79" s="11" t="n">
        <v>0.02</v>
      </c>
      <c r="AA79" s="11" t="n">
        <v>0</v>
      </c>
    </row>
    <row r="80">
      <c r="A80" s="10" t="inlineStr">
        <is>
          <t>배당금 지급</t>
        </is>
      </c>
      <c r="C80" s="11" t="n">
        <v>-1.04</v>
      </c>
      <c r="E80" s="11" t="n">
        <v>-1.04</v>
      </c>
      <c r="G80" s="11" t="n">
        <v>-3.95</v>
      </c>
      <c r="I80" s="11" t="n">
        <v>-3.57</v>
      </c>
      <c r="K80" s="11" t="n">
        <v>-4.94</v>
      </c>
      <c r="M80" s="11" t="n">
        <v>-4.94</v>
      </c>
      <c r="O80" s="11" t="n">
        <v>-4.94</v>
      </c>
      <c r="Q80" s="11" t="n">
        <v>-4.93</v>
      </c>
      <c r="S80" s="11" t="n">
        <v>-4.37</v>
      </c>
      <c r="U80" s="11" t="n">
        <v>-4.38</v>
      </c>
      <c r="W80" s="11" t="n">
        <v>-2.05</v>
      </c>
      <c r="X80" s="11" t="n">
        <v>-2.61</v>
      </c>
      <c r="Y80" s="11" t="n">
        <v>-1.04</v>
      </c>
      <c r="Z80" s="11" t="n">
        <v>-1.04</v>
      </c>
      <c r="AA80" s="11" t="n">
        <v>-3.57</v>
      </c>
      <c r="AB80" s="11" t="n">
        <v>-4.94</v>
      </c>
      <c r="AC80" s="11" t="n">
        <v>-4.93</v>
      </c>
      <c r="AD80" s="11" t="n">
        <v>-4.38</v>
      </c>
    </row>
    <row r="81">
      <c r="A81" s="10" t="inlineStr">
        <is>
          <t>기타</t>
        </is>
      </c>
      <c r="C81" s="11" t="n">
        <v>-0</v>
      </c>
      <c r="E81" s="11" t="n">
        <v>0</v>
      </c>
      <c r="G81" s="11" t="n">
        <v>0</v>
      </c>
      <c r="W81" s="11" t="n">
        <v>-0.39</v>
      </c>
      <c r="X81" s="11" t="n">
        <v>-1.44</v>
      </c>
      <c r="Y81" s="11" t="n">
        <v>-0.15</v>
      </c>
      <c r="Z81" s="11" t="n">
        <v>0</v>
      </c>
    </row>
    <row r="82">
      <c r="A82" s="10" t="inlineStr">
        <is>
          <t>비지배주주 배당금 지급</t>
        </is>
      </c>
      <c r="E82" s="11" t="n">
        <v>0</v>
      </c>
      <c r="I82" s="11" t="n">
        <v>-0.55</v>
      </c>
      <c r="M82" s="11" t="n">
        <v>-0.97</v>
      </c>
      <c r="Q82" s="11" t="n">
        <v>-1.31</v>
      </c>
      <c r="U82" s="11" t="n">
        <v>-1.08</v>
      </c>
      <c r="W82" s="11" t="n">
        <v>-0.01</v>
      </c>
      <c r="X82" s="11" t="n">
        <v>-0.02</v>
      </c>
      <c r="Z82" s="11" t="n">
        <v>0</v>
      </c>
      <c r="AA82" s="11" t="n">
        <v>-0.55</v>
      </c>
      <c r="AB82" s="11" t="n">
        <v>-0.97</v>
      </c>
      <c r="AC82" s="11" t="n">
        <v>-1.31</v>
      </c>
      <c r="AD82" s="11" t="n">
        <v>-1.08</v>
      </c>
    </row>
    <row r="83">
      <c r="A83" s="10" t="inlineStr">
        <is>
          <t>비지배주주 납입</t>
        </is>
      </c>
      <c r="I83" s="11" t="n">
        <v>0</v>
      </c>
      <c r="M83" s="11" t="n">
        <v>0.24</v>
      </c>
      <c r="Q83" s="11" t="n">
        <v>0</v>
      </c>
      <c r="AA83" s="11" t="n">
        <v>0</v>
      </c>
      <c r="AB83" s="11" t="n">
        <v>0.24</v>
      </c>
      <c r="AC83" s="11" t="n">
        <v>0</v>
      </c>
    </row>
    <row r="84">
      <c r="A84" s="10" t="inlineStr">
        <is>
          <t>재무활동 현금흐름</t>
        </is>
      </c>
      <c r="C84" s="11" t="n">
        <v>9.9</v>
      </c>
      <c r="E84" s="11" t="n">
        <v>14.08</v>
      </c>
      <c r="G84" s="11" t="n">
        <v>19.19</v>
      </c>
      <c r="I84" s="11" t="n">
        <v>4.9</v>
      </c>
      <c r="K84" s="11" t="n">
        <v>20.68</v>
      </c>
      <c r="M84" s="11" t="n">
        <v>-1</v>
      </c>
      <c r="O84" s="11" t="n">
        <v>6.58</v>
      </c>
      <c r="Q84" s="11" t="n">
        <v>-11.18</v>
      </c>
      <c r="S84" s="11" t="n">
        <v>4.71</v>
      </c>
      <c r="U84" s="11" t="n">
        <v>-21</v>
      </c>
      <c r="W84" s="11" t="n">
        <v>-98.95</v>
      </c>
      <c r="X84" s="11" t="n">
        <v>-8.32</v>
      </c>
      <c r="Y84" s="11" t="n">
        <v>-12.89</v>
      </c>
      <c r="Z84" s="11" t="n">
        <v>14.08</v>
      </c>
      <c r="AA84" s="11" t="n">
        <v>4.9</v>
      </c>
      <c r="AB84" s="11" t="n">
        <v>-1</v>
      </c>
      <c r="AC84" s="11" t="n">
        <v>-11.18</v>
      </c>
      <c r="AD84" s="11" t="n">
        <v>-21</v>
      </c>
    </row>
    <row r="85">
      <c r="A85" s="10" t="inlineStr">
        <is>
          <t>현금성자산 환산차이</t>
        </is>
      </c>
      <c r="C85" s="11" t="n">
        <v>0.06</v>
      </c>
      <c r="E85" s="11" t="n">
        <v>0.37</v>
      </c>
      <c r="G85" s="11" t="n">
        <v>0.82</v>
      </c>
      <c r="I85" s="11" t="n">
        <v>0.61</v>
      </c>
      <c r="K85" s="11" t="n">
        <v>0.53</v>
      </c>
      <c r="M85" s="11" t="n">
        <v>0.63</v>
      </c>
      <c r="O85" s="11" t="n">
        <v>0.31</v>
      </c>
      <c r="Q85" s="11" t="n">
        <v>0.14</v>
      </c>
      <c r="S85" s="11" t="n">
        <v>0.05</v>
      </c>
      <c r="U85" s="11" t="n">
        <v>0.8</v>
      </c>
      <c r="W85" s="11" t="n">
        <v>-0.14</v>
      </c>
      <c r="X85" s="11" t="n">
        <v>-0.13</v>
      </c>
      <c r="Y85" s="11" t="n">
        <v>-0.07000000000000001</v>
      </c>
      <c r="Z85" s="11" t="n">
        <v>0.37</v>
      </c>
      <c r="AA85" s="11" t="n">
        <v>0.61</v>
      </c>
      <c r="AB85" s="11" t="n">
        <v>0.63</v>
      </c>
      <c r="AC85" s="11" t="n">
        <v>0.14</v>
      </c>
      <c r="AD85" s="11" t="n">
        <v>0.8</v>
      </c>
    </row>
    <row r="86">
      <c r="A86" s="10" t="inlineStr">
        <is>
          <t>현금성자산 증감</t>
        </is>
      </c>
      <c r="C86" s="11" t="n">
        <v>2.13</v>
      </c>
      <c r="E86" s="11" t="n">
        <v>23.65</v>
      </c>
      <c r="G86" s="11" t="n">
        <v>-10.07</v>
      </c>
      <c r="I86" s="11" t="n">
        <v>-26.58</v>
      </c>
      <c r="K86" s="11" t="n">
        <v>10.72</v>
      </c>
      <c r="M86" s="11" t="n">
        <v>16.36</v>
      </c>
      <c r="O86" s="11" t="n">
        <v>-1.39</v>
      </c>
      <c r="Q86" s="11" t="n">
        <v>-5.51</v>
      </c>
      <c r="S86" s="11" t="n">
        <v>3.7</v>
      </c>
      <c r="U86" s="11" t="n">
        <v>-1.68</v>
      </c>
      <c r="W86" s="11" t="n">
        <v>-77.17</v>
      </c>
      <c r="X86" s="11" t="n">
        <v>-0.47</v>
      </c>
      <c r="Y86" s="11" t="n">
        <v>5.39</v>
      </c>
      <c r="Z86" s="11" t="n">
        <v>23.65</v>
      </c>
      <c r="AA86" s="11" t="n">
        <v>-26.58</v>
      </c>
      <c r="AB86" s="11" t="n">
        <v>16.36</v>
      </c>
      <c r="AC86" s="11" t="n">
        <v>-5.51</v>
      </c>
      <c r="AD86" s="11" t="n">
        <v>-1.68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9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40" customWidth="1" min="31" max="31"/>
  </cols>
  <sheetData>
    <row r="1">
      <c r="A1" s="1" t="inlineStr">
        <is>
          <t>북오프 그룹 홀딩스 부문</t>
        </is>
      </c>
    </row>
    <row r="2">
      <c r="A2" s="2" t="inlineStr">
        <is>
          <t>결산기 기준(27.2Q = 2027년 결산기 2분기) · 5월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22.2Q</t>
        </is>
      </c>
      <c r="D3" s="4" t="inlineStr">
        <is>
          <t>22.3Q</t>
        </is>
      </c>
      <c r="E3" s="4" t="inlineStr">
        <is>
          <t>22.4Q</t>
        </is>
      </c>
      <c r="F3" s="4" t="inlineStr">
        <is>
          <t>23.1Q</t>
        </is>
      </c>
      <c r="G3" s="4" t="inlineStr">
        <is>
          <t>23.2Q</t>
        </is>
      </c>
      <c r="H3" s="4" t="inlineStr">
        <is>
          <t>23.3Q</t>
        </is>
      </c>
      <c r="I3" s="4" t="inlineStr">
        <is>
          <t>23.4Q</t>
        </is>
      </c>
      <c r="J3" s="4" t="inlineStr">
        <is>
          <t>24.1Q</t>
        </is>
      </c>
      <c r="K3" s="4" t="inlineStr">
        <is>
          <t>24.2Q</t>
        </is>
      </c>
      <c r="L3" s="4" t="inlineStr">
        <is>
          <t>24.3Q</t>
        </is>
      </c>
      <c r="M3" s="4" t="inlineStr">
        <is>
          <t>24.4Q</t>
        </is>
      </c>
      <c r="N3" s="4" t="inlineStr">
        <is>
          <t>25.1Q</t>
        </is>
      </c>
      <c r="O3" s="4" t="inlineStr">
        <is>
          <t>25.2Q</t>
        </is>
      </c>
      <c r="P3" s="4" t="inlineStr">
        <is>
          <t>25.3Q</t>
        </is>
      </c>
      <c r="Q3" s="4" t="inlineStr">
        <is>
          <t>25.4Q</t>
        </is>
      </c>
      <c r="R3" s="4" t="inlineStr">
        <is>
          <t>26.1Q</t>
        </is>
      </c>
      <c r="S3" s="4" t="inlineStr">
        <is>
          <t>26.2Q</t>
        </is>
      </c>
      <c r="T3" s="4" t="inlineStr">
        <is>
          <t>26.3Q</t>
        </is>
      </c>
      <c r="U3" s="4" t="inlineStr">
        <is>
          <t>26.4Q</t>
        </is>
      </c>
      <c r="V3" s="4" t="inlineStr">
        <is>
          <t>27.1Q</t>
        </is>
      </c>
      <c r="W3" s="4" t="inlineStr">
        <is>
          <t>FY19</t>
        </is>
      </c>
      <c r="X3" s="4" t="inlineStr">
        <is>
          <t>FY20</t>
        </is>
      </c>
      <c r="Y3" s="4" t="inlineStr">
        <is>
          <t>FY21</t>
        </is>
      </c>
      <c r="Z3" s="4" t="inlineStr">
        <is>
          <t>FY22</t>
        </is>
      </c>
      <c r="AA3" s="4" t="inlineStr">
        <is>
          <t>FY23</t>
        </is>
      </c>
      <c r="AB3" s="4" t="inlineStr">
        <is>
          <t>FY24</t>
        </is>
      </c>
      <c r="AC3" s="4" t="inlineStr">
        <is>
          <t>FY25</t>
        </is>
      </c>
      <c r="AD3" s="4" t="inlineStr">
        <is>
          <t>FY26</t>
        </is>
      </c>
      <c r="AE3" s="4" t="inlineStr">
        <is>
          <t>출처</t>
        </is>
      </c>
    </row>
    <row r="4">
      <c r="A4" s="10" t="inlineStr">
        <is>
          <t>DomesticBookoffBusinessReportableSegmentsMember · 외부 고객 매출</t>
        </is>
      </c>
      <c r="J4" s="11" t="n">
        <v>232.01</v>
      </c>
      <c r="N4" s="11" t="n">
        <v>247.94</v>
      </c>
      <c r="R4" s="11" t="n">
        <v>258.58</v>
      </c>
      <c r="V4" s="11" t="n">
        <v>284.07</v>
      </c>
      <c r="AE4" s="7" t="inlineStr">
        <is>
          <t>결산단신 XBRL(거래소 공시, TDnet·JPX 보관소). 쓴 문서: 2026-10-13, 2026-07-13, 2026-04-13, 2026-01-13 외 26건 — '출처' 시트에 전부</t>
        </is>
      </c>
    </row>
    <row r="5">
      <c r="A5" s="10" t="inlineStr">
        <is>
          <t>PremiumServiceBusinessReportableSegmentsMember · 외부 고객 매출</t>
        </is>
      </c>
      <c r="J5" s="11" t="n">
        <v>16.64</v>
      </c>
      <c r="N5" s="11" t="n">
        <v>17.66</v>
      </c>
      <c r="R5" s="11" t="n">
        <v>16.26</v>
      </c>
      <c r="V5" s="11" t="n">
        <v>14.68</v>
      </c>
    </row>
    <row r="6">
      <c r="A6" s="10" t="inlineStr">
        <is>
          <t>OverseasBusinessReportableSegmentsMember · 외부 고객 매출</t>
        </is>
      </c>
      <c r="J6" s="11" t="n">
        <v>10.57</v>
      </c>
      <c r="N6" s="11" t="n">
        <v>13.98</v>
      </c>
      <c r="R6" s="11" t="n">
        <v>15.95</v>
      </c>
      <c r="V6" s="11" t="n">
        <v>22.24</v>
      </c>
    </row>
    <row r="7">
      <c r="A7" s="10" t="inlineStr">
        <is>
          <t>ReportableSegmentsMember · 외부 고객 매출</t>
        </is>
      </c>
      <c r="J7" s="11" t="n">
        <v>259.23</v>
      </c>
      <c r="K7" s="11" t="n">
        <v>264.66</v>
      </c>
      <c r="L7" s="11" t="n">
        <v>291.41</v>
      </c>
      <c r="M7" s="11" t="n">
        <v>289.25</v>
      </c>
      <c r="N7" s="11" t="n">
        <v>279.58</v>
      </c>
      <c r="O7" s="11" t="n">
        <v>281.08</v>
      </c>
      <c r="P7" s="11" t="n">
        <v>311.75</v>
      </c>
      <c r="Q7" s="11" t="n">
        <v>304.22</v>
      </c>
      <c r="R7" s="11" t="n">
        <v>290.81</v>
      </c>
      <c r="S7" s="11" t="n">
        <v>312.27</v>
      </c>
      <c r="T7" s="11" t="n">
        <v>342.32</v>
      </c>
      <c r="U7" s="11" t="n">
        <v>338.06</v>
      </c>
      <c r="V7" s="11" t="n">
        <v>321</v>
      </c>
      <c r="AB7" s="11" t="n">
        <v>1104.55</v>
      </c>
      <c r="AC7" s="11" t="n">
        <v>1176.63</v>
      </c>
      <c r="AD7" s="11" t="n">
        <v>1283.46</v>
      </c>
    </row>
    <row r="8">
      <c r="A8" s="10" t="inlineStr">
        <is>
          <t>OperatingSegmentsNotIncludedInReportableSegmentsAndOtherRevenueGeneratingBusinessActivitiesMember · 외부 고객 매출</t>
        </is>
      </c>
      <c r="J8" s="11" t="n">
        <v>2.59</v>
      </c>
      <c r="K8" s="11" t="n">
        <v>2.86</v>
      </c>
      <c r="L8" s="11" t="n">
        <v>3.12</v>
      </c>
      <c r="M8" s="11" t="n">
        <v>3.44</v>
      </c>
      <c r="N8" s="11" t="n">
        <v>3.33</v>
      </c>
      <c r="O8" s="11" t="n">
        <v>3.81</v>
      </c>
      <c r="P8" s="11" t="n">
        <v>4.24</v>
      </c>
      <c r="Q8" s="11" t="n">
        <v>4.04</v>
      </c>
      <c r="R8" s="11" t="n">
        <v>4.3</v>
      </c>
      <c r="S8" s="11" t="n">
        <v>3.65</v>
      </c>
      <c r="T8" s="11" t="n">
        <v>4.46</v>
      </c>
      <c r="U8" s="11" t="n">
        <v>5.35</v>
      </c>
      <c r="V8" s="11" t="n">
        <v>5.19</v>
      </c>
      <c r="AB8" s="11" t="n">
        <v>12.01</v>
      </c>
      <c r="AC8" s="11" t="n">
        <v>15.42</v>
      </c>
      <c r="AD8" s="11" t="n">
        <v>17.76</v>
      </c>
    </row>
    <row r="9">
      <c r="A9" s="10" t="inlineStr">
        <is>
          <t>TotalOfReportableSegmentsAndOthersMember · 외부 고객 매출</t>
        </is>
      </c>
      <c r="J9" s="11" t="n">
        <v>261.83</v>
      </c>
      <c r="K9" s="11" t="n">
        <v>267.51</v>
      </c>
      <c r="L9" s="11" t="n">
        <v>294.54</v>
      </c>
      <c r="M9" s="11" t="n">
        <v>292.69</v>
      </c>
      <c r="N9" s="11" t="n">
        <v>282.92</v>
      </c>
      <c r="O9" s="11" t="n">
        <v>284.89</v>
      </c>
      <c r="P9" s="11" t="n">
        <v>315.99</v>
      </c>
      <c r="Q9" s="11" t="n">
        <v>308.25</v>
      </c>
      <c r="R9" s="11" t="n">
        <v>295.11</v>
      </c>
      <c r="S9" s="11" t="n">
        <v>315.93</v>
      </c>
      <c r="T9" s="11" t="n">
        <v>346.78</v>
      </c>
      <c r="U9" s="11" t="n">
        <v>343.41</v>
      </c>
      <c r="V9" s="11" t="n">
        <v>326.2</v>
      </c>
      <c r="AB9" s="11" t="n">
        <v>1116.57</v>
      </c>
      <c r="AC9" s="11" t="n">
        <v>1192.05</v>
      </c>
      <c r="AD9" s="11" t="n">
        <v>1301.23</v>
      </c>
    </row>
    <row r="10">
      <c r="A10" s="10" t="inlineStr">
        <is>
          <t>ReconcilingItemsMember · 외부 고객 매출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AB10" s="11" t="n">
        <v>0</v>
      </c>
      <c r="AC10" s="11" t="n">
        <v>0</v>
      </c>
      <c r="AD10" s="11" t="n">
        <v>0</v>
      </c>
    </row>
    <row r="11">
      <c r="A11" s="5" t="inlineStr">
        <is>
          <t>외부 고객 매출</t>
        </is>
      </c>
      <c r="J11" s="6" t="n">
        <v>261.83</v>
      </c>
      <c r="K11" s="6" t="n">
        <v>267.51</v>
      </c>
      <c r="L11" s="6" t="n">
        <v>294.54</v>
      </c>
      <c r="M11" s="6" t="n">
        <v>292.69</v>
      </c>
      <c r="N11" s="6" t="n">
        <v>282.92</v>
      </c>
      <c r="O11" s="6" t="n">
        <v>284.89</v>
      </c>
      <c r="P11" s="6" t="n">
        <v>315.99</v>
      </c>
      <c r="Q11" s="6" t="n">
        <v>308.25</v>
      </c>
      <c r="R11" s="6" t="n">
        <v>295.11</v>
      </c>
      <c r="S11" s="6" t="n">
        <v>315.93</v>
      </c>
      <c r="T11" s="6" t="n">
        <v>346.78</v>
      </c>
      <c r="U11" s="6" t="n">
        <v>343.41</v>
      </c>
      <c r="V11" s="6" t="n">
        <v>326.2</v>
      </c>
      <c r="AB11" s="6" t="n">
        <v>1116.57</v>
      </c>
      <c r="AC11" s="6" t="n">
        <v>1192.05</v>
      </c>
      <c r="AD11" s="6" t="n">
        <v>1301.23</v>
      </c>
    </row>
    <row r="12">
      <c r="A12" s="10" t="inlineStr">
        <is>
          <t>DomesticBookoffBusinessReportableSegmentsMember · 부문 간 내부매출·대체</t>
        </is>
      </c>
      <c r="AB12" s="11" t="n">
        <v>0.31</v>
      </c>
      <c r="AC12" s="11" t="n">
        <v>0.41</v>
      </c>
      <c r="AD12" s="11" t="n">
        <v>0.92</v>
      </c>
    </row>
    <row r="13">
      <c r="A13" s="10" t="inlineStr">
        <is>
          <t>PremiumServiceBusinessReportableSegmentsMember · 부문 간 내부매출·대체</t>
        </is>
      </c>
      <c r="AB13" s="11" t="n">
        <v>0</v>
      </c>
      <c r="AC13" s="11" t="n">
        <v>0</v>
      </c>
      <c r="AD13" s="11" t="n">
        <v>0</v>
      </c>
    </row>
    <row r="14">
      <c r="A14" s="10" t="inlineStr">
        <is>
          <t>OverseasBusinessReportableSegmentsMember · 부문 간 내부매출·대체</t>
        </is>
      </c>
      <c r="AB14" s="11" t="n">
        <v>0</v>
      </c>
      <c r="AC14" s="11" t="n">
        <v>0</v>
      </c>
      <c r="AD14" s="11" t="n">
        <v>0</v>
      </c>
    </row>
    <row r="15">
      <c r="A15" s="10" t="inlineStr">
        <is>
          <t>DomesticBookoffBusinessReportableSegmentsMember · 부문 간 내부매출·대체</t>
        </is>
      </c>
      <c r="J15" s="11" t="n">
        <v>0.04</v>
      </c>
      <c r="N15" s="11" t="n">
        <v>0.07000000000000001</v>
      </c>
      <c r="R15" s="11" t="n">
        <v>0.24</v>
      </c>
      <c r="V15" s="11" t="n">
        <v>0.14</v>
      </c>
    </row>
    <row r="16">
      <c r="A16" s="10" t="inlineStr">
        <is>
          <t>PremiumServiceBusinessReportableSegmentsMember · 부문 간 내부매출·대체</t>
        </is>
      </c>
      <c r="J16" s="11" t="n">
        <v>0</v>
      </c>
      <c r="N16" s="11" t="n">
        <v>0</v>
      </c>
      <c r="R16" s="11" t="n">
        <v>0</v>
      </c>
      <c r="V16" s="11" t="n">
        <v>0</v>
      </c>
    </row>
    <row r="17">
      <c r="A17" s="10" t="inlineStr">
        <is>
          <t>OverseasBusinessReportableSegmentsMember · 부문 간 내부매출·대체</t>
        </is>
      </c>
      <c r="J17" s="11" t="n">
        <v>0</v>
      </c>
      <c r="N17" s="11" t="n">
        <v>0</v>
      </c>
      <c r="R17" s="11" t="n">
        <v>0</v>
      </c>
      <c r="V17" s="11" t="n">
        <v>0</v>
      </c>
    </row>
    <row r="18">
      <c r="A18" s="10" t="inlineStr">
        <is>
          <t>ReportableSegmentsMember · 부문 간 내부매출·대체</t>
        </is>
      </c>
      <c r="J18" s="11" t="n">
        <v>0.04</v>
      </c>
      <c r="K18" s="11" t="n">
        <v>0.01</v>
      </c>
      <c r="L18" s="11" t="n">
        <v>0.02</v>
      </c>
      <c r="M18" s="11" t="n">
        <v>0.24</v>
      </c>
      <c r="N18" s="11" t="n">
        <v>0.07000000000000001</v>
      </c>
      <c r="O18" s="11" t="n">
        <v>0.2</v>
      </c>
      <c r="P18" s="11" t="n">
        <v>0.07000000000000001</v>
      </c>
      <c r="Q18" s="11" t="n">
        <v>0.07000000000000001</v>
      </c>
      <c r="R18" s="11" t="n">
        <v>0.24</v>
      </c>
      <c r="S18" s="11" t="n">
        <v>0.17</v>
      </c>
      <c r="T18" s="11" t="n">
        <v>0.2</v>
      </c>
      <c r="U18" s="11" t="n">
        <v>0.32</v>
      </c>
      <c r="V18" s="11" t="n">
        <v>0.15</v>
      </c>
      <c r="AB18" s="11" t="n">
        <v>0.31</v>
      </c>
      <c r="AC18" s="11" t="n">
        <v>0.41</v>
      </c>
      <c r="AD18" s="11" t="n">
        <v>0.93</v>
      </c>
    </row>
    <row r="19">
      <c r="A19" s="10" t="inlineStr">
        <is>
          <t>OperatingSegmentsNotIncludedInReportableSegmentsAndOtherRevenueGeneratingBusinessActivitiesMember · 부문 간 내부매출·대체</t>
        </is>
      </c>
      <c r="J19" s="11" t="n">
        <v>1.56</v>
      </c>
      <c r="K19" s="11" t="n">
        <v>1.62</v>
      </c>
      <c r="L19" s="11" t="n">
        <v>1.68</v>
      </c>
      <c r="M19" s="11" t="n">
        <v>1.7</v>
      </c>
      <c r="N19" s="11" t="n">
        <v>1.87</v>
      </c>
      <c r="O19" s="11" t="n">
        <v>2.04</v>
      </c>
      <c r="P19" s="11" t="n">
        <v>2.01</v>
      </c>
      <c r="Q19" s="11" t="n">
        <v>2.13</v>
      </c>
      <c r="R19" s="11" t="n">
        <v>2.34</v>
      </c>
      <c r="S19" s="11" t="n">
        <v>2.46</v>
      </c>
      <c r="T19" s="11" t="n">
        <v>2.5</v>
      </c>
      <c r="U19" s="11" t="n">
        <v>2.75</v>
      </c>
      <c r="V19" s="11" t="n">
        <v>2.35</v>
      </c>
      <c r="AB19" s="11" t="n">
        <v>6.56</v>
      </c>
      <c r="AC19" s="11" t="n">
        <v>8.050000000000001</v>
      </c>
      <c r="AD19" s="11" t="n">
        <v>10.05</v>
      </c>
    </row>
    <row r="20">
      <c r="A20" s="10" t="inlineStr">
        <is>
          <t>TotalOfReportableSegmentsAndOthersMember · 부문 간 내부매출·대체</t>
        </is>
      </c>
      <c r="J20" s="11" t="n">
        <v>1.61</v>
      </c>
      <c r="K20" s="11" t="n">
        <v>1.63</v>
      </c>
      <c r="L20" s="11" t="n">
        <v>1.7</v>
      </c>
      <c r="M20" s="11" t="n">
        <v>1.93</v>
      </c>
      <c r="N20" s="11" t="n">
        <v>1.94</v>
      </c>
      <c r="O20" s="11" t="n">
        <v>2.25</v>
      </c>
      <c r="P20" s="11" t="n">
        <v>2.07</v>
      </c>
      <c r="Q20" s="11" t="n">
        <v>2.21</v>
      </c>
      <c r="R20" s="11" t="n">
        <v>2.58</v>
      </c>
      <c r="S20" s="11" t="n">
        <v>2.63</v>
      </c>
      <c r="T20" s="11" t="n">
        <v>2.7</v>
      </c>
      <c r="U20" s="11" t="n">
        <v>3.07</v>
      </c>
      <c r="V20" s="11" t="n">
        <v>2.5</v>
      </c>
      <c r="AB20" s="11" t="n">
        <v>6.87</v>
      </c>
      <c r="AC20" s="11" t="n">
        <v>8.470000000000001</v>
      </c>
      <c r="AD20" s="11" t="n">
        <v>10.98</v>
      </c>
    </row>
    <row r="21">
      <c r="A21" s="10" t="inlineStr">
        <is>
          <t>ReconcilingItemsMember · 부문 간 내부매출·대체</t>
        </is>
      </c>
      <c r="J21" s="11" t="n">
        <v>-1.61</v>
      </c>
      <c r="K21" s="11" t="n">
        <v>-1.63</v>
      </c>
      <c r="L21" s="11" t="n">
        <v>-1.7</v>
      </c>
      <c r="M21" s="11" t="n">
        <v>-1.93</v>
      </c>
      <c r="N21" s="11" t="n">
        <v>-1.94</v>
      </c>
      <c r="O21" s="11" t="n">
        <v>-2.25</v>
      </c>
      <c r="P21" s="11" t="n">
        <v>-2.07</v>
      </c>
      <c r="Q21" s="11" t="n">
        <v>-2.21</v>
      </c>
      <c r="R21" s="11" t="n">
        <v>-2.58</v>
      </c>
      <c r="S21" s="11" t="n">
        <v>-2.63</v>
      </c>
      <c r="T21" s="11" t="n">
        <v>-2.7</v>
      </c>
      <c r="U21" s="11" t="n">
        <v>-3.07</v>
      </c>
      <c r="V21" s="11" t="n">
        <v>-2.5</v>
      </c>
      <c r="AB21" s="11" t="n">
        <v>-6.87</v>
      </c>
      <c r="AC21" s="11" t="n">
        <v>-8.470000000000001</v>
      </c>
      <c r="AD21" s="11" t="n">
        <v>-10.98</v>
      </c>
    </row>
    <row r="22">
      <c r="A22" s="10" t="inlineStr">
        <is>
          <t>부문 간 내부매출·대체</t>
        </is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AB22" s="11" t="n">
        <v>0</v>
      </c>
      <c r="AC22" s="11" t="n">
        <v>0</v>
      </c>
      <c r="AD22" s="11" t="n">
        <v>0</v>
      </c>
    </row>
    <row r="23">
      <c r="A23" s="10" t="inlineStr">
        <is>
          <t>DomesticBookoffBusinessReportableSegmentsMember · 계</t>
        </is>
      </c>
      <c r="AB23" s="11" t="n">
        <v>990.67</v>
      </c>
      <c r="AC23" s="11" t="n">
        <v>1043.5</v>
      </c>
      <c r="AD23" s="11" t="n">
        <v>1127.58</v>
      </c>
    </row>
    <row r="24">
      <c r="A24" s="10" t="inlineStr">
        <is>
          <t>PremiumServiceBusinessReportableSegmentsMember · 계</t>
        </is>
      </c>
      <c r="AB24" s="11" t="n">
        <v>67.5</v>
      </c>
      <c r="AC24" s="11" t="n">
        <v>71.77</v>
      </c>
      <c r="AD24" s="11" t="n">
        <v>85.28</v>
      </c>
    </row>
    <row r="25">
      <c r="A25" s="10" t="inlineStr">
        <is>
          <t>OverseasBusinessReportableSegmentsMember · 계</t>
        </is>
      </c>
      <c r="AB25" s="11" t="n">
        <v>46.68</v>
      </c>
      <c r="AC25" s="11" t="n">
        <v>61.76</v>
      </c>
      <c r="AD25" s="11" t="n">
        <v>71.53</v>
      </c>
    </row>
    <row r="26">
      <c r="A26" s="10" t="inlineStr">
        <is>
          <t>DomesticBookoffBusinessReportableSegmentsMember · 계</t>
        </is>
      </c>
      <c r="J26" s="11" t="n">
        <v>232.06</v>
      </c>
      <c r="N26" s="11" t="n">
        <v>248.01</v>
      </c>
      <c r="R26" s="11" t="n">
        <v>258.82</v>
      </c>
      <c r="V26" s="11" t="n">
        <v>284.21</v>
      </c>
    </row>
    <row r="27">
      <c r="A27" s="10" t="inlineStr">
        <is>
          <t>PremiumServiceBusinessReportableSegmentsMember · 계</t>
        </is>
      </c>
      <c r="J27" s="11" t="n">
        <v>16.64</v>
      </c>
      <c r="N27" s="11" t="n">
        <v>17.66</v>
      </c>
      <c r="R27" s="11" t="n">
        <v>16.26</v>
      </c>
      <c r="V27" s="11" t="n">
        <v>14.68</v>
      </c>
    </row>
    <row r="28">
      <c r="A28" s="10" t="inlineStr">
        <is>
          <t>OverseasBusinessReportableSegmentsMember · 계</t>
        </is>
      </c>
      <c r="J28" s="11" t="n">
        <v>10.57</v>
      </c>
      <c r="N28" s="11" t="n">
        <v>13.98</v>
      </c>
      <c r="R28" s="11" t="n">
        <v>15.95</v>
      </c>
      <c r="V28" s="11" t="n">
        <v>22.25</v>
      </c>
    </row>
    <row r="29">
      <c r="A29" s="10" t="inlineStr">
        <is>
          <t>ReportableSegmentsMember · 계</t>
        </is>
      </c>
      <c r="J29" s="11" t="n">
        <v>259.28</v>
      </c>
      <c r="K29" s="11" t="n">
        <v>264.66</v>
      </c>
      <c r="L29" s="11" t="n">
        <v>291.44</v>
      </c>
      <c r="M29" s="11" t="n">
        <v>289.48</v>
      </c>
      <c r="N29" s="11" t="n">
        <v>279.65</v>
      </c>
      <c r="O29" s="11" t="n">
        <v>281.29</v>
      </c>
      <c r="P29" s="11" t="n">
        <v>311.81</v>
      </c>
      <c r="Q29" s="11" t="n">
        <v>304.29</v>
      </c>
      <c r="R29" s="11" t="n">
        <v>291.05</v>
      </c>
      <c r="S29" s="11" t="n">
        <v>312.44</v>
      </c>
      <c r="T29" s="11" t="n">
        <v>342.53</v>
      </c>
      <c r="U29" s="11" t="n">
        <v>338.37</v>
      </c>
      <c r="V29" s="11" t="n">
        <v>321.15</v>
      </c>
      <c r="AB29" s="11" t="n">
        <v>1104.86</v>
      </c>
      <c r="AC29" s="11" t="n">
        <v>1177.04</v>
      </c>
      <c r="AD29" s="11" t="n">
        <v>1284.39</v>
      </c>
    </row>
    <row r="30">
      <c r="A30" s="10" t="inlineStr">
        <is>
          <t>OperatingSegmentsNotIncludedInReportableSegmentsAndOtherRevenueGeneratingBusinessActivitiesMember · 계</t>
        </is>
      </c>
      <c r="J30" s="11" t="n">
        <v>4.16</v>
      </c>
      <c r="K30" s="11" t="n">
        <v>4.48</v>
      </c>
      <c r="L30" s="11" t="n">
        <v>4.8</v>
      </c>
      <c r="M30" s="11" t="n">
        <v>5.13</v>
      </c>
      <c r="N30" s="11" t="n">
        <v>5.21</v>
      </c>
      <c r="O30" s="11" t="n">
        <v>5.85</v>
      </c>
      <c r="P30" s="11" t="n">
        <v>6.25</v>
      </c>
      <c r="Q30" s="11" t="n">
        <v>6.17</v>
      </c>
      <c r="R30" s="11" t="n">
        <v>6.65</v>
      </c>
      <c r="S30" s="11" t="n">
        <v>6.11</v>
      </c>
      <c r="T30" s="11" t="n">
        <v>6.95</v>
      </c>
      <c r="U30" s="11" t="n">
        <v>8.109999999999999</v>
      </c>
      <c r="V30" s="11" t="n">
        <v>7.55</v>
      </c>
      <c r="AB30" s="11" t="n">
        <v>18.57</v>
      </c>
      <c r="AC30" s="11" t="n">
        <v>23.48</v>
      </c>
      <c r="AD30" s="11" t="n">
        <v>27.82</v>
      </c>
    </row>
    <row r="31">
      <c r="A31" s="10" t="inlineStr">
        <is>
          <t>TotalOfReportableSegmentsAndOthersMember · 계</t>
        </is>
      </c>
      <c r="J31" s="11" t="n">
        <v>263.45</v>
      </c>
      <c r="K31" s="11" t="n">
        <v>269.14</v>
      </c>
      <c r="L31" s="11" t="n">
        <v>296.23</v>
      </c>
      <c r="M31" s="11" t="n">
        <v>294.62</v>
      </c>
      <c r="N31" s="11" t="n">
        <v>284.87</v>
      </c>
      <c r="O31" s="11" t="n">
        <v>287.13</v>
      </c>
      <c r="P31" s="11" t="n">
        <v>318.07</v>
      </c>
      <c r="Q31" s="11" t="n">
        <v>310.46</v>
      </c>
      <c r="R31" s="11" t="n">
        <v>297.7</v>
      </c>
      <c r="S31" s="11" t="n">
        <v>318.56</v>
      </c>
      <c r="T31" s="11" t="n">
        <v>349.48</v>
      </c>
      <c r="U31" s="11" t="n">
        <v>346.47</v>
      </c>
      <c r="V31" s="11" t="n">
        <v>328.71</v>
      </c>
      <c r="AB31" s="11" t="n">
        <v>1123.44</v>
      </c>
      <c r="AC31" s="11" t="n">
        <v>1200.53</v>
      </c>
      <c r="AD31" s="11" t="n">
        <v>1312.21</v>
      </c>
    </row>
    <row r="32">
      <c r="A32" s="10" t="inlineStr">
        <is>
          <t>ReconcilingItemsMember · 계</t>
        </is>
      </c>
      <c r="J32" s="11" t="n">
        <v>-1.61</v>
      </c>
      <c r="K32" s="11" t="n">
        <v>-1.63</v>
      </c>
      <c r="L32" s="11" t="n">
        <v>-1.7</v>
      </c>
      <c r="M32" s="11" t="n">
        <v>-1.93</v>
      </c>
      <c r="N32" s="11" t="n">
        <v>-1.94</v>
      </c>
      <c r="O32" s="11" t="n">
        <v>-2.25</v>
      </c>
      <c r="P32" s="11" t="n">
        <v>-2.07</v>
      </c>
      <c r="Q32" s="11" t="n">
        <v>-2.21</v>
      </c>
      <c r="R32" s="11" t="n">
        <v>-2.58</v>
      </c>
      <c r="S32" s="11" t="n">
        <v>-2.63</v>
      </c>
      <c r="T32" s="11" t="n">
        <v>-2.7</v>
      </c>
      <c r="U32" s="11" t="n">
        <v>-3.07</v>
      </c>
      <c r="V32" s="11" t="n">
        <v>-2.5</v>
      </c>
      <c r="AB32" s="11" t="n">
        <v>-6.87</v>
      </c>
      <c r="AC32" s="11" t="n">
        <v>-8.470000000000001</v>
      </c>
      <c r="AD32" s="11" t="n">
        <v>-10.98</v>
      </c>
    </row>
    <row r="33">
      <c r="A33" s="5" t="inlineStr">
        <is>
          <t>계</t>
        </is>
      </c>
      <c r="J33" s="6" t="n">
        <v>261.83</v>
      </c>
      <c r="K33" s="6" t="n">
        <v>267.51</v>
      </c>
      <c r="L33" s="6" t="n">
        <v>294.54</v>
      </c>
      <c r="M33" s="6" t="n">
        <v>292.69</v>
      </c>
      <c r="N33" s="6" t="n">
        <v>282.92</v>
      </c>
      <c r="O33" s="6" t="n">
        <v>284.89</v>
      </c>
      <c r="P33" s="6" t="n">
        <v>315.99</v>
      </c>
      <c r="Q33" s="6" t="n">
        <v>308.25</v>
      </c>
      <c r="R33" s="6" t="n">
        <v>295.11</v>
      </c>
      <c r="S33" s="6" t="n">
        <v>315.93</v>
      </c>
      <c r="T33" s="6" t="n">
        <v>346.78</v>
      </c>
      <c r="U33" s="6" t="n">
        <v>343.41</v>
      </c>
      <c r="V33" s="6" t="n">
        <v>326.2</v>
      </c>
      <c r="AB33" s="6" t="n">
        <v>1116.57</v>
      </c>
      <c r="AC33" s="6" t="n">
        <v>1192.05</v>
      </c>
      <c r="AD33" s="6" t="n">
        <v>1301.23</v>
      </c>
    </row>
    <row r="34">
      <c r="A34" s="10" t="inlineStr">
        <is>
          <t>DomesticBookoffBusinessReportableSegmentsMember · 부문 이익(손실)</t>
        </is>
      </c>
      <c r="AB34" s="11" t="n">
        <v>45.03</v>
      </c>
      <c r="AC34" s="11" t="n">
        <v>53.47</v>
      </c>
      <c r="AD34" s="11" t="n">
        <v>63.69</v>
      </c>
    </row>
    <row r="35">
      <c r="A35" s="10" t="inlineStr">
        <is>
          <t>PremiumServiceBusinessReportableSegmentsMember · 부문 이익(손실)</t>
        </is>
      </c>
      <c r="AB35" s="11" t="n">
        <v>4.2</v>
      </c>
      <c r="AC35" s="11" t="n">
        <v>0.44</v>
      </c>
      <c r="AD35" s="11" t="n">
        <v>1.6</v>
      </c>
    </row>
    <row r="36">
      <c r="A36" s="10" t="inlineStr">
        <is>
          <t>OverseasBusinessReportableSegmentsMember · 부문 이익(손실)</t>
        </is>
      </c>
      <c r="AB36" s="11" t="n">
        <v>7.24</v>
      </c>
      <c r="AC36" s="11" t="n">
        <v>6.94</v>
      </c>
      <c r="AD36" s="11" t="n">
        <v>6.91</v>
      </c>
    </row>
    <row r="37">
      <c r="A37" s="10" t="inlineStr">
        <is>
          <t>DomesticBookoffBusinessReportableSegmentsMember · 부문 이익(손실)</t>
        </is>
      </c>
      <c r="J37" s="11" t="n">
        <v>7.99</v>
      </c>
      <c r="N37" s="11" t="n">
        <v>14.31</v>
      </c>
      <c r="R37" s="11" t="n">
        <v>11.23</v>
      </c>
      <c r="V37" s="11" t="n">
        <v>13.14</v>
      </c>
    </row>
    <row r="38">
      <c r="A38" s="10" t="inlineStr">
        <is>
          <t>PremiumServiceBusinessReportableSegmentsMember · 부문 이익(손실)</t>
        </is>
      </c>
      <c r="J38" s="11" t="n">
        <v>1.14</v>
      </c>
      <c r="N38" s="11" t="n">
        <v>0.31</v>
      </c>
      <c r="R38" s="11" t="n">
        <v>-1.44</v>
      </c>
      <c r="V38" s="11" t="n">
        <v>-0.59</v>
      </c>
    </row>
    <row r="39">
      <c r="A39" s="10" t="inlineStr">
        <is>
          <t>OverseasBusinessReportableSegmentsMember · 부문 이익(손실)</t>
        </is>
      </c>
      <c r="J39" s="11" t="n">
        <v>1.66</v>
      </c>
      <c r="N39" s="11" t="n">
        <v>2.69</v>
      </c>
      <c r="R39" s="11" t="n">
        <v>2.14</v>
      </c>
      <c r="V39" s="11" t="n">
        <v>3.61</v>
      </c>
    </row>
    <row r="40">
      <c r="A40" s="10" t="inlineStr">
        <is>
          <t>ReportableSegmentsMember · 부문 이익(손실)</t>
        </is>
      </c>
      <c r="J40" s="11" t="n">
        <v>10.8</v>
      </c>
      <c r="K40" s="11" t="n">
        <v>12.93</v>
      </c>
      <c r="L40" s="11" t="n">
        <v>23.16</v>
      </c>
      <c r="M40" s="11" t="n">
        <v>9.58</v>
      </c>
      <c r="N40" s="11" t="n">
        <v>17.33</v>
      </c>
      <c r="O40" s="11" t="n">
        <v>10.8</v>
      </c>
      <c r="P40" s="11" t="n">
        <v>22.04</v>
      </c>
      <c r="Q40" s="11" t="n">
        <v>10.69</v>
      </c>
      <c r="R40" s="11" t="n">
        <v>11.93</v>
      </c>
      <c r="S40" s="11" t="n">
        <v>14.97</v>
      </c>
      <c r="T40" s="11" t="n">
        <v>29.92</v>
      </c>
      <c r="U40" s="11" t="n">
        <v>15.38</v>
      </c>
      <c r="V40" s="11" t="n">
        <v>16.17</v>
      </c>
      <c r="AB40" s="11" t="n">
        <v>56.47</v>
      </c>
      <c r="AC40" s="11" t="n">
        <v>60.86</v>
      </c>
      <c r="AD40" s="11" t="n">
        <v>72.2</v>
      </c>
    </row>
    <row r="41">
      <c r="A41" s="10" t="inlineStr">
        <is>
          <t>OperatingSegmentsNotIncludedInReportableSegmentsAndOtherRevenueGeneratingBusinessActivitiesMember · 부문 이익(손실)</t>
        </is>
      </c>
      <c r="J41" s="11" t="n">
        <v>-0.45</v>
      </c>
      <c r="K41" s="11" t="n">
        <v>-0.55</v>
      </c>
      <c r="L41" s="11" t="n">
        <v>-0.32</v>
      </c>
      <c r="M41" s="11" t="n">
        <v>-0.43</v>
      </c>
      <c r="N41" s="11" t="n">
        <v>-0.51</v>
      </c>
      <c r="O41" s="11" t="n">
        <v>-0.59</v>
      </c>
      <c r="P41" s="11" t="n">
        <v>-0.59</v>
      </c>
      <c r="Q41" s="11" t="n">
        <v>-0.9</v>
      </c>
      <c r="R41" s="11" t="n">
        <v>-0.68</v>
      </c>
      <c r="S41" s="11" t="n">
        <v>-1.01</v>
      </c>
      <c r="T41" s="11" t="n">
        <v>-0.68</v>
      </c>
      <c r="U41" s="11" t="n">
        <v>-0.88</v>
      </c>
      <c r="V41" s="11" t="n">
        <v>-1.12</v>
      </c>
      <c r="AB41" s="11" t="n">
        <v>-1.75</v>
      </c>
      <c r="AC41" s="11" t="n">
        <v>-2.59</v>
      </c>
      <c r="AD41" s="11" t="n">
        <v>-3.25</v>
      </c>
    </row>
    <row r="42">
      <c r="A42" s="10" t="inlineStr">
        <is>
          <t>TotalOfReportableSegmentsAndOthersMember · 부문 이익(손실)</t>
        </is>
      </c>
      <c r="J42" s="11" t="n">
        <v>10.34</v>
      </c>
      <c r="K42" s="11" t="n">
        <v>12.38</v>
      </c>
      <c r="L42" s="11" t="n">
        <v>22.85</v>
      </c>
      <c r="M42" s="11" t="n">
        <v>9.15</v>
      </c>
      <c r="N42" s="11" t="n">
        <v>16.81</v>
      </c>
      <c r="O42" s="11" t="n">
        <v>10.22</v>
      </c>
      <c r="P42" s="11" t="n">
        <v>21.45</v>
      </c>
      <c r="Q42" s="11" t="n">
        <v>9.789999999999999</v>
      </c>
      <c r="R42" s="11" t="n">
        <v>11.24</v>
      </c>
      <c r="S42" s="11" t="n">
        <v>13.96</v>
      </c>
      <c r="T42" s="11" t="n">
        <v>29.25</v>
      </c>
      <c r="U42" s="11" t="n">
        <v>14.5</v>
      </c>
      <c r="V42" s="11" t="n">
        <v>15.04</v>
      </c>
      <c r="AB42" s="11" t="n">
        <v>54.72</v>
      </c>
      <c r="AC42" s="11" t="n">
        <v>58.27</v>
      </c>
      <c r="AD42" s="11" t="n">
        <v>68.95</v>
      </c>
    </row>
    <row r="43">
      <c r="A43" s="10" t="inlineStr">
        <is>
          <t>ReconcilingItemsMember · 부문 이익(손실)</t>
        </is>
      </c>
      <c r="J43" s="11" t="n">
        <v>-5.1</v>
      </c>
      <c r="K43" s="11" t="n">
        <v>-4.94</v>
      </c>
      <c r="L43" s="11" t="n">
        <v>-4.78</v>
      </c>
      <c r="M43" s="11" t="n">
        <v>-5.41</v>
      </c>
      <c r="N43" s="11" t="n">
        <v>-4.86</v>
      </c>
      <c r="O43" s="11" t="n">
        <v>-5.03</v>
      </c>
      <c r="P43" s="11" t="n">
        <v>-4.14</v>
      </c>
      <c r="Q43" s="11" t="n">
        <v>-5.2</v>
      </c>
      <c r="R43" s="11" t="n">
        <v>-5.38</v>
      </c>
      <c r="S43" s="11" t="n">
        <v>-5.28</v>
      </c>
      <c r="T43" s="11" t="n">
        <v>-5.12</v>
      </c>
      <c r="U43" s="11" t="n">
        <v>-5.96</v>
      </c>
      <c r="V43" s="11" t="n">
        <v>-5.45</v>
      </c>
      <c r="AB43" s="11" t="n">
        <v>-20.23</v>
      </c>
      <c r="AC43" s="11" t="n">
        <v>-19.23</v>
      </c>
      <c r="AD43" s="11" t="n">
        <v>-21.74</v>
      </c>
    </row>
    <row r="44">
      <c r="A44" s="5" t="inlineStr">
        <is>
          <t>부문 이익(손실)</t>
        </is>
      </c>
      <c r="J44" s="6" t="n">
        <v>5.24</v>
      </c>
      <c r="K44" s="6" t="n">
        <v>7.44</v>
      </c>
      <c r="L44" s="6" t="n">
        <v>18.06</v>
      </c>
      <c r="M44" s="6" t="n">
        <v>3.74</v>
      </c>
      <c r="N44" s="6" t="n">
        <v>11.94</v>
      </c>
      <c r="O44" s="6" t="n">
        <v>5.19</v>
      </c>
      <c r="P44" s="6" t="n">
        <v>17.32</v>
      </c>
      <c r="Q44" s="6" t="n">
        <v>4.58</v>
      </c>
      <c r="R44" s="6" t="n">
        <v>5.86</v>
      </c>
      <c r="S44" s="6" t="n">
        <v>8.68</v>
      </c>
      <c r="T44" s="6" t="n">
        <v>24.13</v>
      </c>
      <c r="U44" s="6" t="n">
        <v>8.529999999999999</v>
      </c>
      <c r="V44" s="6" t="n">
        <v>9.59</v>
      </c>
      <c r="AB44" s="6" t="n">
        <v>34.48</v>
      </c>
      <c r="AC44" s="6" t="n">
        <v>39.03</v>
      </c>
      <c r="AD44" s="6" t="n">
        <v>47.2</v>
      </c>
    </row>
    <row r="45">
      <c r="A45" s="10" t="inlineStr">
        <is>
          <t>DomesticBookoffBusinessReportableSegmentsMember · 감가상각비</t>
        </is>
      </c>
      <c r="AB45" s="11" t="n">
        <v>15.51</v>
      </c>
      <c r="AC45" s="11" t="n">
        <v>17.46</v>
      </c>
      <c r="AD45" s="11" t="n">
        <v>18.18</v>
      </c>
    </row>
    <row r="46">
      <c r="A46" s="10" t="inlineStr">
        <is>
          <t>PremiumServiceBusinessReportableSegmentsMember · 감가상각비</t>
        </is>
      </c>
      <c r="AB46" s="11" t="n">
        <v>0.51</v>
      </c>
      <c r="AC46" s="11" t="n">
        <v>0.62</v>
      </c>
      <c r="AD46" s="11" t="n">
        <v>0.65</v>
      </c>
    </row>
    <row r="47">
      <c r="A47" s="10" t="inlineStr">
        <is>
          <t>OverseasBusinessReportableSegmentsMember · 감가상각비</t>
        </is>
      </c>
      <c r="AB47" s="11" t="n">
        <v>2.35</v>
      </c>
      <c r="AC47" s="11" t="n">
        <v>3.56</v>
      </c>
      <c r="AD47" s="11" t="n">
        <v>4.76</v>
      </c>
    </row>
    <row r="48">
      <c r="A48" s="10" t="inlineStr">
        <is>
          <t>ReportableSegmentsMember · 감가상각비</t>
        </is>
      </c>
      <c r="AB48" s="11" t="n">
        <v>18.37</v>
      </c>
      <c r="AC48" s="11" t="n">
        <v>21.65</v>
      </c>
      <c r="AD48" s="11" t="n">
        <v>23.6</v>
      </c>
    </row>
    <row r="49">
      <c r="A49" s="10" t="inlineStr">
        <is>
          <t>OperatingSegmentsNotIncludedInReportableSegmentsAndOtherRevenueGeneratingBusinessActivitiesMember · 감가상각비</t>
        </is>
      </c>
      <c r="AB49" s="11" t="n">
        <v>0.12</v>
      </c>
      <c r="AC49" s="11" t="n">
        <v>0.2</v>
      </c>
      <c r="AD49" s="11" t="n">
        <v>0.21</v>
      </c>
    </row>
    <row r="50">
      <c r="A50" s="10" t="inlineStr">
        <is>
          <t>TotalOfReportableSegmentsAndOthersMember · 감가상각비</t>
        </is>
      </c>
      <c r="AB50" s="11" t="n">
        <v>18.49</v>
      </c>
      <c r="AC50" s="11" t="n">
        <v>21.86</v>
      </c>
      <c r="AD50" s="11" t="n">
        <v>23.82</v>
      </c>
    </row>
    <row r="51">
      <c r="A51" s="10" t="inlineStr">
        <is>
          <t>ReconcilingItemsMember · 감가상각비</t>
        </is>
      </c>
      <c r="AB51" s="11" t="n">
        <v>0.11</v>
      </c>
      <c r="AC51" s="11" t="n">
        <v>0.15</v>
      </c>
      <c r="AD51" s="11" t="n">
        <v>0.12</v>
      </c>
    </row>
    <row r="52">
      <c r="A52" s="10" t="inlineStr">
        <is>
          <t>감가상각비</t>
        </is>
      </c>
      <c r="AB52" s="11" t="n">
        <v>18.6</v>
      </c>
      <c r="AC52" s="11" t="n">
        <v>22.01</v>
      </c>
      <c r="AD52" s="11" t="n">
        <v>23.95</v>
      </c>
    </row>
    <row r="53">
      <c r="A53" s="10" t="inlineStr">
        <is>
          <t>DomesticBookoffBusinessReportableSegmentsMember · 영업권 상각</t>
        </is>
      </c>
      <c r="AB53" s="11" t="n">
        <v>0.4</v>
      </c>
      <c r="AC53" s="11" t="n">
        <v>0.03</v>
      </c>
      <c r="AD53" s="11" t="n">
        <v>0.13</v>
      </c>
    </row>
    <row r="54">
      <c r="A54" s="10" t="inlineStr">
        <is>
          <t>PremiumServiceBusinessReportableSegmentsMember · 영업권 상각</t>
        </is>
      </c>
      <c r="AB54" s="11" t="n">
        <v>0</v>
      </c>
      <c r="AC54" s="11" t="n">
        <v>0</v>
      </c>
      <c r="AD54" s="11" t="n">
        <v>0</v>
      </c>
    </row>
    <row r="55">
      <c r="A55" s="10" t="inlineStr">
        <is>
          <t>OverseasBusinessReportableSegmentsMember · 영업권 상각</t>
        </is>
      </c>
      <c r="AB55" s="11" t="n">
        <v>0</v>
      </c>
      <c r="AC55" s="11" t="n">
        <v>0</v>
      </c>
      <c r="AD55" s="11" t="n">
        <v>0</v>
      </c>
    </row>
    <row r="56">
      <c r="A56" s="10" t="inlineStr">
        <is>
          <t>ReportableSegmentsMember · 영업권 상각</t>
        </is>
      </c>
      <c r="AB56" s="11" t="n">
        <v>0.4</v>
      </c>
      <c r="AC56" s="11" t="n">
        <v>0.03</v>
      </c>
      <c r="AD56" s="11" t="n">
        <v>0.13</v>
      </c>
    </row>
    <row r="57">
      <c r="A57" s="10" t="inlineStr">
        <is>
          <t>OperatingSegmentsNotIncludedInReportableSegmentsAndOtherRevenueGeneratingBusinessActivitiesMember · 영업권 상각</t>
        </is>
      </c>
      <c r="AB57" s="11" t="n">
        <v>0</v>
      </c>
      <c r="AC57" s="11" t="n">
        <v>0</v>
      </c>
      <c r="AD57" s="11" t="n">
        <v>0</v>
      </c>
    </row>
    <row r="58">
      <c r="A58" s="10" t="inlineStr">
        <is>
          <t>TotalOfReportableSegmentsAndOthersMember · 영업권 상각</t>
        </is>
      </c>
      <c r="AB58" s="11" t="n">
        <v>0.4</v>
      </c>
      <c r="AC58" s="11" t="n">
        <v>0.03</v>
      </c>
      <c r="AD58" s="11" t="n">
        <v>0.13</v>
      </c>
    </row>
    <row r="59">
      <c r="A59" s="10" t="inlineStr">
        <is>
          <t>ReconcilingItemsMember · 영업권 상각</t>
        </is>
      </c>
      <c r="AB59" s="11" t="n">
        <v>0</v>
      </c>
      <c r="AC59" s="11" t="n">
        <v>0</v>
      </c>
      <c r="AD59" s="11" t="n">
        <v>0</v>
      </c>
    </row>
    <row r="60">
      <c r="A60" s="10" t="inlineStr">
        <is>
          <t>영업권 상각</t>
        </is>
      </c>
      <c r="AB60" s="11" t="n">
        <v>0.4</v>
      </c>
      <c r="AC60" s="11" t="n">
        <v>0.03</v>
      </c>
      <c r="AD60" s="11" t="n">
        <v>0.13</v>
      </c>
    </row>
    <row r="61">
      <c r="A61" s="10" t="inlineStr">
        <is>
          <t>DomesticBookoffBusinessReportableSegmentsMember · 이자수익</t>
        </is>
      </c>
      <c r="AB61" s="11" t="n">
        <v>0.1</v>
      </c>
      <c r="AC61" s="11" t="n">
        <v>0.09</v>
      </c>
      <c r="AD61" s="11" t="n">
        <v>0.11</v>
      </c>
    </row>
    <row r="62">
      <c r="A62" s="10" t="inlineStr">
        <is>
          <t>PremiumServiceBusinessReportableSegmentsMember · 이자수익</t>
        </is>
      </c>
      <c r="AB62" s="11" t="n">
        <v>0</v>
      </c>
      <c r="AC62" s="11" t="n">
        <v>0</v>
      </c>
      <c r="AD62" s="11" t="n">
        <v>0</v>
      </c>
    </row>
    <row r="63">
      <c r="A63" s="10" t="inlineStr">
        <is>
          <t>OverseasBusinessReportableSegmentsMember · 이자수익</t>
        </is>
      </c>
      <c r="AB63" s="11" t="n">
        <v>0</v>
      </c>
      <c r="AC63" s="11" t="n">
        <v>0.08</v>
      </c>
      <c r="AD63" s="11" t="n">
        <v>0.06</v>
      </c>
    </row>
    <row r="64">
      <c r="A64" s="10" t="inlineStr">
        <is>
          <t>ReportableSegmentsMember · 이자수익</t>
        </is>
      </c>
      <c r="AB64" s="11" t="n">
        <v>0.1</v>
      </c>
      <c r="AC64" s="11" t="n">
        <v>0.18</v>
      </c>
      <c r="AD64" s="11" t="n">
        <v>0.18</v>
      </c>
    </row>
    <row r="65">
      <c r="A65" s="10" t="inlineStr">
        <is>
          <t>OperatingSegmentsNotIncludedInReportableSegmentsAndOtherRevenueGeneratingBusinessActivitiesMember · 이자수익</t>
        </is>
      </c>
      <c r="AB65" s="11" t="n">
        <v>0.03</v>
      </c>
      <c r="AC65" s="11" t="n">
        <v>0.03</v>
      </c>
      <c r="AD65" s="11" t="n">
        <v>0.03</v>
      </c>
    </row>
    <row r="66">
      <c r="A66" s="10" t="inlineStr">
        <is>
          <t>TotalOfReportableSegmentsAndOthersMember · 이자수익</t>
        </is>
      </c>
      <c r="AB66" s="11" t="n">
        <v>0.13</v>
      </c>
      <c r="AC66" s="11" t="n">
        <v>0.22</v>
      </c>
      <c r="AD66" s="11" t="n">
        <v>0.21</v>
      </c>
    </row>
    <row r="67">
      <c r="A67" s="10" t="inlineStr">
        <is>
          <t>ReconcilingItemsMember · 이자수익</t>
        </is>
      </c>
      <c r="AB67" s="11" t="n">
        <v>-0.05</v>
      </c>
      <c r="AC67" s="11" t="n">
        <v>-0.02</v>
      </c>
      <c r="AD67" s="11" t="n">
        <v>0.06</v>
      </c>
    </row>
    <row r="68">
      <c r="A68" s="10" t="inlineStr">
        <is>
          <t>이자수익</t>
        </is>
      </c>
      <c r="AB68" s="11" t="n">
        <v>0.08</v>
      </c>
      <c r="AC68" s="11" t="n">
        <v>0.19</v>
      </c>
      <c r="AD68" s="11" t="n">
        <v>0.28</v>
      </c>
    </row>
    <row r="69">
      <c r="A69" s="10" t="inlineStr">
        <is>
          <t>DomesticBookoffBusinessReportableSegmentsMember · 이자비용</t>
        </is>
      </c>
      <c r="AB69" s="11" t="n">
        <v>0.43</v>
      </c>
      <c r="AC69" s="11" t="n">
        <v>0.35</v>
      </c>
      <c r="AD69" s="11" t="n">
        <v>0.32</v>
      </c>
    </row>
    <row r="70">
      <c r="A70" s="10" t="inlineStr">
        <is>
          <t>PremiumServiceBusinessReportableSegmentsMember · 이자비용</t>
        </is>
      </c>
      <c r="AB70" s="11" t="n">
        <v>0</v>
      </c>
      <c r="AC70" s="11" t="n">
        <v>0</v>
      </c>
      <c r="AD70" s="11" t="n">
        <v>0</v>
      </c>
    </row>
    <row r="71">
      <c r="A71" s="10" t="inlineStr">
        <is>
          <t>OverseasBusinessReportableSegmentsMember · 이자비용</t>
        </is>
      </c>
      <c r="AB71" s="11" t="n">
        <v>0.33</v>
      </c>
      <c r="AC71" s="11" t="n">
        <v>0.54</v>
      </c>
      <c r="AD71" s="11" t="n">
        <v>0.47</v>
      </c>
    </row>
    <row r="72">
      <c r="A72" s="10" t="inlineStr">
        <is>
          <t>ReportableSegmentsMember · 이자비용</t>
        </is>
      </c>
      <c r="AB72" s="11" t="n">
        <v>0.77</v>
      </c>
      <c r="AC72" s="11" t="n">
        <v>0.9</v>
      </c>
      <c r="AD72" s="11" t="n">
        <v>0.8</v>
      </c>
    </row>
    <row r="73">
      <c r="A73" s="10" t="inlineStr">
        <is>
          <t>OperatingSegmentsNotIncludedInReportableSegmentsAndOtherRevenueGeneratingBusinessActivitiesMember · 이자비용</t>
        </is>
      </c>
      <c r="AB73" s="11" t="n">
        <v>0</v>
      </c>
      <c r="AC73" s="11" t="n">
        <v>0</v>
      </c>
      <c r="AD73" s="11" t="n">
        <v>0.03</v>
      </c>
    </row>
    <row r="74">
      <c r="A74" s="10" t="inlineStr">
        <is>
          <t>TotalOfReportableSegmentsAndOthersMember · 이자비용</t>
        </is>
      </c>
      <c r="AB74" s="11" t="n">
        <v>0.77</v>
      </c>
      <c r="AC74" s="11" t="n">
        <v>0.91</v>
      </c>
      <c r="AD74" s="11" t="n">
        <v>0.83</v>
      </c>
    </row>
    <row r="75">
      <c r="A75" s="10" t="inlineStr">
        <is>
          <t>ReconcilingItemsMember · 이자비용</t>
        </is>
      </c>
      <c r="AB75" s="11" t="n">
        <v>1.17</v>
      </c>
      <c r="AC75" s="11" t="n">
        <v>1.63</v>
      </c>
      <c r="AD75" s="11" t="n">
        <v>2.53</v>
      </c>
    </row>
    <row r="76">
      <c r="A76" s="10" t="inlineStr">
        <is>
          <t>이자비용</t>
        </is>
      </c>
      <c r="AB76" s="11" t="n">
        <v>1.94</v>
      </c>
      <c r="AC76" s="11" t="n">
        <v>2.54</v>
      </c>
      <c r="AD76" s="11" t="n">
        <v>3.36</v>
      </c>
    </row>
    <row r="77">
      <c r="A77" s="10" t="inlineStr">
        <is>
          <t>DomesticBookoffBusinessReportableSegmentsMember · 유형·무형자산 증가액</t>
        </is>
      </c>
      <c r="AB77" s="11" t="n">
        <v>17.85</v>
      </c>
      <c r="AC77" s="11" t="n">
        <v>19.95</v>
      </c>
      <c r="AD77" s="11" t="n">
        <v>22</v>
      </c>
    </row>
    <row r="78">
      <c r="A78" s="10" t="inlineStr">
        <is>
          <t>PremiumServiceBusinessReportableSegmentsMember · 유형·무형자산 증가액</t>
        </is>
      </c>
      <c r="AB78" s="11" t="n">
        <v>0.6899999999999999</v>
      </c>
      <c r="AC78" s="11" t="n">
        <v>1.04</v>
      </c>
      <c r="AD78" s="11" t="n">
        <v>0.92</v>
      </c>
    </row>
    <row r="79">
      <c r="A79" s="10" t="inlineStr">
        <is>
          <t>OverseasBusinessReportableSegmentsMember · 유형·무형자산 증가액</t>
        </is>
      </c>
      <c r="AB79" s="11" t="n">
        <v>1.97</v>
      </c>
      <c r="AC79" s="11" t="n">
        <v>4.3</v>
      </c>
      <c r="AD79" s="11" t="n">
        <v>4.13</v>
      </c>
    </row>
    <row r="80">
      <c r="A80" s="10" t="inlineStr">
        <is>
          <t>ReportableSegmentsMember · 유형·무형자산 증가액</t>
        </is>
      </c>
      <c r="AB80" s="11" t="n">
        <v>20.52</v>
      </c>
      <c r="AC80" s="11" t="n">
        <v>25.3</v>
      </c>
      <c r="AD80" s="11" t="n">
        <v>27.07</v>
      </c>
    </row>
    <row r="81">
      <c r="A81" s="10" t="inlineStr">
        <is>
          <t>OperatingSegmentsNotIncludedInReportableSegmentsAndOtherRevenueGeneratingBusinessActivitiesMember · 유형·무형자산 증가액</t>
        </is>
      </c>
      <c r="AB81" s="11" t="n">
        <v>0.26</v>
      </c>
      <c r="AC81" s="11" t="n">
        <v>0.43</v>
      </c>
      <c r="AD81" s="11" t="n">
        <v>0.53</v>
      </c>
    </row>
    <row r="82">
      <c r="A82" s="10" t="inlineStr">
        <is>
          <t>TotalOfReportableSegmentsAndOthersMember · 유형·무형자산 증가액</t>
        </is>
      </c>
      <c r="AB82" s="11" t="n">
        <v>20.79</v>
      </c>
      <c r="AC82" s="11" t="n">
        <v>25.74</v>
      </c>
      <c r="AD82" s="11" t="n">
        <v>27.61</v>
      </c>
    </row>
    <row r="83">
      <c r="A83" s="10" t="inlineStr">
        <is>
          <t>ReconcilingItemsMember · 유형·무형자산 증가액</t>
        </is>
      </c>
      <c r="AB83" s="11" t="n">
        <v>0.09</v>
      </c>
      <c r="AC83" s="11" t="n">
        <v>0.02</v>
      </c>
      <c r="AD83" s="11" t="n">
        <v>0.02</v>
      </c>
    </row>
    <row r="84">
      <c r="A84" s="10" t="inlineStr">
        <is>
          <t>유형·무형자산 증가액</t>
        </is>
      </c>
      <c r="AB84" s="11" t="n">
        <v>20.88</v>
      </c>
      <c r="AC84" s="11" t="n">
        <v>25.77</v>
      </c>
      <c r="AD84" s="11" t="n">
        <v>27.63</v>
      </c>
    </row>
    <row r="85">
      <c r="A85" s="10" t="inlineStr">
        <is>
          <t>DomesticBookoffBusinessReportableSegmentsMember · 손상차손</t>
        </is>
      </c>
      <c r="AB85" s="11" t="n">
        <v>0.93</v>
      </c>
      <c r="AC85" s="11" t="n">
        <v>2.33</v>
      </c>
      <c r="AD85" s="11" t="n">
        <v>1.76</v>
      </c>
    </row>
    <row r="86">
      <c r="A86" s="10" t="inlineStr">
        <is>
          <t>PremiumServiceBusinessReportableSegmentsMember · 손상차손</t>
        </is>
      </c>
      <c r="AB86" s="11" t="n">
        <v>0</v>
      </c>
      <c r="AC86" s="11" t="n">
        <v>0.08</v>
      </c>
      <c r="AD86" s="11" t="n">
        <v>0.4</v>
      </c>
    </row>
    <row r="87">
      <c r="A87" s="10" t="inlineStr">
        <is>
          <t>OverseasBusinessReportableSegmentsMember · 손상차손</t>
        </is>
      </c>
      <c r="AB87" s="11" t="n">
        <v>0</v>
      </c>
      <c r="AC87" s="11" t="n">
        <v>0</v>
      </c>
      <c r="AD87" s="11" t="n">
        <v>0</v>
      </c>
    </row>
    <row r="88">
      <c r="A88" s="10" t="inlineStr">
        <is>
          <t>OperatingSegmentsNotIncludedInReportableSegmentsAndOtherRevenueGeneratingBusinessActivitiesMember · 손상차손</t>
        </is>
      </c>
      <c r="AB88" s="11" t="n">
        <v>0</v>
      </c>
      <c r="AC88" s="11" t="n">
        <v>0.1</v>
      </c>
      <c r="AD88" s="11" t="n">
        <v>0.14</v>
      </c>
    </row>
    <row r="89">
      <c r="A89" s="10" t="inlineStr">
        <is>
          <t>UnallocatedAmountsAndEliminationMember · 손상차손</t>
        </is>
      </c>
      <c r="AB89" s="11" t="n">
        <v>0</v>
      </c>
      <c r="AC89" s="11" t="n">
        <v>0</v>
      </c>
      <c r="AD89" s="11" t="n">
        <v>0</v>
      </c>
    </row>
    <row r="90">
      <c r="A90" s="10" t="inlineStr">
        <is>
          <t>손상차손</t>
        </is>
      </c>
      <c r="AB90" s="11" t="n">
        <v>0.93</v>
      </c>
      <c r="AC90" s="11" t="n">
        <v>2.52</v>
      </c>
      <c r="AD90" s="11" t="n">
        <v>2.31</v>
      </c>
    </row>
    <row r="91">
      <c r="A91" s="10" t="inlineStr">
        <is>
          <t>DomesticBookoffBusinessReportableSegmentsMember · 외부 고객 매출</t>
        </is>
      </c>
      <c r="AB91" s="11" t="n">
        <v>990.36</v>
      </c>
      <c r="AC91" s="11" t="n">
        <v>1043.09</v>
      </c>
      <c r="AD91" s="11" t="n">
        <v>1126.65</v>
      </c>
    </row>
    <row r="92">
      <c r="A92" s="10" t="inlineStr">
        <is>
          <t>PremiumServiceBusinessReportableSegmentsMember · 외부 고객 매출</t>
        </is>
      </c>
      <c r="AB92" s="11" t="n">
        <v>67.5</v>
      </c>
      <c r="AC92" s="11" t="n">
        <v>71.77</v>
      </c>
      <c r="AD92" s="11" t="n">
        <v>85.27</v>
      </c>
    </row>
    <row r="93">
      <c r="A93" s="10" t="inlineStr">
        <is>
          <t>OverseasBusinessReportableSegmentsMember · 외부 고객 매출</t>
        </is>
      </c>
      <c r="AB93" s="11" t="n">
        <v>46.68</v>
      </c>
      <c r="AC93" s="11" t="n">
        <v>61.76</v>
      </c>
      <c r="AD93" s="11" t="n">
        <v>71.53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44" customWidth="1" min="26" max="26"/>
  </cols>
  <sheetData>
    <row r="1">
      <c r="A1" s="1" t="inlineStr">
        <is>
          <t>북오프 그룹 홀딩스 섹터·사업 데이터</t>
        </is>
      </c>
    </row>
    <row r="2">
      <c r="A2" s="2" t="inlineStr">
        <is>
          <t>2단계 보고서를 만들 때 모은 자료 · 월차 · 출처는 맨 오른쪽</t>
        </is>
      </c>
    </row>
    <row r="4">
      <c r="A4" s="12" t="inlineStr">
        <is>
          <t>월차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3" t="inlineStr">
        <is>
          <t>항목</t>
        </is>
      </c>
      <c r="B5" s="13" t="inlineStr">
        <is>
          <t>2024-10</t>
        </is>
      </c>
      <c r="C5" s="13" t="inlineStr">
        <is>
          <t>2024-11</t>
        </is>
      </c>
      <c r="D5" s="13" t="inlineStr">
        <is>
          <t>2024-12</t>
        </is>
      </c>
      <c r="E5" s="13" t="inlineStr">
        <is>
          <t>2025-01</t>
        </is>
      </c>
      <c r="F5" s="13" t="inlineStr">
        <is>
          <t>2025-02</t>
        </is>
      </c>
      <c r="G5" s="13" t="inlineStr">
        <is>
          <t>2025-03</t>
        </is>
      </c>
      <c r="H5" s="13" t="inlineStr">
        <is>
          <t>2025-04</t>
        </is>
      </c>
      <c r="I5" s="13" t="inlineStr">
        <is>
          <t>2025-05</t>
        </is>
      </c>
      <c r="J5" s="13" t="inlineStr">
        <is>
          <t>2025-06</t>
        </is>
      </c>
      <c r="K5" s="13" t="inlineStr">
        <is>
          <t>2025-07</t>
        </is>
      </c>
      <c r="L5" s="13" t="inlineStr">
        <is>
          <t>2025-08</t>
        </is>
      </c>
      <c r="M5" s="13" t="inlineStr">
        <is>
          <t>2025-09</t>
        </is>
      </c>
      <c r="N5" s="13" t="inlineStr">
        <is>
          <t>2025-10</t>
        </is>
      </c>
      <c r="O5" s="13" t="inlineStr">
        <is>
          <t>2025-11</t>
        </is>
      </c>
      <c r="P5" s="13" t="inlineStr">
        <is>
          <t>2025-12</t>
        </is>
      </c>
      <c r="Q5" s="13" t="inlineStr">
        <is>
          <t>2026-01</t>
        </is>
      </c>
      <c r="R5" s="13" t="inlineStr">
        <is>
          <t>2026-02</t>
        </is>
      </c>
      <c r="S5" s="13" t="inlineStr">
        <is>
          <t>2026-03</t>
        </is>
      </c>
      <c r="T5" s="13" t="inlineStr">
        <is>
          <t>2026-04</t>
        </is>
      </c>
      <c r="U5" s="13" t="inlineStr">
        <is>
          <t>2026-05</t>
        </is>
      </c>
      <c r="V5" s="13" t="inlineStr">
        <is>
          <t>2026-06</t>
        </is>
      </c>
      <c r="W5" s="13" t="inlineStr">
        <is>
          <t>2026-07</t>
        </is>
      </c>
      <c r="X5" s="13" t="inlineStr">
        <is>
          <t>2026-08</t>
        </is>
      </c>
      <c r="Y5" s="13" t="inlineStr">
        <is>
          <t>2026-09</t>
        </is>
      </c>
      <c r="Z5" s="13" t="inlineStr">
        <is>
          <t>출처</t>
        </is>
      </c>
    </row>
    <row r="6">
      <c r="A6" s="14" t="inlineStr">
        <is>
          <t>기존점 매출 전년 대비</t>
        </is>
      </c>
      <c r="B6" s="11" t="n">
        <v>102.4</v>
      </c>
      <c r="C6" s="11" t="n">
        <v>105.4</v>
      </c>
      <c r="D6" s="11" t="n">
        <v>104.9</v>
      </c>
      <c r="E6" s="11" t="n">
        <v>106.1</v>
      </c>
      <c r="F6" s="11" t="n">
        <v>103.7</v>
      </c>
      <c r="G6" s="11" t="n">
        <v>102.8</v>
      </c>
      <c r="H6" s="11" t="n">
        <v>103.3</v>
      </c>
      <c r="I6" s="11" t="n">
        <v>103.7</v>
      </c>
      <c r="J6" s="11" t="n">
        <v>100.1</v>
      </c>
      <c r="K6" s="11" t="n">
        <v>102.6</v>
      </c>
      <c r="L6" s="11" t="n">
        <v>109.3</v>
      </c>
      <c r="M6" s="11" t="n">
        <v>107.1</v>
      </c>
      <c r="N6" s="11" t="n">
        <v>108.9</v>
      </c>
      <c r="O6" s="11" t="n">
        <v>111.1</v>
      </c>
      <c r="P6" s="11" t="n">
        <v>106</v>
      </c>
      <c r="Q6" s="11" t="n">
        <v>114.3</v>
      </c>
      <c r="R6" s="11" t="n">
        <v>104.7</v>
      </c>
      <c r="S6" s="11" t="n">
        <v>105.5</v>
      </c>
      <c r="T6" s="11" t="n">
        <v>108.6</v>
      </c>
      <c r="U6" s="11" t="n">
        <v>114.8</v>
      </c>
      <c r="V6" s="11" t="n">
        <v>104.5</v>
      </c>
      <c r="W6" s="11" t="n">
        <v>110.2</v>
      </c>
      <c r="X6" s="11" t="n">
        <v>107.8</v>
      </c>
      <c r="Y6" s="11" t="n">
        <v>104.2</v>
      </c>
      <c r="Z6" s="3" t="inlineStr">
        <is>
          <t>https://www.release.tdnet.info/inbs/140120261006546551.pdf</t>
        </is>
      </c>
    </row>
    <row r="7">
      <c r="A7" s="14" t="inlineStr">
        <is>
          <t>전점 매출 전년 대비</t>
        </is>
      </c>
      <c r="B7" s="11" t="n">
        <v>103.2</v>
      </c>
      <c r="C7" s="11" t="n">
        <v>105.5</v>
      </c>
      <c r="D7" s="11" t="n">
        <v>105.2</v>
      </c>
      <c r="E7" s="11" t="n">
        <v>106.1</v>
      </c>
      <c r="F7" s="11" t="n">
        <v>103.4</v>
      </c>
      <c r="G7" s="11" t="n">
        <v>103</v>
      </c>
      <c r="H7" s="11" t="n">
        <v>102.9</v>
      </c>
      <c r="I7" s="11" t="n">
        <v>103.3</v>
      </c>
      <c r="J7" s="11" t="n">
        <v>99.59999999999999</v>
      </c>
      <c r="K7" s="11" t="n">
        <v>101.7</v>
      </c>
      <c r="L7" s="11" t="n">
        <v>109.4</v>
      </c>
      <c r="M7" s="11" t="n">
        <v>107</v>
      </c>
      <c r="N7" s="11" t="n">
        <v>109.5</v>
      </c>
      <c r="O7" s="11" t="n">
        <v>110.9</v>
      </c>
      <c r="P7" s="11" t="n">
        <v>105.7</v>
      </c>
      <c r="Q7" s="11" t="n">
        <v>114</v>
      </c>
      <c r="R7" s="11" t="n">
        <v>105.3</v>
      </c>
      <c r="S7" s="11" t="n">
        <v>106</v>
      </c>
      <c r="T7" s="11" t="n">
        <v>110.3</v>
      </c>
      <c r="U7" s="11" t="n">
        <v>116.2</v>
      </c>
      <c r="V7" s="11" t="n">
        <v>105.5</v>
      </c>
      <c r="W7" s="11" t="n">
        <v>111.8</v>
      </c>
      <c r="X7" s="11" t="n">
        <v>108.6</v>
      </c>
      <c r="Y7" s="11" t="n">
        <v>105.9</v>
      </c>
    </row>
    <row r="8">
      <c r="A8" s="14" t="inlineStr">
        <is>
          <t>기타 점포 수</t>
        </is>
      </c>
      <c r="B8" s="11" t="n">
        <v>6</v>
      </c>
      <c r="C8" s="11" t="n">
        <v>6</v>
      </c>
      <c r="D8" s="11" t="n">
        <v>6</v>
      </c>
      <c r="E8" s="11" t="n">
        <v>6</v>
      </c>
      <c r="F8" s="11" t="n">
        <v>6</v>
      </c>
      <c r="G8" s="11" t="n">
        <v>6</v>
      </c>
      <c r="H8" s="11" t="n">
        <v>6</v>
      </c>
      <c r="I8" s="11" t="n">
        <v>6</v>
      </c>
      <c r="J8" s="11" t="n">
        <v>7</v>
      </c>
      <c r="K8" s="11" t="n">
        <v>7</v>
      </c>
      <c r="L8" s="11" t="n">
        <v>7</v>
      </c>
      <c r="M8" s="11" t="n">
        <v>7</v>
      </c>
      <c r="N8" s="11" t="n">
        <v>8</v>
      </c>
      <c r="O8" s="11" t="n">
        <v>8</v>
      </c>
      <c r="P8" s="11" t="n">
        <v>8</v>
      </c>
      <c r="Q8" s="11" t="n">
        <v>8</v>
      </c>
      <c r="R8" s="11" t="n">
        <v>8</v>
      </c>
      <c r="S8" s="11" t="n">
        <v>8</v>
      </c>
      <c r="T8" s="11" t="n">
        <v>8</v>
      </c>
      <c r="U8" s="11" t="n">
        <v>9</v>
      </c>
      <c r="V8" s="11" t="n">
        <v>9</v>
      </c>
      <c r="W8" s="11" t="n">
        <v>9</v>
      </c>
      <c r="X8" s="11" t="n">
        <v>9</v>
      </c>
      <c r="Y8" s="11" t="n">
        <v>9</v>
      </c>
    </row>
    <row r="9">
      <c r="A9" s="14" t="inlineStr">
        <is>
          <t>프리미엄 서비스 사업 점포 수</t>
        </is>
      </c>
      <c r="B9" s="11" t="n">
        <v>50</v>
      </c>
      <c r="C9" s="11" t="n">
        <v>51</v>
      </c>
      <c r="D9" s="11" t="n">
        <v>51</v>
      </c>
      <c r="E9" s="11" t="n">
        <v>52</v>
      </c>
      <c r="F9" s="11" t="n">
        <v>52</v>
      </c>
      <c r="G9" s="11" t="n">
        <v>52</v>
      </c>
      <c r="H9" s="11" t="n">
        <v>52</v>
      </c>
      <c r="I9" s="11" t="n">
        <v>53</v>
      </c>
      <c r="J9" s="11" t="n">
        <v>52</v>
      </c>
      <c r="K9" s="11" t="n">
        <v>54</v>
      </c>
      <c r="L9" s="11" t="n">
        <v>53</v>
      </c>
      <c r="M9" s="11" t="n">
        <v>54</v>
      </c>
      <c r="N9" s="11" t="n">
        <v>53</v>
      </c>
      <c r="O9" s="11" t="n">
        <v>54</v>
      </c>
      <c r="P9" s="11" t="n">
        <v>53</v>
      </c>
      <c r="Q9" s="11" t="n">
        <v>53</v>
      </c>
      <c r="R9" s="11" t="n">
        <v>53</v>
      </c>
      <c r="S9" s="11" t="n">
        <v>54</v>
      </c>
      <c r="T9" s="11" t="n">
        <v>54</v>
      </c>
      <c r="U9" s="11" t="n">
        <v>54</v>
      </c>
      <c r="V9" s="11" t="n">
        <v>55</v>
      </c>
      <c r="W9" s="11" t="n">
        <v>55</v>
      </c>
      <c r="X9" s="11" t="n">
        <v>55</v>
      </c>
      <c r="Y9" s="11" t="n">
        <v>55</v>
      </c>
    </row>
    <row r="10">
      <c r="A10" s="14" t="inlineStr">
        <is>
          <t>국내 북오프 사업 가맹점 점포 수</t>
        </is>
      </c>
      <c r="B10" s="15" t="n">
        <v>367</v>
      </c>
      <c r="C10" s="15" t="n">
        <v>367</v>
      </c>
      <c r="D10" s="15" t="n">
        <v>367</v>
      </c>
      <c r="E10" s="15" t="n">
        <v>367</v>
      </c>
      <c r="F10" s="15" t="n">
        <v>367</v>
      </c>
      <c r="G10" s="15" t="n">
        <v>367</v>
      </c>
      <c r="H10" s="15" t="n">
        <v>367</v>
      </c>
      <c r="I10" s="15" t="n">
        <v>368</v>
      </c>
      <c r="J10" s="15" t="n">
        <v>367</v>
      </c>
      <c r="K10" s="15" t="n">
        <v>369</v>
      </c>
      <c r="L10" s="15" t="n">
        <v>360</v>
      </c>
      <c r="M10" s="15" t="n">
        <v>360</v>
      </c>
      <c r="N10" s="15" t="n">
        <v>360</v>
      </c>
      <c r="O10" s="15" t="n">
        <v>359</v>
      </c>
      <c r="P10" s="15" t="n">
        <v>359</v>
      </c>
      <c r="Q10" s="15" t="n">
        <v>357</v>
      </c>
      <c r="R10" s="15" t="n">
        <v>357</v>
      </c>
      <c r="S10" s="15" t="n">
        <v>357</v>
      </c>
      <c r="T10" s="15" t="n">
        <v>358</v>
      </c>
      <c r="U10" s="15" t="n">
        <v>357</v>
      </c>
      <c r="V10" s="15" t="n">
        <v>356</v>
      </c>
      <c r="W10" s="15" t="n">
        <v>356</v>
      </c>
      <c r="X10" s="15" t="n">
        <v>355</v>
      </c>
      <c r="Y10" s="15" t="n">
        <v>354</v>
      </c>
    </row>
    <row r="11">
      <c r="A11" s="14" t="inlineStr">
        <is>
          <t>국내 북오프 사업 직영점 점포 수</t>
        </is>
      </c>
      <c r="B11" s="15" t="n">
        <v>384</v>
      </c>
      <c r="C11" s="15" t="n">
        <v>384</v>
      </c>
      <c r="D11" s="15" t="n">
        <v>384</v>
      </c>
      <c r="E11" s="15" t="n">
        <v>380</v>
      </c>
      <c r="F11" s="15" t="n">
        <v>380</v>
      </c>
      <c r="G11" s="15" t="n">
        <v>377</v>
      </c>
      <c r="H11" s="15" t="n">
        <v>378</v>
      </c>
      <c r="I11" s="15" t="n">
        <v>376</v>
      </c>
      <c r="J11" s="15" t="n">
        <v>374</v>
      </c>
      <c r="K11" s="15" t="n">
        <v>373</v>
      </c>
      <c r="L11" s="15" t="n">
        <v>380</v>
      </c>
      <c r="M11" s="15" t="n">
        <v>379</v>
      </c>
      <c r="N11" s="15" t="n">
        <v>375</v>
      </c>
      <c r="O11" s="15" t="n">
        <v>373</v>
      </c>
      <c r="P11" s="15" t="n">
        <v>374</v>
      </c>
      <c r="Q11" s="15" t="n">
        <v>372</v>
      </c>
      <c r="R11" s="15" t="n">
        <v>370</v>
      </c>
      <c r="S11" s="15" t="n">
        <v>370</v>
      </c>
      <c r="T11" s="15" t="n">
        <v>371</v>
      </c>
      <c r="U11" s="15" t="n">
        <v>366</v>
      </c>
      <c r="V11" s="15" t="n">
        <v>369</v>
      </c>
      <c r="W11" s="15" t="n">
        <v>368</v>
      </c>
      <c r="X11" s="15" t="n">
        <v>368</v>
      </c>
      <c r="Y11" s="15" t="n">
        <v>369</v>
      </c>
    </row>
    <row r="13">
      <c r="A13" s="12" t="inlineStr">
        <is>
          <t>가이던스 fy27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3" t="inlineStr">
        <is>
          <t>항목</t>
        </is>
      </c>
      <c r="B14" s="13" t="inlineStr">
        <is>
          <t>값</t>
        </is>
      </c>
      <c r="Z14" s="13" t="inlineStr">
        <is>
          <t>출처</t>
        </is>
      </c>
    </row>
    <row r="15">
      <c r="A15" s="14" t="inlineStr">
        <is>
          <t>매출</t>
        </is>
      </c>
      <c r="B15" s="15" t="n">
        <v>1390</v>
      </c>
      <c r="Z15" s="3" t="inlineStr">
        <is>
          <t>2단계 보고서 자료(회사 설명회 자료·공시)</t>
        </is>
      </c>
    </row>
    <row r="16">
      <c r="A16" s="14" t="inlineStr">
        <is>
          <t>영업이익</t>
        </is>
      </c>
      <c r="B16" s="15" t="n">
        <v>47</v>
      </c>
    </row>
    <row r="17">
      <c r="A17" s="14" t="inlineStr">
        <is>
          <t>ordinary</t>
        </is>
      </c>
      <c r="B17" s="15" t="n">
        <v>50</v>
      </c>
    </row>
    <row r="18">
      <c r="A18" s="14" t="inlineStr">
        <is>
          <t>순이익</t>
        </is>
      </c>
      <c r="B18" s="15" t="n">
        <v>28</v>
      </c>
    </row>
    <row r="19">
      <c r="A19" s="14" t="inlineStr">
        <is>
          <t>EPS</t>
        </is>
      </c>
      <c r="B19" s="11" t="n">
        <v>159.52</v>
      </c>
    </row>
    <row r="20">
      <c r="A20" s="14" t="inlineStr">
        <is>
          <t>dps</t>
        </is>
      </c>
      <c r="B20" s="15" t="n">
        <v>40</v>
      </c>
    </row>
    <row r="22">
      <c r="A22" s="12" t="inlineStr">
        <is>
          <t>가이던스 hist · FY26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3" t="inlineStr">
        <is>
          <t>항목</t>
        </is>
      </c>
      <c r="B23" s="13" t="inlineStr">
        <is>
          <t>값</t>
        </is>
      </c>
      <c r="Z23" s="13" t="inlineStr">
        <is>
          <t>출처</t>
        </is>
      </c>
    </row>
    <row r="24">
      <c r="A24" s="14" t="inlineStr">
        <is>
          <t>initial 영업이익</t>
        </is>
      </c>
      <c r="B24" s="15" t="n">
        <v>38</v>
      </c>
      <c r="Z24" s="3" t="inlineStr">
        <is>
          <t>2단계 보고서 자료(회사 설명회 자료·공시)</t>
        </is>
      </c>
    </row>
    <row r="25">
      <c r="A25" s="14" t="inlineStr">
        <is>
          <t>rev3Q</t>
        </is>
      </c>
      <c r="B25" s="15" t="n">
        <v>40</v>
      </c>
    </row>
    <row r="26">
      <c r="A26" s="14" t="inlineStr">
        <is>
          <t>실적</t>
        </is>
      </c>
      <c r="B26" s="11" t="n">
        <v>44.05</v>
      </c>
    </row>
    <row r="28">
      <c r="A28" s="12" t="inlineStr">
        <is>
          <t>가이던스 hist · FY25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3" t="inlineStr">
        <is>
          <t>항목</t>
        </is>
      </c>
      <c r="B29" s="13" t="inlineStr">
        <is>
          <t>값</t>
        </is>
      </c>
      <c r="Z29" s="13" t="inlineStr">
        <is>
          <t>출처</t>
        </is>
      </c>
    </row>
    <row r="30">
      <c r="A30" s="14" t="inlineStr">
        <is>
          <t>initial 영업이익</t>
        </is>
      </c>
      <c r="B30" s="15" t="n">
        <v>35</v>
      </c>
      <c r="Z30" s="3" t="inlineStr">
        <is>
          <t>2단계 보고서 자료(회사 설명회 자료·공시)</t>
        </is>
      </c>
    </row>
    <row r="31">
      <c r="A31" s="14" t="inlineStr">
        <is>
          <t>실적</t>
        </is>
      </c>
      <c r="B31" s="11" t="n">
        <v>34.48</v>
      </c>
    </row>
    <row r="33">
      <c r="A33" s="12" t="inlineStr">
        <is>
          <t>컨센서스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3" t="inlineStr">
        <is>
          <t>항목</t>
        </is>
      </c>
      <c r="B34" s="13" t="inlineStr">
        <is>
          <t>값</t>
        </is>
      </c>
      <c r="Z34" s="13" t="inlineStr">
        <is>
          <t>출처</t>
        </is>
      </c>
    </row>
    <row r="35">
      <c r="A35" s="14" t="inlineStr">
        <is>
          <t>2Q 매출</t>
        </is>
      </c>
      <c r="B35" s="11" t="n">
        <v>344.8</v>
      </c>
      <c r="Z35" s="3" t="inlineStr">
        <is>
          <t>애널리스트 1명(야후)</t>
        </is>
      </c>
    </row>
    <row r="36">
      <c r="A36" s="14" t="inlineStr">
        <is>
          <t>3Q 매출</t>
        </is>
      </c>
      <c r="B36" s="11" t="n">
        <v>371</v>
      </c>
    </row>
    <row r="37">
      <c r="A37" s="14" t="inlineStr">
        <is>
          <t>fy27 EPS</t>
        </is>
      </c>
      <c r="B37" s="11" t="n">
        <v>159.5</v>
      </c>
    </row>
    <row r="38">
      <c r="A38" s="14" t="inlineStr">
        <is>
          <t>fy28 EPS</t>
        </is>
      </c>
      <c r="B38" s="11" t="n">
        <v>193.7</v>
      </c>
    </row>
    <row r="39">
      <c r="A39" s="14" t="inlineStr">
        <is>
          <t>fy28 매출</t>
        </is>
      </c>
      <c r="B39" s="15" t="n">
        <v>1520</v>
      </c>
    </row>
    <row r="41">
      <c r="A41" s="12" t="inlineStr">
        <is>
          <t>PER band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3" t="inlineStr">
        <is>
          <t>항목</t>
        </is>
      </c>
      <c r="B42" s="13" t="inlineStr">
        <is>
          <t>값</t>
        </is>
      </c>
      <c r="Z42" s="13" t="inlineStr">
        <is>
          <t>출처</t>
        </is>
      </c>
    </row>
    <row r="43">
      <c r="A43" s="14" t="inlineStr">
        <is>
          <t>lo</t>
        </is>
      </c>
      <c r="B43" s="11" t="n">
        <v>9.300000000000001</v>
      </c>
      <c r="Z43" s="3" t="inlineStr">
        <is>
          <t>2단계 보고서 자료(회사 설명회 자료·공시)</t>
        </is>
      </c>
    </row>
    <row r="44">
      <c r="A44" s="14" t="inlineStr">
        <is>
          <t>hi</t>
        </is>
      </c>
      <c r="B44" s="11" t="n">
        <v>19.7</v>
      </c>
    </row>
    <row r="45">
      <c r="A45" s="14" t="inlineStr">
        <is>
          <t>avg</t>
        </is>
      </c>
      <c r="B45" s="11" t="n">
        <v>14.2</v>
      </c>
    </row>
    <row r="46">
      <c r="A46" s="14" t="inlineStr">
        <is>
          <t>cur</t>
        </is>
      </c>
      <c r="B46" s="11" t="n">
        <v>13.8</v>
      </c>
    </row>
    <row r="47">
      <c r="A47" s="14" t="inlineStr">
        <is>
          <t>pos %</t>
        </is>
      </c>
      <c r="B47" s="15" t="n">
        <v>43</v>
      </c>
    </row>
    <row r="49">
      <c r="A49" s="12" t="inlineStr">
        <is>
          <t>seg quarterly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3" t="inlineStr">
        <is>
          <t>항목</t>
        </is>
      </c>
      <c r="B50" s="13" t="inlineStr">
        <is>
          <t>FY25-Q1</t>
        </is>
      </c>
      <c r="C50" s="13" t="inlineStr">
        <is>
          <t>2Q</t>
        </is>
      </c>
      <c r="D50" s="13" t="inlineStr">
        <is>
          <t>3Q</t>
        </is>
      </c>
      <c r="E50" s="13" t="inlineStr">
        <is>
          <t>4Q</t>
        </is>
      </c>
      <c r="F50" s="13" t="inlineStr">
        <is>
          <t>FY26-Q1</t>
        </is>
      </c>
      <c r="G50" s="13" t="inlineStr">
        <is>
          <t>2Q</t>
        </is>
      </c>
      <c r="H50" s="13" t="inlineStr">
        <is>
          <t>3Q</t>
        </is>
      </c>
      <c r="I50" s="13" t="inlineStr">
        <is>
          <t>4Q</t>
        </is>
      </c>
      <c r="J50" s="13" t="inlineStr">
        <is>
          <t>FY27-Q1</t>
        </is>
      </c>
      <c r="Z50" s="13" t="inlineStr">
        <is>
          <t>출처</t>
        </is>
      </c>
    </row>
    <row r="51">
      <c r="A51" s="14" t="inlineStr">
        <is>
          <t>domestic</t>
        </is>
      </c>
      <c r="B51" s="11" t="n">
        <v>247.94</v>
      </c>
      <c r="C51" s="11" t="n">
        <v>249.11</v>
      </c>
      <c r="D51" s="11" t="n">
        <v>277.85</v>
      </c>
      <c r="E51" s="11" t="n">
        <v>268.19</v>
      </c>
      <c r="F51" s="11" t="n">
        <v>258.58</v>
      </c>
      <c r="G51" s="11" t="n">
        <v>270.94</v>
      </c>
      <c r="H51" s="11" t="n">
        <v>301.66</v>
      </c>
      <c r="I51" s="11" t="n">
        <v>295.47</v>
      </c>
      <c r="J51" s="11" t="n">
        <v>284.07</v>
      </c>
      <c r="Z51" s="3" t="inlineStr">
        <is>
          <t>외부고객 매출, 누계 차분(계산). 기타=연결-3부문</t>
        </is>
      </c>
    </row>
    <row r="52">
      <c r="A52" s="14" t="inlineStr">
        <is>
          <t>premium</t>
        </is>
      </c>
      <c r="B52" s="11" t="n">
        <v>17.66</v>
      </c>
      <c r="C52" s="11" t="n">
        <v>16.61</v>
      </c>
      <c r="D52" s="11" t="n">
        <v>17.75</v>
      </c>
      <c r="E52" s="11" t="n">
        <v>19.75</v>
      </c>
      <c r="F52" s="11" t="n">
        <v>16.26</v>
      </c>
      <c r="G52" s="11" t="n">
        <v>24.03</v>
      </c>
      <c r="H52" s="11" t="n">
        <v>22.51</v>
      </c>
      <c r="I52" s="11" t="n">
        <v>22.47</v>
      </c>
      <c r="J52" s="11" t="n">
        <v>14.68</v>
      </c>
    </row>
    <row r="53">
      <c r="A53" s="14" t="inlineStr">
        <is>
          <t>overseas</t>
        </is>
      </c>
      <c r="B53" s="11" t="n">
        <v>13.98</v>
      </c>
      <c r="C53" s="11" t="n">
        <v>15.35</v>
      </c>
      <c r="D53" s="11" t="n">
        <v>16.15</v>
      </c>
      <c r="E53" s="11" t="n">
        <v>16.28</v>
      </c>
      <c r="F53" s="11" t="n">
        <v>15.95</v>
      </c>
      <c r="G53" s="11" t="n">
        <v>17.31</v>
      </c>
      <c r="H53" s="11" t="n">
        <v>18.16</v>
      </c>
      <c r="I53" s="11" t="n">
        <v>20.11</v>
      </c>
      <c r="J53" s="11" t="n">
        <v>22.24</v>
      </c>
    </row>
    <row r="54">
      <c r="A54" s="14" t="inlineStr">
        <is>
          <t>other</t>
        </is>
      </c>
      <c r="B54" s="11" t="n">
        <v>3.34</v>
      </c>
      <c r="C54" s="11" t="n">
        <v>3.82</v>
      </c>
      <c r="D54" s="11" t="n">
        <v>4.24</v>
      </c>
      <c r="E54" s="11" t="n">
        <v>4.03</v>
      </c>
      <c r="F54" s="11" t="n">
        <v>4.32</v>
      </c>
      <c r="G54" s="11" t="n">
        <v>3.65</v>
      </c>
      <c r="H54" s="11" t="n">
        <v>4.45</v>
      </c>
      <c r="I54" s="11" t="n">
        <v>5.36</v>
      </c>
      <c r="J54" s="11" t="n">
        <v>5.21</v>
      </c>
    </row>
    <row r="55">
      <c r="A55" s="14" t="inlineStr">
        <is>
          <t>합계</t>
        </is>
      </c>
      <c r="B55" s="11" t="n">
        <v>282.92</v>
      </c>
      <c r="C55" s="11" t="n">
        <v>284.89</v>
      </c>
      <c r="D55" s="11" t="n">
        <v>315.99</v>
      </c>
      <c r="E55" s="11" t="n">
        <v>308.25</v>
      </c>
      <c r="F55" s="11" t="n">
        <v>295.11</v>
      </c>
      <c r="G55" s="11" t="n">
        <v>315.93</v>
      </c>
      <c r="H55" s="11" t="n">
        <v>346.78</v>
      </c>
      <c r="I55" s="11" t="n">
        <v>343.41</v>
      </c>
      <c r="J55" s="11" t="n">
        <v>326.2</v>
      </c>
    </row>
    <row r="57">
      <c r="A57" s="12" t="inlineStr">
        <is>
          <t>비교 기업 · 2681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3" t="inlineStr">
        <is>
          <t>항목</t>
        </is>
      </c>
      <c r="B58" s="13" t="inlineStr">
        <is>
          <t>값</t>
        </is>
      </c>
      <c r="Z58" s="13" t="inlineStr">
        <is>
          <t>출처</t>
        </is>
      </c>
    </row>
    <row r="59">
      <c r="A59" s="14" t="inlineStr">
        <is>
          <t>ttm EPS</t>
        </is>
      </c>
      <c r="B59" s="11" t="n">
        <v>238.57</v>
      </c>
      <c r="Z59" s="3" t="inlineStr">
        <is>
          <t>2단계 보고서 자료(회사 설명회 자료·공시)</t>
        </is>
      </c>
    </row>
    <row r="60">
      <c r="A60" s="14" t="inlineStr">
        <is>
          <t>px</t>
        </is>
      </c>
      <c r="B60" s="15" t="n">
        <v>1996</v>
      </c>
    </row>
    <row r="61">
      <c r="A61" s="14" t="inlineStr">
        <is>
          <t>PER ttm</t>
        </is>
      </c>
      <c r="B61" s="11" t="n">
        <v>8.4</v>
      </c>
    </row>
    <row r="63">
      <c r="A63" s="12" t="inlineStr">
        <is>
          <t>비교 기업 · 3093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3" t="inlineStr">
        <is>
          <t>항목</t>
        </is>
      </c>
      <c r="B64" s="13" t="inlineStr">
        <is>
          <t>값</t>
        </is>
      </c>
      <c r="Z64" s="13" t="inlineStr">
        <is>
          <t>출처</t>
        </is>
      </c>
    </row>
    <row r="65">
      <c r="A65" s="14" t="inlineStr">
        <is>
          <t>ttm EPS</t>
        </is>
      </c>
      <c r="B65" s="11" t="n">
        <v>146.34</v>
      </c>
      <c r="Z65" s="3" t="inlineStr">
        <is>
          <t>2단계 보고서 자료(회사 설명회 자료·공시)</t>
        </is>
      </c>
    </row>
    <row r="66">
      <c r="A66" s="14" t="inlineStr">
        <is>
          <t>px</t>
        </is>
      </c>
      <c r="B66" s="15" t="n">
        <v>1897</v>
      </c>
    </row>
    <row r="67">
      <c r="A67" s="14" t="inlineStr">
        <is>
          <t>PER ttm</t>
        </is>
      </c>
      <c r="B67" s="11" t="n">
        <v>13</v>
      </c>
    </row>
    <row r="69">
      <c r="A69" s="12" t="inlineStr">
        <is>
          <t>비교 기업 · 2780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3" t="inlineStr">
        <is>
          <t>항목</t>
        </is>
      </c>
      <c r="B70" s="13" t="inlineStr">
        <is>
          <t>값</t>
        </is>
      </c>
      <c r="Z70" s="13" t="inlineStr">
        <is>
          <t>출처</t>
        </is>
      </c>
    </row>
    <row r="71">
      <c r="A71" s="14" t="inlineStr">
        <is>
          <t>ttm EPS</t>
        </is>
      </c>
      <c r="B71" s="11" t="n">
        <v>657.12</v>
      </c>
      <c r="Z71" s="3" t="inlineStr">
        <is>
          <t>2단계 보고서 자료(회사 설명회 자료·공시)</t>
        </is>
      </c>
    </row>
    <row r="72">
      <c r="A72" s="14" t="inlineStr">
        <is>
          <t>px</t>
        </is>
      </c>
      <c r="B72" s="15" t="n">
        <v>3725</v>
      </c>
    </row>
    <row r="73">
      <c r="A73" s="14" t="inlineStr">
        <is>
          <t>PER ttm</t>
        </is>
      </c>
      <c r="B73" s="11" t="n">
        <v>5.7</v>
      </c>
    </row>
    <row r="75">
      <c r="A75" s="12" t="inlineStr">
        <is>
          <t>비교 기업 · 2674</t>
        </is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3" t="inlineStr">
        <is>
          <t>항목</t>
        </is>
      </c>
      <c r="B76" s="13" t="inlineStr">
        <is>
          <t>값</t>
        </is>
      </c>
      <c r="Z76" s="13" t="inlineStr">
        <is>
          <t>출처</t>
        </is>
      </c>
    </row>
    <row r="77">
      <c r="A77" s="14" t="inlineStr">
        <is>
          <t>ttm EPS</t>
        </is>
      </c>
      <c r="B77" s="11" t="n">
        <v>246.75</v>
      </c>
      <c r="Z77" s="3" t="inlineStr">
        <is>
          <t>2단계 보고서 자료(회사 설명회 자료·공시)</t>
        </is>
      </c>
    </row>
    <row r="78">
      <c r="A78" s="14" t="inlineStr">
        <is>
          <t>px</t>
        </is>
      </c>
      <c r="B78" s="15" t="n">
        <v>2551</v>
      </c>
    </row>
    <row r="79">
      <c r="A79" s="14" t="inlineStr">
        <is>
          <t>PER ttm</t>
        </is>
      </c>
      <c r="B79" s="11" t="n">
        <v>10.3</v>
      </c>
    </row>
    <row r="81">
      <c r="A81" s="12" t="inlineStr">
        <is>
          <t>비교 기업 · 9270</t>
        </is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3" t="inlineStr">
        <is>
          <t>항목</t>
        </is>
      </c>
      <c r="B82" s="13" t="inlineStr">
        <is>
          <t>값</t>
        </is>
      </c>
      <c r="Z82" s="13" t="inlineStr">
        <is>
          <t>출처</t>
        </is>
      </c>
    </row>
    <row r="83">
      <c r="A83" s="14" t="inlineStr">
        <is>
          <t>ttm EPS</t>
        </is>
      </c>
      <c r="B83" s="11" t="n">
        <v>233.15</v>
      </c>
      <c r="Z83" s="3" t="inlineStr">
        <is>
          <t>2단계 보고서 자료(회사 설명회 자료·공시)</t>
        </is>
      </c>
    </row>
    <row r="84">
      <c r="A84" s="14" t="inlineStr">
        <is>
          <t>px</t>
        </is>
      </c>
      <c r="B84" s="15" t="n">
        <v>1684</v>
      </c>
    </row>
    <row r="85">
      <c r="A85" s="14" t="inlineStr">
        <is>
          <t>PER ttm</t>
        </is>
      </c>
      <c r="B85" s="11" t="n">
        <v>7.2</v>
      </c>
    </row>
    <row r="87">
      <c r="A87" s="12" t="inlineStr">
        <is>
          <t>quarters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3" t="inlineStr">
        <is>
          <t>항목</t>
        </is>
      </c>
      <c r="B88" s="13" t="inlineStr">
        <is>
          <t>label</t>
        </is>
      </c>
      <c r="C88" s="13" t="inlineStr">
        <is>
          <t>매출</t>
        </is>
      </c>
      <c r="D88" s="13" t="inlineStr">
        <is>
          <t>영업이익</t>
        </is>
      </c>
      <c r="E88" s="13" t="inlineStr">
        <is>
          <t>순이익</t>
        </is>
      </c>
      <c r="F88" s="13" t="inlineStr">
        <is>
          <t>EPS</t>
        </is>
      </c>
      <c r="G88" s="13" t="inlineStr">
        <is>
          <t>gp</t>
        </is>
      </c>
      <c r="Z88" s="13" t="inlineStr">
        <is>
          <t>출처</t>
        </is>
      </c>
    </row>
    <row r="89">
      <c r="A89" s="14" t="inlineStr">
        <is>
          <t>FY23-Q4</t>
        </is>
      </c>
      <c r="B89" s="16" t="inlineStr">
        <is>
          <t>23.3~5</t>
        </is>
      </c>
      <c r="C89" s="11" t="n">
        <v>264.36</v>
      </c>
      <c r="D89" s="11" t="n">
        <v>1.67</v>
      </c>
      <c r="E89" s="11" t="n">
        <v>8.82</v>
      </c>
      <c r="F89" s="11" t="n">
        <v>44.62</v>
      </c>
      <c r="G89" s="16" t="n"/>
      <c r="Z89" s="3" t="inlineStr">
        <is>
          <t>2단계 보고서 자료(회사 설명회 자료·공시)</t>
        </is>
      </c>
    </row>
    <row r="90">
      <c r="A90" s="14" t="inlineStr">
        <is>
          <t>FY24-Q1</t>
        </is>
      </c>
      <c r="B90" s="16" t="inlineStr">
        <is>
          <t>23.6~8</t>
        </is>
      </c>
      <c r="C90" s="11" t="n">
        <v>261.83</v>
      </c>
      <c r="D90" s="11" t="n">
        <v>4.09</v>
      </c>
      <c r="E90" s="11" t="n">
        <v>3.08</v>
      </c>
      <c r="F90" s="11" t="n">
        <v>15.6</v>
      </c>
      <c r="G90" s="16" t="n"/>
    </row>
    <row r="91">
      <c r="A91" s="14" t="inlineStr">
        <is>
          <t>FY24-Q2</t>
        </is>
      </c>
      <c r="B91" s="16" t="inlineStr">
        <is>
          <t>23.9~11</t>
        </is>
      </c>
      <c r="C91" s="11" t="n">
        <v>267.51</v>
      </c>
      <c r="D91" s="11" t="n">
        <v>6.5</v>
      </c>
      <c r="E91" s="11" t="n">
        <v>3.97</v>
      </c>
      <c r="F91" s="11" t="n">
        <v>20.09</v>
      </c>
      <c r="G91" s="16" t="n"/>
    </row>
    <row r="92">
      <c r="A92" s="14" t="inlineStr">
        <is>
          <t>FY24-Q3</t>
        </is>
      </c>
      <c r="B92" s="16" t="inlineStr">
        <is>
          <t>23.12~2</t>
        </is>
      </c>
      <c r="C92" s="11" t="n">
        <v>294.54</v>
      </c>
      <c r="D92" s="11" t="n">
        <v>16.96</v>
      </c>
      <c r="E92" s="11" t="n">
        <v>12.08</v>
      </c>
      <c r="F92" s="11" t="n">
        <v>61.13</v>
      </c>
      <c r="G92" s="11" t="n">
        <v>165.35</v>
      </c>
    </row>
    <row r="93">
      <c r="A93" s="14" t="inlineStr">
        <is>
          <t>FY24-Q4</t>
        </is>
      </c>
      <c r="B93" s="16" t="inlineStr">
        <is>
          <t>24.3~5</t>
        </is>
      </c>
      <c r="C93" s="11" t="n">
        <v>292.69</v>
      </c>
      <c r="D93" s="11" t="n">
        <v>2.96</v>
      </c>
      <c r="E93" s="11" t="n">
        <v>-2.08</v>
      </c>
      <c r="F93" s="11" t="n">
        <v>-10.56</v>
      </c>
      <c r="G93" s="11" t="n">
        <v>162.58</v>
      </c>
    </row>
    <row r="94">
      <c r="A94" s="14" t="inlineStr">
        <is>
          <t>FY25-Q1</t>
        </is>
      </c>
      <c r="B94" s="16" t="inlineStr">
        <is>
          <t>24.6~8</t>
        </is>
      </c>
      <c r="C94" s="11" t="n">
        <v>282.92</v>
      </c>
      <c r="D94" s="11" t="n">
        <v>11.12</v>
      </c>
      <c r="E94" s="11" t="n">
        <v>5.77</v>
      </c>
      <c r="F94" s="11" t="n">
        <v>29.23</v>
      </c>
      <c r="G94" s="11" t="n">
        <v>162.14</v>
      </c>
    </row>
    <row r="95">
      <c r="A95" s="14" t="inlineStr">
        <is>
          <t>FY25-Q2</t>
        </is>
      </c>
      <c r="B95" s="16" t="inlineStr">
        <is>
          <t>24.9~11</t>
        </is>
      </c>
      <c r="C95" s="11" t="n">
        <v>284.89</v>
      </c>
      <c r="D95" s="11" t="n">
        <v>3.86</v>
      </c>
      <c r="E95" s="11" t="n">
        <v>3.35</v>
      </c>
      <c r="F95" s="11" t="n">
        <v>16.94</v>
      </c>
      <c r="G95" s="11" t="n">
        <v>161.82</v>
      </c>
    </row>
    <row r="96">
      <c r="A96" s="14" t="inlineStr">
        <is>
          <t>FY25-Q3</t>
        </is>
      </c>
      <c r="B96" s="16" t="inlineStr">
        <is>
          <t>24.12~2</t>
        </is>
      </c>
      <c r="C96" s="11" t="n">
        <v>315.99</v>
      </c>
      <c r="D96" s="11" t="n">
        <v>16.5</v>
      </c>
      <c r="E96" s="11" t="n">
        <v>10.62</v>
      </c>
      <c r="F96" s="11" t="n">
        <v>53.7</v>
      </c>
      <c r="G96" s="11" t="n">
        <v>178.41</v>
      </c>
    </row>
    <row r="97">
      <c r="A97" s="14" t="inlineStr">
        <is>
          <t>FY25-Q4</t>
        </is>
      </c>
      <c r="B97" s="16" t="inlineStr">
        <is>
          <t>25.3~5</t>
        </is>
      </c>
      <c r="C97" s="11" t="n">
        <v>308.25</v>
      </c>
      <c r="D97" s="11" t="n">
        <v>3</v>
      </c>
      <c r="E97" s="11" t="n">
        <v>1.27</v>
      </c>
      <c r="F97" s="11" t="n">
        <v>8.67</v>
      </c>
      <c r="G97" s="11" t="n">
        <v>175.14</v>
      </c>
    </row>
    <row r="98">
      <c r="A98" s="14" t="inlineStr">
        <is>
          <t>FY26-Q1</t>
        </is>
      </c>
      <c r="B98" s="16" t="inlineStr">
        <is>
          <t>25.6~8</t>
        </is>
      </c>
      <c r="C98" s="11" t="n">
        <v>295.11</v>
      </c>
      <c r="D98" s="11" t="n">
        <v>4.82</v>
      </c>
      <c r="E98" s="11" t="n">
        <v>1.93</v>
      </c>
      <c r="F98" s="11" t="n">
        <v>11.03</v>
      </c>
      <c r="G98" s="11" t="n">
        <v>168.22</v>
      </c>
    </row>
    <row r="99">
      <c r="A99" s="14" t="inlineStr">
        <is>
          <t>FY26-Q2</t>
        </is>
      </c>
      <c r="B99" s="16" t="inlineStr">
        <is>
          <t>25.9~11</t>
        </is>
      </c>
      <c r="C99" s="11" t="n">
        <v>315.93</v>
      </c>
      <c r="D99" s="11" t="n">
        <v>7.82</v>
      </c>
      <c r="E99" s="11" t="n">
        <v>5.48</v>
      </c>
      <c r="F99" s="11" t="n">
        <v>31.21</v>
      </c>
      <c r="G99" s="11" t="n">
        <v>178.44</v>
      </c>
    </row>
    <row r="100">
      <c r="A100" s="14" t="inlineStr">
        <is>
          <t>FY26-Q3</t>
        </is>
      </c>
      <c r="B100" s="16" t="inlineStr">
        <is>
          <t>25.12~2</t>
        </is>
      </c>
      <c r="C100" s="11" t="n">
        <v>346.78</v>
      </c>
      <c r="D100" s="11" t="n">
        <v>23.76</v>
      </c>
      <c r="E100" s="11" t="n">
        <v>15.96</v>
      </c>
      <c r="F100" s="11" t="n">
        <v>90.93000000000001</v>
      </c>
      <c r="G100" s="11" t="n">
        <v>197.15</v>
      </c>
    </row>
    <row r="101">
      <c r="A101" s="14" t="inlineStr">
        <is>
          <t>FY26-Q4</t>
        </is>
      </c>
      <c r="B101" s="16" t="inlineStr">
        <is>
          <t>26.3~5</t>
        </is>
      </c>
      <c r="C101" s="11" t="n">
        <v>343.41</v>
      </c>
      <c r="D101" s="11" t="n">
        <v>7.65</v>
      </c>
      <c r="E101" s="11" t="n">
        <v>4.26</v>
      </c>
      <c r="F101" s="11" t="n">
        <v>24.28</v>
      </c>
      <c r="G101" s="11" t="n">
        <v>194.46</v>
      </c>
    </row>
    <row r="102">
      <c r="A102" s="14" t="inlineStr">
        <is>
          <t>FY27-Q1</t>
        </is>
      </c>
      <c r="B102" s="16" t="inlineStr">
        <is>
          <t>26.6~8</t>
        </is>
      </c>
      <c r="C102" s="11" t="n">
        <v>326.2</v>
      </c>
      <c r="D102" s="11" t="n">
        <v>8.710000000000001</v>
      </c>
      <c r="E102" s="11" t="n">
        <v>4.95</v>
      </c>
      <c r="F102" s="11" t="n">
        <v>28.2</v>
      </c>
      <c r="G102" s="11" t="n">
        <v>186.31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1" t="inlineStr">
        <is>
          <t>출처 · 쓴 결산단신</t>
        </is>
      </c>
    </row>
    <row r="3">
      <c r="A3" s="17" t="inlineStr">
        <is>
          <t>공시일</t>
        </is>
      </c>
      <c r="B3" s="17" t="inlineStr">
        <is>
          <t>문서</t>
        </is>
      </c>
      <c r="C3" s="17" t="inlineStr">
        <is>
          <t>PDF</t>
        </is>
      </c>
    </row>
    <row r="4">
      <c r="A4" t="inlineStr">
        <is>
          <t>2026-10-13</t>
        </is>
      </c>
      <c r="B4" t="inlineStr">
        <is>
          <t>2027년 5월 결산기 １분기 결산단신</t>
        </is>
      </c>
      <c r="C4" t="inlineStr">
        <is>
          <t>https://www2.jpx.co.jp/disc/92780/140120261013549821.pdf</t>
        </is>
      </c>
    </row>
    <row r="5">
      <c r="A5" t="inlineStr">
        <is>
          <t>2026-07-13</t>
        </is>
      </c>
      <c r="B5" t="inlineStr">
        <is>
          <t>2026년 5월 결산기 연간 결산단신</t>
        </is>
      </c>
      <c r="C5" t="inlineStr">
        <is>
          <t>https://www2.jpx.co.jp/disc/92780/140120260713592248.pdf</t>
        </is>
      </c>
    </row>
    <row r="6">
      <c r="A6" t="inlineStr">
        <is>
          <t>2026-04-13</t>
        </is>
      </c>
      <c r="B6" t="inlineStr">
        <is>
          <t>2026년 5월 결산기 ３분기 결산단신</t>
        </is>
      </c>
      <c r="C6" t="inlineStr">
        <is>
          <t>https://www2.jpx.co.jp/disc/92780/140120260413502516.pdf</t>
        </is>
      </c>
    </row>
    <row r="7">
      <c r="A7" t="inlineStr">
        <is>
          <t>2026-01-13</t>
        </is>
      </c>
      <c r="B7" t="inlineStr">
        <is>
          <t>2026년 5월 결산기 ２분기 결산단신</t>
        </is>
      </c>
      <c r="C7" t="inlineStr">
        <is>
          <t>https://www2.jpx.co.jp/disc/92780/140120260113532327.pdf</t>
        </is>
      </c>
    </row>
    <row r="8">
      <c r="A8" t="inlineStr">
        <is>
          <t>2025-10-14</t>
        </is>
      </c>
      <c r="B8" t="inlineStr">
        <is>
          <t>2026년 5월 결산기 １분기 결산단신</t>
        </is>
      </c>
      <c r="C8" t="inlineStr">
        <is>
          <t>https://www2.jpx.co.jp/disc/92780/140120251014572891.pdf</t>
        </is>
      </c>
    </row>
    <row r="9">
      <c r="A9" t="inlineStr">
        <is>
          <t>2025-07-10</t>
        </is>
      </c>
      <c r="B9" t="inlineStr">
        <is>
          <t>2025년 5월 결산기 연간 결산단신</t>
        </is>
      </c>
      <c r="C9" t="inlineStr">
        <is>
          <t>https://www2.jpx.co.jp/disc/92780/140120250710511291.pdf</t>
        </is>
      </c>
    </row>
    <row r="10">
      <c r="A10" t="inlineStr">
        <is>
          <t>2025-04-25</t>
        </is>
      </c>
      <c r="B10" t="inlineStr">
        <is>
          <t>2025년 5월 결산기 3분기 결산단신</t>
        </is>
      </c>
      <c r="C10" t="inlineStr">
        <is>
          <t>https://www2.jpx.co.jp/disc/92780/140120250425523832.pdf</t>
        </is>
      </c>
    </row>
    <row r="11">
      <c r="A11" t="inlineStr">
        <is>
          <t>2025-04-11</t>
        </is>
      </c>
      <c r="B11" t="inlineStr">
        <is>
          <t>2025년 5월 결산기 ３분기 결산단신</t>
        </is>
      </c>
      <c r="C11" t="inlineStr">
        <is>
          <t>https://www2.jpx.co.jp/disc/92780/140120250411513552.pdf</t>
        </is>
      </c>
    </row>
    <row r="12">
      <c r="A12" t="inlineStr">
        <is>
          <t>2025-01-10</t>
        </is>
      </c>
      <c r="B12" t="inlineStr">
        <is>
          <t>2025년 5월 결산기 ２분기 결산단신</t>
        </is>
      </c>
      <c r="C12" t="inlineStr">
        <is>
          <t>https://www2.jpx.co.jp/disc/92780/140120250110549045.pdf</t>
        </is>
      </c>
    </row>
    <row r="13">
      <c r="A13" t="inlineStr">
        <is>
          <t>2024-10-22</t>
        </is>
      </c>
      <c r="B13" t="inlineStr">
        <is>
          <t>2025년 5월 결산기 １분기 결산단신</t>
        </is>
      </c>
      <c r="C13" t="inlineStr">
        <is>
          <t>https://www2.jpx.co.jp/disc/92780/140120241022501097.pdf</t>
        </is>
      </c>
    </row>
    <row r="14">
      <c r="A14" t="inlineStr">
        <is>
          <t>2024-10-15</t>
        </is>
      </c>
      <c r="B14" t="inlineStr">
        <is>
          <t>2024년 5월 결산기 연간 결산단신</t>
        </is>
      </c>
      <c r="C14" t="inlineStr">
        <is>
          <t>https://www2.jpx.co.jp/disc/92780/140120241015598341.pdf</t>
        </is>
      </c>
    </row>
    <row r="15">
      <c r="A15" t="inlineStr">
        <is>
          <t>2024-04-11</t>
        </is>
      </c>
      <c r="B15" t="inlineStr">
        <is>
          <t>2024년 5월 결산기 ３분기 결산단신</t>
        </is>
      </c>
      <c r="C15" t="inlineStr">
        <is>
          <t>https://www2.jpx.co.jp/disc/92780/140120240411568881.pdf</t>
        </is>
      </c>
    </row>
    <row r="16">
      <c r="A16" t="inlineStr">
        <is>
          <t>2024-01-12</t>
        </is>
      </c>
      <c r="B16" t="inlineStr">
        <is>
          <t>2024년 5월 결산기 ２분기 결산단신</t>
        </is>
      </c>
      <c r="C16" t="inlineStr">
        <is>
          <t>https://www2.jpx.co.jp/disc/92780/140120240112514174.pdf</t>
        </is>
      </c>
    </row>
    <row r="17">
      <c r="A17" t="inlineStr">
        <is>
          <t>2023-10-12</t>
        </is>
      </c>
      <c r="B17" t="inlineStr">
        <is>
          <t>2024년 5월 결산기 １분기 결산단신</t>
        </is>
      </c>
      <c r="C17" t="inlineStr">
        <is>
          <t>https://www2.jpx.co.jp/disc/92780/140120231012565550.pdf</t>
        </is>
      </c>
    </row>
    <row r="18">
      <c r="A18" t="inlineStr">
        <is>
          <t>2023-07-10</t>
        </is>
      </c>
      <c r="B18" t="inlineStr">
        <is>
          <t>2023년 5월 결산기 연간 결산단신</t>
        </is>
      </c>
      <c r="C18" t="inlineStr">
        <is>
          <t>https://www2.jpx.co.jp/disc/92780/140120230710519651.pdf</t>
        </is>
      </c>
    </row>
    <row r="19">
      <c r="A19" t="inlineStr">
        <is>
          <t>2023-04-13</t>
        </is>
      </c>
      <c r="B19" t="inlineStr">
        <is>
          <t>2023년 5월 결산기 ３분기 결산단신</t>
        </is>
      </c>
      <c r="C19" t="inlineStr">
        <is>
          <t>https://www2.jpx.co.jp/disc/92780/140120230413546477.pdf</t>
        </is>
      </c>
    </row>
    <row r="20">
      <c r="A20" t="inlineStr">
        <is>
          <t>2023-01-12</t>
        </is>
      </c>
      <c r="B20" t="inlineStr">
        <is>
          <t>2023년 5월 결산기 ２분기 결산단신</t>
        </is>
      </c>
      <c r="C20" t="inlineStr">
        <is>
          <t>https://www2.jpx.co.jp/disc/92780/140120230112588046.pdf</t>
        </is>
      </c>
    </row>
    <row r="21">
      <c r="A21" t="inlineStr">
        <is>
          <t>2022-10-13</t>
        </is>
      </c>
      <c r="B21" t="inlineStr">
        <is>
          <t>2023년 5월 결산기 １분기 결산단신</t>
        </is>
      </c>
      <c r="C21" t="inlineStr">
        <is>
          <t>https://www2.jpx.co.jp/disc/92780/140120221013543742.pdf</t>
        </is>
      </c>
    </row>
    <row r="22">
      <c r="A22" t="inlineStr">
        <is>
          <t>2022-07-11</t>
        </is>
      </c>
      <c r="B22" t="inlineStr">
        <is>
          <t>2022년 5월 결산기 연간 결산단신</t>
        </is>
      </c>
      <c r="C22" t="inlineStr">
        <is>
          <t>https://www2.jpx.co.jp/disc/92780/140120220711597706.pdf</t>
        </is>
      </c>
    </row>
    <row r="23">
      <c r="A23" t="inlineStr">
        <is>
          <t>2022-04-08</t>
        </is>
      </c>
      <c r="B23" t="inlineStr">
        <is>
          <t>2022년 5월 결산기 ３분기 결산단신</t>
        </is>
      </c>
      <c r="C23" t="inlineStr">
        <is>
          <t>https://www2.jpx.co.jp/disc/92780/140120220408519133.pdf</t>
        </is>
      </c>
    </row>
    <row r="24">
      <c r="A24" t="inlineStr">
        <is>
          <t>2022-01-13</t>
        </is>
      </c>
      <c r="B24" t="inlineStr">
        <is>
          <t>2022년 5월 결산기 ２분기 결산단신</t>
        </is>
      </c>
      <c r="C24" t="inlineStr">
        <is>
          <t>https://www2.jpx.co.jp/disc/92780/140120220113567214.pdf</t>
        </is>
      </c>
    </row>
    <row r="25">
      <c r="A25" t="inlineStr">
        <is>
          <t>2021-10-14</t>
        </is>
      </c>
      <c r="B25" t="inlineStr">
        <is>
          <t>2022년 5월 결산기 １분기 결산단신</t>
        </is>
      </c>
      <c r="C25" t="inlineStr">
        <is>
          <t>https://www2.jpx.co.jp/disc/92780/140120211014410934.pdf</t>
        </is>
      </c>
    </row>
    <row r="26">
      <c r="A26" t="inlineStr">
        <is>
          <t>2021-07-14</t>
        </is>
      </c>
      <c r="B26" t="inlineStr">
        <is>
          <t>2021년 5월 결산기 연간 결산단신</t>
        </is>
      </c>
      <c r="C26" t="inlineStr">
        <is>
          <t>https://www2.jpx.co.jp/disc/92780/140120210714466782.pdf</t>
        </is>
      </c>
    </row>
    <row r="27">
      <c r="A27" t="inlineStr">
        <is>
          <t>2021-05-13</t>
        </is>
      </c>
      <c r="B27" t="inlineStr">
        <is>
          <t>2021년 5월 결산기 ４분기 결산단신</t>
        </is>
      </c>
      <c r="C27" t="inlineStr">
        <is>
          <t>https://www2.jpx.co.jp/disc/92780/140120210513415280.pdf</t>
        </is>
      </c>
    </row>
    <row r="28">
      <c r="A28" t="inlineStr">
        <is>
          <t>2021-02-10</t>
        </is>
      </c>
      <c r="B28" t="inlineStr">
        <is>
          <t>2021년 5월 결산기 ３분기 결산단신</t>
        </is>
      </c>
      <c r="C28" t="inlineStr">
        <is>
          <t>https://www2.jpx.co.jp/disc/92780/140120210210460675.pdf</t>
        </is>
      </c>
    </row>
    <row r="29">
      <c r="A29" t="inlineStr">
        <is>
          <t>2020-11-11</t>
        </is>
      </c>
      <c r="B29" t="inlineStr">
        <is>
          <t>2021년 5월 결산기 ２분기 결산단신</t>
        </is>
      </c>
      <c r="C29" t="inlineStr">
        <is>
          <t>https://www2.jpx.co.jp/disc/92780/140120201111420878.pdf</t>
        </is>
      </c>
    </row>
    <row r="30">
      <c r="A30" t="inlineStr">
        <is>
          <t>2020-08-07</t>
        </is>
      </c>
      <c r="B30" t="inlineStr">
        <is>
          <t>2021년 5월 결산기 １분기 결산단신</t>
        </is>
      </c>
      <c r="C30" t="inlineStr">
        <is>
          <t>https://www2.jpx.co.jp/disc/92780/140120200807477844.pdf</t>
        </is>
      </c>
    </row>
    <row r="31">
      <c r="A31" t="inlineStr">
        <is>
          <t>2020-05-29</t>
        </is>
      </c>
      <c r="B31" t="inlineStr">
        <is>
          <t>2020년 3월 결산기 연간 결산단신</t>
        </is>
      </c>
      <c r="C31" t="inlineStr">
        <is>
          <t>https://www2.jpx.co.jp/disc/92780/140120200529429641.pdf</t>
        </is>
      </c>
    </row>
    <row r="32">
      <c r="A32" t="inlineStr">
        <is>
          <t>2020-02-13</t>
        </is>
      </c>
      <c r="B32" t="inlineStr">
        <is>
          <t>2020년 3월 결산기 ３분기 결산단신</t>
        </is>
      </c>
      <c r="C32" t="inlineStr">
        <is>
          <t>https://www2.jpx.co.jp/disc/92780/140120200213463420.pdf</t>
        </is>
      </c>
    </row>
    <row r="33">
      <c r="A33" t="inlineStr">
        <is>
          <t>2019-11-08</t>
        </is>
      </c>
      <c r="B33" t="inlineStr">
        <is>
          <t>2020년 3월 결산기 ２분기 결산단신</t>
        </is>
      </c>
      <c r="C33" t="inlineStr">
        <is>
          <t>https://www2.jpx.co.jp/disc/92780/140120191108422549.pdf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2026-10-25T06:59:32Z</dcterms:created>
  <dcterms:modified xmlns:dcterms="http://purl.org/dc/terms/" xmlns:xsi="http://www.w3.org/2001/XMLSchema-instance" xsi:type="dcterms:W3CDTF">2026-10-25T06:59:32Z</dcterms:modified>
</cp:coreProperties>
</file>