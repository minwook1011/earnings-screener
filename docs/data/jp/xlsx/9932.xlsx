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9932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11216.073</v>
      </c>
      <c r="D4" s="12" t="n">
        <v>13306.798</v>
      </c>
      <c r="E4" s="12" t="n">
        <v>4870.407</v>
      </c>
      <c r="F4" s="12" t="n">
        <v>10976.4</v>
      </c>
      <c r="G4" s="12" t="n">
        <v>12198.763</v>
      </c>
      <c r="H4" s="12" t="n">
        <v>13943.097</v>
      </c>
      <c r="I4" s="12" t="n">
        <v>12346.856</v>
      </c>
      <c r="J4" s="12" t="n">
        <v>11170.441</v>
      </c>
      <c r="K4" s="12" t="n">
        <v>11603.944</v>
      </c>
      <c r="L4" s="12" t="n">
        <v>13502.794</v>
      </c>
      <c r="M4" s="12" t="n">
        <v>12334.442</v>
      </c>
      <c r="N4" s="12" t="n">
        <v>12132.436</v>
      </c>
      <c r="O4" s="11" t="n">
        <v>35249.632</v>
      </c>
      <c r="P4" s="12" t="n">
        <v>38017.758</v>
      </c>
      <c r="Q4" s="12" t="n">
        <v>45417.113</v>
      </c>
      <c r="R4" s="12" t="n">
        <v>37711.203</v>
      </c>
      <c r="S4" s="12" t="n">
        <v>40365.447</v>
      </c>
      <c r="T4" s="12" t="n">
        <v>43120.38</v>
      </c>
      <c r="U4" s="12" t="n">
        <v>39456.905</v>
      </c>
      <c r="V4" s="12" t="n">
        <v>40234.864</v>
      </c>
      <c r="W4" s="12" t="n">
        <v>49465.116</v>
      </c>
      <c r="X4" s="12" t="n">
        <v>48611.621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EastReportableSegmentsMember</t>
        </is>
      </c>
      <c r="B7" s="10" t="n"/>
      <c r="C7" s="19" t="n">
        <v>2718.681</v>
      </c>
      <c r="D7" s="20" t="n">
        <v>3312.389</v>
      </c>
      <c r="E7" s="20" t="n">
        <v>2678.798</v>
      </c>
      <c r="F7" s="20" t="n">
        <v>2684.847</v>
      </c>
      <c r="G7" s="20" t="n">
        <v>2928.239</v>
      </c>
      <c r="H7" s="20" t="n">
        <v>3358.389</v>
      </c>
      <c r="I7" s="20" t="n">
        <v>2779.274</v>
      </c>
      <c r="J7" s="20" t="n">
        <v>2647.548</v>
      </c>
      <c r="K7" s="20" t="n">
        <v>2732.592</v>
      </c>
      <c r="L7" s="20" t="n">
        <v>3128.084</v>
      </c>
      <c r="M7" s="20" t="n">
        <v>2884.363</v>
      </c>
      <c r="N7" s="20" t="n">
        <v>2917.935</v>
      </c>
      <c r="O7" s="19" t="n"/>
      <c r="P7" s="20" t="n"/>
      <c r="Q7" s="20" t="n"/>
      <c r="R7" s="20" t="n"/>
      <c r="S7" s="20" t="n"/>
      <c r="T7" s="20" t="n"/>
      <c r="U7" s="20" t="n"/>
      <c r="V7" s="20" t="n">
        <v>11344.258</v>
      </c>
      <c r="W7" s="20" t="n">
        <v>11750.749</v>
      </c>
      <c r="X7" s="20" t="n">
        <v>11392.587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CentralReportableSegmentsMember</t>
        </is>
      </c>
      <c r="B10" s="10" t="n"/>
      <c r="C10" s="19" t="n">
        <v>3145.131</v>
      </c>
      <c r="D10" s="20" t="n">
        <v>3585.745</v>
      </c>
      <c r="E10" s="20" t="n">
        <v>3129.582</v>
      </c>
      <c r="F10" s="20" t="n">
        <v>3084.093</v>
      </c>
      <c r="G10" s="20" t="n">
        <v>3458.425</v>
      </c>
      <c r="H10" s="20" t="n">
        <v>3956.585</v>
      </c>
      <c r="I10" s="20" t="n">
        <v>4116.88</v>
      </c>
      <c r="J10" s="20" t="n">
        <v>3183.722</v>
      </c>
      <c r="K10" s="20" t="n">
        <v>3270.574</v>
      </c>
      <c r="L10" s="20" t="n">
        <v>3896.478</v>
      </c>
      <c r="M10" s="20" t="n">
        <v>3690.494</v>
      </c>
      <c r="N10" s="20" t="n">
        <v>3310.076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12818.604</v>
      </c>
      <c r="W10" s="20" t="n">
        <v>14615.983</v>
      </c>
      <c r="X10" s="20" t="n">
        <v>14041.268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WestReportableSegmentsMember</t>
        </is>
      </c>
      <c r="B13" s="10" t="n"/>
      <c r="C13" s="19" t="n">
        <v>4968.686</v>
      </c>
      <c r="D13" s="20" t="n">
        <v>5915.309</v>
      </c>
      <c r="E13" s="20" t="n">
        <v>5098.7</v>
      </c>
      <c r="F13" s="20" t="n">
        <v>4796.757</v>
      </c>
      <c r="G13" s="20" t="n">
        <v>5407.302</v>
      </c>
      <c r="H13" s="20" t="n">
        <v>6113.664</v>
      </c>
      <c r="I13" s="20" t="n">
        <v>5050.996</v>
      </c>
      <c r="J13" s="20" t="n">
        <v>4910.096</v>
      </c>
      <c r="K13" s="20" t="n">
        <v>5172.266</v>
      </c>
      <c r="L13" s="20" t="n">
        <v>5899.57</v>
      </c>
      <c r="M13" s="20" t="n">
        <v>5280.148</v>
      </c>
      <c r="N13" s="20" t="n">
        <v>5340.753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20874.9</v>
      </c>
      <c r="W13" s="20" t="n">
        <v>21368.719</v>
      </c>
      <c r="X13" s="20" t="n">
        <v>21262.08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OverseasReportableSegmentsMember</t>
        </is>
      </c>
      <c r="B16" s="10" t="n"/>
      <c r="C16" s="19" t="n">
        <v>383.574</v>
      </c>
      <c r="D16" s="20" t="n">
        <v>493.355</v>
      </c>
      <c r="E16" s="20" t="n">
        <v>364.682</v>
      </c>
      <c r="F16" s="20" t="n">
        <v>410.701</v>
      </c>
      <c r="G16" s="20" t="n">
        <v>404.797</v>
      </c>
      <c r="H16" s="20" t="n">
        <v>514.4589999999999</v>
      </c>
      <c r="I16" s="20" t="n">
        <v>399.707</v>
      </c>
      <c r="J16" s="20" t="n">
        <v>429.074</v>
      </c>
      <c r="K16" s="20" t="n">
        <v>428.511</v>
      </c>
      <c r="L16" s="20" t="n">
        <v>578.663</v>
      </c>
      <c r="M16" s="20" t="n">
        <v>479.437</v>
      </c>
      <c r="N16" s="20" t="n">
        <v>563.67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1598.455</v>
      </c>
      <c r="W16" s="20" t="n">
        <v>1729.664</v>
      </c>
      <c r="X16" s="20" t="n">
        <v>1915.685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10976.4</v>
      </c>
      <c r="G19" s="20" t="n"/>
      <c r="H19" s="20" t="n"/>
      <c r="I19" s="20" t="n"/>
      <c r="J19" s="20" t="n">
        <v>11170.441</v>
      </c>
      <c r="K19" s="20" t="n"/>
      <c r="L19" s="20" t="n"/>
      <c r="M19" s="20" t="n"/>
      <c r="N19" s="20" t="n">
        <v>12132.436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9013.977999999999</v>
      </c>
      <c r="D23" s="20" t="n">
        <v>10582.043</v>
      </c>
      <c r="E23" s="20" t="n">
        <v>4206.655</v>
      </c>
      <c r="F23" s="20" t="n">
        <v>8862.356</v>
      </c>
      <c r="G23" s="20" t="n">
        <v>9824.968999999999</v>
      </c>
      <c r="H23" s="20" t="n">
        <v>11038.413</v>
      </c>
      <c r="I23" s="20" t="n">
        <v>9949.373</v>
      </c>
      <c r="J23" s="20" t="n">
        <v>8997.276</v>
      </c>
      <c r="K23" s="20" t="n">
        <v>9333.35</v>
      </c>
      <c r="L23" s="20" t="n">
        <v>10652.95</v>
      </c>
      <c r="M23" s="20" t="n">
        <v>9926.538</v>
      </c>
      <c r="N23" s="20" t="n">
        <v>9804.666999999999</v>
      </c>
      <c r="O23" s="19" t="n">
        <v>29179.889</v>
      </c>
      <c r="P23" s="20" t="n">
        <v>31378.677</v>
      </c>
      <c r="Q23" s="20" t="n">
        <v>36916.847</v>
      </c>
      <c r="R23" s="20" t="n">
        <v>30786.473</v>
      </c>
      <c r="S23" s="20" t="n">
        <v>32591.333</v>
      </c>
      <c r="T23" s="20" t="n">
        <v>34780.271</v>
      </c>
      <c r="U23" s="20" t="n">
        <v>32111.233</v>
      </c>
      <c r="V23" s="20" t="n">
        <v>32525.131</v>
      </c>
      <c r="W23" s="20" t="n">
        <v>39675.111</v>
      </c>
      <c r="X23" s="20" t="n">
        <v>38910.114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1701.584</v>
      </c>
      <c r="D27" s="20" t="n">
        <v>1748.996</v>
      </c>
      <c r="E27" s="20" t="n">
        <v>846.645</v>
      </c>
      <c r="F27" s="20" t="n">
        <v>1738.8</v>
      </c>
      <c r="G27" s="20" t="n">
        <v>1844.162</v>
      </c>
      <c r="H27" s="20" t="n">
        <v>1743.316</v>
      </c>
      <c r="I27" s="20" t="n">
        <v>2067.964</v>
      </c>
      <c r="J27" s="20" t="n">
        <v>1896.179</v>
      </c>
      <c r="K27" s="20" t="n">
        <v>1895.583</v>
      </c>
      <c r="L27" s="20" t="n">
        <v>1900.035</v>
      </c>
      <c r="M27" s="20" t="n">
        <v>1961.937</v>
      </c>
      <c r="N27" s="20" t="n">
        <v>1840.711</v>
      </c>
      <c r="O27" s="19" t="n">
        <v>4427.897</v>
      </c>
      <c r="P27" s="20" t="n">
        <v>4503.253</v>
      </c>
      <c r="Q27" s="20" t="n">
        <v>5629.634</v>
      </c>
      <c r="R27" s="20" t="n">
        <v>4836.175</v>
      </c>
      <c r="S27" s="20" t="n">
        <v>5703.973</v>
      </c>
      <c r="T27" s="20" t="n">
        <v>6268.67</v>
      </c>
      <c r="U27" s="20" t="n">
        <v>5630.497</v>
      </c>
      <c r="V27" s="20" t="n">
        <v>6009.88</v>
      </c>
      <c r="W27" s="20" t="n">
        <v>7394.242</v>
      </c>
      <c r="X27" s="20" t="n">
        <v>7653.734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500.51</v>
      </c>
      <c r="D28" s="12" t="n">
        <v>975.76</v>
      </c>
      <c r="E28" s="12" t="n">
        <v>-182.892</v>
      </c>
      <c r="F28" s="12" t="n">
        <v>375.243</v>
      </c>
      <c r="G28" s="12" t="n">
        <v>529.633</v>
      </c>
      <c r="H28" s="12" t="n">
        <v>1161.367</v>
      </c>
      <c r="I28" s="12" t="n">
        <v>329.519</v>
      </c>
      <c r="J28" s="12" t="n">
        <v>276.986</v>
      </c>
      <c r="K28" s="12" t="n">
        <v>375.01</v>
      </c>
      <c r="L28" s="12" t="n">
        <v>949.809</v>
      </c>
      <c r="M28" s="12" t="n">
        <v>445.967</v>
      </c>
      <c r="N28" s="12" t="n">
        <v>487.057</v>
      </c>
      <c r="O28" s="11" t="n">
        <v>1641.845</v>
      </c>
      <c r="P28" s="12" t="n">
        <v>2135.827</v>
      </c>
      <c r="Q28" s="12" t="n">
        <v>2870.631</v>
      </c>
      <c r="R28" s="12" t="n">
        <v>2088.554</v>
      </c>
      <c r="S28" s="12" t="n">
        <v>2070.14</v>
      </c>
      <c r="T28" s="12" t="n">
        <v>2071.438</v>
      </c>
      <c r="U28" s="12" t="n">
        <v>1715.173</v>
      </c>
      <c r="V28" s="12" t="n">
        <v>1699.853</v>
      </c>
      <c r="W28" s="12" t="n">
        <v>2395.762</v>
      </c>
      <c r="X28" s="12" t="n">
        <v>2047.772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0.11</v>
      </c>
      <c r="D44" s="20" t="n">
        <v>0.048</v>
      </c>
      <c r="E44" s="20" t="n">
        <v>0.02</v>
      </c>
      <c r="F44" s="20" t="n">
        <v>0</v>
      </c>
      <c r="G44" s="20" t="n">
        <v>0</v>
      </c>
      <c r="H44" s="20" t="n">
        <v>2.129</v>
      </c>
      <c r="I44" s="20" t="n">
        <v>0</v>
      </c>
      <c r="J44" s="20" t="n">
        <v>4.695</v>
      </c>
      <c r="K44" s="20" t="n">
        <v>104.569</v>
      </c>
      <c r="L44" s="20" t="n">
        <v>12.974</v>
      </c>
      <c r="M44" s="20" t="n">
        <v>423.873</v>
      </c>
      <c r="N44" s="20" t="n">
        <v>1.227</v>
      </c>
      <c r="O44" s="19" t="n">
        <v>2.69</v>
      </c>
      <c r="P44" s="20" t="n">
        <v>36.728</v>
      </c>
      <c r="Q44" s="20" t="n">
        <v>92.107</v>
      </c>
      <c r="R44" s="20" t="n">
        <v>2.369</v>
      </c>
      <c r="S44" s="20" t="n">
        <v>14.777</v>
      </c>
      <c r="T44" s="20" t="n">
        <v>7.041</v>
      </c>
      <c r="U44" s="20" t="n">
        <v>270.115</v>
      </c>
      <c r="V44" s="20" t="n">
        <v>0.463</v>
      </c>
      <c r="W44" s="20" t="n">
        <v>2.129</v>
      </c>
      <c r="X44" s="20" t="n">
        <v>546.111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2.818</v>
      </c>
      <c r="D46" s="20" t="n">
        <v>-1.559</v>
      </c>
      <c r="E46" s="20" t="n">
        <v>-1.119</v>
      </c>
      <c r="F46" s="20" t="n">
        <v>0</v>
      </c>
      <c r="G46" s="20" t="n">
        <v>7.713</v>
      </c>
      <c r="H46" s="20" t="n">
        <v>3.707</v>
      </c>
      <c r="I46" s="20" t="n">
        <v>33.26</v>
      </c>
      <c r="J46" s="20" t="n">
        <v>0.008</v>
      </c>
      <c r="K46" s="20" t="n">
        <v>0.002</v>
      </c>
      <c r="L46" s="20" t="n">
        <v>0</v>
      </c>
      <c r="M46" s="20" t="n">
        <v>14.696</v>
      </c>
      <c r="N46" s="20" t="n">
        <v>0.273</v>
      </c>
      <c r="O46" s="19" t="n">
        <v>35.786</v>
      </c>
      <c r="P46" s="20" t="n">
        <v>56.35</v>
      </c>
      <c r="Q46" s="20" t="n">
        <v>83.657</v>
      </c>
      <c r="R46" s="20" t="n">
        <v>41.605</v>
      </c>
      <c r="S46" s="20" t="n">
        <v>16.488</v>
      </c>
      <c r="T46" s="20" t="n">
        <v>8.492000000000001</v>
      </c>
      <c r="U46" s="20" t="n">
        <v>49.149</v>
      </c>
      <c r="V46" s="20" t="n">
        <v>5.14</v>
      </c>
      <c r="W46" s="20" t="n">
        <v>44.68</v>
      </c>
      <c r="X46" s="20" t="n">
        <v>14.706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134.77</v>
      </c>
      <c r="D48" s="20" t="n">
        <v>112.669</v>
      </c>
      <c r="E48" s="20" t="n">
        <v>23.584</v>
      </c>
      <c r="F48" s="20" t="n">
        <v>109.66</v>
      </c>
      <c r="G48" s="20" t="n">
        <v>143.712</v>
      </c>
      <c r="H48" s="20" t="n">
        <v>116.781</v>
      </c>
      <c r="I48" s="20" t="n">
        <v>190.738</v>
      </c>
      <c r="J48" s="20" t="n">
        <v>127.443</v>
      </c>
      <c r="K48" s="20" t="n">
        <v>154.025</v>
      </c>
      <c r="L48" s="20" t="n">
        <v>114.089</v>
      </c>
      <c r="M48" s="20" t="n">
        <v>159.446</v>
      </c>
      <c r="N48" s="20" t="n">
        <v>134.226</v>
      </c>
      <c r="O48" s="19" t="n">
        <v>422.125</v>
      </c>
      <c r="P48" s="20" t="n">
        <v>434.585</v>
      </c>
      <c r="Q48" s="20" t="n">
        <v>511.306</v>
      </c>
      <c r="R48" s="20" t="n">
        <v>421.74</v>
      </c>
      <c r="S48" s="20" t="n">
        <v>525.471</v>
      </c>
      <c r="T48" s="20" t="n">
        <v>472.945</v>
      </c>
      <c r="U48" s="20" t="n">
        <v>436.238</v>
      </c>
      <c r="V48" s="20" t="n">
        <v>427.551</v>
      </c>
      <c r="W48" s="20" t="n">
        <v>560.891</v>
      </c>
      <c r="X48" s="20" t="n">
        <v>555.003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0.629</v>
      </c>
      <c r="D50" s="20" t="n">
        <v>0.022</v>
      </c>
      <c r="E50" s="20" t="n">
        <v>-0.252</v>
      </c>
      <c r="F50" s="20" t="n">
        <v>4.715</v>
      </c>
      <c r="G50" s="20" t="n">
        <v>8.881</v>
      </c>
      <c r="H50" s="20" t="n">
        <v>10.148</v>
      </c>
      <c r="I50" s="20" t="n">
        <v>26.33</v>
      </c>
      <c r="J50" s="20" t="n">
        <v>15.555</v>
      </c>
      <c r="K50" s="20" t="n">
        <v>12.599</v>
      </c>
      <c r="L50" s="20" t="n">
        <v>17.999</v>
      </c>
      <c r="M50" s="20" t="n">
        <v>5.975</v>
      </c>
      <c r="N50" s="20" t="n">
        <v>6.687</v>
      </c>
      <c r="O50" s="19" t="n">
        <v>69.446</v>
      </c>
      <c r="P50" s="20" t="n">
        <v>73.42</v>
      </c>
      <c r="Q50" s="20" t="n">
        <v>84.923</v>
      </c>
      <c r="R50" s="20" t="n">
        <v>84.36799999999999</v>
      </c>
      <c r="S50" s="20" t="n">
        <v>72.55800000000001</v>
      </c>
      <c r="T50" s="20" t="n">
        <v>9.65</v>
      </c>
      <c r="U50" s="20" t="n">
        <v>3.162</v>
      </c>
      <c r="V50" s="20" t="n">
        <v>1.217</v>
      </c>
      <c r="W50" s="20" t="n">
        <v>50.074</v>
      </c>
      <c r="X50" s="20" t="n">
        <v>52.128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631.943</v>
      </c>
      <c r="D52" s="12" t="n">
        <v>1090.013</v>
      </c>
      <c r="E52" s="12" t="n">
        <v>-157.918</v>
      </c>
      <c r="F52" s="12" t="n">
        <v>480.187</v>
      </c>
      <c r="G52" s="12" t="n">
        <v>656.752</v>
      </c>
      <c r="H52" s="12" t="n">
        <v>1266.422</v>
      </c>
      <c r="I52" s="12" t="n">
        <v>460.666</v>
      </c>
      <c r="J52" s="12" t="n">
        <v>393.561</v>
      </c>
      <c r="K52" s="12" t="n">
        <v>621.004</v>
      </c>
      <c r="L52" s="12" t="n">
        <v>1058.872</v>
      </c>
      <c r="M52" s="12" t="n">
        <v>1008.615</v>
      </c>
      <c r="N52" s="12" t="n">
        <v>615.548</v>
      </c>
      <c r="O52" s="11" t="n">
        <v>1961.428</v>
      </c>
      <c r="P52" s="12" t="n">
        <v>2477.37</v>
      </c>
      <c r="Q52" s="12" t="n">
        <v>3305.463</v>
      </c>
      <c r="R52" s="12" t="n">
        <v>2386.688</v>
      </c>
      <c r="S52" s="12" t="n">
        <v>2521.343</v>
      </c>
      <c r="T52" s="12" t="n">
        <v>2533.282</v>
      </c>
      <c r="U52" s="12" t="n">
        <v>2369.217</v>
      </c>
      <c r="V52" s="12" t="n">
        <v>2121.509</v>
      </c>
      <c r="W52" s="12" t="n">
        <v>2864.027</v>
      </c>
      <c r="X52" s="12" t="n">
        <v>3082.052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217.132</v>
      </c>
      <c r="D53" s="20" t="n">
        <v>368.448</v>
      </c>
      <c r="E53" s="20" t="n">
        <v>-55.027</v>
      </c>
      <c r="F53" s="20" t="n">
        <v>165.275</v>
      </c>
      <c r="G53" s="20" t="n">
        <v>224.923</v>
      </c>
      <c r="H53" s="20" t="n">
        <v>411.789</v>
      </c>
      <c r="I53" s="20" t="n">
        <v>144.806</v>
      </c>
      <c r="J53" s="20" t="n">
        <v>163.084</v>
      </c>
      <c r="K53" s="20" t="n">
        <v>192.696</v>
      </c>
      <c r="L53" s="20" t="n">
        <v>348.249</v>
      </c>
      <c r="M53" s="20" t="n">
        <v>265.419</v>
      </c>
      <c r="N53" s="20" t="n">
        <v>231.357</v>
      </c>
      <c r="O53" s="19" t="n">
        <v>659.446</v>
      </c>
      <c r="P53" s="20" t="n">
        <v>829.748</v>
      </c>
      <c r="Q53" s="20" t="n">
        <v>1077.677</v>
      </c>
      <c r="R53" s="20" t="n">
        <v>822.079</v>
      </c>
      <c r="S53" s="20" t="n">
        <v>799.457</v>
      </c>
      <c r="T53" s="20" t="n">
        <v>898.404</v>
      </c>
      <c r="U53" s="20" t="n">
        <v>644.505</v>
      </c>
      <c r="V53" s="20" t="n">
        <v>727.3</v>
      </c>
      <c r="W53" s="20" t="n">
        <v>946.793</v>
      </c>
      <c r="X53" s="20" t="n">
        <v>969.448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414.812</v>
      </c>
      <c r="D55" s="12" t="n">
        <v>721.564</v>
      </c>
      <c r="E55" s="12" t="n">
        <v>-102.89</v>
      </c>
      <c r="F55" s="12" t="n">
        <v>314.912</v>
      </c>
      <c r="G55" s="12" t="n">
        <v>431.828</v>
      </c>
      <c r="H55" s="12" t="n">
        <v>854.633</v>
      </c>
      <c r="I55" s="12" t="n">
        <v>315.861</v>
      </c>
      <c r="J55" s="12" t="n">
        <v>230.477</v>
      </c>
      <c r="K55" s="12" t="n">
        <v>428.307</v>
      </c>
      <c r="L55" s="12" t="n">
        <v>710.623</v>
      </c>
      <c r="M55" s="12" t="n">
        <v>743.197</v>
      </c>
      <c r="N55" s="12" t="n">
        <v>384.191</v>
      </c>
      <c r="O55" s="11" t="n">
        <v>1301.982</v>
      </c>
      <c r="P55" s="12" t="n">
        <v>1647.621</v>
      </c>
      <c r="Q55" s="12" t="n">
        <v>2227.786</v>
      </c>
      <c r="R55" s="12" t="n">
        <v>1564.608</v>
      </c>
      <c r="S55" s="12" t="n">
        <v>1721.885</v>
      </c>
      <c r="T55" s="12" t="n">
        <v>1634.878</v>
      </c>
      <c r="U55" s="12" t="n">
        <v>1724.712</v>
      </c>
      <c r="V55" s="12" t="n">
        <v>1394.209</v>
      </c>
      <c r="W55" s="12" t="n">
        <v>1917.234</v>
      </c>
      <c r="X55" s="12" t="n">
        <v>2112.604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414.812</v>
      </c>
      <c r="D56" s="12" t="n">
        <v>721.564</v>
      </c>
      <c r="E56" s="12" t="n">
        <v>379.623</v>
      </c>
      <c r="F56" s="12" t="n">
        <v>314.912</v>
      </c>
      <c r="G56" s="12" t="n">
        <v>431.828</v>
      </c>
      <c r="H56" s="12" t="n">
        <v>854.633</v>
      </c>
      <c r="I56" s="12" t="n">
        <v>315.861</v>
      </c>
      <c r="J56" s="12" t="n">
        <v>230.477</v>
      </c>
      <c r="K56" s="12" t="n">
        <v>428.307</v>
      </c>
      <c r="L56" s="12" t="n">
        <v>710.623</v>
      </c>
      <c r="M56" s="12" t="n">
        <v>743.197</v>
      </c>
      <c r="N56" s="12" t="n">
        <v>384.191</v>
      </c>
      <c r="O56" s="11" t="n">
        <v>1648.368</v>
      </c>
      <c r="P56" s="12" t="n">
        <v>1913.709</v>
      </c>
      <c r="Q56" s="12" t="n">
        <v>2227.786</v>
      </c>
      <c r="R56" s="12" t="n">
        <v>1894.705</v>
      </c>
      <c r="S56" s="12" t="n">
        <v>1721.885</v>
      </c>
      <c r="T56" s="12" t="n">
        <v>1634.878</v>
      </c>
      <c r="U56" s="12" t="n">
        <v>2101.552</v>
      </c>
      <c r="V56" s="12" t="n">
        <v>1876.722</v>
      </c>
      <c r="W56" s="12" t="n">
        <v>1917.234</v>
      </c>
      <c r="X56" s="12" t="n">
        <v>2112.604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1322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18398174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11216.073</v>
      </c>
      <c r="D90" s="12" t="n">
        <v>13306.798</v>
      </c>
      <c r="E90" s="12" t="n">
        <v>4870.407</v>
      </c>
      <c r="F90" s="12" t="n">
        <v>10976.4</v>
      </c>
      <c r="G90" s="12" t="n">
        <v>12198.763</v>
      </c>
      <c r="H90" s="12" t="n">
        <v>13943.097</v>
      </c>
      <c r="I90" s="12" t="n">
        <v>12346.856</v>
      </c>
      <c r="J90" s="12" t="n">
        <v>11170.441</v>
      </c>
      <c r="K90" s="12" t="n">
        <v>11603.944</v>
      </c>
      <c r="L90" s="12" t="n">
        <v>13502.794</v>
      </c>
      <c r="M90" s="12" t="n">
        <v>12334.442</v>
      </c>
      <c r="N90" s="12" t="n">
        <v>12132.436</v>
      </c>
      <c r="T90" s="12" t="n">
        <v>10605.804</v>
      </c>
      <c r="U90" s="12" t="n">
        <v>5243.521</v>
      </c>
      <c r="V90" s="12" t="n">
        <v>4870.407</v>
      </c>
      <c r="W90" s="12" t="n">
        <v>12346.856</v>
      </c>
      <c r="X90" s="12" t="n">
        <v>12334.442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9013.977999999999</v>
      </c>
      <c r="D92" s="20" t="n">
        <v>10582.043</v>
      </c>
      <c r="E92" s="20" t="n">
        <v>4206.655</v>
      </c>
      <c r="F92" s="20" t="n">
        <v>8862.356</v>
      </c>
      <c r="G92" s="20" t="n">
        <v>9824.968999999999</v>
      </c>
      <c r="H92" s="20" t="n">
        <v>11038.413</v>
      </c>
      <c r="I92" s="20" t="n">
        <v>9949.373</v>
      </c>
      <c r="J92" s="20" t="n">
        <v>8997.276</v>
      </c>
      <c r="K92" s="20" t="n">
        <v>9333.35</v>
      </c>
      <c r="L92" s="20" t="n">
        <v>10652.95</v>
      </c>
      <c r="M92" s="20" t="n">
        <v>9926.538</v>
      </c>
      <c r="N92" s="20" t="n">
        <v>9804.666999999999</v>
      </c>
      <c r="T92" s="20" t="n">
        <v>8557.124</v>
      </c>
      <c r="U92" s="20" t="n">
        <v>4453.439</v>
      </c>
      <c r="V92" s="20" t="n">
        <v>4206.655</v>
      </c>
      <c r="W92" s="20" t="n">
        <v>9949.373</v>
      </c>
      <c r="X92" s="20" t="n">
        <v>9926.538</v>
      </c>
    </row>
    <row r="93">
      <c r="A93" s="9" t="inlineStr">
        <is>
          <t>매출총이익</t>
        </is>
      </c>
      <c r="C93" s="12" t="n">
        <v>2202.094</v>
      </c>
      <c r="D93" s="12" t="n">
        <v>2724.755</v>
      </c>
      <c r="E93" s="12" t="n">
        <v>663.753</v>
      </c>
      <c r="F93" s="12" t="n">
        <v>2114.043</v>
      </c>
      <c r="G93" s="12" t="n">
        <v>2373.795</v>
      </c>
      <c r="H93" s="12" t="n">
        <v>2904.683</v>
      </c>
      <c r="I93" s="12" t="n">
        <v>2397.483</v>
      </c>
      <c r="J93" s="12" t="n">
        <v>2173.165</v>
      </c>
      <c r="K93" s="12" t="n">
        <v>2270.594</v>
      </c>
      <c r="L93" s="12" t="n">
        <v>2849.843</v>
      </c>
      <c r="M93" s="12" t="n">
        <v>2407.904</v>
      </c>
      <c r="N93" s="12" t="n">
        <v>2327.768</v>
      </c>
      <c r="T93" s="12" t="n">
        <v>2048.68</v>
      </c>
      <c r="U93" s="12" t="n">
        <v>790.081</v>
      </c>
      <c r="V93" s="12" t="n">
        <v>663.753</v>
      </c>
      <c r="W93" s="12" t="n">
        <v>2397.483</v>
      </c>
      <c r="X93" s="12" t="n">
        <v>2407.904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판매비와 관리비</t>
        </is>
      </c>
      <c r="C95" s="20" t="n">
        <v>1701.584</v>
      </c>
      <c r="D95" s="20" t="n">
        <v>1748.996</v>
      </c>
      <c r="E95" s="20" t="n">
        <v>846.645</v>
      </c>
      <c r="F95" s="20" t="n">
        <v>1738.8</v>
      </c>
      <c r="G95" s="20" t="n">
        <v>1844.162</v>
      </c>
      <c r="H95" s="20" t="n">
        <v>1743.316</v>
      </c>
      <c r="I95" s="20" t="n">
        <v>2067.964</v>
      </c>
      <c r="J95" s="20" t="n">
        <v>1896.179</v>
      </c>
      <c r="K95" s="20" t="n">
        <v>1895.583</v>
      </c>
      <c r="L95" s="20" t="n">
        <v>1900.035</v>
      </c>
      <c r="M95" s="20" t="n">
        <v>1961.937</v>
      </c>
      <c r="N95" s="20" t="n">
        <v>1840.711</v>
      </c>
      <c r="T95" s="20" t="n">
        <v>1597.519</v>
      </c>
      <c r="U95" s="20" t="n">
        <v>785.623</v>
      </c>
      <c r="V95" s="20" t="n">
        <v>846.645</v>
      </c>
      <c r="W95" s="20" t="n">
        <v>2067.964</v>
      </c>
      <c r="X95" s="20" t="n">
        <v>1961.937</v>
      </c>
    </row>
    <row r="96">
      <c r="A96" s="9" t="inlineStr">
        <is>
          <t>영업이익</t>
        </is>
      </c>
      <c r="C96" s="12" t="n">
        <v>500.51</v>
      </c>
      <c r="D96" s="12" t="n">
        <v>975.76</v>
      </c>
      <c r="E96" s="12" t="n">
        <v>-182.892</v>
      </c>
      <c r="F96" s="12" t="n">
        <v>375.243</v>
      </c>
      <c r="G96" s="12" t="n">
        <v>529.633</v>
      </c>
      <c r="H96" s="12" t="n">
        <v>1161.367</v>
      </c>
      <c r="I96" s="12" t="n">
        <v>329.519</v>
      </c>
      <c r="J96" s="12" t="n">
        <v>276.986</v>
      </c>
      <c r="K96" s="12" t="n">
        <v>375.01</v>
      </c>
      <c r="L96" s="12" t="n">
        <v>949.809</v>
      </c>
      <c r="M96" s="12" t="n">
        <v>445.967</v>
      </c>
      <c r="N96" s="12" t="n">
        <v>487.057</v>
      </c>
      <c r="T96" s="12" t="n">
        <v>451.161</v>
      </c>
      <c r="U96" s="12" t="n">
        <v>4.458</v>
      </c>
      <c r="V96" s="12" t="n">
        <v>-182.892</v>
      </c>
      <c r="W96" s="12" t="n">
        <v>329.519</v>
      </c>
      <c r="X96" s="12" t="n">
        <v>445.967</v>
      </c>
    </row>
    <row r="97">
      <c r="A97" s="43" t="inlineStr">
        <is>
          <t>OPM</t>
        </is>
      </c>
      <c r="B97" s="3" t="inlineStr">
        <is>
          <t>영업이익 ÷ 매출</t>
        </is>
      </c>
      <c r="C97" s="15">
        <f>IF(OR(C96="",C90=""),"",IF(C90&lt;=0,"",IFERROR(C96/C90,"")))</f>
        <v/>
      </c>
      <c r="D97" s="15">
        <f>IF(OR(D96="",D90=""),"",IF(D90&lt;=0,"",IFERROR(D96/D90,"")))</f>
        <v/>
      </c>
      <c r="E97" s="15">
        <f>IF(OR(E96="",E90=""),"",IF(E90&lt;=0,"",IFERROR(E96/E90,"")))</f>
        <v/>
      </c>
      <c r="F97" s="15">
        <f>IF(OR(F96="",F90=""),"",IF(F90&lt;=0,"",IFERROR(F96/F90,"")))</f>
        <v/>
      </c>
      <c r="G97" s="15">
        <f>IF(OR(G96="",G90=""),"",IF(G90&lt;=0,"",IFERROR(G96/G90,"")))</f>
        <v/>
      </c>
      <c r="H97" s="15">
        <f>IF(OR(H96="",H90=""),"",IF(H90&lt;=0,"",IFERROR(H96/H90,"")))</f>
        <v/>
      </c>
      <c r="I97" s="15">
        <f>IF(OR(I96="",I90=""),"",IF(I90&lt;=0,"",IFERROR(I96/I90,"")))</f>
        <v/>
      </c>
      <c r="J97" s="15">
        <f>IF(OR(J96="",J90=""),"",IF(J90&lt;=0,"",IFERROR(J96/J90,"")))</f>
        <v/>
      </c>
      <c r="K97" s="15">
        <f>IF(OR(K96="",K90=""),"",IF(K90&lt;=0,"",IFERROR(K96/K90,"")))</f>
        <v/>
      </c>
      <c r="L97" s="15">
        <f>IF(OR(L96="",L90=""),"",IF(L90&lt;=0,"",IFERROR(L96/L90,"")))</f>
        <v/>
      </c>
      <c r="M97" s="15">
        <f>IF(OR(M96="",M90=""),"",IF(M90&lt;=0,"",IFERROR(M96/M90,"")))</f>
        <v/>
      </c>
      <c r="N97" s="15">
        <f>IF(OR(N96="",N90=""),"",IF(N90&lt;=0,"",IFERROR(N96/N90,"")))</f>
        <v/>
      </c>
      <c r="T97" s="15">
        <f>IF(OR(T96="",T90=""),"",IF(T90&lt;=0,"",IFERROR(T96/T90,"")))</f>
        <v/>
      </c>
      <c r="U97" s="15">
        <f>IF(OR(U96="",U90=""),"",IF(U90&lt;=0,"",IFERROR(U96/U90,"")))</f>
        <v/>
      </c>
      <c r="V97" s="15">
        <f>IF(OR(V96="",V90=""),"",IF(V90&lt;=0,"",IFERROR(V96/V90,"")))</f>
        <v/>
      </c>
      <c r="W97" s="15">
        <f>IF(OR(W96="",W90=""),"",IF(W90&lt;=0,"",IFERROR(W96/W90,"")))</f>
        <v/>
      </c>
      <c r="X97" s="15">
        <f>IF(OR(X96="",X90=""),"",IF(X90&lt;=0,"",IFERROR(X96/X90,"")))</f>
        <v/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IF(OR(G96="",C96=""),"",IF(C96&lt;=0,"",IFERROR(G96/C96-1,"")))</f>
        <v/>
      </c>
      <c r="H98" s="15">
        <f>IF(OR(H96="",D96=""),"",IF(D96&lt;=0,"",IFERROR(H96/D96-1,"")))</f>
        <v/>
      </c>
      <c r="I98" s="15">
        <f>IF(OR(I96="",E96=""),"",IF(E96&lt;=0,"",IFERROR(I96/E96-1,"")))</f>
        <v/>
      </c>
      <c r="J98" s="15">
        <f>IF(OR(J96="",F96=""),"",IF(F96&lt;=0,"",IFERROR(J96/F96-1,"")))</f>
        <v/>
      </c>
      <c r="K98" s="15">
        <f>IF(OR(K96="",G96=""),"",IF(G96&lt;=0,"",IFERROR(K96/G96-1,"")))</f>
        <v/>
      </c>
      <c r="L98" s="15">
        <f>IF(OR(L96="",H96=""),"",IF(H96&lt;=0,"",IFERROR(L96/H96-1,"")))</f>
        <v/>
      </c>
      <c r="M98" s="15">
        <f>IF(OR(M96="",I96=""),"",IF(I96&lt;=0,"",IFERROR(M96/I96-1,"")))</f>
        <v/>
      </c>
      <c r="N98" s="15">
        <f>IF(OR(N96="",J96=""),"",IF(J96&lt;=0,"",IFERROR(N96/J96-1,"")))</f>
        <v/>
      </c>
      <c r="T98" s="15">
        <f>IF(OR(T96="",S96=""),"",IF(S96&lt;=0,"",IFERROR(T96/S96-1,"")))</f>
        <v/>
      </c>
      <c r="U98" s="15">
        <f>IF(OR(U96="",T96=""),"",IF(T96&lt;=0,"",IFERROR(U96/T96-1,"")))</f>
        <v/>
      </c>
      <c r="V98" s="15">
        <f>IF(OR(V96="",U96=""),"",IF(U96&lt;=0,"",IFERROR(V96/U96-1,"")))</f>
        <v/>
      </c>
      <c r="W98" s="15">
        <f>IF(OR(W96="",V96=""),"",IF(V96&lt;=0,"",IFERROR(W96/V96-1,"")))</f>
        <v/>
      </c>
      <c r="X98" s="15">
        <f>IF(OR(X96="",W96=""),"",IF(W96&lt;=0,"",IFERROR(X96/W96-1,"")))</f>
        <v/>
      </c>
    </row>
    <row r="99">
      <c r="A99" s="18" t="inlineStr">
        <is>
          <t>이자수익</t>
        </is>
      </c>
      <c r="C99" s="20" t="n">
        <v>0.156</v>
      </c>
      <c r="D99" s="20" t="n">
        <v>0.124</v>
      </c>
      <c r="E99" s="20" t="n">
        <v>0.224</v>
      </c>
      <c r="F99" s="20" t="n">
        <v>0.228</v>
      </c>
      <c r="G99" s="20" t="n">
        <v>0.346</v>
      </c>
      <c r="H99" s="20" t="n">
        <v>0.551</v>
      </c>
      <c r="I99" s="20" t="n">
        <v>0.776</v>
      </c>
      <c r="J99" s="20" t="n">
        <v>0.886</v>
      </c>
      <c r="K99" s="20" t="n">
        <v>1.375</v>
      </c>
      <c r="L99" s="20" t="n">
        <v>1.491</v>
      </c>
      <c r="M99" s="20" t="n">
        <v>1.326</v>
      </c>
      <c r="N99" s="20" t="n">
        <v>1.695</v>
      </c>
      <c r="T99" s="20" t="n">
        <v>0.184</v>
      </c>
      <c r="U99" s="20" t="n">
        <v>0.191</v>
      </c>
      <c r="V99" s="20" t="n">
        <v>0.224</v>
      </c>
      <c r="W99" s="20" t="n">
        <v>0.776</v>
      </c>
      <c r="X99" s="20" t="n">
        <v>1.326</v>
      </c>
    </row>
    <row r="100">
      <c r="A100" s="18" t="inlineStr">
        <is>
          <t>배당금수익</t>
        </is>
      </c>
      <c r="C100" s="20" t="n">
        <v>34.85</v>
      </c>
      <c r="D100" s="20" t="n">
        <v>8.234999999999999</v>
      </c>
      <c r="E100" s="20" t="n">
        <v>18.222</v>
      </c>
      <c r="F100" s="20" t="n">
        <v>7.635</v>
      </c>
      <c r="G100" s="20" t="n">
        <v>38.16</v>
      </c>
      <c r="H100" s="20" t="n">
        <v>9.050000000000001</v>
      </c>
      <c r="I100" s="20" t="n">
        <v>40.162</v>
      </c>
      <c r="J100" s="20" t="n">
        <v>11.911</v>
      </c>
      <c r="K100" s="20" t="n">
        <v>47.705</v>
      </c>
      <c r="L100" s="20" t="n">
        <v>8.387</v>
      </c>
      <c r="M100" s="20" t="n">
        <v>39.977</v>
      </c>
      <c r="N100" s="20" t="n">
        <v>16.316</v>
      </c>
      <c r="T100" s="20" t="n">
        <v>25.1</v>
      </c>
      <c r="U100" s="20" t="n">
        <v>18.733</v>
      </c>
      <c r="V100" s="20" t="n">
        <v>18.222</v>
      </c>
      <c r="W100" s="20" t="n">
        <v>40.162</v>
      </c>
      <c r="X100" s="20" t="n">
        <v>39.977</v>
      </c>
    </row>
    <row r="101">
      <c r="A101" s="18" t="inlineStr">
        <is>
          <t>매입할인</t>
        </is>
      </c>
      <c r="C101" s="20" t="n">
        <v>69.21599999999999</v>
      </c>
      <c r="D101" s="20" t="n">
        <v>70.533</v>
      </c>
      <c r="E101" s="20" t="n">
        <v>24.024</v>
      </c>
      <c r="F101" s="20" t="n">
        <v>69.63</v>
      </c>
      <c r="G101" s="20" t="n">
        <v>70.27200000000001</v>
      </c>
      <c r="H101" s="20" t="n">
        <v>72.979</v>
      </c>
      <c r="I101" s="20" t="n">
        <v>77.238</v>
      </c>
      <c r="J101" s="20" t="n">
        <v>71.26900000000001</v>
      </c>
      <c r="K101" s="20" t="n">
        <v>65.23399999999999</v>
      </c>
      <c r="L101" s="20" t="n">
        <v>67.01300000000001</v>
      </c>
      <c r="M101" s="20" t="n">
        <v>75.816</v>
      </c>
      <c r="N101" s="20" t="n">
        <v>72.12</v>
      </c>
      <c r="T101" s="20" t="n">
        <v>72.523</v>
      </c>
      <c r="U101" s="20" t="n">
        <v>26.88</v>
      </c>
      <c r="V101" s="20" t="n">
        <v>24.024</v>
      </c>
      <c r="W101" s="20" t="n">
        <v>77.238</v>
      </c>
      <c r="X101" s="20" t="n">
        <v>75.816</v>
      </c>
    </row>
    <row r="102">
      <c r="A102" s="18" t="inlineStr">
        <is>
          <t>부동산 임대료</t>
        </is>
      </c>
      <c r="C102" s="20" t="n">
        <v>28.199</v>
      </c>
      <c r="D102" s="20" t="n">
        <v>27.118</v>
      </c>
      <c r="E102" s="20" t="n">
        <v>27.305</v>
      </c>
      <c r="F102" s="20" t="n">
        <v>29.287</v>
      </c>
      <c r="G102" s="20" t="n">
        <v>30.567</v>
      </c>
      <c r="H102" s="20" t="n">
        <v>28.901</v>
      </c>
      <c r="I102" s="20" t="n">
        <v>29.168</v>
      </c>
      <c r="J102" s="20" t="n">
        <v>32.091</v>
      </c>
      <c r="K102" s="20" t="n">
        <v>37.826</v>
      </c>
      <c r="L102" s="20" t="n">
        <v>34.613</v>
      </c>
      <c r="M102" s="20" t="n">
        <v>33.494</v>
      </c>
      <c r="N102" s="20" t="n">
        <v>37.422</v>
      </c>
      <c r="T102" s="20" t="n">
        <v>24.396</v>
      </c>
      <c r="U102" s="20" t="n">
        <v>25.739</v>
      </c>
      <c r="V102" s="20" t="n">
        <v>27.305</v>
      </c>
      <c r="W102" s="20" t="n">
        <v>29.168</v>
      </c>
      <c r="X102" s="20" t="n">
        <v>33.494</v>
      </c>
    </row>
    <row r="103">
      <c r="A103" s="18" t="inlineStr">
        <is>
          <t>보험 해약환급금</t>
        </is>
      </c>
      <c r="F103" s="20" t="n">
        <v>0</v>
      </c>
    </row>
    <row r="104">
      <c r="A104" s="18" t="inlineStr">
        <is>
          <t>기타</t>
        </is>
      </c>
      <c r="C104" s="20" t="n">
        <v>47.82</v>
      </c>
      <c r="D104" s="20" t="n">
        <v>6.659</v>
      </c>
      <c r="E104" s="20" t="n">
        <v>-46.19</v>
      </c>
      <c r="F104" s="20" t="n">
        <v>2.877</v>
      </c>
      <c r="G104" s="20" t="n">
        <v>4.368</v>
      </c>
      <c r="H104" s="20" t="n">
        <v>5.3</v>
      </c>
      <c r="I104" s="20" t="n">
        <v>43.394</v>
      </c>
      <c r="J104" s="20" t="n">
        <v>11.284</v>
      </c>
      <c r="K104" s="20" t="n">
        <v>1.886</v>
      </c>
      <c r="L104" s="20" t="n">
        <v>2.583</v>
      </c>
      <c r="M104" s="20" t="n">
        <v>8.834</v>
      </c>
      <c r="N104" s="20" t="n">
        <v>6.671</v>
      </c>
      <c r="T104" s="20" t="n">
        <v>13.062</v>
      </c>
      <c r="U104" s="20" t="n">
        <v>5.535</v>
      </c>
      <c r="V104" s="20" t="n">
        <v>-46.19</v>
      </c>
      <c r="W104" s="20" t="n">
        <v>43.394</v>
      </c>
      <c r="X104" s="20" t="n">
        <v>8.834</v>
      </c>
    </row>
    <row r="105">
      <c r="A105" s="18" t="inlineStr">
        <is>
          <t>영업외수익 합계</t>
        </is>
      </c>
      <c r="C105" s="20" t="n">
        <v>134.77</v>
      </c>
      <c r="D105" s="20" t="n">
        <v>112.669</v>
      </c>
      <c r="E105" s="20" t="n">
        <v>23.584</v>
      </c>
      <c r="F105" s="20" t="n">
        <v>109.66</v>
      </c>
      <c r="G105" s="20" t="n">
        <v>143.712</v>
      </c>
      <c r="H105" s="20" t="n">
        <v>116.781</v>
      </c>
      <c r="I105" s="20" t="n">
        <v>190.738</v>
      </c>
      <c r="J105" s="20" t="n">
        <v>127.443</v>
      </c>
      <c r="K105" s="20" t="n">
        <v>154.025</v>
      </c>
      <c r="L105" s="20" t="n">
        <v>114.089</v>
      </c>
      <c r="M105" s="20" t="n">
        <v>159.446</v>
      </c>
      <c r="N105" s="20" t="n">
        <v>134.226</v>
      </c>
      <c r="T105" s="20" t="n">
        <v>135.266</v>
      </c>
      <c r="U105" s="20" t="n">
        <v>77.077</v>
      </c>
      <c r="V105" s="20" t="n">
        <v>23.584</v>
      </c>
      <c r="W105" s="20" t="n">
        <v>190.738</v>
      </c>
      <c r="X105" s="20" t="n">
        <v>159.446</v>
      </c>
    </row>
    <row r="106">
      <c r="A106" s="18" t="inlineStr">
        <is>
          <t>이자비용</t>
        </is>
      </c>
      <c r="C106" s="20" t="n">
        <v>0.26</v>
      </c>
      <c r="D106" s="20" t="n">
        <v>0.26</v>
      </c>
      <c r="E106" s="20" t="n">
        <v>0.251</v>
      </c>
      <c r="F106" s="20" t="n">
        <v>0.231</v>
      </c>
      <c r="G106" s="20" t="n">
        <v>0.228</v>
      </c>
      <c r="H106" s="20" t="n">
        <v>0.248</v>
      </c>
      <c r="I106" s="20" t="n">
        <v>1.272</v>
      </c>
      <c r="J106" s="20" t="n">
        <v>2.016</v>
      </c>
      <c r="K106" s="20" t="n">
        <v>4.449</v>
      </c>
      <c r="L106" s="20" t="n">
        <v>4.6</v>
      </c>
      <c r="M106" s="20" t="n">
        <v>6.647</v>
      </c>
      <c r="N106" s="20" t="n">
        <v>6.265</v>
      </c>
      <c r="T106" s="20" t="n">
        <v>0.394</v>
      </c>
      <c r="U106" s="20" t="n">
        <v>0.414</v>
      </c>
      <c r="V106" s="20" t="n">
        <v>0.251</v>
      </c>
      <c r="W106" s="20" t="n">
        <v>1.272</v>
      </c>
      <c r="X106" s="20" t="n">
        <v>6.647</v>
      </c>
    </row>
    <row r="107">
      <c r="A107" s="18" t="inlineStr">
        <is>
          <t>자기주식 취득비용</t>
        </is>
      </c>
      <c r="C107" s="20" t="n">
        <v>0</v>
      </c>
      <c r="D107" s="20" t="n">
        <v>0</v>
      </c>
      <c r="E107" s="20" t="n">
        <v>0</v>
      </c>
      <c r="F107" s="20" t="n">
        <v>2.33</v>
      </c>
      <c r="G107" s="20" t="n">
        <v>8.484</v>
      </c>
      <c r="H107" s="20" t="n">
        <v>3.022</v>
      </c>
      <c r="I107" s="20" t="n">
        <v>0</v>
      </c>
      <c r="J107" s="20" t="n">
        <v>10.475</v>
      </c>
      <c r="K107" s="20" t="n">
        <v>10.472</v>
      </c>
      <c r="L107" s="20" t="n">
        <v>6.051</v>
      </c>
      <c r="M107" s="20" t="n">
        <v>0</v>
      </c>
      <c r="N107" s="20" t="n">
        <v>0</v>
      </c>
      <c r="T107" s="20" t="n">
        <v>0</v>
      </c>
      <c r="U107" s="20" t="n">
        <v>0</v>
      </c>
      <c r="V107" s="20" t="n">
        <v>0</v>
      </c>
      <c r="W107" s="20" t="n">
        <v>0</v>
      </c>
      <c r="X107" s="20" t="n">
        <v>0</v>
      </c>
    </row>
    <row r="108">
      <c r="A108" s="18" t="inlineStr">
        <is>
          <t>기타</t>
        </is>
      </c>
      <c r="C108" s="20" t="n">
        <v>0.369</v>
      </c>
      <c r="D108" s="20" t="n">
        <v>-0.238</v>
      </c>
      <c r="E108" s="20" t="n">
        <v>-0.502</v>
      </c>
      <c r="F108" s="20" t="n">
        <v>2.153</v>
      </c>
      <c r="G108" s="20" t="n">
        <v>0.169</v>
      </c>
      <c r="H108" s="20" t="n">
        <v>6.878</v>
      </c>
      <c r="I108" s="20" t="n">
        <v>25.059</v>
      </c>
      <c r="J108" s="20" t="n">
        <v>3.063</v>
      </c>
      <c r="K108" s="20" t="n">
        <v>-2.322</v>
      </c>
      <c r="L108" s="20" t="n">
        <v>7.347</v>
      </c>
      <c r="M108" s="20" t="n">
        <v>-0.672</v>
      </c>
      <c r="N108" s="20" t="n">
        <v>0.421</v>
      </c>
      <c r="T108" s="20" t="n">
        <v>2.051</v>
      </c>
      <c r="U108" s="20" t="n">
        <v>-1.68</v>
      </c>
      <c r="V108" s="20" t="n">
        <v>-0.502</v>
      </c>
      <c r="W108" s="20" t="n">
        <v>25.059</v>
      </c>
      <c r="X108" s="20" t="n">
        <v>-0.672</v>
      </c>
    </row>
    <row r="109">
      <c r="A109" s="18" t="inlineStr">
        <is>
          <t>영업외비용 합계</t>
        </is>
      </c>
      <c r="C109" s="20" t="n">
        <v>0.629</v>
      </c>
      <c r="D109" s="20" t="n">
        <v>0.022</v>
      </c>
      <c r="E109" s="20" t="n">
        <v>-0.252</v>
      </c>
      <c r="F109" s="20" t="n">
        <v>4.715</v>
      </c>
      <c r="G109" s="20" t="n">
        <v>8.881</v>
      </c>
      <c r="H109" s="20" t="n">
        <v>10.148</v>
      </c>
      <c r="I109" s="20" t="n">
        <v>26.33</v>
      </c>
      <c r="J109" s="20" t="n">
        <v>15.555</v>
      </c>
      <c r="K109" s="20" t="n">
        <v>12.599</v>
      </c>
      <c r="L109" s="20" t="n">
        <v>17.999</v>
      </c>
      <c r="M109" s="20" t="n">
        <v>5.975</v>
      </c>
      <c r="N109" s="20" t="n">
        <v>6.687</v>
      </c>
      <c r="T109" s="20" t="n">
        <v>2.445</v>
      </c>
      <c r="U109" s="20" t="n">
        <v>-1.265</v>
      </c>
      <c r="V109" s="20" t="n">
        <v>-0.252</v>
      </c>
      <c r="W109" s="20" t="n">
        <v>26.33</v>
      </c>
      <c r="X109" s="20" t="n">
        <v>5.975</v>
      </c>
    </row>
    <row r="110">
      <c r="A110" s="9" t="inlineStr">
        <is>
          <t>경상이익</t>
        </is>
      </c>
      <c r="C110" s="12" t="n">
        <v>634.652</v>
      </c>
      <c r="D110" s="12" t="n">
        <v>1088.406</v>
      </c>
      <c r="E110" s="12" t="n">
        <v>-159.056</v>
      </c>
      <c r="F110" s="12" t="n">
        <v>480.187</v>
      </c>
      <c r="G110" s="12" t="n">
        <v>664.466</v>
      </c>
      <c r="H110" s="12" t="n">
        <v>1267.999</v>
      </c>
      <c r="I110" s="12" t="n">
        <v>493.926</v>
      </c>
      <c r="J110" s="12" t="n">
        <v>388.873</v>
      </c>
      <c r="K110" s="12" t="n">
        <v>516.438</v>
      </c>
      <c r="L110" s="12" t="n">
        <v>1045.898</v>
      </c>
      <c r="M110" s="12" t="n">
        <v>599.438</v>
      </c>
      <c r="N110" s="12" t="n">
        <v>614.595</v>
      </c>
      <c r="T110" s="12" t="n">
        <v>583.981</v>
      </c>
      <c r="U110" s="12" t="n">
        <v>82.801</v>
      </c>
      <c r="V110" s="12" t="n">
        <v>-159.056</v>
      </c>
      <c r="W110" s="12" t="n">
        <v>493.926</v>
      </c>
      <c r="X110" s="12" t="n">
        <v>599.438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IF(OR(G110="",C110=""),"",IF(C110&lt;=0,"",IFERROR(G110/C110-1,"")))</f>
        <v/>
      </c>
      <c r="H111" s="15">
        <f>IF(OR(H110="",D110=""),"",IF(D110&lt;=0,"",IFERROR(H110/D110-1,"")))</f>
        <v/>
      </c>
      <c r="I111" s="15">
        <f>IF(OR(I110="",E110=""),"",IF(E110&lt;=0,"",IFERROR(I110/E110-1,"")))</f>
        <v/>
      </c>
      <c r="J111" s="15">
        <f>IF(OR(J110="",F110=""),"",IF(F110&lt;=0,"",IFERROR(J110/F110-1,"")))</f>
        <v/>
      </c>
      <c r="K111" s="15">
        <f>IF(OR(K110="",G110=""),"",IF(G110&lt;=0,"",IFERROR(K110/G110-1,"")))</f>
        <v/>
      </c>
      <c r="L111" s="15">
        <f>IF(OR(L110="",H110=""),"",IF(H110&lt;=0,"",IFERROR(L110/H110-1,"")))</f>
        <v/>
      </c>
      <c r="M111" s="15">
        <f>IF(OR(M110="",I110=""),"",IF(I110&lt;=0,"",IFERROR(M110/I110-1,"")))</f>
        <v/>
      </c>
      <c r="N111" s="15">
        <f>IF(OR(N110="",J110=""),"",IF(J110&lt;=0,"",IFERROR(N110/J110-1,"")))</f>
        <v/>
      </c>
      <c r="T111" s="15">
        <f>IF(OR(T110="",S110=""),"",IF(S110&lt;=0,"",IFERROR(T110/S110-1,"")))</f>
        <v/>
      </c>
      <c r="U111" s="15">
        <f>IF(OR(U110="",T110=""),"",IF(T110&lt;=0,"",IFERROR(U110/T110-1,"")))</f>
        <v/>
      </c>
      <c r="V111" s="15">
        <f>IF(OR(V110="",U110=""),"",IF(U110&lt;=0,"",IFERROR(V110/U110-1,"")))</f>
        <v/>
      </c>
      <c r="W111" s="15">
        <f>IF(OR(W110="",V110=""),"",IF(V110&lt;=0,"",IFERROR(W110/V110-1,"")))</f>
        <v/>
      </c>
      <c r="X111" s="15">
        <f>IF(OR(X110="",W110=""),"",IF(W110&lt;=0,"",IFERROR(X110/W110-1,"")))</f>
        <v/>
      </c>
    </row>
    <row r="112">
      <c r="A112" s="18" t="inlineStr">
        <is>
          <t>고정자산 매각이익</t>
        </is>
      </c>
      <c r="C112" s="20" t="n">
        <v>0.11</v>
      </c>
      <c r="D112" s="20" t="n">
        <v>0.048</v>
      </c>
      <c r="E112" s="20" t="n">
        <v>0.02</v>
      </c>
      <c r="F112" s="20" t="n">
        <v>0</v>
      </c>
      <c r="G112" s="20" t="n">
        <v>0</v>
      </c>
      <c r="H112" s="20" t="n">
        <v>2.129</v>
      </c>
      <c r="I112" s="20" t="n">
        <v>0</v>
      </c>
      <c r="J112" s="20" t="n">
        <v>0</v>
      </c>
      <c r="M112" s="20" t="n">
        <v>0</v>
      </c>
      <c r="N112" s="20" t="n">
        <v>1.227</v>
      </c>
      <c r="T112" s="20" t="n">
        <v>0.006</v>
      </c>
      <c r="U112" s="20" t="n">
        <v>0.986</v>
      </c>
      <c r="V112" s="20" t="n">
        <v>0.02</v>
      </c>
      <c r="W112" s="20" t="n">
        <v>0</v>
      </c>
      <c r="X112" s="20" t="n">
        <v>0</v>
      </c>
    </row>
    <row r="113">
      <c r="A113" s="18" t="inlineStr">
        <is>
          <t>투자유가증권 매각이익</t>
        </is>
      </c>
      <c r="E113" s="20" t="n">
        <v>0</v>
      </c>
      <c r="F113" s="20" t="n">
        <v>0</v>
      </c>
      <c r="G113" s="20" t="n">
        <v>0</v>
      </c>
      <c r="H113" s="20" t="n">
        <v>0</v>
      </c>
      <c r="I113" s="20" t="n">
        <v>0</v>
      </c>
      <c r="J113" s="20" t="n">
        <v>4.695</v>
      </c>
      <c r="K113" s="20" t="n">
        <v>104.569</v>
      </c>
      <c r="L113" s="20" t="n">
        <v>0</v>
      </c>
      <c r="M113" s="20" t="n">
        <v>423.873</v>
      </c>
      <c r="N113" s="20" t="n">
        <v>0</v>
      </c>
      <c r="T113" s="20" t="n">
        <v>0</v>
      </c>
      <c r="U113" s="20" t="n">
        <v>0</v>
      </c>
      <c r="V113" s="20" t="n">
        <v>0</v>
      </c>
      <c r="W113" s="20" t="n">
        <v>0</v>
      </c>
      <c r="X113" s="20" t="n">
        <v>423.873</v>
      </c>
    </row>
    <row r="114">
      <c r="A114" s="18" t="inlineStr">
        <is>
          <t>특별이익 합계</t>
        </is>
      </c>
      <c r="C114" s="20" t="n">
        <v>0.11</v>
      </c>
      <c r="D114" s="20" t="n">
        <v>0.048</v>
      </c>
      <c r="E114" s="20" t="n">
        <v>0.02</v>
      </c>
      <c r="F114" s="20" t="n">
        <v>0</v>
      </c>
      <c r="G114" s="20" t="n">
        <v>0</v>
      </c>
      <c r="H114" s="20" t="n">
        <v>2.129</v>
      </c>
      <c r="I114" s="20" t="n">
        <v>0</v>
      </c>
      <c r="J114" s="20" t="n">
        <v>4.695</v>
      </c>
      <c r="K114" s="20" t="n">
        <v>104.569</v>
      </c>
      <c r="L114" s="20" t="n">
        <v>12.974</v>
      </c>
      <c r="M114" s="20" t="n">
        <v>423.873</v>
      </c>
      <c r="N114" s="20" t="n">
        <v>1.227</v>
      </c>
      <c r="T114" s="20" t="n">
        <v>0.006</v>
      </c>
      <c r="U114" s="20" t="n">
        <v>0.985</v>
      </c>
      <c r="V114" s="20" t="n">
        <v>0.02</v>
      </c>
      <c r="W114" s="20" t="n">
        <v>0</v>
      </c>
      <c r="X114" s="20" t="n">
        <v>423.873</v>
      </c>
    </row>
    <row r="115">
      <c r="A115" s="18" t="inlineStr">
        <is>
          <t>고정자산 제각·매각손실</t>
        </is>
      </c>
      <c r="C115" s="20" t="n">
        <v>0.027</v>
      </c>
      <c r="D115" s="20" t="n">
        <v>0</v>
      </c>
      <c r="E115" s="20" t="n">
        <v>0.113</v>
      </c>
      <c r="F115" s="20" t="n">
        <v>0</v>
      </c>
      <c r="G115" s="20" t="n">
        <v>7.713</v>
      </c>
      <c r="H115" s="20" t="n">
        <v>3.707</v>
      </c>
      <c r="I115" s="20" t="n">
        <v>0</v>
      </c>
      <c r="J115" s="20" t="n">
        <v>0.008</v>
      </c>
      <c r="K115" s="20" t="n">
        <v>0.002</v>
      </c>
      <c r="L115" s="20" t="n">
        <v>0</v>
      </c>
      <c r="M115" s="20" t="n">
        <v>0</v>
      </c>
      <c r="N115" s="20" t="n">
        <v>0.273</v>
      </c>
      <c r="T115" s="20" t="n">
        <v>0.08500000000000001</v>
      </c>
      <c r="U115" s="20" t="n">
        <v>0.045</v>
      </c>
      <c r="V115" s="20" t="n">
        <v>0.113</v>
      </c>
      <c r="W115" s="20" t="n">
        <v>0</v>
      </c>
      <c r="X115" s="20" t="n">
        <v>0</v>
      </c>
    </row>
    <row r="116">
      <c r="A116" s="18" t="inlineStr">
        <is>
          <t>투자유가증권 평가손실</t>
        </is>
      </c>
      <c r="T116" s="20" t="n">
        <v>0.152</v>
      </c>
      <c r="U116" s="20" t="n">
        <v>0</v>
      </c>
    </row>
    <row r="117">
      <c r="A117" s="18" t="inlineStr">
        <is>
          <t>관계회사 청산손실</t>
        </is>
      </c>
      <c r="D117" s="20" t="n">
        <v>0.004</v>
      </c>
      <c r="E117" s="20" t="n">
        <v>0</v>
      </c>
      <c r="H117" s="20" t="n">
        <v>0</v>
      </c>
      <c r="I117" s="20" t="n">
        <v>0</v>
      </c>
      <c r="U117" s="20" t="n">
        <v>0</v>
      </c>
      <c r="V117" s="20" t="n">
        <v>0</v>
      </c>
      <c r="W117" s="20" t="n">
        <v>0</v>
      </c>
    </row>
    <row r="118">
      <c r="A118" s="18" t="inlineStr">
        <is>
          <t>손상차손</t>
        </is>
      </c>
      <c r="E118" s="20" t="n">
        <v>0</v>
      </c>
      <c r="T118" s="20" t="n">
        <v>0</v>
      </c>
      <c r="U118" s="20" t="n">
        <v>0</v>
      </c>
      <c r="V118" s="20" t="n">
        <v>0</v>
      </c>
    </row>
    <row r="119">
      <c r="A119" s="18" t="inlineStr">
        <is>
          <t>특별손실 합계</t>
        </is>
      </c>
      <c r="C119" s="20" t="n">
        <v>2.818</v>
      </c>
      <c r="D119" s="20" t="n">
        <v>-1.559</v>
      </c>
      <c r="E119" s="20" t="n">
        <v>-1.119</v>
      </c>
      <c r="F119" s="20" t="n">
        <v>0</v>
      </c>
      <c r="G119" s="20" t="n">
        <v>7.713</v>
      </c>
      <c r="H119" s="20" t="n">
        <v>3.707</v>
      </c>
      <c r="I119" s="20" t="n">
        <v>33.26</v>
      </c>
      <c r="J119" s="20" t="n">
        <v>0.008</v>
      </c>
      <c r="K119" s="20" t="n">
        <v>0.002</v>
      </c>
      <c r="L119" s="20" t="n">
        <v>0</v>
      </c>
      <c r="M119" s="20" t="n">
        <v>14.696</v>
      </c>
      <c r="N119" s="20" t="n">
        <v>0.273</v>
      </c>
      <c r="T119" s="20" t="n">
        <v>0.238</v>
      </c>
      <c r="U119" s="20" t="n">
        <v>0.546</v>
      </c>
      <c r="V119" s="20" t="n">
        <v>-1.119</v>
      </c>
      <c r="W119" s="20" t="n">
        <v>33.26</v>
      </c>
      <c r="X119" s="20" t="n">
        <v>14.696</v>
      </c>
    </row>
    <row r="120">
      <c r="A120" s="9" t="inlineStr">
        <is>
          <t>법인세차감전 순이익</t>
        </is>
      </c>
      <c r="C120" s="12" t="n">
        <v>631.943</v>
      </c>
      <c r="D120" s="12" t="n">
        <v>1090.013</v>
      </c>
      <c r="E120" s="12" t="n">
        <v>-157.918</v>
      </c>
      <c r="F120" s="12" t="n">
        <v>480.187</v>
      </c>
      <c r="G120" s="12" t="n">
        <v>656.752</v>
      </c>
      <c r="H120" s="12" t="n">
        <v>1266.422</v>
      </c>
      <c r="I120" s="12" t="n">
        <v>460.666</v>
      </c>
      <c r="J120" s="12" t="n">
        <v>393.561</v>
      </c>
      <c r="K120" s="12" t="n">
        <v>621.004</v>
      </c>
      <c r="L120" s="12" t="n">
        <v>1058.872</v>
      </c>
      <c r="M120" s="12" t="n">
        <v>1008.615</v>
      </c>
      <c r="N120" s="12" t="n">
        <v>615.548</v>
      </c>
      <c r="T120" s="12" t="n">
        <v>583.75</v>
      </c>
      <c r="U120" s="12" t="n">
        <v>83.242</v>
      </c>
      <c r="V120" s="12" t="n">
        <v>-157.918</v>
      </c>
      <c r="W120" s="12" t="n">
        <v>460.666</v>
      </c>
      <c r="X120" s="12" t="n">
        <v>1008.615</v>
      </c>
    </row>
    <row r="121">
      <c r="A121" s="18" t="inlineStr">
        <is>
          <t>법인세·주민세·사업세</t>
        </is>
      </c>
      <c r="C121" s="20" t="n">
        <v>285.557</v>
      </c>
      <c r="D121" s="20" t="n">
        <v>266.081</v>
      </c>
      <c r="E121" s="20" t="n">
        <v>68.26900000000001</v>
      </c>
      <c r="F121" s="20" t="n">
        <v>52.718</v>
      </c>
      <c r="G121" s="20" t="n">
        <v>336.539</v>
      </c>
      <c r="H121" s="20" t="n">
        <v>303.297</v>
      </c>
      <c r="I121" s="20" t="n">
        <v>249.978</v>
      </c>
      <c r="J121" s="20" t="n">
        <v>44.055</v>
      </c>
      <c r="K121" s="20" t="n">
        <v>293.844</v>
      </c>
      <c r="L121" s="20" t="n">
        <v>244.369</v>
      </c>
      <c r="M121" s="20" t="n">
        <v>380.729</v>
      </c>
      <c r="N121" s="20" t="n">
        <v>97.04000000000001</v>
      </c>
      <c r="T121" s="20" t="n">
        <v>320.669</v>
      </c>
      <c r="U121" s="20" t="n">
        <v>44.679</v>
      </c>
      <c r="V121" s="20" t="n">
        <v>68.26900000000001</v>
      </c>
      <c r="W121" s="20" t="n">
        <v>249.978</v>
      </c>
      <c r="X121" s="20" t="n">
        <v>380.729</v>
      </c>
    </row>
    <row r="122">
      <c r="A122" s="18" t="inlineStr">
        <is>
          <t>법인세 조정액</t>
        </is>
      </c>
      <c r="C122" s="20" t="n">
        <v>-68.426</v>
      </c>
      <c r="D122" s="20" t="n">
        <v>102.367</v>
      </c>
      <c r="E122" s="20" t="n">
        <v>-123.296</v>
      </c>
      <c r="F122" s="20" t="n">
        <v>112.556</v>
      </c>
      <c r="G122" s="20" t="n">
        <v>-111.616</v>
      </c>
      <c r="H122" s="20" t="n">
        <v>108.493</v>
      </c>
      <c r="I122" s="20" t="n">
        <v>-105.173</v>
      </c>
      <c r="J122" s="20" t="n">
        <v>119.028</v>
      </c>
      <c r="K122" s="20" t="n">
        <v>-101.147</v>
      </c>
      <c r="L122" s="20" t="n">
        <v>103.879</v>
      </c>
      <c r="M122" s="20" t="n">
        <v>-115.309</v>
      </c>
      <c r="N122" s="20" t="n">
        <v>134.316</v>
      </c>
      <c r="T122" s="20" t="n">
        <v>-88.074</v>
      </c>
      <c r="U122" s="20" t="n">
        <v>-82.001</v>
      </c>
      <c r="V122" s="20" t="n">
        <v>-123.296</v>
      </c>
      <c r="W122" s="20" t="n">
        <v>-105.173</v>
      </c>
      <c r="X122" s="20" t="n">
        <v>-115.309</v>
      </c>
    </row>
    <row r="123">
      <c r="A123" s="18" t="inlineStr">
        <is>
          <t>법인세 등 합계</t>
        </is>
      </c>
      <c r="C123" s="20" t="n">
        <v>217.132</v>
      </c>
      <c r="D123" s="20" t="n">
        <v>368.448</v>
      </c>
      <c r="E123" s="20" t="n">
        <v>-55.027</v>
      </c>
      <c r="F123" s="20" t="n">
        <v>165.275</v>
      </c>
      <c r="G123" s="20" t="n">
        <v>224.923</v>
      </c>
      <c r="H123" s="20" t="n">
        <v>411.789</v>
      </c>
      <c r="I123" s="20" t="n">
        <v>144.806</v>
      </c>
      <c r="J123" s="20" t="n">
        <v>163.084</v>
      </c>
      <c r="K123" s="20" t="n">
        <v>192.696</v>
      </c>
      <c r="L123" s="20" t="n">
        <v>348.249</v>
      </c>
      <c r="M123" s="20" t="n">
        <v>265.419</v>
      </c>
      <c r="N123" s="20" t="n">
        <v>231.357</v>
      </c>
      <c r="T123" s="20" t="n">
        <v>232.596</v>
      </c>
      <c r="U123" s="20" t="n">
        <v>-37.322</v>
      </c>
      <c r="V123" s="20" t="n">
        <v>-55.027</v>
      </c>
      <c r="W123" s="20" t="n">
        <v>144.806</v>
      </c>
      <c r="X123" s="20" t="n">
        <v>265.419</v>
      </c>
    </row>
    <row r="124">
      <c r="A124" s="9" t="inlineStr">
        <is>
          <t>순이익</t>
        </is>
      </c>
      <c r="C124" s="12" t="n">
        <v>414.812</v>
      </c>
      <c r="D124" s="12" t="n">
        <v>721.564</v>
      </c>
      <c r="E124" s="12" t="n">
        <v>-102.89</v>
      </c>
      <c r="F124" s="12" t="n">
        <v>314.912</v>
      </c>
      <c r="G124" s="12" t="n">
        <v>431.828</v>
      </c>
      <c r="H124" s="12" t="n">
        <v>854.633</v>
      </c>
      <c r="I124" s="12" t="n">
        <v>315.861</v>
      </c>
      <c r="J124" s="12" t="n">
        <v>230.477</v>
      </c>
      <c r="K124" s="12" t="n">
        <v>428.307</v>
      </c>
      <c r="L124" s="12" t="n">
        <v>710.623</v>
      </c>
      <c r="M124" s="12" t="n">
        <v>743.197</v>
      </c>
      <c r="N124" s="12" t="n">
        <v>384.191</v>
      </c>
      <c r="T124" s="12" t="n">
        <v>351.155</v>
      </c>
      <c r="U124" s="12" t="n">
        <v>120.564</v>
      </c>
      <c r="V124" s="12" t="n">
        <v>-102.89</v>
      </c>
      <c r="W124" s="12" t="n">
        <v>315.861</v>
      </c>
      <c r="X124" s="12" t="n">
        <v>743.197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T125" s="15">
        <f>IF(OR(T124="",S124=""),"",IF(S124&lt;=0,"",IFERROR(T124/S124-1,"")))</f>
        <v/>
      </c>
      <c r="U125" s="15">
        <f>IF(OR(U124="",T124=""),"",IF(T124&lt;=0,"",IFERROR(U124/T124-1,"")))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6">
      <c r="A126" s="9" t="inlineStr">
        <is>
          <t>비지배주주 순이익</t>
        </is>
      </c>
      <c r="C126" s="12" t="n">
        <v>0</v>
      </c>
      <c r="D126" s="12" t="n">
        <v>0</v>
      </c>
      <c r="E126" s="12" t="n">
        <v>0</v>
      </c>
      <c r="F126" s="12" t="n">
        <v>0</v>
      </c>
      <c r="G126" s="12" t="n">
        <v>0</v>
      </c>
      <c r="H126" s="12" t="n">
        <v>0</v>
      </c>
      <c r="I126" s="12" t="n">
        <v>0</v>
      </c>
      <c r="J126" s="12" t="n">
        <v>0</v>
      </c>
      <c r="K126" s="12" t="n">
        <v>0</v>
      </c>
      <c r="L126" s="12" t="n">
        <v>0</v>
      </c>
      <c r="M126" s="12" t="n">
        <v>0</v>
      </c>
      <c r="N126" s="12" t="n">
        <v>0</v>
      </c>
      <c r="T126" s="12" t="n">
        <v>0</v>
      </c>
      <c r="U126" s="12" t="n">
        <v>0</v>
      </c>
      <c r="V126" s="12" t="n">
        <v>0</v>
      </c>
      <c r="W126" s="12" t="n">
        <v>0</v>
      </c>
      <c r="X126" s="12" t="n">
        <v>0</v>
      </c>
    </row>
    <row r="127">
      <c r="A127" s="9" t="inlineStr">
        <is>
          <t>지배주주 순이익</t>
        </is>
      </c>
      <c r="C127" s="12" t="n">
        <v>414.812</v>
      </c>
      <c r="D127" s="12" t="n">
        <v>721.564</v>
      </c>
      <c r="E127" s="12" t="n">
        <v>379.623</v>
      </c>
      <c r="F127" s="12" t="n">
        <v>314.912</v>
      </c>
      <c r="G127" s="12" t="n">
        <v>431.828</v>
      </c>
      <c r="H127" s="12" t="n">
        <v>854.633</v>
      </c>
      <c r="I127" s="12" t="n">
        <v>315.861</v>
      </c>
      <c r="J127" s="12" t="n">
        <v>230.477</v>
      </c>
      <c r="K127" s="12" t="n">
        <v>428.307</v>
      </c>
      <c r="L127" s="12" t="n">
        <v>710.623</v>
      </c>
      <c r="M127" s="12" t="n">
        <v>743.197</v>
      </c>
      <c r="N127" s="12" t="n">
        <v>384.191</v>
      </c>
      <c r="T127" s="12" t="n">
        <v>351.155</v>
      </c>
      <c r="U127" s="12" t="n">
        <v>497.404</v>
      </c>
      <c r="V127" s="12" t="n">
        <v>379.623</v>
      </c>
      <c r="W127" s="12" t="n">
        <v>315.861</v>
      </c>
      <c r="X127" s="12" t="n">
        <v>743.197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IF(OR(G127="",C127=""),"",IF(C127&lt;=0,"",IFERROR(G127/C127-1,"")))</f>
        <v/>
      </c>
      <c r="H128" s="15">
        <f>IF(OR(H127="",D127=""),"",IF(D127&lt;=0,"",IFERROR(H127/D127-1,"")))</f>
        <v/>
      </c>
      <c r="I128" s="15">
        <f>IF(OR(I127="",E127=""),"",IF(E127&lt;=0,"",IFERROR(I127/E127-1,"")))</f>
        <v/>
      </c>
      <c r="J128" s="15">
        <f>IF(OR(J127="",F127=""),"",IF(F127&lt;=0,"",IFERROR(J127/F127-1,"")))</f>
        <v/>
      </c>
      <c r="K128" s="15">
        <f>IF(OR(K127="",G127=""),"",IF(G127&lt;=0,"",IFERROR(K127/G127-1,"")))</f>
        <v/>
      </c>
      <c r="L128" s="15">
        <f>IF(OR(L127="",H127=""),"",IF(H127&lt;=0,"",IFERROR(L127/H127-1,"")))</f>
        <v/>
      </c>
      <c r="M128" s="15">
        <f>IF(OR(M127="",I127=""),"",IF(I127&lt;=0,"",IFERROR(M127/I127-1,"")))</f>
        <v/>
      </c>
      <c r="N128" s="15">
        <f>IF(OR(N127="",J127=""),"",IF(J127&lt;=0,"",IFERROR(N127/J127-1,"")))</f>
        <v/>
      </c>
      <c r="T128" s="15">
        <f>IF(OR(T127="",S127=""),"",IF(S127&lt;=0,"",IFERROR(T127/S127-1,"")))</f>
        <v/>
      </c>
      <c r="U128" s="15">
        <f>IF(OR(U127="",T127=""),"",IF(T127&lt;=0,"",IFERROR(U127/T127-1,"")))</f>
        <v/>
      </c>
      <c r="V128" s="15">
        <f>IF(OR(V127="",U127=""),"",IF(U127&lt;=0,"",IFERROR(V127/U127-1,"")))</f>
        <v/>
      </c>
      <c r="W128" s="15">
        <f>IF(OR(W127="",V127=""),"",IF(V127&lt;=0,"",IFERROR(W127/V127-1,"")))</f>
        <v/>
      </c>
      <c r="X128" s="15">
        <f>IF(OR(X127="",W127=""),"",IF(W127&lt;=0,"",IFERROR(X127/W127-1,"")))</f>
        <v/>
      </c>
    </row>
    <row r="130">
      <c r="A130" s="16" t="inlineStr">
        <is>
          <t>포괄손익 · 전 항목</t>
        </is>
      </c>
      <c r="B130" s="42" t="inlineStr">
        <is>
          <t>분기 = 3개월 단독</t>
        </is>
      </c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</row>
    <row r="131">
      <c r="A131" s="5" t="inlineStr">
        <is>
          <t>항목</t>
        </is>
      </c>
      <c r="B131" s="5" t="inlineStr">
        <is>
          <t>참고</t>
        </is>
      </c>
      <c r="C131" s="5" t="inlineStr">
        <is>
          <t>2024.2Q</t>
        </is>
      </c>
      <c r="D131" s="5" t="inlineStr">
        <is>
          <t>2024.3Q</t>
        </is>
      </c>
      <c r="E131" s="5" t="inlineStr">
        <is>
          <t>2024.4Q</t>
        </is>
      </c>
      <c r="F131" s="5" t="inlineStr">
        <is>
          <t>2025.1Q</t>
        </is>
      </c>
      <c r="G131" s="5" t="inlineStr">
        <is>
          <t>2025.2Q</t>
        </is>
      </c>
      <c r="H131" s="5" t="inlineStr">
        <is>
          <t>2025.3Q</t>
        </is>
      </c>
      <c r="I131" s="5" t="inlineStr">
        <is>
          <t>2025.4Q</t>
        </is>
      </c>
      <c r="J131" s="5" t="inlineStr">
        <is>
          <t>2026.1Q</t>
        </is>
      </c>
      <c r="K131" s="5" t="inlineStr">
        <is>
          <t>2026.2Q</t>
        </is>
      </c>
      <c r="L131" s="5" t="inlineStr">
        <is>
          <t>2026.3Q</t>
        </is>
      </c>
      <c r="M131" s="5" t="inlineStr">
        <is>
          <t>2026.4Q</t>
        </is>
      </c>
      <c r="N131" s="5" t="inlineStr">
        <is>
          <t>2027.1Q</t>
        </is>
      </c>
      <c r="O131" s="5" t="inlineStr">
        <is>
          <t>2017</t>
        </is>
      </c>
      <c r="P131" s="5" t="inlineStr">
        <is>
          <t>2018</t>
        </is>
      </c>
      <c r="Q131" s="5" t="inlineStr">
        <is>
          <t>2019</t>
        </is>
      </c>
      <c r="R131" s="5" t="inlineStr">
        <is>
          <t>2020</t>
        </is>
      </c>
      <c r="S131" s="5" t="inlineStr">
        <is>
          <t>2021</t>
        </is>
      </c>
      <c r="T131" s="5" t="inlineStr">
        <is>
          <t>2022</t>
        </is>
      </c>
      <c r="U131" s="5" t="inlineStr">
        <is>
          <t>2023</t>
        </is>
      </c>
      <c r="V131" s="5" t="inlineStr">
        <is>
          <t>2024</t>
        </is>
      </c>
      <c r="W131" s="5" t="inlineStr">
        <is>
          <t>2025</t>
        </is>
      </c>
      <c r="X131" s="5" t="inlineStr">
        <is>
          <t>2026</t>
        </is>
      </c>
      <c r="Y131" s="5" t="inlineStr">
        <is>
          <t>2027(MW)</t>
        </is>
      </c>
      <c r="Z131" s="5" t="inlineStr">
        <is>
          <t>2028(MW)</t>
        </is>
      </c>
      <c r="AA131" s="5" t="inlineStr">
        <is>
          <t>2029(MW)</t>
        </is>
      </c>
      <c r="AB131" s="5" t="inlineStr">
        <is>
          <t>2030(MW)</t>
        </is>
      </c>
      <c r="AC131" s="5" t="inlineStr">
        <is>
          <t>2031(MW)</t>
        </is>
      </c>
    </row>
    <row r="132">
      <c r="A132" s="9" t="inlineStr">
        <is>
          <t>순이익</t>
        </is>
      </c>
      <c r="C132" s="12" t="n">
        <v>414.812</v>
      </c>
      <c r="D132" s="12" t="n">
        <v>721.564</v>
      </c>
      <c r="E132" s="12" t="n">
        <v>379.623</v>
      </c>
      <c r="F132" s="12" t="n">
        <v>314.912</v>
      </c>
      <c r="G132" s="12" t="n">
        <v>431.828</v>
      </c>
      <c r="H132" s="12" t="n">
        <v>854.633</v>
      </c>
      <c r="I132" s="12" t="n">
        <v>315.861</v>
      </c>
      <c r="J132" s="12" t="n">
        <v>230.477</v>
      </c>
      <c r="K132" s="12" t="n">
        <v>428.307</v>
      </c>
      <c r="L132" s="12" t="n">
        <v>710.623</v>
      </c>
      <c r="M132" s="12" t="n">
        <v>743.197</v>
      </c>
      <c r="N132" s="12" t="n">
        <v>384.191</v>
      </c>
      <c r="T132" s="12" t="n">
        <v>351.155</v>
      </c>
      <c r="U132" s="12" t="n">
        <v>497.404</v>
      </c>
      <c r="V132" s="12" t="n">
        <v>379.623</v>
      </c>
      <c r="W132" s="12" t="n">
        <v>315.861</v>
      </c>
      <c r="X132" s="12" t="n">
        <v>743.197</v>
      </c>
    </row>
    <row r="133">
      <c r="A133" s="18" t="inlineStr">
        <is>
          <t>기타유가증권 평가차액</t>
        </is>
      </c>
      <c r="C133" s="20" t="n">
        <v>43.958</v>
      </c>
      <c r="D133" s="20" t="n">
        <v>184.834</v>
      </c>
      <c r="E133" s="20" t="n">
        <v>256.174</v>
      </c>
      <c r="F133" s="20" t="n">
        <v>88.562</v>
      </c>
      <c r="G133" s="20" t="n">
        <v>-378.777</v>
      </c>
      <c r="H133" s="20" t="n">
        <v>203.875</v>
      </c>
      <c r="I133" s="20" t="n">
        <v>-244.395</v>
      </c>
      <c r="J133" s="20" t="n">
        <v>110.456</v>
      </c>
      <c r="K133" s="20" t="n">
        <v>224.498</v>
      </c>
      <c r="L133" s="20" t="n">
        <v>232.841</v>
      </c>
      <c r="M133" s="20" t="n">
        <v>-169.027</v>
      </c>
      <c r="N133" s="20" t="n">
        <v>1027.17</v>
      </c>
      <c r="T133" s="20" t="n">
        <v>-172.162</v>
      </c>
      <c r="U133" s="20" t="n">
        <v>263.726</v>
      </c>
      <c r="V133" s="20" t="n">
        <v>256.174</v>
      </c>
      <c r="W133" s="20" t="n">
        <v>-244.395</v>
      </c>
      <c r="X133" s="20" t="n">
        <v>-169.027</v>
      </c>
    </row>
    <row r="134">
      <c r="A134" s="18" t="inlineStr">
        <is>
          <t>퇴직급여 조정액</t>
        </is>
      </c>
      <c r="C134" s="20" t="n">
        <v>-0.714</v>
      </c>
      <c r="D134" s="20" t="n">
        <v>-0.714</v>
      </c>
      <c r="E134" s="20" t="n">
        <v>126.923</v>
      </c>
      <c r="F134" s="20" t="n">
        <v>-7.782</v>
      </c>
      <c r="G134" s="20" t="n">
        <v>-7.783</v>
      </c>
      <c r="H134" s="20" t="n">
        <v>-7.783</v>
      </c>
      <c r="I134" s="20" t="n">
        <v>39.497</v>
      </c>
      <c r="J134" s="20" t="n">
        <v>-9.818</v>
      </c>
      <c r="K134" s="20" t="n">
        <v>-7.851</v>
      </c>
      <c r="L134" s="20" t="n">
        <v>-7.85</v>
      </c>
      <c r="M134" s="20" t="n">
        <v>35.575</v>
      </c>
      <c r="N134" s="20" t="n">
        <v>-9.266999999999999</v>
      </c>
      <c r="T134" s="20" t="n">
        <v>-26.422</v>
      </c>
      <c r="U134" s="20" t="n">
        <v>-19.875</v>
      </c>
      <c r="V134" s="20" t="n">
        <v>126.923</v>
      </c>
      <c r="W134" s="20" t="n">
        <v>39.497</v>
      </c>
      <c r="X134" s="20" t="n">
        <v>35.575</v>
      </c>
    </row>
    <row r="135">
      <c r="A135" s="18" t="inlineStr">
        <is>
          <t>기타포괄손익 합계</t>
        </is>
      </c>
      <c r="C135" s="20" t="n">
        <v>43.245</v>
      </c>
      <c r="D135" s="20" t="n">
        <v>184.119</v>
      </c>
      <c r="E135" s="20" t="n">
        <v>383.098</v>
      </c>
      <c r="F135" s="20" t="n">
        <v>80.78</v>
      </c>
      <c r="G135" s="20" t="n">
        <v>-386.561</v>
      </c>
      <c r="H135" s="20" t="n">
        <v>196.093</v>
      </c>
      <c r="I135" s="20" t="n">
        <v>-204.897</v>
      </c>
      <c r="J135" s="20" t="n">
        <v>100.637</v>
      </c>
      <c r="K135" s="20" t="n">
        <v>216.648</v>
      </c>
      <c r="L135" s="20" t="n">
        <v>224.99</v>
      </c>
      <c r="M135" s="20" t="n">
        <v>-133.45</v>
      </c>
      <c r="N135" s="20" t="n">
        <v>1017.903</v>
      </c>
      <c r="T135" s="20" t="n">
        <v>-198.584</v>
      </c>
      <c r="U135" s="20" t="n">
        <v>243.851</v>
      </c>
      <c r="V135" s="20" t="n">
        <v>383.098</v>
      </c>
      <c r="W135" s="20" t="n">
        <v>-204.897</v>
      </c>
      <c r="X135" s="20" t="n">
        <v>-133.45</v>
      </c>
    </row>
    <row r="136">
      <c r="A136" s="9" t="inlineStr">
        <is>
          <t>포괄이익</t>
        </is>
      </c>
      <c r="C136" s="12" t="n">
        <v>458.057</v>
      </c>
      <c r="D136" s="12" t="n">
        <v>905.683</v>
      </c>
      <c r="E136" s="12" t="n">
        <v>762.721</v>
      </c>
      <c r="F136" s="12" t="n">
        <v>395.692</v>
      </c>
      <c r="G136" s="12" t="n">
        <v>45.267</v>
      </c>
      <c r="H136" s="12" t="n">
        <v>1050.726</v>
      </c>
      <c r="I136" s="12" t="n">
        <v>110.963</v>
      </c>
      <c r="J136" s="12" t="n">
        <v>331.114</v>
      </c>
      <c r="K136" s="12" t="n">
        <v>644.956</v>
      </c>
      <c r="L136" s="12" t="n">
        <v>935.6130000000001</v>
      </c>
      <c r="M136" s="12" t="n">
        <v>609.746</v>
      </c>
      <c r="N136" s="12" t="n">
        <v>1402.095</v>
      </c>
      <c r="T136" s="12" t="n">
        <v>152.57</v>
      </c>
      <c r="U136" s="12" t="n">
        <v>741.2569999999999</v>
      </c>
      <c r="V136" s="12" t="n">
        <v>762.721</v>
      </c>
      <c r="W136" s="12" t="n">
        <v>110.963</v>
      </c>
      <c r="X136" s="12" t="n">
        <v>609.746</v>
      </c>
    </row>
    <row r="137">
      <c r="A137" s="9" t="inlineStr">
        <is>
          <t>지배주주 포괄이익</t>
        </is>
      </c>
      <c r="C137" s="12" t="n">
        <v>458.057</v>
      </c>
      <c r="D137" s="12" t="n">
        <v>905.683</v>
      </c>
      <c r="E137" s="12" t="n">
        <v>762.721</v>
      </c>
      <c r="F137" s="12" t="n">
        <v>395.692</v>
      </c>
      <c r="G137" s="12" t="n">
        <v>45.267</v>
      </c>
      <c r="H137" s="12" t="n">
        <v>1050.726</v>
      </c>
      <c r="I137" s="12" t="n">
        <v>110.963</v>
      </c>
      <c r="J137" s="12" t="n">
        <v>331.114</v>
      </c>
      <c r="K137" s="12" t="n">
        <v>644.956</v>
      </c>
      <c r="L137" s="12" t="n">
        <v>935.6130000000001</v>
      </c>
      <c r="M137" s="12" t="n">
        <v>609.746</v>
      </c>
      <c r="N137" s="12" t="n">
        <v>1402.095</v>
      </c>
      <c r="T137" s="12" t="n">
        <v>152.57</v>
      </c>
      <c r="U137" s="12" t="n">
        <v>741.2569999999999</v>
      </c>
      <c r="V137" s="12" t="n">
        <v>762.721</v>
      </c>
      <c r="W137" s="12" t="n">
        <v>110.963</v>
      </c>
      <c r="X137" s="12" t="n">
        <v>609.746</v>
      </c>
    </row>
    <row r="138">
      <c r="A138" s="9" t="inlineStr">
        <is>
          <t>비지배주주 포괄이익</t>
        </is>
      </c>
      <c r="C138" s="12" t="n">
        <v>0</v>
      </c>
      <c r="D138" s="12" t="n">
        <v>0</v>
      </c>
      <c r="E138" s="12" t="n">
        <v>0</v>
      </c>
      <c r="F138" s="12" t="n">
        <v>0</v>
      </c>
      <c r="G138" s="12" t="n">
        <v>0</v>
      </c>
      <c r="H138" s="12" t="n">
        <v>0</v>
      </c>
      <c r="I138" s="12" t="n">
        <v>0</v>
      </c>
      <c r="J138" s="12" t="n">
        <v>0</v>
      </c>
      <c r="K138" s="12" t="n">
        <v>0</v>
      </c>
      <c r="L138" s="12" t="n">
        <v>0</v>
      </c>
      <c r="M138" s="12" t="n">
        <v>0</v>
      </c>
      <c r="N138" s="12" t="n">
        <v>0</v>
      </c>
      <c r="T138" s="12" t="n">
        <v>0</v>
      </c>
      <c r="U138" s="12" t="n">
        <v>0</v>
      </c>
      <c r="V138" s="12" t="n">
        <v>0</v>
      </c>
      <c r="W138" s="12" t="n">
        <v>0</v>
      </c>
      <c r="X138" s="12" t="n">
        <v>0</v>
      </c>
    </row>
    <row r="140">
      <c r="A140" s="16" t="inlineStr">
        <is>
          <t>부문 · 전 항목</t>
        </is>
      </c>
      <c r="B140" s="42" t="inlineStr">
        <is>
          <t>부문 · 항목</t>
        </is>
      </c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2024.2Q</t>
        </is>
      </c>
      <c r="D141" s="5" t="inlineStr">
        <is>
          <t>2024.3Q</t>
        </is>
      </c>
      <c r="E141" s="5" t="inlineStr">
        <is>
          <t>2024.4Q</t>
        </is>
      </c>
      <c r="F141" s="5" t="inlineStr">
        <is>
          <t>2025.1Q</t>
        </is>
      </c>
      <c r="G141" s="5" t="inlineStr">
        <is>
          <t>2025.2Q</t>
        </is>
      </c>
      <c r="H141" s="5" t="inlineStr">
        <is>
          <t>2025.3Q</t>
        </is>
      </c>
      <c r="I141" s="5" t="inlineStr">
        <is>
          <t>2025.4Q</t>
        </is>
      </c>
      <c r="J141" s="5" t="inlineStr">
        <is>
          <t>2026.1Q</t>
        </is>
      </c>
      <c r="K141" s="5" t="inlineStr">
        <is>
          <t>2026.2Q</t>
        </is>
      </c>
      <c r="L141" s="5" t="inlineStr">
        <is>
          <t>2026.3Q</t>
        </is>
      </c>
      <c r="M141" s="5" t="inlineStr">
        <is>
          <t>2026.4Q</t>
        </is>
      </c>
      <c r="N141" s="5" t="inlineStr">
        <is>
          <t>2027.1Q</t>
        </is>
      </c>
      <c r="O141" s="5" t="inlineStr">
        <is>
          <t>2017</t>
        </is>
      </c>
      <c r="P141" s="5" t="inlineStr">
        <is>
          <t>2018</t>
        </is>
      </c>
      <c r="Q141" s="5" t="inlineStr">
        <is>
          <t>2019</t>
        </is>
      </c>
      <c r="R141" s="5" t="inlineStr">
        <is>
          <t>2020</t>
        </is>
      </c>
      <c r="S141" s="5" t="inlineStr">
        <is>
          <t>2021</t>
        </is>
      </c>
      <c r="T141" s="5" t="inlineStr">
        <is>
          <t>2022</t>
        </is>
      </c>
      <c r="U141" s="5" t="inlineStr">
        <is>
          <t>2023</t>
        </is>
      </c>
      <c r="V141" s="5" t="inlineStr">
        <is>
          <t>2024</t>
        </is>
      </c>
      <c r="W141" s="5" t="inlineStr">
        <is>
          <t>2025</t>
        </is>
      </c>
      <c r="X141" s="5" t="inlineStr">
        <is>
          <t>2026</t>
        </is>
      </c>
      <c r="Y141" s="5" t="inlineStr">
        <is>
          <t>2027(MW)</t>
        </is>
      </c>
      <c r="Z141" s="5" t="inlineStr">
        <is>
          <t>2028(MW)</t>
        </is>
      </c>
      <c r="AA141" s="5" t="inlineStr">
        <is>
          <t>2029(MW)</t>
        </is>
      </c>
      <c r="AB141" s="5" t="inlineStr">
        <is>
          <t>2030(MW)</t>
        </is>
      </c>
      <c r="AC141" s="5" t="inlineStr">
        <is>
          <t>2031(MW)</t>
        </is>
      </c>
    </row>
    <row r="142">
      <c r="A142" s="18" t="inlineStr">
        <is>
          <t>EastReportableSegmentsMember · 외부 고객 매출</t>
        </is>
      </c>
      <c r="C142" s="20" t="n">
        <v>2718.681</v>
      </c>
      <c r="D142" s="20" t="n">
        <v>3312.389</v>
      </c>
      <c r="E142" s="20" t="n">
        <v>2678.798</v>
      </c>
      <c r="F142" s="20" t="n">
        <v>2684.847</v>
      </c>
      <c r="G142" s="20" t="n">
        <v>2928.239</v>
      </c>
      <c r="H142" s="20" t="n">
        <v>3358.389</v>
      </c>
      <c r="I142" s="20" t="n">
        <v>2779.274</v>
      </c>
      <c r="J142" s="20" t="n">
        <v>2647.548</v>
      </c>
      <c r="K142" s="20" t="n">
        <v>2732.592</v>
      </c>
      <c r="L142" s="20" t="n">
        <v>3128.084</v>
      </c>
      <c r="M142" s="20" t="n">
        <v>2884.363</v>
      </c>
      <c r="N142" s="20" t="n">
        <v>2917.935</v>
      </c>
      <c r="V142" s="20" t="n">
        <v>2678.798</v>
      </c>
      <c r="W142" s="20" t="n">
        <v>2779.274</v>
      </c>
      <c r="X142" s="20" t="n">
        <v>2884.363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CentralReportableSegmentsMember · 외부 고객 매출</t>
        </is>
      </c>
      <c r="C144" s="20" t="n">
        <v>3145.131</v>
      </c>
      <c r="D144" s="20" t="n">
        <v>3585.745</v>
      </c>
      <c r="E144" s="20" t="n">
        <v>3129.582</v>
      </c>
      <c r="F144" s="20" t="n">
        <v>3084.093</v>
      </c>
      <c r="G144" s="20" t="n">
        <v>3458.425</v>
      </c>
      <c r="H144" s="20" t="n">
        <v>3956.585</v>
      </c>
      <c r="I144" s="20" t="n">
        <v>4116.88</v>
      </c>
      <c r="J144" s="20" t="n">
        <v>3183.722</v>
      </c>
      <c r="K144" s="20" t="n">
        <v>3270.574</v>
      </c>
      <c r="L144" s="20" t="n">
        <v>3896.478</v>
      </c>
      <c r="M144" s="20" t="n">
        <v>3690.494</v>
      </c>
      <c r="N144" s="20" t="n">
        <v>3310.076</v>
      </c>
      <c r="V144" s="20" t="n">
        <v>3129.582</v>
      </c>
      <c r="W144" s="20" t="n">
        <v>4116.88</v>
      </c>
      <c r="X144" s="20" t="n">
        <v>3690.494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WestReportableSegmentsMember · 외부 고객 매출</t>
        </is>
      </c>
      <c r="C146" s="20" t="n">
        <v>4968.686</v>
      </c>
      <c r="D146" s="20" t="n">
        <v>5915.309</v>
      </c>
      <c r="E146" s="20" t="n">
        <v>5098.7</v>
      </c>
      <c r="F146" s="20" t="n">
        <v>4796.757</v>
      </c>
      <c r="G146" s="20" t="n">
        <v>5407.302</v>
      </c>
      <c r="H146" s="20" t="n">
        <v>6113.664</v>
      </c>
      <c r="I146" s="20" t="n">
        <v>5050.996</v>
      </c>
      <c r="J146" s="20" t="n">
        <v>4910.096</v>
      </c>
      <c r="K146" s="20" t="n">
        <v>5172.266</v>
      </c>
      <c r="L146" s="20" t="n">
        <v>5899.57</v>
      </c>
      <c r="M146" s="20" t="n">
        <v>5280.148</v>
      </c>
      <c r="N146" s="20" t="n">
        <v>5340.753</v>
      </c>
      <c r="V146" s="20" t="n">
        <v>5098.7</v>
      </c>
      <c r="W146" s="20" t="n">
        <v>5050.996</v>
      </c>
      <c r="X146" s="20" t="n">
        <v>5280.148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18" t="inlineStr">
        <is>
          <t>OverseasReportableSegmentsMember · 외부 고객 매출</t>
        </is>
      </c>
      <c r="C148" s="20" t="n">
        <v>383.574</v>
      </c>
      <c r="D148" s="20" t="n">
        <v>493.355</v>
      </c>
      <c r="E148" s="20" t="n">
        <v>364.682</v>
      </c>
      <c r="F148" s="20" t="n">
        <v>410.701</v>
      </c>
      <c r="G148" s="20" t="n">
        <v>404.797</v>
      </c>
      <c r="H148" s="20" t="n">
        <v>514.4589999999999</v>
      </c>
      <c r="I148" s="20" t="n">
        <v>399.707</v>
      </c>
      <c r="J148" s="20" t="n">
        <v>429.074</v>
      </c>
      <c r="K148" s="20" t="n">
        <v>428.511</v>
      </c>
      <c r="L148" s="20" t="n">
        <v>578.663</v>
      </c>
      <c r="M148" s="20" t="n">
        <v>479.437</v>
      </c>
      <c r="N148" s="20" t="n">
        <v>563.67</v>
      </c>
      <c r="V148" s="20" t="n">
        <v>364.682</v>
      </c>
      <c r="W148" s="20" t="n">
        <v>399.707</v>
      </c>
      <c r="X148" s="20" t="n">
        <v>479.437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9" t="inlineStr">
        <is>
          <t>외부 고객 매출</t>
        </is>
      </c>
      <c r="C150" s="12" t="n">
        <v>11216.073</v>
      </c>
      <c r="D150" s="12" t="n">
        <v>13306.798</v>
      </c>
      <c r="E150" s="12" t="n">
        <v>11271.761</v>
      </c>
      <c r="F150" s="12" t="n">
        <v>10976.4</v>
      </c>
      <c r="G150" s="12" t="n">
        <v>12198.763</v>
      </c>
      <c r="H150" s="12" t="n">
        <v>13943.097</v>
      </c>
      <c r="I150" s="12" t="n">
        <v>12346.856</v>
      </c>
      <c r="V150" s="12" t="n">
        <v>11271.761</v>
      </c>
      <c r="W150" s="12" t="n">
        <v>12346.856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</row>
    <row r="152">
      <c r="A152" s="18" t="inlineStr">
        <is>
          <t>EntityTotalMember · 외부 고객 매출</t>
        </is>
      </c>
      <c r="F152" s="20" t="n">
        <v>10976.4</v>
      </c>
      <c r="J152" s="20" t="n">
        <v>11170.441</v>
      </c>
      <c r="N152" s="20" t="n">
        <v>12132.436</v>
      </c>
    </row>
    <row r="153">
      <c r="A153" s="18" t="inlineStr">
        <is>
          <t>EastReportableSegmentsMember · 부문 이익</t>
        </is>
      </c>
      <c r="C153" s="20" t="n">
        <v>110.933</v>
      </c>
      <c r="D153" s="20" t="n">
        <v>257.642</v>
      </c>
      <c r="E153" s="20" t="n">
        <v>89.56999999999999</v>
      </c>
      <c r="F153" s="20" t="n">
        <v>92.72</v>
      </c>
      <c r="G153" s="20" t="n">
        <v>130.127</v>
      </c>
      <c r="H153" s="20" t="n">
        <v>268.251</v>
      </c>
      <c r="I153" s="20" t="n">
        <v>36.612</v>
      </c>
      <c r="J153" s="20" t="n">
        <v>42.513</v>
      </c>
      <c r="K153" s="20" t="n">
        <v>62.8</v>
      </c>
      <c r="L153" s="20" t="n">
        <v>186.409</v>
      </c>
      <c r="M153" s="20" t="n">
        <v>88.53400000000001</v>
      </c>
      <c r="N153" s="20" t="n">
        <v>77.73099999999999</v>
      </c>
      <c r="V153" s="20" t="n">
        <v>89.56999999999999</v>
      </c>
      <c r="W153" s="20" t="n">
        <v>36.612</v>
      </c>
      <c r="X153" s="20" t="n">
        <v>88.53400000000001</v>
      </c>
    </row>
    <row r="154">
      <c r="A154" s="43" t="inlineStr">
        <is>
          <t>OPM</t>
        </is>
      </c>
      <c r="B154" s="3" t="inlineStr">
        <is>
          <t>영업이익 ÷ 매출</t>
        </is>
      </c>
      <c r="C154" s="15">
        <f>IF(OR(C153="",C142=""),"",IF(C142&lt;=0,"",IFERROR(C153/C142,"")))</f>
        <v/>
      </c>
      <c r="D154" s="15">
        <f>IF(OR(D153="",D142=""),"",IF(D142&lt;=0,"",IFERROR(D153/D142,"")))</f>
        <v/>
      </c>
      <c r="E154" s="15">
        <f>IF(OR(E153="",E142=""),"",IF(E142&lt;=0,"",IFERROR(E153/E142,"")))</f>
        <v/>
      </c>
      <c r="F154" s="15">
        <f>IF(OR(F153="",F142=""),"",IF(F142&lt;=0,"",IFERROR(F153/F142,"")))</f>
        <v/>
      </c>
      <c r="G154" s="15">
        <f>IF(OR(G153="",G142=""),"",IF(G142&lt;=0,"",IFERROR(G153/G142,"")))</f>
        <v/>
      </c>
      <c r="H154" s="15">
        <f>IF(OR(H153="",H142=""),"",IF(H142&lt;=0,"",IFERROR(H153/H142,"")))</f>
        <v/>
      </c>
      <c r="I154" s="15">
        <f>IF(OR(I153="",I142=""),"",IF(I142&lt;=0,"",IFERROR(I153/I142,"")))</f>
        <v/>
      </c>
      <c r="J154" s="15">
        <f>IF(OR(J153="",J142=""),"",IF(J142&lt;=0,"",IFERROR(J153/J142,"")))</f>
        <v/>
      </c>
      <c r="K154" s="15">
        <f>IF(OR(K153="",K142=""),"",IF(K142&lt;=0,"",IFERROR(K153/K142,"")))</f>
        <v/>
      </c>
      <c r="L154" s="15">
        <f>IF(OR(L153="",L142=""),"",IF(L142&lt;=0,"",IFERROR(L153/L142,"")))</f>
        <v/>
      </c>
      <c r="M154" s="15">
        <f>IF(OR(M153="",M142=""),"",IF(M142&lt;=0,"",IFERROR(M153/M142,"")))</f>
        <v/>
      </c>
      <c r="N154" s="15">
        <f>IF(OR(N153="",N142=""),"",IF(N142&lt;=0,"",IFERROR(N153/N142,"")))</f>
        <v/>
      </c>
      <c r="V154" s="15">
        <f>IF(OR(V153="",V142=""),"",IF(V142&lt;=0,"",IFERROR(V153/V142,"")))</f>
        <v/>
      </c>
      <c r="W154" s="15">
        <f>IF(OR(W153="",W142=""),"",IF(W142&lt;=0,"",IFERROR(W153/W142,"")))</f>
        <v/>
      </c>
      <c r="X154" s="15">
        <f>IF(OR(X153="",X142=""),"",IF(X142&lt;=0,"",IFERROR(X153/X142,"")))</f>
        <v/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IF(OR(G153="",C153=""),"",IF(C153&lt;=0,"",IFERROR(G153/C153-1,"")))</f>
        <v/>
      </c>
      <c r="H155" s="15">
        <f>IF(OR(H153="",D153=""),"",IF(D153&lt;=0,"",IFERROR(H153/D153-1,"")))</f>
        <v/>
      </c>
      <c r="I155" s="15">
        <f>IF(OR(I153="",E153=""),"",IF(E153&lt;=0,"",IFERROR(I153/E153-1,"")))</f>
        <v/>
      </c>
      <c r="J155" s="15">
        <f>IF(OR(J153="",F153=""),"",IF(F153&lt;=0,"",IFERROR(J153/F153-1,"")))</f>
        <v/>
      </c>
      <c r="K155" s="15">
        <f>IF(OR(K153="",G153=""),"",IF(G153&lt;=0,"",IFERROR(K153/G153-1,"")))</f>
        <v/>
      </c>
      <c r="L155" s="15">
        <f>IF(OR(L153="",H153=""),"",IF(H153&lt;=0,"",IFERROR(L153/H153-1,"")))</f>
        <v/>
      </c>
      <c r="M155" s="15">
        <f>IF(OR(M153="",I153=""),"",IF(I153&lt;=0,"",IFERROR(M153/I153-1,"")))</f>
        <v/>
      </c>
      <c r="N155" s="15">
        <f>IF(OR(N153="",J153=""),"",IF(J153&lt;=0,"",IFERROR(N153/J153-1,"")))</f>
        <v/>
      </c>
      <c r="V155" s="15">
        <f>IF(OR(V153="",U153=""),"",IF(U153&lt;=0,"",IFERROR(V153/U153-1,"")))</f>
        <v/>
      </c>
      <c r="W155" s="15">
        <f>IF(OR(W153="",V153=""),"",IF(V153&lt;=0,"",IFERROR(W153/V153-1,"")))</f>
        <v/>
      </c>
      <c r="X155" s="15">
        <f>IF(OR(X153="",W153=""),"",IF(W153&lt;=0,"",IFERROR(X153/W153-1,"")))</f>
        <v/>
      </c>
    </row>
    <row r="156">
      <c r="A156" s="18" t="inlineStr">
        <is>
          <t>CentralReportableSegmentsMember · 부문 이익</t>
        </is>
      </c>
      <c r="C156" s="20" t="n">
        <v>139.877</v>
      </c>
      <c r="D156" s="20" t="n">
        <v>224.205</v>
      </c>
      <c r="E156" s="20" t="n">
        <v>84.462</v>
      </c>
      <c r="F156" s="20" t="n">
        <v>82.874</v>
      </c>
      <c r="G156" s="20" t="n">
        <v>140.157</v>
      </c>
      <c r="H156" s="20" t="n">
        <v>320.031</v>
      </c>
      <c r="I156" s="20" t="n">
        <v>202.369</v>
      </c>
      <c r="J156" s="20" t="n">
        <v>57.537</v>
      </c>
      <c r="K156" s="20" t="n">
        <v>72.012</v>
      </c>
      <c r="L156" s="20" t="n">
        <v>249.486</v>
      </c>
      <c r="M156" s="20" t="n">
        <v>166.944</v>
      </c>
      <c r="N156" s="20" t="n">
        <v>124.648</v>
      </c>
      <c r="V156" s="20" t="n">
        <v>84.462</v>
      </c>
      <c r="W156" s="20" t="n">
        <v>202.369</v>
      </c>
      <c r="X156" s="20" t="n">
        <v>166.944</v>
      </c>
    </row>
    <row r="157">
      <c r="A157" s="43" t="inlineStr">
        <is>
          <t>OPM</t>
        </is>
      </c>
      <c r="B157" s="3" t="inlineStr">
        <is>
          <t>영업이익 ÷ 매출</t>
        </is>
      </c>
      <c r="C157" s="15">
        <f>IF(OR(C156="",C144=""),"",IF(C144&lt;=0,"",IFERROR(C156/C144,"")))</f>
        <v/>
      </c>
      <c r="D157" s="15">
        <f>IF(OR(D156="",D144=""),"",IF(D144&lt;=0,"",IFERROR(D156/D144,"")))</f>
        <v/>
      </c>
      <c r="E157" s="15">
        <f>IF(OR(E156="",E144=""),"",IF(E144&lt;=0,"",IFERROR(E156/E144,"")))</f>
        <v/>
      </c>
      <c r="F157" s="15">
        <f>IF(OR(F156="",F144=""),"",IF(F144&lt;=0,"",IFERROR(F156/F144,"")))</f>
        <v/>
      </c>
      <c r="G157" s="15">
        <f>IF(OR(G156="",G144=""),"",IF(G144&lt;=0,"",IFERROR(G156/G144,"")))</f>
        <v/>
      </c>
      <c r="H157" s="15">
        <f>IF(OR(H156="",H144=""),"",IF(H144&lt;=0,"",IFERROR(H156/H144,"")))</f>
        <v/>
      </c>
      <c r="I157" s="15">
        <f>IF(OR(I156="",I144=""),"",IF(I144&lt;=0,"",IFERROR(I156/I144,"")))</f>
        <v/>
      </c>
      <c r="J157" s="15">
        <f>IF(OR(J156="",J144=""),"",IF(J144&lt;=0,"",IFERROR(J156/J144,"")))</f>
        <v/>
      </c>
      <c r="K157" s="15">
        <f>IF(OR(K156="",K144=""),"",IF(K144&lt;=0,"",IFERROR(K156/K144,"")))</f>
        <v/>
      </c>
      <c r="L157" s="15">
        <f>IF(OR(L156="",L144=""),"",IF(L144&lt;=0,"",IFERROR(L156/L144,"")))</f>
        <v/>
      </c>
      <c r="M157" s="15">
        <f>IF(OR(M156="",M144=""),"",IF(M144&lt;=0,"",IFERROR(M156/M144,"")))</f>
        <v/>
      </c>
      <c r="N157" s="15">
        <f>IF(OR(N156="",N144=""),"",IF(N144&lt;=0,"",IFERROR(N156/N144,"")))</f>
        <v/>
      </c>
      <c r="V157" s="15">
        <f>IF(OR(V156="",V144=""),"",IF(V144&lt;=0,"",IFERROR(V156/V144,"")))</f>
        <v/>
      </c>
      <c r="W157" s="15">
        <f>IF(OR(W156="",W144=""),"",IF(W144&lt;=0,"",IFERROR(W156/W144,"")))</f>
        <v/>
      </c>
      <c r="X157" s="15">
        <f>IF(OR(X156="",X144=""),"",IF(X144&lt;=0,"",IFERROR(X156/X144,"")))</f>
        <v/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IF(OR(G156="",C156=""),"",IF(C156&lt;=0,"",IFERROR(G156/C156-1,"")))</f>
        <v/>
      </c>
      <c r="H158" s="15">
        <f>IF(OR(H156="",D156=""),"",IF(D156&lt;=0,"",IFERROR(H156/D156-1,"")))</f>
        <v/>
      </c>
      <c r="I158" s="15">
        <f>IF(OR(I156="",E156=""),"",IF(E156&lt;=0,"",IFERROR(I156/E156-1,"")))</f>
        <v/>
      </c>
      <c r="J158" s="15">
        <f>IF(OR(J156="",F156=""),"",IF(F156&lt;=0,"",IFERROR(J156/F156-1,"")))</f>
        <v/>
      </c>
      <c r="K158" s="15">
        <f>IF(OR(K156="",G156=""),"",IF(G156&lt;=0,"",IFERROR(K156/G156-1,"")))</f>
        <v/>
      </c>
      <c r="L158" s="15">
        <f>IF(OR(L156="",H156=""),"",IF(H156&lt;=0,"",IFERROR(L156/H156-1,"")))</f>
        <v/>
      </c>
      <c r="M158" s="15">
        <f>IF(OR(M156="",I156=""),"",IF(I156&lt;=0,"",IFERROR(M156/I156-1,"")))</f>
        <v/>
      </c>
      <c r="N158" s="15">
        <f>IF(OR(N156="",J156=""),"",IF(J156&lt;=0,"",IFERROR(N156/J156-1,"")))</f>
        <v/>
      </c>
      <c r="V158" s="15">
        <f>IF(OR(V156="",U156=""),"",IF(U156&lt;=0,"",IFERROR(V156/U156-1,"")))</f>
        <v/>
      </c>
      <c r="W158" s="15">
        <f>IF(OR(W156="",V156=""),"",IF(V156&lt;=0,"",IFERROR(W156/V156-1,"")))</f>
        <v/>
      </c>
      <c r="X158" s="15">
        <f>IF(OR(X156="",W156=""),"",IF(W156&lt;=0,"",IFERROR(X156/W156-1,"")))</f>
        <v/>
      </c>
    </row>
    <row r="159">
      <c r="A159" s="18" t="inlineStr">
        <is>
          <t>WestReportableSegmentsMember · 부문 이익</t>
        </is>
      </c>
      <c r="C159" s="20" t="n">
        <v>220.706</v>
      </c>
      <c r="D159" s="20" t="n">
        <v>444.433</v>
      </c>
      <c r="E159" s="20" t="n">
        <v>196.588</v>
      </c>
      <c r="F159" s="20" t="n">
        <v>165.708</v>
      </c>
      <c r="G159" s="20" t="n">
        <v>229.486</v>
      </c>
      <c r="H159" s="20" t="n">
        <v>517.027</v>
      </c>
      <c r="I159" s="20" t="n">
        <v>62.898</v>
      </c>
      <c r="J159" s="20" t="n">
        <v>147.468</v>
      </c>
      <c r="K159" s="20" t="n">
        <v>211.363</v>
      </c>
      <c r="L159" s="20" t="n">
        <v>463.148</v>
      </c>
      <c r="M159" s="20" t="n">
        <v>165.553</v>
      </c>
      <c r="N159" s="20" t="n">
        <v>256.474</v>
      </c>
      <c r="V159" s="20" t="n">
        <v>196.588</v>
      </c>
      <c r="W159" s="20" t="n">
        <v>62.898</v>
      </c>
      <c r="X159" s="20" t="n">
        <v>165.553</v>
      </c>
    </row>
    <row r="160">
      <c r="A160" s="43" t="inlineStr">
        <is>
          <t>OPM</t>
        </is>
      </c>
      <c r="B160" s="3" t="inlineStr">
        <is>
          <t>영업이익 ÷ 매출</t>
        </is>
      </c>
      <c r="C160" s="15">
        <f>IF(OR(C159="",C146=""),"",IF(C146&lt;=0,"",IFERROR(C159/C146,"")))</f>
        <v/>
      </c>
      <c r="D160" s="15">
        <f>IF(OR(D159="",D146=""),"",IF(D146&lt;=0,"",IFERROR(D159/D146,"")))</f>
        <v/>
      </c>
      <c r="E160" s="15">
        <f>IF(OR(E159="",E146=""),"",IF(E146&lt;=0,"",IFERROR(E159/E146,"")))</f>
        <v/>
      </c>
      <c r="F160" s="15">
        <f>IF(OR(F159="",F146=""),"",IF(F146&lt;=0,"",IFERROR(F159/F146,"")))</f>
        <v/>
      </c>
      <c r="G160" s="15">
        <f>IF(OR(G159="",G146=""),"",IF(G146&lt;=0,"",IFERROR(G159/G146,"")))</f>
        <v/>
      </c>
      <c r="H160" s="15">
        <f>IF(OR(H159="",H146=""),"",IF(H146&lt;=0,"",IFERROR(H159/H146,"")))</f>
        <v/>
      </c>
      <c r="I160" s="15">
        <f>IF(OR(I159="",I146=""),"",IF(I146&lt;=0,"",IFERROR(I159/I146,"")))</f>
        <v/>
      </c>
      <c r="J160" s="15">
        <f>IF(OR(J159="",J146=""),"",IF(J146&lt;=0,"",IFERROR(J159/J146,"")))</f>
        <v/>
      </c>
      <c r="K160" s="15">
        <f>IF(OR(K159="",K146=""),"",IF(K146&lt;=0,"",IFERROR(K159/K146,"")))</f>
        <v/>
      </c>
      <c r="L160" s="15">
        <f>IF(OR(L159="",L146=""),"",IF(L146&lt;=0,"",IFERROR(L159/L146,"")))</f>
        <v/>
      </c>
      <c r="M160" s="15">
        <f>IF(OR(M159="",M146=""),"",IF(M146&lt;=0,"",IFERROR(M159/M146,"")))</f>
        <v/>
      </c>
      <c r="N160" s="15">
        <f>IF(OR(N159="",N146=""),"",IF(N146&lt;=0,"",IFERROR(N159/N146,"")))</f>
        <v/>
      </c>
      <c r="V160" s="15">
        <f>IF(OR(V159="",V146=""),"",IF(V146&lt;=0,"",IFERROR(V159/V146,"")))</f>
        <v/>
      </c>
      <c r="W160" s="15">
        <f>IF(OR(W159="",W146=""),"",IF(W146&lt;=0,"",IFERROR(W159/W146,"")))</f>
        <v/>
      </c>
      <c r="X160" s="15">
        <f>IF(OR(X159="",X146=""),"",IF(X146&lt;=0,"",IFERROR(X159/X146,"")))</f>
        <v/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IF(OR(G159="",C159=""),"",IF(C159&lt;=0,"",IFERROR(G159/C159-1,"")))</f>
        <v/>
      </c>
      <c r="H161" s="15">
        <f>IF(OR(H159="",D159=""),"",IF(D159&lt;=0,"",IFERROR(H159/D159-1,"")))</f>
        <v/>
      </c>
      <c r="I161" s="15">
        <f>IF(OR(I159="",E159=""),"",IF(E159&lt;=0,"",IFERROR(I159/E159-1,"")))</f>
        <v/>
      </c>
      <c r="J161" s="15">
        <f>IF(OR(J159="",F159=""),"",IF(F159&lt;=0,"",IFERROR(J159/F159-1,"")))</f>
        <v/>
      </c>
      <c r="K161" s="15">
        <f>IF(OR(K159="",G159=""),"",IF(G159&lt;=0,"",IFERROR(K159/G159-1,"")))</f>
        <v/>
      </c>
      <c r="L161" s="15">
        <f>IF(OR(L159="",H159=""),"",IF(H159&lt;=0,"",IFERROR(L159/H159-1,"")))</f>
        <v/>
      </c>
      <c r="M161" s="15">
        <f>IF(OR(M159="",I159=""),"",IF(I159&lt;=0,"",IFERROR(M159/I159-1,"")))</f>
        <v/>
      </c>
      <c r="N161" s="15">
        <f>IF(OR(N159="",J159=""),"",IF(J159&lt;=0,"",IFERROR(N159/J159-1,"")))</f>
        <v/>
      </c>
      <c r="V161" s="15">
        <f>IF(OR(V159="",U159=""),"",IF(U159&lt;=0,"",IFERROR(V159/U159-1,"")))</f>
        <v/>
      </c>
      <c r="W161" s="15">
        <f>IF(OR(W159="",V159=""),"",IF(V159&lt;=0,"",IFERROR(W159/V159-1,"")))</f>
        <v/>
      </c>
      <c r="X161" s="15">
        <f>IF(OR(X159="",W159=""),"",IF(W159&lt;=0,"",IFERROR(X159/W159-1,"")))</f>
        <v/>
      </c>
    </row>
    <row r="162">
      <c r="A162" s="18" t="inlineStr">
        <is>
          <t>OverseasReportableSegmentsMember · 부문 이익</t>
        </is>
      </c>
      <c r="C162" s="20" t="n">
        <v>28.994</v>
      </c>
      <c r="D162" s="20" t="n">
        <v>49.481</v>
      </c>
      <c r="E162" s="20" t="n">
        <v>27.844</v>
      </c>
      <c r="F162" s="20" t="n">
        <v>33.939</v>
      </c>
      <c r="G162" s="20" t="n">
        <v>29.863</v>
      </c>
      <c r="H162" s="20" t="n">
        <v>56.058</v>
      </c>
      <c r="I162" s="20" t="n">
        <v>27.641</v>
      </c>
      <c r="J162" s="20" t="n">
        <v>29.466</v>
      </c>
      <c r="K162" s="20" t="n">
        <v>28.836</v>
      </c>
      <c r="L162" s="20" t="n">
        <v>50.766</v>
      </c>
      <c r="M162" s="20" t="n">
        <v>24.936</v>
      </c>
      <c r="N162" s="20" t="n">
        <v>28.202</v>
      </c>
      <c r="V162" s="20" t="n">
        <v>27.844</v>
      </c>
      <c r="W162" s="20" t="n">
        <v>27.641</v>
      </c>
      <c r="X162" s="20" t="n">
        <v>24.936</v>
      </c>
    </row>
    <row r="163">
      <c r="A163" s="43" t="inlineStr">
        <is>
          <t>OPM</t>
        </is>
      </c>
      <c r="B163" s="3" t="inlineStr">
        <is>
          <t>영업이익 ÷ 매출</t>
        </is>
      </c>
      <c r="C163" s="15">
        <f>IF(OR(C162="",C148=""),"",IF(C148&lt;=0,"",IFERROR(C162/C148,"")))</f>
        <v/>
      </c>
      <c r="D163" s="15">
        <f>IF(OR(D162="",D148=""),"",IF(D148&lt;=0,"",IFERROR(D162/D148,"")))</f>
        <v/>
      </c>
      <c r="E163" s="15">
        <f>IF(OR(E162="",E148=""),"",IF(E148&lt;=0,"",IFERROR(E162/E148,"")))</f>
        <v/>
      </c>
      <c r="F163" s="15">
        <f>IF(OR(F162="",F148=""),"",IF(F148&lt;=0,"",IFERROR(F162/F148,"")))</f>
        <v/>
      </c>
      <c r="G163" s="15">
        <f>IF(OR(G162="",G148=""),"",IF(G148&lt;=0,"",IFERROR(G162/G148,"")))</f>
        <v/>
      </c>
      <c r="H163" s="15">
        <f>IF(OR(H162="",H148=""),"",IF(H148&lt;=0,"",IFERROR(H162/H148,"")))</f>
        <v/>
      </c>
      <c r="I163" s="15">
        <f>IF(OR(I162="",I148=""),"",IF(I148&lt;=0,"",IFERROR(I162/I148,"")))</f>
        <v/>
      </c>
      <c r="J163" s="15">
        <f>IF(OR(J162="",J148=""),"",IF(J148&lt;=0,"",IFERROR(J162/J148,"")))</f>
        <v/>
      </c>
      <c r="K163" s="15">
        <f>IF(OR(K162="",K148=""),"",IF(K148&lt;=0,"",IFERROR(K162/K148,"")))</f>
        <v/>
      </c>
      <c r="L163" s="15">
        <f>IF(OR(L162="",L148=""),"",IF(L148&lt;=0,"",IFERROR(L162/L148,"")))</f>
        <v/>
      </c>
      <c r="M163" s="15">
        <f>IF(OR(M162="",M148=""),"",IF(M148&lt;=0,"",IFERROR(M162/M148,"")))</f>
        <v/>
      </c>
      <c r="N163" s="15">
        <f>IF(OR(N162="",N148=""),"",IF(N148&lt;=0,"",IFERROR(N162/N148,"")))</f>
        <v/>
      </c>
      <c r="V163" s="15">
        <f>IF(OR(V162="",V148=""),"",IF(V148&lt;=0,"",IFERROR(V162/V148,"")))</f>
        <v/>
      </c>
      <c r="W163" s="15">
        <f>IF(OR(W162="",W148=""),"",IF(W148&lt;=0,"",IFERROR(W162/W148,"")))</f>
        <v/>
      </c>
      <c r="X163" s="15">
        <f>IF(OR(X162="",X148=""),"",IF(X148&lt;=0,"",IFERROR(X162/X148,"")))</f>
        <v/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IF(OR(G162="",C162=""),"",IF(C162&lt;=0,"",IFERROR(G162/C162-1,"")))</f>
        <v/>
      </c>
      <c r="H164" s="15">
        <f>IF(OR(H162="",D162=""),"",IF(D162&lt;=0,"",IFERROR(H162/D162-1,"")))</f>
        <v/>
      </c>
      <c r="I164" s="15">
        <f>IF(OR(I162="",E162=""),"",IF(E162&lt;=0,"",IFERROR(I162/E162-1,"")))</f>
        <v/>
      </c>
      <c r="J164" s="15">
        <f>IF(OR(J162="",F162=""),"",IF(F162&lt;=0,"",IFERROR(J162/F162-1,"")))</f>
        <v/>
      </c>
      <c r="K164" s="15">
        <f>IF(OR(K162="",G162=""),"",IF(G162&lt;=0,"",IFERROR(K162/G162-1,"")))</f>
        <v/>
      </c>
      <c r="L164" s="15">
        <f>IF(OR(L162="",H162=""),"",IF(H162&lt;=0,"",IFERROR(L162/H162-1,"")))</f>
        <v/>
      </c>
      <c r="M164" s="15">
        <f>IF(OR(M162="",I162=""),"",IF(I162&lt;=0,"",IFERROR(M162/I162-1,"")))</f>
        <v/>
      </c>
      <c r="N164" s="15">
        <f>IF(OR(N162="",J162=""),"",IF(J162&lt;=0,"",IFERROR(N162/J162-1,"")))</f>
        <v/>
      </c>
      <c r="V164" s="15">
        <f>IF(OR(V162="",U162=""),"",IF(U162&lt;=0,"",IFERROR(V162/U162-1,"")))</f>
        <v/>
      </c>
      <c r="W164" s="15">
        <f>IF(OR(W162="",V162=""),"",IF(V162&lt;=0,"",IFERROR(W162/V162-1,"")))</f>
        <v/>
      </c>
      <c r="X164" s="15">
        <f>IF(OR(X162="",W162=""),"",IF(W162&lt;=0,"",IFERROR(X162/W162-1,"")))</f>
        <v/>
      </c>
    </row>
    <row r="165">
      <c r="A165" s="9" t="inlineStr">
        <is>
          <t>부문 이익</t>
        </is>
      </c>
      <c r="C165" s="12" t="n">
        <v>500.51</v>
      </c>
      <c r="D165" s="12" t="n">
        <v>975.76</v>
      </c>
      <c r="E165" s="12" t="n">
        <v>398.464</v>
      </c>
      <c r="F165" s="12" t="n">
        <v>375.243</v>
      </c>
      <c r="G165" s="12" t="n">
        <v>529.633</v>
      </c>
      <c r="H165" s="12" t="n">
        <v>1161.367</v>
      </c>
      <c r="I165" s="12" t="n">
        <v>329.519</v>
      </c>
      <c r="V165" s="12" t="n">
        <v>398.464</v>
      </c>
      <c r="W165" s="12" t="n">
        <v>329.519</v>
      </c>
    </row>
    <row r="166">
      <c r="A166" s="43" t="inlineStr">
        <is>
          <t>OPM</t>
        </is>
      </c>
      <c r="B166" s="3" t="inlineStr">
        <is>
          <t>영업이익 ÷ 매출</t>
        </is>
      </c>
      <c r="C166" s="15">
        <f>IF(OR(C165="",C150=""),"",IF(C150&lt;=0,"",IFERROR(C165/C150,"")))</f>
        <v/>
      </c>
      <c r="D166" s="15">
        <f>IF(OR(D165="",D150=""),"",IF(D150&lt;=0,"",IFERROR(D165/D150,"")))</f>
        <v/>
      </c>
      <c r="E166" s="15">
        <f>IF(OR(E165="",E150=""),"",IF(E150&lt;=0,"",IFERROR(E165/E150,"")))</f>
        <v/>
      </c>
      <c r="F166" s="15">
        <f>IF(OR(F165="",F150=""),"",IF(F150&lt;=0,"",IFERROR(F165/F150,"")))</f>
        <v/>
      </c>
      <c r="G166" s="15">
        <f>IF(OR(G165="",G150=""),"",IF(G150&lt;=0,"",IFERROR(G165/G150,"")))</f>
        <v/>
      </c>
      <c r="H166" s="15">
        <f>IF(OR(H165="",H150=""),"",IF(H150&lt;=0,"",IFERROR(H165/H150,"")))</f>
        <v/>
      </c>
      <c r="I166" s="15">
        <f>IF(OR(I165="",I150=""),"",IF(I150&lt;=0,"",IFERROR(I165/I150,"")))</f>
        <v/>
      </c>
      <c r="V166" s="15">
        <f>IF(OR(V165="",V150=""),"",IF(V150&lt;=0,"",IFERROR(V165/V150,"")))</f>
        <v/>
      </c>
      <c r="W166" s="15">
        <f>IF(OR(W165="",W150=""),"",IF(W150&lt;=0,"",IFERROR(W165/W150,"")))</f>
        <v/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IF(OR(G165="",C165=""),"",IF(C165&lt;=0,"",IFERROR(G165/C165-1,"")))</f>
        <v/>
      </c>
      <c r="H167" s="15">
        <f>IF(OR(H165="",D165=""),"",IF(D165&lt;=0,"",IFERROR(H165/D165-1,"")))</f>
        <v/>
      </c>
      <c r="I167" s="15">
        <f>IF(OR(I165="",E165=""),"",IF(E165&lt;=0,"",IFERROR(I165/E165-1,"")))</f>
        <v/>
      </c>
      <c r="V167" s="15">
        <f>IF(OR(V165="",U165=""),"",IF(U165&lt;=0,"",IFERROR(V165/U165-1,"")))</f>
        <v/>
      </c>
      <c r="W167" s="15">
        <f>IF(OR(W165="",V165=""),"",IF(V165&lt;=0,"",IFERROR(W165/V165-1,"")))</f>
        <v/>
      </c>
    </row>
    <row r="168">
      <c r="A168" s="18" t="inlineStr">
        <is>
          <t>EntityTotalMember · 부문 이익</t>
        </is>
      </c>
      <c r="F168" s="20" t="n">
        <v>375.243</v>
      </c>
      <c r="J168" s="20" t="n">
        <v>276.986</v>
      </c>
      <c r="N168" s="20" t="n">
        <v>487.057</v>
      </c>
    </row>
    <row r="170">
      <c r="A170" s="16" t="inlineStr">
        <is>
          <t>현금흐름표 · 전 항목</t>
        </is>
      </c>
      <c r="B170" s="42" t="inlineStr">
        <is>
          <t>분기 = 결산기 첫날부터 누계(공시 그대로)</t>
        </is>
      </c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</row>
    <row r="171">
      <c r="A171" s="5" t="inlineStr">
        <is>
          <t>항목</t>
        </is>
      </c>
      <c r="B171" s="5" t="inlineStr">
        <is>
          <t>참고</t>
        </is>
      </c>
      <c r="C171" s="5" t="inlineStr">
        <is>
          <t>2024.2Q</t>
        </is>
      </c>
      <c r="D171" s="5" t="inlineStr">
        <is>
          <t>2024.3Q</t>
        </is>
      </c>
      <c r="E171" s="5" t="inlineStr">
        <is>
          <t>2024.4Q</t>
        </is>
      </c>
      <c r="F171" s="5" t="inlineStr">
        <is>
          <t>2025.1Q</t>
        </is>
      </c>
      <c r="G171" s="5" t="inlineStr">
        <is>
          <t>2025.2Q</t>
        </is>
      </c>
      <c r="H171" s="5" t="inlineStr">
        <is>
          <t>2025.3Q</t>
        </is>
      </c>
      <c r="I171" s="5" t="inlineStr">
        <is>
          <t>2025.4Q</t>
        </is>
      </c>
      <c r="J171" s="5" t="inlineStr">
        <is>
          <t>2026.1Q</t>
        </is>
      </c>
      <c r="K171" s="5" t="inlineStr">
        <is>
          <t>2026.2Q</t>
        </is>
      </c>
      <c r="L171" s="5" t="inlineStr">
        <is>
          <t>2026.3Q</t>
        </is>
      </c>
      <c r="M171" s="5" t="inlineStr">
        <is>
          <t>2026.4Q</t>
        </is>
      </c>
      <c r="N171" s="5" t="inlineStr">
        <is>
          <t>2027.1Q</t>
        </is>
      </c>
      <c r="O171" s="5" t="inlineStr">
        <is>
          <t>2017</t>
        </is>
      </c>
      <c r="P171" s="5" t="inlineStr">
        <is>
          <t>2018</t>
        </is>
      </c>
      <c r="Q171" s="5" t="inlineStr">
        <is>
          <t>2019</t>
        </is>
      </c>
      <c r="R171" s="5" t="inlineStr">
        <is>
          <t>2020</t>
        </is>
      </c>
      <c r="S171" s="5" t="inlineStr">
        <is>
          <t>2021</t>
        </is>
      </c>
      <c r="T171" s="5" t="inlineStr">
        <is>
          <t>2022</t>
        </is>
      </c>
      <c r="U171" s="5" t="inlineStr">
        <is>
          <t>2023</t>
        </is>
      </c>
      <c r="V171" s="5" t="inlineStr">
        <is>
          <t>2024</t>
        </is>
      </c>
      <c r="W171" s="5" t="inlineStr">
        <is>
          <t>2025</t>
        </is>
      </c>
      <c r="X171" s="5" t="inlineStr">
        <is>
          <t>2026</t>
        </is>
      </c>
      <c r="Y171" s="5" t="inlineStr">
        <is>
          <t>2027(MW)</t>
        </is>
      </c>
      <c r="Z171" s="5" t="inlineStr">
        <is>
          <t>2028(MW)</t>
        </is>
      </c>
      <c r="AA171" s="5" t="inlineStr">
        <is>
          <t>2029(MW)</t>
        </is>
      </c>
      <c r="AB171" s="5" t="inlineStr">
        <is>
          <t>2030(MW)</t>
        </is>
      </c>
      <c r="AC171" s="5" t="inlineStr">
        <is>
          <t>2031(MW)</t>
        </is>
      </c>
    </row>
    <row r="172">
      <c r="A172" s="9" t="inlineStr">
        <is>
          <t>법인세차감전 순이익</t>
        </is>
      </c>
      <c r="C172" s="12" t="n">
        <v>1189.414</v>
      </c>
      <c r="E172" s="12" t="n">
        <v>2818.102</v>
      </c>
      <c r="G172" s="12" t="n">
        <v>1136.939</v>
      </c>
      <c r="I172" s="12" t="n">
        <v>2864.027</v>
      </c>
      <c r="K172" s="12" t="n">
        <v>1014.565</v>
      </c>
      <c r="M172" s="12" t="n">
        <v>3082.052</v>
      </c>
      <c r="O172" s="12" t="n">
        <v>2433.123</v>
      </c>
      <c r="P172" s="12" t="n">
        <v>2874.761</v>
      </c>
      <c r="Q172" s="12" t="n">
        <v>3305.463</v>
      </c>
      <c r="R172" s="12" t="n">
        <v>2880.294</v>
      </c>
      <c r="S172" s="12" t="n">
        <v>2521.343</v>
      </c>
      <c r="T172" s="12" t="n">
        <v>2533.282</v>
      </c>
      <c r="U172" s="12" t="n">
        <v>2869.052</v>
      </c>
      <c r="V172" s="12" t="n">
        <v>2818.102</v>
      </c>
      <c r="W172" s="12" t="n">
        <v>2864.027</v>
      </c>
      <c r="X172" s="12" t="n">
        <v>3082.052</v>
      </c>
    </row>
    <row r="173">
      <c r="A173" s="18" t="inlineStr">
        <is>
          <t>감가상각비</t>
        </is>
      </c>
      <c r="C173" s="20" t="n">
        <v>143.117</v>
      </c>
      <c r="E173" s="20" t="n">
        <v>270.663</v>
      </c>
      <c r="G173" s="20" t="n">
        <v>137.89</v>
      </c>
      <c r="I173" s="20" t="n">
        <v>341.632</v>
      </c>
      <c r="K173" s="20" t="n">
        <v>268.513</v>
      </c>
      <c r="M173" s="20" t="n">
        <v>540.635</v>
      </c>
      <c r="O173" s="20" t="n">
        <v>329.75</v>
      </c>
      <c r="P173" s="20" t="n">
        <v>346.184</v>
      </c>
      <c r="Q173" s="20" t="n">
        <v>332.923</v>
      </c>
      <c r="R173" s="20" t="n">
        <v>368.264</v>
      </c>
      <c r="S173" s="20" t="n">
        <v>352.346</v>
      </c>
      <c r="T173" s="20" t="n">
        <v>343.997</v>
      </c>
      <c r="U173" s="20" t="n">
        <v>321.784</v>
      </c>
      <c r="V173" s="20" t="n">
        <v>270.663</v>
      </c>
      <c r="W173" s="20" t="n">
        <v>341.632</v>
      </c>
      <c r="X173" s="20" t="n">
        <v>540.635</v>
      </c>
    </row>
    <row r="174">
      <c r="A174" s="18" t="inlineStr">
        <is>
          <t>영업권 상각</t>
        </is>
      </c>
      <c r="C174" s="20" t="n">
        <v>28.802</v>
      </c>
      <c r="E174" s="20" t="n">
        <v>57.604</v>
      </c>
      <c r="G174" s="20" t="n">
        <v>28.802</v>
      </c>
      <c r="I174" s="20" t="n">
        <v>57.604</v>
      </c>
      <c r="K174" s="20" t="n">
        <v>28.802</v>
      </c>
      <c r="M174" s="20" t="n">
        <v>57.604</v>
      </c>
      <c r="Q174" s="20" t="n">
        <v>0</v>
      </c>
      <c r="R174" s="20" t="n">
        <v>48.004</v>
      </c>
      <c r="S174" s="20" t="n">
        <v>57.604</v>
      </c>
      <c r="T174" s="20" t="n">
        <v>57.604</v>
      </c>
      <c r="U174" s="20" t="n">
        <v>57.604</v>
      </c>
      <c r="V174" s="20" t="n">
        <v>57.604</v>
      </c>
      <c r="W174" s="20" t="n">
        <v>57.604</v>
      </c>
      <c r="X174" s="20" t="n">
        <v>57.604</v>
      </c>
    </row>
    <row r="175">
      <c r="A175" s="18" t="inlineStr">
        <is>
          <t>손상차손</t>
        </is>
      </c>
      <c r="E175" s="20" t="n">
        <v>0</v>
      </c>
      <c r="I175" s="20" t="n">
        <v>33.26</v>
      </c>
      <c r="M175" s="20" t="n">
        <v>14.696</v>
      </c>
      <c r="O175" s="20" t="n">
        <v>5.488</v>
      </c>
      <c r="P175" s="20" t="n">
        <v>35.601</v>
      </c>
      <c r="Q175" s="20" t="n">
        <v>33.115</v>
      </c>
      <c r="R175" s="20" t="n">
        <v>19.868</v>
      </c>
      <c r="S175" s="20" t="n">
        <v>0.003</v>
      </c>
      <c r="T175" s="20" t="n">
        <v>0</v>
      </c>
      <c r="U175" s="20" t="n">
        <v>48.603</v>
      </c>
      <c r="V175" s="20" t="n">
        <v>0</v>
      </c>
      <c r="W175" s="20" t="n">
        <v>33.26</v>
      </c>
      <c r="X175" s="20" t="n">
        <v>14.696</v>
      </c>
    </row>
    <row r="176">
      <c r="A176" s="18" t="inlineStr">
        <is>
          <t>관계회사 주식 평가손실</t>
        </is>
      </c>
      <c r="E176" s="20" t="n">
        <v>1.231</v>
      </c>
      <c r="I176" s="20" t="n">
        <v>0</v>
      </c>
      <c r="T176" s="20" t="n">
        <v>0</v>
      </c>
      <c r="U176" s="20" t="n">
        <v>31.118</v>
      </c>
      <c r="V176" s="20" t="n">
        <v>1.231</v>
      </c>
      <c r="W176" s="20" t="n">
        <v>0</v>
      </c>
    </row>
    <row r="177">
      <c r="A177" s="18" t="inlineStr">
        <is>
          <t>퇴직급여부채 증감</t>
        </is>
      </c>
      <c r="C177" s="20" t="n">
        <v>-3.548</v>
      </c>
      <c r="E177" s="20" t="n">
        <v>-4.07</v>
      </c>
      <c r="G177" s="20" t="n">
        <v>0.771</v>
      </c>
      <c r="I177" s="20" t="n">
        <v>-0.79</v>
      </c>
      <c r="K177" s="20" t="n">
        <v>-0.272</v>
      </c>
      <c r="M177" s="20" t="n">
        <v>0.259</v>
      </c>
      <c r="O177" s="20" t="n">
        <v>8.645</v>
      </c>
      <c r="P177" s="20" t="n">
        <v>8.754</v>
      </c>
      <c r="Q177" s="20" t="n">
        <v>6.95</v>
      </c>
      <c r="R177" s="20" t="n">
        <v>4.703</v>
      </c>
      <c r="S177" s="20" t="n">
        <v>2.655</v>
      </c>
      <c r="T177" s="20" t="n">
        <v>-1.572</v>
      </c>
      <c r="U177" s="20" t="n">
        <v>0.11</v>
      </c>
      <c r="V177" s="20" t="n">
        <v>-4.07</v>
      </c>
      <c r="W177" s="20" t="n">
        <v>-0.79</v>
      </c>
      <c r="X177" s="20" t="n">
        <v>0.259</v>
      </c>
    </row>
    <row r="178">
      <c r="A178" s="18" t="inlineStr">
        <is>
          <t>퇴직급여자산 증감</t>
        </is>
      </c>
      <c r="C178" s="20" t="n">
        <v>-16.101</v>
      </c>
      <c r="E178" s="20" t="n">
        <v>-76.774</v>
      </c>
      <c r="G178" s="20" t="n">
        <v>-33.565</v>
      </c>
      <c r="I178" s="20" t="n">
        <v>-74.33199999999999</v>
      </c>
      <c r="K178" s="20" t="n">
        <v>-31.096</v>
      </c>
      <c r="M178" s="20" t="n">
        <v>-97.167</v>
      </c>
      <c r="O178" s="20" t="n">
        <v>-18.986</v>
      </c>
      <c r="P178" s="20" t="n">
        <v>-21.313</v>
      </c>
      <c r="Q178" s="20" t="n">
        <v>1.422</v>
      </c>
      <c r="R178" s="20" t="n">
        <v>4.034</v>
      </c>
      <c r="S178" s="20" t="n">
        <v>-55.159</v>
      </c>
      <c r="T178" s="20" t="n">
        <v>-36.785</v>
      </c>
      <c r="U178" s="20" t="n">
        <v>-8.617000000000001</v>
      </c>
      <c r="V178" s="20" t="n">
        <v>-76.774</v>
      </c>
      <c r="W178" s="20" t="n">
        <v>-74.33199999999999</v>
      </c>
      <c r="X178" s="20" t="n">
        <v>-97.167</v>
      </c>
    </row>
    <row r="179">
      <c r="A179" s="18" t="inlineStr">
        <is>
          <t>이자·배당금 수익</t>
        </is>
      </c>
      <c r="C179" s="20" t="n">
        <v>-41.604</v>
      </c>
      <c r="E179" s="20" t="n">
        <v>-85.428</v>
      </c>
      <c r="G179" s="20" t="n">
        <v>-46.37</v>
      </c>
      <c r="I179" s="20" t="n">
        <v>-96.908</v>
      </c>
      <c r="K179" s="20" t="n">
        <v>-61.877</v>
      </c>
      <c r="M179" s="20" t="n">
        <v>-113.059</v>
      </c>
      <c r="O179" s="20" t="n">
        <v>-145.306</v>
      </c>
      <c r="P179" s="20" t="n">
        <v>-46.471</v>
      </c>
      <c r="Q179" s="20" t="n">
        <v>-52.31</v>
      </c>
      <c r="R179" s="20" t="n">
        <v>-55.565</v>
      </c>
      <c r="S179" s="20" t="n">
        <v>-144.536</v>
      </c>
      <c r="T179" s="20" t="n">
        <v>-60.464</v>
      </c>
      <c r="U179" s="20" t="n">
        <v>-81.97499999999999</v>
      </c>
      <c r="V179" s="20" t="n">
        <v>-85.428</v>
      </c>
      <c r="W179" s="20" t="n">
        <v>-96.908</v>
      </c>
      <c r="X179" s="20" t="n">
        <v>-113.059</v>
      </c>
    </row>
    <row r="180">
      <c r="A180" s="18" t="inlineStr">
        <is>
          <t>이자비용</t>
        </is>
      </c>
      <c r="C180" s="20" t="n">
        <v>0.507</v>
      </c>
      <c r="E180" s="20" t="n">
        <v>1.018</v>
      </c>
      <c r="G180" s="20" t="n">
        <v>0.459</v>
      </c>
      <c r="I180" s="20" t="n">
        <v>1.979</v>
      </c>
      <c r="K180" s="20" t="n">
        <v>6.465</v>
      </c>
      <c r="M180" s="20" t="n">
        <v>17.712</v>
      </c>
      <c r="O180" s="20" t="n">
        <v>2.994</v>
      </c>
      <c r="P180" s="20" t="n">
        <v>1.849</v>
      </c>
      <c r="Q180" s="20" t="n">
        <v>1.287</v>
      </c>
      <c r="R180" s="20" t="n">
        <v>1.419</v>
      </c>
      <c r="S180" s="20" t="n">
        <v>1.316</v>
      </c>
      <c r="T180" s="20" t="n">
        <v>1.333</v>
      </c>
      <c r="U180" s="20" t="n">
        <v>1.343</v>
      </c>
      <c r="V180" s="20" t="n">
        <v>1.018</v>
      </c>
      <c r="W180" s="20" t="n">
        <v>1.979</v>
      </c>
      <c r="X180" s="20" t="n">
        <v>17.712</v>
      </c>
    </row>
    <row r="181">
      <c r="A181" s="18" t="inlineStr">
        <is>
          <t>투자유가증권 평가손익</t>
        </is>
      </c>
      <c r="P181" s="20" t="n">
        <v>0</v>
      </c>
      <c r="Q181" s="20" t="n">
        <v>36.535</v>
      </c>
      <c r="R181" s="20" t="n">
        <v>1.272</v>
      </c>
      <c r="S181" s="20" t="n">
        <v>0</v>
      </c>
      <c r="T181" s="20" t="n">
        <v>1.88</v>
      </c>
      <c r="U181" s="20" t="n">
        <v>0</v>
      </c>
    </row>
    <row r="182">
      <c r="A182" s="18" t="inlineStr">
        <is>
          <t>유형자산 제각·매각손익</t>
        </is>
      </c>
      <c r="C182" s="20" t="n">
        <v>4.631</v>
      </c>
      <c r="E182" s="20" t="n">
        <v>4.732</v>
      </c>
      <c r="G182" s="20" t="n">
        <v>7.713</v>
      </c>
      <c r="I182" s="20" t="n">
        <v>9.291</v>
      </c>
      <c r="K182" s="20" t="n">
        <v>0.01</v>
      </c>
      <c r="M182" s="20" t="n">
        <v>-12.963</v>
      </c>
      <c r="O182" s="20" t="n">
        <v>22.785</v>
      </c>
      <c r="P182" s="20" t="n">
        <v>19.206</v>
      </c>
      <c r="Q182" s="20" t="n">
        <v>-41.369</v>
      </c>
      <c r="R182" s="20" t="n">
        <v>23.728</v>
      </c>
      <c r="S182" s="20" t="n">
        <v>1.707</v>
      </c>
      <c r="T182" s="20" t="n">
        <v>-0.429</v>
      </c>
      <c r="U182" s="20" t="n">
        <v>-122.991</v>
      </c>
      <c r="V182" s="20" t="n">
        <v>4.732</v>
      </c>
      <c r="W182" s="20" t="n">
        <v>9.291</v>
      </c>
      <c r="X182" s="20" t="n">
        <v>-12.963</v>
      </c>
    </row>
    <row r="183">
      <c r="A183" s="18" t="inlineStr">
        <is>
          <t>투자유가증권 매각손익</t>
        </is>
      </c>
      <c r="E183" s="20" t="n">
        <v>0</v>
      </c>
      <c r="G183" s="20" t="n">
        <v>0</v>
      </c>
      <c r="I183" s="20" t="n">
        <v>0</v>
      </c>
      <c r="K183" s="20" t="n">
        <v>-109.264</v>
      </c>
      <c r="M183" s="20" t="n">
        <v>-533.1369999999999</v>
      </c>
      <c r="T183" s="20" t="n">
        <v>0</v>
      </c>
      <c r="U183" s="20" t="n">
        <v>-147.079</v>
      </c>
      <c r="V183" s="20" t="n">
        <v>0</v>
      </c>
      <c r="W183" s="20" t="n">
        <v>0</v>
      </c>
      <c r="X183" s="20" t="n">
        <v>-533.1369999999999</v>
      </c>
    </row>
    <row r="184">
      <c r="A184" s="18" t="inlineStr">
        <is>
          <t>매출채권 증감</t>
        </is>
      </c>
      <c r="C184" s="20" t="n">
        <v>1709.805</v>
      </c>
      <c r="E184" s="20" t="n">
        <v>-3.357</v>
      </c>
      <c r="G184" s="20" t="n">
        <v>1603.04</v>
      </c>
      <c r="I184" s="20" t="n">
        <v>-52.615</v>
      </c>
      <c r="K184" s="20" t="n">
        <v>2446.502</v>
      </c>
      <c r="M184" s="20" t="n">
        <v>1065.59</v>
      </c>
      <c r="O184" s="20" t="n">
        <v>-635.501</v>
      </c>
      <c r="P184" s="20" t="n">
        <v>-1058.182</v>
      </c>
      <c r="Q184" s="20" t="n">
        <v>-262.671</v>
      </c>
      <c r="R184" s="20" t="n">
        <v>964.729</v>
      </c>
      <c r="S184" s="20" t="n">
        <v>677.71</v>
      </c>
      <c r="T184" s="20" t="n">
        <v>-962.366</v>
      </c>
      <c r="U184" s="20" t="n">
        <v>-1295.801</v>
      </c>
      <c r="V184" s="20" t="n">
        <v>-3.357</v>
      </c>
      <c r="W184" s="20" t="n">
        <v>-52.615</v>
      </c>
      <c r="X184" s="20" t="n">
        <v>1065.59</v>
      </c>
    </row>
    <row r="185">
      <c r="A185" s="18" t="inlineStr">
        <is>
          <t>재고자산 증감</t>
        </is>
      </c>
      <c r="C185" s="20" t="n">
        <v>131.987</v>
      </c>
      <c r="E185" s="20" t="n">
        <v>79.57899999999999</v>
      </c>
      <c r="G185" s="20" t="n">
        <v>56.807</v>
      </c>
      <c r="I185" s="20" t="n">
        <v>82.92</v>
      </c>
      <c r="K185" s="20" t="n">
        <v>66.574</v>
      </c>
      <c r="M185" s="20" t="n">
        <v>-108.918</v>
      </c>
      <c r="O185" s="20" t="n">
        <v>120.77</v>
      </c>
      <c r="P185" s="20" t="n">
        <v>-48.076</v>
      </c>
      <c r="Q185" s="20" t="n">
        <v>-33.463</v>
      </c>
      <c r="R185" s="20" t="n">
        <v>11.323</v>
      </c>
      <c r="S185" s="20" t="n">
        <v>277.805</v>
      </c>
      <c r="T185" s="20" t="n">
        <v>-32.382</v>
      </c>
      <c r="U185" s="20" t="n">
        <v>-252.111</v>
      </c>
      <c r="V185" s="20" t="n">
        <v>79.57899999999999</v>
      </c>
      <c r="W185" s="20" t="n">
        <v>82.92</v>
      </c>
      <c r="X185" s="20" t="n">
        <v>-108.918</v>
      </c>
    </row>
    <row r="186">
      <c r="A186" s="18" t="inlineStr">
        <is>
          <t>매입채무 증감</t>
        </is>
      </c>
      <c r="C186" s="20" t="n">
        <v>-541.822</v>
      </c>
      <c r="E186" s="20" t="n">
        <v>133.9</v>
      </c>
      <c r="G186" s="20" t="n">
        <v>-236.036</v>
      </c>
      <c r="I186" s="20" t="n">
        <v>398.525</v>
      </c>
      <c r="K186" s="20" t="n">
        <v>-898.328</v>
      </c>
      <c r="M186" s="20" t="n">
        <v>59.403</v>
      </c>
      <c r="O186" s="20" t="n">
        <v>247.728</v>
      </c>
      <c r="P186" s="20" t="n">
        <v>-13.178</v>
      </c>
      <c r="Q186" s="20" t="n">
        <v>-66.57599999999999</v>
      </c>
      <c r="R186" s="20" t="n">
        <v>-43.77</v>
      </c>
      <c r="S186" s="20" t="n">
        <v>67.152</v>
      </c>
      <c r="T186" s="20" t="n">
        <v>-51.574</v>
      </c>
      <c r="U186" s="20" t="n">
        <v>-25.327</v>
      </c>
      <c r="V186" s="20" t="n">
        <v>133.9</v>
      </c>
      <c r="W186" s="20" t="n">
        <v>398.525</v>
      </c>
      <c r="X186" s="20" t="n">
        <v>59.403</v>
      </c>
    </row>
    <row r="187">
      <c r="A187" s="18" t="inlineStr">
        <is>
          <t>기타</t>
        </is>
      </c>
      <c r="C187" s="20" t="n">
        <v>46.128</v>
      </c>
      <c r="E187" s="20" t="n">
        <v>145.436</v>
      </c>
      <c r="G187" s="20" t="n">
        <v>-178.124</v>
      </c>
      <c r="I187" s="20" t="n">
        <v>-157.337</v>
      </c>
      <c r="K187" s="20" t="n">
        <v>158.847</v>
      </c>
      <c r="M187" s="20" t="n">
        <v>267.869</v>
      </c>
      <c r="O187" s="20" t="n">
        <v>127.244</v>
      </c>
      <c r="P187" s="20" t="n">
        <v>146.386</v>
      </c>
      <c r="Q187" s="20" t="n">
        <v>-168.627</v>
      </c>
      <c r="R187" s="20" t="n">
        <v>63.65</v>
      </c>
      <c r="S187" s="20" t="n">
        <v>250.774</v>
      </c>
      <c r="T187" s="20" t="n">
        <v>-131.843</v>
      </c>
      <c r="U187" s="20" t="n">
        <v>19.761</v>
      </c>
      <c r="V187" s="20" t="n">
        <v>145.436</v>
      </c>
      <c r="W187" s="20" t="n">
        <v>-157.337</v>
      </c>
      <c r="X187" s="20" t="n">
        <v>267.869</v>
      </c>
    </row>
    <row r="188">
      <c r="A188" s="18" t="inlineStr">
        <is>
          <t>소계</t>
        </is>
      </c>
      <c r="C188" s="20" t="n">
        <v>2651.318</v>
      </c>
      <c r="E188" s="20" t="n">
        <v>3342.639</v>
      </c>
      <c r="G188" s="20" t="n">
        <v>2478.327</v>
      </c>
      <c r="I188" s="20" t="n">
        <v>3407.256</v>
      </c>
      <c r="K188" s="20" t="n">
        <v>2889.441</v>
      </c>
      <c r="M188" s="20" t="n">
        <v>4240.579</v>
      </c>
      <c r="O188" s="20" t="n">
        <v>2498.737</v>
      </c>
      <c r="P188" s="20" t="n">
        <v>2245.52</v>
      </c>
      <c r="Q188" s="20" t="n">
        <v>3092.679</v>
      </c>
      <c r="R188" s="20" t="n">
        <v>4291.957</v>
      </c>
      <c r="S188" s="20" t="n">
        <v>4010.723</v>
      </c>
      <c r="T188" s="20" t="n">
        <v>1660.679</v>
      </c>
      <c r="U188" s="20" t="n">
        <v>1415.476</v>
      </c>
      <c r="V188" s="20" t="n">
        <v>3342.639</v>
      </c>
      <c r="W188" s="20" t="n">
        <v>3407.256</v>
      </c>
      <c r="X188" s="20" t="n">
        <v>4240.579</v>
      </c>
    </row>
    <row r="189">
      <c r="A189" s="18" t="inlineStr">
        <is>
          <t>이자·배당금 수취</t>
        </is>
      </c>
      <c r="C189" s="20" t="n">
        <v>44.784</v>
      </c>
      <c r="E189" s="20" t="n">
        <v>84.363</v>
      </c>
      <c r="G189" s="20" t="n">
        <v>48.651</v>
      </c>
      <c r="I189" s="20" t="n">
        <v>92.498</v>
      </c>
      <c r="K189" s="20" t="n">
        <v>60.955</v>
      </c>
      <c r="M189" s="20" t="n">
        <v>113.461</v>
      </c>
      <c r="O189" s="20" t="n">
        <v>145.449</v>
      </c>
      <c r="P189" s="20" t="n">
        <v>48.055</v>
      </c>
      <c r="Q189" s="20" t="n">
        <v>50.353</v>
      </c>
      <c r="R189" s="20" t="n">
        <v>55.148</v>
      </c>
      <c r="S189" s="20" t="n">
        <v>140.38</v>
      </c>
      <c r="T189" s="20" t="n">
        <v>50.48</v>
      </c>
      <c r="U189" s="20" t="n">
        <v>73.752</v>
      </c>
      <c r="V189" s="20" t="n">
        <v>84.363</v>
      </c>
      <c r="W189" s="20" t="n">
        <v>92.498</v>
      </c>
      <c r="X189" s="20" t="n">
        <v>113.461</v>
      </c>
    </row>
    <row r="190">
      <c r="A190" s="18" t="inlineStr">
        <is>
          <t>이자 지급</t>
        </is>
      </c>
      <c r="C190" s="20" t="n">
        <v>-1.125</v>
      </c>
      <c r="E190" s="20" t="n">
        <v>-1.305</v>
      </c>
      <c r="G190" s="20" t="n">
        <v>-0.83</v>
      </c>
      <c r="I190" s="20" t="n">
        <v>-1.961</v>
      </c>
      <c r="K190" s="20" t="n">
        <v>-6.331</v>
      </c>
      <c r="M190" s="20" t="n">
        <v>-16.811</v>
      </c>
      <c r="O190" s="20" t="n">
        <v>-2.994</v>
      </c>
      <c r="P190" s="20" t="n">
        <v>-1.481</v>
      </c>
      <c r="Q190" s="20" t="n">
        <v>-1.175</v>
      </c>
      <c r="R190" s="20" t="n">
        <v>-1.773</v>
      </c>
      <c r="S190" s="20" t="n">
        <v>-1.263</v>
      </c>
      <c r="T190" s="20" t="n">
        <v>-1.422</v>
      </c>
      <c r="U190" s="20" t="n">
        <v>-1.353</v>
      </c>
      <c r="V190" s="20" t="n">
        <v>-1.305</v>
      </c>
      <c r="W190" s="20" t="n">
        <v>-1.961</v>
      </c>
      <c r="X190" s="20" t="n">
        <v>-16.811</v>
      </c>
    </row>
    <row r="191">
      <c r="A191" s="18" t="inlineStr">
        <is>
          <t>법인세 납부</t>
        </is>
      </c>
      <c r="C191" s="20" t="n">
        <v>-471.047</v>
      </c>
      <c r="E191" s="20" t="n">
        <v>-901.748</v>
      </c>
      <c r="G191" s="20" t="n">
        <v>-403.236</v>
      </c>
      <c r="I191" s="20" t="n">
        <v>-828.6799999999999</v>
      </c>
      <c r="K191" s="20" t="n">
        <v>-522.1420000000001</v>
      </c>
      <c r="M191" s="20" t="n">
        <v>-990.95</v>
      </c>
      <c r="O191" s="20" t="n">
        <v>-812.7569999999999</v>
      </c>
      <c r="P191" s="20" t="n">
        <v>-750.931</v>
      </c>
      <c r="Q191" s="20" t="n">
        <v>-1105.482</v>
      </c>
      <c r="R191" s="20" t="n">
        <v>-1167.509</v>
      </c>
      <c r="S191" s="20" t="n">
        <v>-823.9640000000001</v>
      </c>
      <c r="T191" s="20" t="n">
        <v>-689.192</v>
      </c>
      <c r="U191" s="20" t="n">
        <v>-801.453</v>
      </c>
      <c r="V191" s="20" t="n">
        <v>-901.748</v>
      </c>
      <c r="W191" s="20" t="n">
        <v>-828.6799999999999</v>
      </c>
      <c r="X191" s="20" t="n">
        <v>-990.95</v>
      </c>
    </row>
    <row r="192">
      <c r="A192" s="18" t="inlineStr">
        <is>
          <t>기타</t>
        </is>
      </c>
      <c r="E192" s="20" t="n">
        <v>0</v>
      </c>
      <c r="I192" s="20" t="n">
        <v>68.94799999999999</v>
      </c>
      <c r="V192" s="20" t="n">
        <v>0</v>
      </c>
      <c r="W192" s="20" t="n">
        <v>68.94799999999999</v>
      </c>
    </row>
    <row r="193">
      <c r="A193" s="9" t="inlineStr">
        <is>
          <t>영업활동 현금흐름</t>
        </is>
      </c>
      <c r="C193" s="12" t="n">
        <v>2223.93</v>
      </c>
      <c r="E193" s="12" t="n">
        <v>2523.948</v>
      </c>
      <c r="G193" s="12" t="n">
        <v>2122.912</v>
      </c>
      <c r="I193" s="12" t="n">
        <v>2669.113</v>
      </c>
      <c r="K193" s="12" t="n">
        <v>2421.923</v>
      </c>
      <c r="M193" s="12" t="n">
        <v>3346.278</v>
      </c>
      <c r="O193" s="12" t="n">
        <v>1828.433</v>
      </c>
      <c r="P193" s="12" t="n">
        <v>1541.163</v>
      </c>
      <c r="Q193" s="12" t="n">
        <v>2036.374</v>
      </c>
      <c r="R193" s="12" t="n">
        <v>3177.823</v>
      </c>
      <c r="S193" s="12" t="n">
        <v>3325.875</v>
      </c>
      <c r="T193" s="12" t="n">
        <v>1020.545</v>
      </c>
      <c r="U193" s="12" t="n">
        <v>686.421</v>
      </c>
      <c r="V193" s="12" t="n">
        <v>2523.948</v>
      </c>
      <c r="W193" s="12" t="n">
        <v>2669.113</v>
      </c>
      <c r="X193" s="12" t="n">
        <v>3346.278</v>
      </c>
    </row>
    <row r="194">
      <c r="A194" s="18" t="inlineStr">
        <is>
          <t>정기예금 예입</t>
        </is>
      </c>
      <c r="C194" s="20" t="n">
        <v>-50.2</v>
      </c>
      <c r="E194" s="20" t="n">
        <v>-68.191</v>
      </c>
      <c r="G194" s="20" t="n">
        <v>-49.2</v>
      </c>
      <c r="I194" s="20" t="n">
        <v>-110.591</v>
      </c>
      <c r="K194" s="20" t="n">
        <v>-49.2</v>
      </c>
      <c r="M194" s="20" t="n">
        <v>-122.804</v>
      </c>
      <c r="O194" s="20" t="n">
        <v>-167.807</v>
      </c>
      <c r="P194" s="20" t="n">
        <v>-167.811</v>
      </c>
      <c r="Q194" s="20" t="n">
        <v>-167.816</v>
      </c>
      <c r="R194" s="20" t="n">
        <v>-167.82</v>
      </c>
      <c r="S194" s="20" t="n">
        <v>-167.825</v>
      </c>
      <c r="T194" s="20" t="n">
        <v>-167.826</v>
      </c>
      <c r="U194" s="20" t="n">
        <v>-167.826</v>
      </c>
      <c r="V194" s="20" t="n">
        <v>-68.191</v>
      </c>
      <c r="W194" s="20" t="n">
        <v>-110.591</v>
      </c>
      <c r="X194" s="20" t="n">
        <v>-122.804</v>
      </c>
    </row>
    <row r="195">
      <c r="A195" s="18" t="inlineStr">
        <is>
          <t>정기예금 인출</t>
        </is>
      </c>
      <c r="C195" s="20" t="n">
        <v>67.235</v>
      </c>
      <c r="E195" s="20" t="n">
        <v>112.226</v>
      </c>
      <c r="G195" s="20" t="n">
        <v>26.2</v>
      </c>
      <c r="I195" s="20" t="n">
        <v>111.591</v>
      </c>
      <c r="K195" s="20" t="n">
        <v>25.2</v>
      </c>
      <c r="M195" s="20" t="n">
        <v>122.791</v>
      </c>
      <c r="O195" s="20" t="n">
        <v>170.796</v>
      </c>
      <c r="P195" s="20" t="n">
        <v>167.807</v>
      </c>
      <c r="Q195" s="20" t="n">
        <v>167.811</v>
      </c>
      <c r="R195" s="20" t="n">
        <v>167.816</v>
      </c>
      <c r="S195" s="20" t="n">
        <v>164.82</v>
      </c>
      <c r="T195" s="20" t="n">
        <v>167.825</v>
      </c>
      <c r="U195" s="20" t="n">
        <v>170.826</v>
      </c>
      <c r="V195" s="20" t="n">
        <v>112.226</v>
      </c>
      <c r="W195" s="20" t="n">
        <v>111.591</v>
      </c>
      <c r="X195" s="20" t="n">
        <v>122.791</v>
      </c>
    </row>
    <row r="196">
      <c r="A196" s="18" t="inlineStr">
        <is>
          <t>유형자산 취득(설비투자)</t>
        </is>
      </c>
      <c r="C196" s="20" t="n">
        <v>-473.59</v>
      </c>
      <c r="E196" s="20" t="n">
        <v>-1002.112</v>
      </c>
      <c r="G196" s="20" t="n">
        <v>-201.655</v>
      </c>
      <c r="I196" s="20" t="n">
        <v>-995.775</v>
      </c>
      <c r="K196" s="20" t="n">
        <v>-44.636</v>
      </c>
      <c r="M196" s="20" t="n">
        <v>-260.681</v>
      </c>
      <c r="O196" s="20" t="n">
        <v>-327.492</v>
      </c>
      <c r="P196" s="20" t="n">
        <v>-283.422</v>
      </c>
      <c r="Q196" s="20" t="n">
        <v>-278.554</v>
      </c>
      <c r="R196" s="20" t="n">
        <v>-320.574</v>
      </c>
      <c r="S196" s="20" t="n">
        <v>-154.296</v>
      </c>
      <c r="T196" s="20" t="n">
        <v>-684.942</v>
      </c>
      <c r="U196" s="20" t="n">
        <v>-598.002</v>
      </c>
      <c r="V196" s="20" t="n">
        <v>-1002.112</v>
      </c>
      <c r="W196" s="20" t="n">
        <v>-995.775</v>
      </c>
      <c r="X196" s="20" t="n">
        <v>-260.681</v>
      </c>
    </row>
    <row r="197">
      <c r="A197" s="18" t="inlineStr">
        <is>
          <t>유형자산 매각</t>
        </is>
      </c>
      <c r="C197" s="20" t="n">
        <v>0.58</v>
      </c>
      <c r="E197" s="20" t="n">
        <v>66.496</v>
      </c>
      <c r="G197" s="20" t="n">
        <v>0</v>
      </c>
      <c r="I197" s="20" t="n">
        <v>3.479</v>
      </c>
      <c r="M197" s="20" t="n">
        <v>25.362</v>
      </c>
      <c r="O197" s="20" t="n">
        <v>41.877</v>
      </c>
      <c r="P197" s="20" t="n">
        <v>61.996</v>
      </c>
      <c r="Q197" s="20" t="n">
        <v>99.729</v>
      </c>
      <c r="R197" s="20" t="n">
        <v>43.517</v>
      </c>
      <c r="S197" s="20" t="n">
        <v>60.634</v>
      </c>
      <c r="T197" s="20" t="n">
        <v>12.874</v>
      </c>
      <c r="U197" s="20" t="n">
        <v>135.981</v>
      </c>
      <c r="V197" s="20" t="n">
        <v>66.496</v>
      </c>
      <c r="W197" s="20" t="n">
        <v>3.479</v>
      </c>
      <c r="X197" s="20" t="n">
        <v>25.362</v>
      </c>
    </row>
    <row r="198">
      <c r="A198" s="18" t="inlineStr">
        <is>
          <t>무형자산 취득</t>
        </is>
      </c>
      <c r="C198" s="20" t="n">
        <v>-145.539</v>
      </c>
      <c r="E198" s="20" t="n">
        <v>-254.216</v>
      </c>
      <c r="G198" s="20" t="n">
        <v>-453.718</v>
      </c>
      <c r="I198" s="20" t="n">
        <v>-738.7619999999999</v>
      </c>
      <c r="K198" s="20" t="n">
        <v>-9.997999999999999</v>
      </c>
      <c r="M198" s="20" t="n">
        <v>-9.997999999999999</v>
      </c>
      <c r="O198" s="20" t="n">
        <v>-66.625</v>
      </c>
      <c r="P198" s="20" t="n">
        <v>-23.717</v>
      </c>
      <c r="Q198" s="20" t="n">
        <v>-58.416</v>
      </c>
      <c r="R198" s="20" t="n">
        <v>-4.718</v>
      </c>
      <c r="S198" s="20" t="n">
        <v>-112.953</v>
      </c>
      <c r="T198" s="20" t="n">
        <v>-103.857</v>
      </c>
      <c r="U198" s="20" t="n">
        <v>-145.09</v>
      </c>
      <c r="V198" s="20" t="n">
        <v>-254.216</v>
      </c>
      <c r="W198" s="20" t="n">
        <v>-738.7619999999999</v>
      </c>
      <c r="X198" s="20" t="n">
        <v>-9.997999999999999</v>
      </c>
    </row>
    <row r="199">
      <c r="A199" s="18" t="inlineStr">
        <is>
          <t>투자유가증권 취득</t>
        </is>
      </c>
      <c r="C199" s="20" t="n">
        <v>-12.689</v>
      </c>
      <c r="E199" s="20" t="n">
        <v>-22.716</v>
      </c>
      <c r="G199" s="20" t="n">
        <v>-13.191</v>
      </c>
      <c r="I199" s="20" t="n">
        <v>-24.358</v>
      </c>
      <c r="K199" s="20" t="n">
        <v>-1035.968</v>
      </c>
      <c r="M199" s="20" t="n">
        <v>-1047.049</v>
      </c>
      <c r="O199" s="20" t="n">
        <v>-181.289</v>
      </c>
      <c r="P199" s="20" t="n">
        <v>-13.627</v>
      </c>
      <c r="Q199" s="20" t="n">
        <v>-15.127</v>
      </c>
      <c r="R199" s="20" t="n">
        <v>-27.916</v>
      </c>
      <c r="S199" s="20" t="n">
        <v>-15.921</v>
      </c>
      <c r="T199" s="20" t="n">
        <v>-105.038</v>
      </c>
      <c r="U199" s="20" t="n">
        <v>-20.295</v>
      </c>
      <c r="V199" s="20" t="n">
        <v>-22.716</v>
      </c>
      <c r="W199" s="20" t="n">
        <v>-24.358</v>
      </c>
      <c r="X199" s="20" t="n">
        <v>-1047.049</v>
      </c>
    </row>
    <row r="200">
      <c r="A200" s="18" t="inlineStr">
        <is>
          <t>영업권 취득 지출</t>
        </is>
      </c>
      <c r="Q200" s="20" t="n">
        <v>0</v>
      </c>
      <c r="R200" s="20" t="n">
        <v>-829.803</v>
      </c>
      <c r="S200" s="20" t="n">
        <v>0</v>
      </c>
    </row>
    <row r="201">
      <c r="A201" s="18" t="inlineStr">
        <is>
          <t>관계회사 정리 수입</t>
        </is>
      </c>
      <c r="E201" s="20" t="n">
        <v>55.949</v>
      </c>
      <c r="I201" s="20" t="n">
        <v>0</v>
      </c>
      <c r="U201" s="20" t="n">
        <v>0</v>
      </c>
      <c r="V201" s="20" t="n">
        <v>55.949</v>
      </c>
      <c r="W201" s="20" t="n">
        <v>0</v>
      </c>
    </row>
    <row r="202">
      <c r="A202" s="18" t="inlineStr">
        <is>
          <t>투자유가증권 매각</t>
        </is>
      </c>
      <c r="C202" s="20" t="n">
        <v>55.953</v>
      </c>
      <c r="E202" s="20" t="n">
        <v>0</v>
      </c>
      <c r="G202" s="20" t="n">
        <v>0</v>
      </c>
      <c r="I202" s="20" t="n">
        <v>0</v>
      </c>
      <c r="K202" s="20" t="n">
        <v>118.898</v>
      </c>
      <c r="M202" s="20" t="n">
        <v>683.385</v>
      </c>
      <c r="O202" s="20" t="n">
        <v>1.63</v>
      </c>
      <c r="P202" s="20" t="n">
        <v>37.44</v>
      </c>
      <c r="Q202" s="20" t="n">
        <v>39.668</v>
      </c>
      <c r="R202" s="20" t="n">
        <v>0</v>
      </c>
      <c r="T202" s="20" t="n">
        <v>0</v>
      </c>
      <c r="U202" s="20" t="n">
        <v>178.842</v>
      </c>
      <c r="V202" s="20" t="n">
        <v>0</v>
      </c>
      <c r="W202" s="20" t="n">
        <v>0</v>
      </c>
      <c r="X202" s="20" t="n">
        <v>683.385</v>
      </c>
    </row>
    <row r="203">
      <c r="A203" s="18" t="inlineStr">
        <is>
          <t>기타</t>
        </is>
      </c>
      <c r="I203" s="20" t="n">
        <v>0</v>
      </c>
      <c r="M203" s="20" t="n">
        <v>8.031000000000001</v>
      </c>
      <c r="O203" s="20" t="n">
        <v>-10.87</v>
      </c>
      <c r="P203" s="20" t="n">
        <v>-0.851</v>
      </c>
      <c r="Q203" s="20" t="n">
        <v>-11.709</v>
      </c>
      <c r="R203" s="20" t="n">
        <v>-13.386</v>
      </c>
      <c r="S203" s="20" t="n">
        <v>0</v>
      </c>
      <c r="W203" s="20" t="n">
        <v>0</v>
      </c>
      <c r="X203" s="20" t="n">
        <v>8.031000000000001</v>
      </c>
    </row>
    <row r="204">
      <c r="A204" s="9" t="inlineStr">
        <is>
          <t>투자활동 현금흐름</t>
        </is>
      </c>
      <c r="C204" s="12" t="n">
        <v>-558.249</v>
      </c>
      <c r="E204" s="12" t="n">
        <v>-1112.564</v>
      </c>
      <c r="G204" s="12" t="n">
        <v>-691.564</v>
      </c>
      <c r="I204" s="12" t="n">
        <v>-1754.416</v>
      </c>
      <c r="K204" s="12" t="n">
        <v>-995.705</v>
      </c>
      <c r="M204" s="12" t="n">
        <v>-600.962</v>
      </c>
      <c r="O204" s="12" t="n">
        <v>-539.78</v>
      </c>
      <c r="P204" s="12" t="n">
        <v>-222.184</v>
      </c>
      <c r="Q204" s="12" t="n">
        <v>-224.415</v>
      </c>
      <c r="R204" s="12" t="n">
        <v>-1152.885</v>
      </c>
      <c r="S204" s="12" t="n">
        <v>-225.541</v>
      </c>
      <c r="T204" s="12" t="n">
        <v>-880.9640000000001</v>
      </c>
      <c r="U204" s="12" t="n">
        <v>-445.564</v>
      </c>
      <c r="V204" s="12" t="n">
        <v>-1112.564</v>
      </c>
      <c r="W204" s="12" t="n">
        <v>-1754.416</v>
      </c>
      <c r="X204" s="12" t="n">
        <v>-600.962</v>
      </c>
    </row>
    <row r="205">
      <c r="A205" s="18" t="inlineStr">
        <is>
          <t>장기차입금 상환</t>
        </is>
      </c>
      <c r="O205" s="20" t="n">
        <v>-139.16</v>
      </c>
      <c r="P205" s="20" t="n">
        <v>-139.223</v>
      </c>
      <c r="Q205" s="20" t="n">
        <v>0</v>
      </c>
    </row>
    <row r="206">
      <c r="A206" s="18" t="inlineStr">
        <is>
          <t>단기차입</t>
        </is>
      </c>
      <c r="G206" s="20" t="n">
        <v>0</v>
      </c>
      <c r="K206" s="20" t="n">
        <v>2300</v>
      </c>
    </row>
    <row r="207">
      <c r="A207" s="18" t="inlineStr">
        <is>
          <t>단기차입금 순증감</t>
        </is>
      </c>
      <c r="I207" s="20" t="n">
        <v>0</v>
      </c>
      <c r="M207" s="20" t="n">
        <v>2300</v>
      </c>
      <c r="O207" s="20" t="n">
        <v>-250</v>
      </c>
      <c r="P207" s="20" t="n">
        <v>0</v>
      </c>
      <c r="W207" s="20" t="n">
        <v>0</v>
      </c>
      <c r="X207" s="20" t="n">
        <v>2300</v>
      </c>
    </row>
    <row r="208">
      <c r="A208" s="18" t="inlineStr">
        <is>
          <t>자기주식 취득</t>
        </is>
      </c>
      <c r="C208" s="20" t="n">
        <v>-0.106</v>
      </c>
      <c r="E208" s="20" t="n">
        <v>-0.106</v>
      </c>
      <c r="G208" s="20" t="n">
        <v>-1081.731</v>
      </c>
      <c r="I208" s="20" t="n">
        <v>-1383.906</v>
      </c>
      <c r="K208" s="20" t="n">
        <v>-2327.554</v>
      </c>
      <c r="M208" s="20" t="n">
        <v>-2999.948</v>
      </c>
      <c r="O208" s="20" t="n">
        <v>-250.127</v>
      </c>
      <c r="P208" s="20" t="n">
        <v>-0.153</v>
      </c>
      <c r="Q208" s="20" t="n">
        <v>-0.097</v>
      </c>
      <c r="R208" s="20" t="n">
        <v>-1017.114</v>
      </c>
      <c r="S208" s="20" t="n">
        <v>-719.742</v>
      </c>
      <c r="T208" s="20" t="n">
        <v>-428.96</v>
      </c>
      <c r="U208" s="20" t="n">
        <v>0</v>
      </c>
      <c r="V208" s="20" t="n">
        <v>-0.106</v>
      </c>
      <c r="W208" s="20" t="n">
        <v>-1383.906</v>
      </c>
      <c r="X208" s="20" t="n">
        <v>-2999.948</v>
      </c>
    </row>
    <row r="209">
      <c r="A209" s="18" t="inlineStr">
        <is>
          <t>배당금 지급</t>
        </is>
      </c>
      <c r="C209" s="20" t="n">
        <v>-353.538</v>
      </c>
      <c r="E209" s="20" t="n">
        <v>-706.415</v>
      </c>
      <c r="G209" s="20" t="n">
        <v>-352.872</v>
      </c>
      <c r="I209" s="20" t="n">
        <v>-691.809</v>
      </c>
      <c r="K209" s="20" t="n">
        <v>-514.6180000000001</v>
      </c>
      <c r="M209" s="20" t="n">
        <v>-998.703</v>
      </c>
      <c r="O209" s="20" t="n">
        <v>-561.739</v>
      </c>
      <c r="P209" s="20" t="n">
        <v>-553.777</v>
      </c>
      <c r="Q209" s="20" t="n">
        <v>-664.626</v>
      </c>
      <c r="R209" s="20" t="n">
        <v>-869.174</v>
      </c>
      <c r="S209" s="20" t="n">
        <v>-744.498</v>
      </c>
      <c r="T209" s="20" t="n">
        <v>-917.102</v>
      </c>
      <c r="U209" s="20" t="n">
        <v>-604.345</v>
      </c>
      <c r="V209" s="20" t="n">
        <v>-706.415</v>
      </c>
      <c r="W209" s="20" t="n">
        <v>-691.809</v>
      </c>
      <c r="X209" s="20" t="n">
        <v>-998.703</v>
      </c>
    </row>
    <row r="210">
      <c r="A210" s="9" t="inlineStr">
        <is>
          <t>재무활동 현금흐름</t>
        </is>
      </c>
      <c r="C210" s="12" t="n">
        <v>-353.645</v>
      </c>
      <c r="E210" s="12" t="n">
        <v>-706.522</v>
      </c>
      <c r="G210" s="12" t="n">
        <v>-1434.604</v>
      </c>
      <c r="I210" s="12" t="n">
        <v>-2075.716</v>
      </c>
      <c r="K210" s="12" t="n">
        <v>-542.173</v>
      </c>
      <c r="M210" s="12" t="n">
        <v>-1698.652</v>
      </c>
      <c r="O210" s="12" t="n">
        <v>-1201.027</v>
      </c>
      <c r="P210" s="12" t="n">
        <v>-693.154</v>
      </c>
      <c r="Q210" s="12" t="n">
        <v>-664.723</v>
      </c>
      <c r="R210" s="12" t="n">
        <v>-1886.288</v>
      </c>
      <c r="S210" s="12" t="n">
        <v>-1464.24</v>
      </c>
      <c r="T210" s="12" t="n">
        <v>-1346.062</v>
      </c>
      <c r="U210" s="12" t="n">
        <v>-604.345</v>
      </c>
      <c r="V210" s="12" t="n">
        <v>-706.522</v>
      </c>
      <c r="W210" s="12" t="n">
        <v>-2075.716</v>
      </c>
      <c r="X210" s="12" t="n">
        <v>-1698.652</v>
      </c>
    </row>
    <row r="211">
      <c r="A211" s="18" t="inlineStr">
        <is>
          <t>현금성자산 증감</t>
        </is>
      </c>
      <c r="C211" s="20" t="n">
        <v>1312.035</v>
      </c>
      <c r="E211" s="20" t="n">
        <v>704.861</v>
      </c>
      <c r="G211" s="20" t="n">
        <v>-3.256</v>
      </c>
      <c r="I211" s="20" t="n">
        <v>-1161.02</v>
      </c>
      <c r="K211" s="20" t="n">
        <v>884.044</v>
      </c>
      <c r="M211" s="20" t="n">
        <v>1046.663</v>
      </c>
      <c r="O211" s="20" t="n">
        <v>87.625</v>
      </c>
      <c r="P211" s="20" t="n">
        <v>625.823</v>
      </c>
      <c r="Q211" s="20" t="n">
        <v>1147.235</v>
      </c>
      <c r="R211" s="20" t="n">
        <v>138.649</v>
      </c>
      <c r="S211" s="20" t="n">
        <v>1636.094</v>
      </c>
      <c r="T211" s="20" t="n">
        <v>-1206.481</v>
      </c>
      <c r="U211" s="20" t="n">
        <v>-363.489</v>
      </c>
      <c r="V211" s="20" t="n">
        <v>704.861</v>
      </c>
      <c r="W211" s="20" t="n">
        <v>-1161.02</v>
      </c>
      <c r="X211" s="20" t="n">
        <v>1046.663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9932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24155.047</v>
      </c>
      <c r="D5" s="12" t="n">
        <v>23880.1</v>
      </c>
      <c r="E5" s="12" t="n">
        <v>25457.75</v>
      </c>
      <c r="F5" s="12" t="n">
        <v>25620.809</v>
      </c>
      <c r="G5" s="12" t="n">
        <v>24288.461</v>
      </c>
      <c r="H5" s="11" t="n">
        <v>21242.718</v>
      </c>
      <c r="I5" s="12" t="n">
        <v>22394.113</v>
      </c>
      <c r="J5" s="12" t="n">
        <v>26707.008</v>
      </c>
      <c r="K5" s="12" t="n">
        <v>21958.802</v>
      </c>
      <c r="L5" s="12" t="n">
        <v>25620.809</v>
      </c>
    </row>
    <row r="6">
      <c r="A6" s="18" t="inlineStr">
        <is>
          <t>현금및현금성자산</t>
        </is>
      </c>
      <c r="B6" s="10" t="n"/>
      <c r="C6" s="19" t="n">
        <v>7208.108</v>
      </c>
      <c r="D6" s="20" t="n">
        <v>8229.098</v>
      </c>
      <c r="E6" s="20" t="n">
        <v>6487.629</v>
      </c>
      <c r="F6" s="20" t="n">
        <v>8367.731</v>
      </c>
      <c r="G6" s="20" t="n">
        <v>7506.094</v>
      </c>
      <c r="H6" s="19" t="n">
        <v>6755.213</v>
      </c>
      <c r="I6" s="20" t="n">
        <v>6259.926</v>
      </c>
      <c r="J6" s="20" t="n">
        <v>8483.074000000001</v>
      </c>
      <c r="K6" s="20" t="n">
        <v>5794.055</v>
      </c>
      <c r="L6" s="20" t="n">
        <v>8367.731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9630.998</v>
      </c>
      <c r="D8" s="20" t="n">
        <v>8968.284</v>
      </c>
      <c r="E8" s="20" t="n">
        <v>11408.59</v>
      </c>
      <c r="F8" s="20" t="n">
        <v>9784.325000000001</v>
      </c>
      <c r="G8" s="20" t="n">
        <v>8848.411</v>
      </c>
      <c r="H8" s="19" t="n">
        <v>10404.962</v>
      </c>
      <c r="I8" s="20" t="n">
        <v>10736.994</v>
      </c>
      <c r="J8" s="20" t="n">
        <v>10500.456</v>
      </c>
      <c r="K8" s="20" t="n">
        <v>10922.46</v>
      </c>
      <c r="L8" s="20" t="n">
        <v>9784.325000000001</v>
      </c>
    </row>
    <row r="9">
      <c r="A9" s="18" t="inlineStr">
        <is>
          <t>재고자산</t>
        </is>
      </c>
      <c r="B9" s="10" t="n"/>
      <c r="C9" s="19" t="n">
        <v>1919.425</v>
      </c>
      <c r="D9" s="20" t="n">
        <v>1573.092</v>
      </c>
      <c r="E9" s="20" t="n">
        <v>2213.343</v>
      </c>
      <c r="F9" s="20" t="n">
        <v>1748.966</v>
      </c>
      <c r="G9" s="20" t="n">
        <v>2235.601</v>
      </c>
      <c r="H9" s="19" t="n">
        <v>1541.293</v>
      </c>
      <c r="I9" s="20" t="n">
        <v>1790.64</v>
      </c>
      <c r="J9" s="20" t="n">
        <v>1722.586</v>
      </c>
      <c r="K9" s="20" t="n">
        <v>1622.818</v>
      </c>
      <c r="L9" s="20" t="n">
        <v>1748.966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17813.135</v>
      </c>
      <c r="D11" s="12" t="n">
        <v>18016.872</v>
      </c>
      <c r="E11" s="12" t="n">
        <v>18342.173</v>
      </c>
      <c r="F11" s="12" t="n">
        <v>18009.912</v>
      </c>
      <c r="G11" s="12" t="n">
        <v>19937.42</v>
      </c>
      <c r="H11" s="11" t="n">
        <v>13360.252</v>
      </c>
      <c r="I11" s="12" t="n">
        <v>13401.397</v>
      </c>
      <c r="J11" s="12" t="n">
        <v>15892.639</v>
      </c>
      <c r="K11" s="12" t="n">
        <v>15964.241</v>
      </c>
      <c r="L11" s="12" t="n">
        <v>18009.912</v>
      </c>
    </row>
    <row r="12">
      <c r="A12" s="18" t="inlineStr">
        <is>
          <t>유형자산</t>
        </is>
      </c>
      <c r="B12" s="10" t="n"/>
      <c r="C12" s="19" t="n">
        <v>10034.735</v>
      </c>
      <c r="D12" s="20" t="n">
        <v>9978.505999999999</v>
      </c>
      <c r="E12" s="20" t="n">
        <v>10017.15</v>
      </c>
      <c r="F12" s="20" t="n">
        <v>10022.879</v>
      </c>
      <c r="G12" s="20" t="n">
        <v>10512.53</v>
      </c>
      <c r="H12" s="19" t="n">
        <v>7289.601</v>
      </c>
      <c r="I12" s="20" t="n">
        <v>7220.953</v>
      </c>
      <c r="J12" s="20" t="n">
        <v>9413.812</v>
      </c>
      <c r="K12" s="20" t="n">
        <v>8299.867</v>
      </c>
      <c r="L12" s="20" t="n">
        <v>10022.879</v>
      </c>
    </row>
    <row r="13">
      <c r="A13" s="18" t="inlineStr">
        <is>
          <t>무형자산</t>
        </is>
      </c>
      <c r="B13" s="10" t="n"/>
      <c r="C13" s="19" t="n">
        <v>1278.937</v>
      </c>
      <c r="D13" s="20" t="n">
        <v>1199.919</v>
      </c>
      <c r="E13" s="20" t="n">
        <v>1120.808</v>
      </c>
      <c r="F13" s="20" t="n">
        <v>1041.845</v>
      </c>
      <c r="G13" s="20" t="n">
        <v>963.913</v>
      </c>
      <c r="H13" s="19" t="n">
        <v>650.2859999999999</v>
      </c>
      <c r="I13" s="20" t="n">
        <v>666.077</v>
      </c>
      <c r="J13" s="20" t="n">
        <v>822.682</v>
      </c>
      <c r="K13" s="20" t="n">
        <v>1340.013</v>
      </c>
      <c r="L13" s="20" t="n">
        <v>1041.845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41968.183</v>
      </c>
      <c r="D16" s="12" t="n">
        <v>41896.972</v>
      </c>
      <c r="E16" s="12" t="n">
        <v>43799.924</v>
      </c>
      <c r="F16" s="12" t="n">
        <v>43630.722</v>
      </c>
      <c r="G16" s="12" t="n">
        <v>44225.882</v>
      </c>
      <c r="H16" s="11" t="n">
        <v>34602.97</v>
      </c>
      <c r="I16" s="12" t="n">
        <v>35795.511</v>
      </c>
      <c r="J16" s="12" t="n">
        <v>42599.648</v>
      </c>
      <c r="K16" s="12" t="n">
        <v>37923.044</v>
      </c>
      <c r="L16" s="12" t="n">
        <v>43630.722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6580.585</v>
      </c>
      <c r="D18" s="12" t="n">
        <v>7028.97</v>
      </c>
      <c r="E18" s="12" t="n">
        <v>8937.796</v>
      </c>
      <c r="F18" s="12" t="n">
        <v>8292.648999999999</v>
      </c>
      <c r="G18" s="12" t="n">
        <v>7348.086</v>
      </c>
      <c r="H18" s="11" t="n">
        <v>4489.383</v>
      </c>
      <c r="I18" s="12" t="n">
        <v>4406.221</v>
      </c>
      <c r="J18" s="12" t="n">
        <v>5424.559</v>
      </c>
      <c r="K18" s="12" t="n">
        <v>5029.602</v>
      </c>
      <c r="L18" s="12" t="n">
        <v>8292.648999999999</v>
      </c>
    </row>
    <row r="19">
      <c r="A19" s="18" t="inlineStr">
        <is>
          <t>매입채무</t>
        </is>
      </c>
      <c r="B19" s="10" t="n"/>
      <c r="C19" s="19" t="n">
        <v>3488.32</v>
      </c>
      <c r="D19" s="20" t="n">
        <v>3204.154</v>
      </c>
      <c r="E19" s="20" t="n">
        <v>5488.524</v>
      </c>
      <c r="F19" s="20" t="n">
        <v>4161.335</v>
      </c>
      <c r="G19" s="20" t="n">
        <v>3944.022</v>
      </c>
      <c r="H19" s="19" t="n">
        <v>3092.761</v>
      </c>
      <c r="I19" s="20" t="n">
        <v>3134.508</v>
      </c>
      <c r="J19" s="20" t="n">
        <v>3702.001</v>
      </c>
      <c r="K19" s="20" t="n">
        <v>3662.333</v>
      </c>
      <c r="L19" s="20" t="n">
        <v>4161.335</v>
      </c>
    </row>
    <row r="20">
      <c r="A20" s="18" t="inlineStr">
        <is>
          <t>단기차입금</t>
        </is>
      </c>
      <c r="B20" s="10" t="n"/>
      <c r="C20" s="19" t="n">
        <v>2000</v>
      </c>
      <c r="D20" s="20" t="n">
        <v>2300</v>
      </c>
      <c r="E20" s="20" t="n">
        <v>2300</v>
      </c>
      <c r="F20" s="20" t="n">
        <v>2300</v>
      </c>
      <c r="G20" s="20" t="n">
        <v>2300</v>
      </c>
      <c r="H20" s="19" t="n"/>
      <c r="I20" s="20" t="n"/>
      <c r="J20" s="20" t="n"/>
      <c r="K20" s="20" t="n">
        <v>0</v>
      </c>
      <c r="L20" s="20" t="n">
        <v>2300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1260.706</v>
      </c>
      <c r="D23" s="12" t="n">
        <v>1259.756</v>
      </c>
      <c r="E23" s="12" t="n">
        <v>1483.604</v>
      </c>
      <c r="F23" s="12" t="n">
        <v>1330.452</v>
      </c>
      <c r="G23" s="12" t="n">
        <v>1942.086</v>
      </c>
      <c r="H23" s="11" t="n">
        <v>567.514</v>
      </c>
      <c r="I23" s="12" t="n">
        <v>634.465</v>
      </c>
      <c r="J23" s="12" t="n">
        <v>1216.989</v>
      </c>
      <c r="K23" s="12" t="n">
        <v>919.976</v>
      </c>
      <c r="L23" s="12" t="n">
        <v>1330.452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7841.292</v>
      </c>
      <c r="D27" s="12" t="n">
        <v>8288.726000000001</v>
      </c>
      <c r="E27" s="12" t="n">
        <v>10421.401</v>
      </c>
      <c r="F27" s="12" t="n">
        <v>9623.102000000001</v>
      </c>
      <c r="G27" s="12" t="n">
        <v>9290.173000000001</v>
      </c>
      <c r="H27" s="11" t="n">
        <v>5056.898</v>
      </c>
      <c r="I27" s="12" t="n">
        <v>5040.687</v>
      </c>
      <c r="J27" s="12" t="n">
        <v>6641.548</v>
      </c>
      <c r="K27" s="12" t="n">
        <v>5949.578</v>
      </c>
      <c r="L27" s="12" t="n">
        <v>9623.102000000001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34126.89</v>
      </c>
      <c r="D31" s="12" t="n">
        <v>33608.245</v>
      </c>
      <c r="E31" s="12" t="n">
        <v>33378.522</v>
      </c>
      <c r="F31" s="12" t="n">
        <v>34007.62</v>
      </c>
      <c r="G31" s="12" t="n">
        <v>34935.708</v>
      </c>
      <c r="H31" s="11" t="n">
        <v>29546.072</v>
      </c>
      <c r="I31" s="12" t="n">
        <v>30754.823</v>
      </c>
      <c r="J31" s="12" t="n">
        <v>35958.099</v>
      </c>
      <c r="K31" s="12" t="n">
        <v>31973.465</v>
      </c>
      <c r="L31" s="12" t="n">
        <v>34007.62</v>
      </c>
    </row>
    <row r="32">
      <c r="A32" s="18" t="inlineStr">
        <is>
          <t>자본금</t>
        </is>
      </c>
      <c r="B32" s="10" t="n"/>
      <c r="C32" s="19" t="n">
        <v>2597.406</v>
      </c>
      <c r="D32" s="20" t="n">
        <v>2597.406</v>
      </c>
      <c r="E32" s="20" t="n">
        <v>2597.406</v>
      </c>
      <c r="F32" s="20" t="n">
        <v>2597.406</v>
      </c>
      <c r="G32" s="20" t="n">
        <v>2597.406</v>
      </c>
      <c r="H32" s="19" t="n">
        <v>2597.406</v>
      </c>
      <c r="I32" s="20" t="n">
        <v>2597.406</v>
      </c>
      <c r="J32" s="20" t="n">
        <v>2597.406</v>
      </c>
      <c r="K32" s="20" t="n">
        <v>2597.406</v>
      </c>
      <c r="L32" s="20" t="n">
        <v>2597.406</v>
      </c>
    </row>
    <row r="33">
      <c r="A33" s="18" t="inlineStr">
        <is>
          <t>이익잉여금</t>
        </is>
      </c>
      <c r="B33" s="10" t="n"/>
      <c r="C33" s="19" t="n">
        <v>32012.828</v>
      </c>
      <c r="D33" s="20" t="n">
        <v>32441.136</v>
      </c>
      <c r="E33" s="20" t="n">
        <v>32658.816</v>
      </c>
      <c r="F33" s="20" t="n">
        <v>33421.364</v>
      </c>
      <c r="G33" s="20" t="n">
        <v>27612.092</v>
      </c>
      <c r="H33" s="19" t="n">
        <v>25930.091</v>
      </c>
      <c r="I33" s="20" t="n">
        <v>27050.107</v>
      </c>
      <c r="J33" s="20" t="n">
        <v>31082.228</v>
      </c>
      <c r="K33" s="20" t="n">
        <v>29196.201</v>
      </c>
      <c r="L33" s="20" t="n">
        <v>33421.364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34126.89</v>
      </c>
      <c r="D35" s="12" t="n">
        <v>33608.245</v>
      </c>
      <c r="E35" s="12" t="n">
        <v>33378.522</v>
      </c>
      <c r="F35" s="12" t="n">
        <v>34007.62</v>
      </c>
      <c r="G35" s="12" t="n">
        <v>34935.708</v>
      </c>
      <c r="H35" s="11" t="n">
        <v>29546.072</v>
      </c>
      <c r="I35" s="12" t="n">
        <v>30754.823</v>
      </c>
      <c r="J35" s="12" t="n">
        <v>35958.099</v>
      </c>
      <c r="K35" s="12" t="n">
        <v>31973.465</v>
      </c>
      <c r="L35" s="12" t="n">
        <v>34007.62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2968.124</v>
      </c>
      <c r="E37" s="12" t="n"/>
      <c r="F37" s="12" t="n">
        <v>3346.278</v>
      </c>
      <c r="G37" s="12" t="n"/>
      <c r="H37" s="11" t="n">
        <v>1020.545</v>
      </c>
      <c r="I37" s="12" t="n">
        <v>686.421</v>
      </c>
      <c r="J37" s="12" t="n">
        <v>2523.948</v>
      </c>
      <c r="K37" s="12" t="n">
        <v>2669.113</v>
      </c>
      <c r="L37" s="12" t="n">
        <v>3346.278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1133.798</v>
      </c>
      <c r="E38" s="20" t="n"/>
      <c r="F38" s="20" t="n">
        <v>270.679</v>
      </c>
      <c r="G38" s="20" t="n"/>
      <c r="H38" s="19" t="n">
        <v>788.799</v>
      </c>
      <c r="I38" s="20" t="n">
        <v>743.092</v>
      </c>
      <c r="J38" s="20" t="n">
        <v>1256.328</v>
      </c>
      <c r="K38" s="20" t="n">
        <v>1734.537</v>
      </c>
      <c r="L38" s="20" t="n">
        <v>270.679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853.5549999999999</v>
      </c>
      <c r="E40" s="20" t="n"/>
      <c r="F40" s="20" t="n">
        <v>998.703</v>
      </c>
      <c r="G40" s="20" t="n"/>
      <c r="H40" s="19" t="n">
        <v>917.102</v>
      </c>
      <c r="I40" s="20" t="n">
        <v>604.345</v>
      </c>
      <c r="J40" s="20" t="n">
        <v>706.415</v>
      </c>
      <c r="K40" s="20" t="n">
        <v>691.809</v>
      </c>
      <c r="L40" s="20" t="n">
        <v>998.703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IFERROR(IF((IF(COUNT('연간'!G56:J56)&lt;4,"",SUM('연간'!G56:J56)))&lt;=0,"적자",C28/(IF(COUNT('연간'!G56:J56)&lt;4,"",SUM('연간'!G56:J56)))),"")</f>
        <v/>
      </c>
      <c r="D49" s="47">
        <f>IFERROR(IF((IF(COUNT('연간'!H56:K56)&lt;4,"",SUM('연간'!H56:K56)))&lt;=0,"적자",D28/(IF(COUNT('연간'!H56:K56)&lt;4,"",SUM('연간'!H56:K56)))),"")</f>
        <v/>
      </c>
      <c r="E49" s="47">
        <f>IFERROR(IF((IF(COUNT('연간'!I56:L56)&lt;4,"",SUM('연간'!I56:L56)))&lt;=0,"적자",E28/(IF(COUNT('연간'!I56:L56)&lt;4,"",SUM('연간'!I56:L56)))),"")</f>
        <v/>
      </c>
      <c r="F49" s="47">
        <f>IFERROR(IF((IF(COUNT('연간'!J56:M56)&lt;4,"",SUM('연간'!J56:M56)))&lt;=0,"적자",F28/(IF(COUNT('연간'!J56:M56)&lt;4,"",SUM('연간'!J56:M56)))),"")</f>
        <v/>
      </c>
      <c r="G49" s="47">
        <f>IFERROR(IF((IF(COUNT('연간'!K56:N56)&lt;4,"",SUM('연간'!K56:N56)))&lt;=0,"적자",G28/(IF(COUNT('연간'!K56:N56)&lt;4,"",SUM('연간'!K56:N56)))),"")</f>
        <v/>
      </c>
      <c r="H49" s="46">
        <f>IFERROR(IF(('연간'!T56)&lt;=0,"적자",H28/('연간'!T56)),"")</f>
        <v/>
      </c>
      <c r="I49" s="47">
        <f>IFERROR(IF(('연간'!U56)&lt;=0,"적자",I28/('연간'!U56)),"")</f>
        <v/>
      </c>
      <c r="J49" s="47">
        <f>IFERROR(IF(('연간'!V56)&lt;=0,"적자",J28/('연간'!V56)),"")</f>
        <v/>
      </c>
      <c r="K49" s="47">
        <f>IFERROR(IF(('연간'!W56)&lt;=0,"적자",K28/('연간'!W56)),"")</f>
        <v/>
      </c>
      <c r="L49" s="47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7208.108</v>
      </c>
      <c r="D71" s="20" t="n">
        <v>8229.098</v>
      </c>
      <c r="E71" s="20" t="n">
        <v>6487.629</v>
      </c>
      <c r="F71" s="20" t="n">
        <v>8367.731</v>
      </c>
      <c r="G71" s="20" t="n">
        <v>7506.094</v>
      </c>
      <c r="H71" s="20" t="n">
        <v>6755.213</v>
      </c>
      <c r="I71" s="20" t="n">
        <v>6259.926</v>
      </c>
      <c r="J71" s="20" t="n">
        <v>8483.074000000001</v>
      </c>
      <c r="K71" s="20" t="n">
        <v>5794.055</v>
      </c>
      <c r="L71" s="20" t="n">
        <v>8367.731</v>
      </c>
    </row>
    <row r="72">
      <c r="A72" s="18" t="inlineStr">
        <is>
          <t>받을어음</t>
        </is>
      </c>
      <c r="F72" s="20" t="n">
        <v>97.92</v>
      </c>
      <c r="H72" s="20" t="n">
        <v>1498.276</v>
      </c>
      <c r="I72" s="20" t="n">
        <v>1257.774</v>
      </c>
      <c r="J72" s="20" t="n">
        <v>1023.864</v>
      </c>
      <c r="K72" s="20" t="n">
        <v>496.296</v>
      </c>
      <c r="L72" s="20" t="n">
        <v>97.92</v>
      </c>
    </row>
    <row r="73">
      <c r="A73" s="18" t="inlineStr">
        <is>
          <t>받을어음·매출채권</t>
        </is>
      </c>
      <c r="C73" s="20" t="n">
        <v>9630.998</v>
      </c>
      <c r="D73" s="20" t="n">
        <v>8968.284</v>
      </c>
      <c r="E73" s="20" t="n">
        <v>11408.59</v>
      </c>
      <c r="F73" s="20" t="n">
        <v>9784.325000000001</v>
      </c>
      <c r="G73" s="20" t="n">
        <v>8848.411</v>
      </c>
      <c r="H73" s="20" t="n">
        <v>10404.962</v>
      </c>
      <c r="I73" s="20" t="n">
        <v>10736.994</v>
      </c>
      <c r="J73" s="20" t="n">
        <v>10500.456</v>
      </c>
      <c r="K73" s="20" t="n">
        <v>10922.46</v>
      </c>
      <c r="L73" s="20" t="n">
        <v>9784.325000000001</v>
      </c>
    </row>
    <row r="74">
      <c r="A74" s="18" t="inlineStr">
        <is>
          <t>전자기록채권</t>
        </is>
      </c>
      <c r="C74" s="20" t="n">
        <v>5174.535</v>
      </c>
      <c r="D74" s="20" t="n">
        <v>4936.113</v>
      </c>
      <c r="E74" s="20" t="n">
        <v>5195.709</v>
      </c>
      <c r="F74" s="20" t="n">
        <v>5500.984</v>
      </c>
      <c r="G74" s="20" t="n">
        <v>5466.015</v>
      </c>
      <c r="H74" s="20" t="n">
        <v>3916.438</v>
      </c>
      <c r="I74" s="20" t="n">
        <v>4855.817</v>
      </c>
      <c r="J74" s="20" t="n">
        <v>5797.828</v>
      </c>
      <c r="K74" s="20" t="n">
        <v>4663.538</v>
      </c>
      <c r="L74" s="20" t="n">
        <v>5500.984</v>
      </c>
    </row>
    <row r="75">
      <c r="A75" s="18" t="inlineStr">
        <is>
          <t>매출채권</t>
        </is>
      </c>
      <c r="F75" s="20" t="n">
        <v>8426.35</v>
      </c>
      <c r="H75" s="20" t="n">
        <v>7370.688</v>
      </c>
      <c r="I75" s="20" t="n">
        <v>8069.673</v>
      </c>
      <c r="J75" s="20" t="n">
        <v>9476.591</v>
      </c>
      <c r="K75" s="20" t="n">
        <v>9006.523999999999</v>
      </c>
      <c r="L75" s="20" t="n">
        <v>8426.35</v>
      </c>
    </row>
    <row r="76">
      <c r="A76" s="18" t="inlineStr">
        <is>
          <t>상품</t>
        </is>
      </c>
      <c r="C76" s="20" t="n">
        <v>1919.425</v>
      </c>
      <c r="D76" s="20" t="n">
        <v>1573.092</v>
      </c>
      <c r="E76" s="20" t="n">
        <v>2213.343</v>
      </c>
      <c r="F76" s="20" t="n">
        <v>1748.966</v>
      </c>
      <c r="G76" s="20" t="n">
        <v>2235.601</v>
      </c>
      <c r="H76" s="20" t="n">
        <v>1541.293</v>
      </c>
      <c r="I76" s="20" t="n">
        <v>1790.64</v>
      </c>
      <c r="J76" s="20" t="n">
        <v>1722.586</v>
      </c>
      <c r="K76" s="20" t="n">
        <v>1622.818</v>
      </c>
      <c r="L76" s="20" t="n">
        <v>1748.966</v>
      </c>
    </row>
    <row r="77">
      <c r="A77" s="18" t="inlineStr">
        <is>
          <t>선급비용</t>
        </is>
      </c>
      <c r="F77" s="20" t="n">
        <v>118.628</v>
      </c>
      <c r="H77" s="20" t="n">
        <v>90.98999999999999</v>
      </c>
      <c r="I77" s="20" t="n">
        <v>90.29600000000001</v>
      </c>
      <c r="J77" s="20" t="n">
        <v>88.35299999999999</v>
      </c>
      <c r="K77" s="20" t="n">
        <v>101.897</v>
      </c>
      <c r="L77" s="20" t="n">
        <v>118.628</v>
      </c>
    </row>
    <row r="78">
      <c r="A78" s="18" t="inlineStr">
        <is>
          <t>기타</t>
        </is>
      </c>
      <c r="C78" s="20" t="n">
        <v>223.4</v>
      </c>
      <c r="D78" s="20" t="n">
        <v>174.844</v>
      </c>
      <c r="E78" s="20" t="n">
        <v>154.072</v>
      </c>
      <c r="F78" s="20" t="n">
        <v>220.28</v>
      </c>
      <c r="G78" s="20" t="n">
        <v>233.703</v>
      </c>
      <c r="H78" s="20" t="n">
        <v>71.08799999999999</v>
      </c>
      <c r="I78" s="20" t="n">
        <v>71.40300000000001</v>
      </c>
      <c r="J78" s="20" t="n">
        <v>204.709</v>
      </c>
      <c r="K78" s="20" t="n">
        <v>275.088</v>
      </c>
      <c r="L78" s="20" t="n">
        <v>220.28</v>
      </c>
    </row>
    <row r="79">
      <c r="A79" s="18" t="inlineStr">
        <is>
          <t>대손충당금</t>
        </is>
      </c>
      <c r="C79" s="20" t="n">
        <v>-1.42</v>
      </c>
      <c r="D79" s="20" t="n">
        <v>-1.333</v>
      </c>
      <c r="E79" s="20" t="n">
        <v>-1.594</v>
      </c>
      <c r="F79" s="20" t="n">
        <v>-1.478</v>
      </c>
      <c r="G79" s="20" t="n">
        <v>-1.364</v>
      </c>
      <c r="H79" s="20" t="n">
        <v>-1.27</v>
      </c>
      <c r="I79" s="20" t="n">
        <v>-1.418</v>
      </c>
      <c r="J79" s="20" t="n">
        <v>-1.647</v>
      </c>
      <c r="K79" s="20" t="n">
        <v>-1.416</v>
      </c>
      <c r="L79" s="20" t="n">
        <v>-1.478</v>
      </c>
    </row>
    <row r="80">
      <c r="A80" s="9" t="inlineStr">
        <is>
          <t>유동자산 합계</t>
        </is>
      </c>
      <c r="C80" s="12" t="n">
        <v>24155.047</v>
      </c>
      <c r="D80" s="12" t="n">
        <v>23880.1</v>
      </c>
      <c r="E80" s="12" t="n">
        <v>25457.75</v>
      </c>
      <c r="F80" s="12" t="n">
        <v>25620.809</v>
      </c>
      <c r="G80" s="12" t="n">
        <v>24288.461</v>
      </c>
      <c r="H80" s="12" t="n">
        <v>21242.718</v>
      </c>
      <c r="I80" s="12" t="n">
        <v>22394.113</v>
      </c>
      <c r="J80" s="12" t="n">
        <v>26707.008</v>
      </c>
      <c r="K80" s="12" t="n">
        <v>21958.802</v>
      </c>
      <c r="L80" s="12" t="n">
        <v>25620.809</v>
      </c>
    </row>
    <row r="81">
      <c r="A81" s="18" t="inlineStr">
        <is>
          <t>건물</t>
        </is>
      </c>
      <c r="F81" s="20" t="n">
        <v>8037.385</v>
      </c>
      <c r="H81" s="20" t="n">
        <v>6229.279</v>
      </c>
      <c r="I81" s="20" t="n">
        <v>6248.954</v>
      </c>
      <c r="J81" s="20" t="n">
        <v>6897.443</v>
      </c>
      <c r="K81" s="20" t="n">
        <v>8055.705</v>
      </c>
      <c r="L81" s="20" t="n">
        <v>8037.385</v>
      </c>
    </row>
    <row r="82">
      <c r="A82" s="18" t="inlineStr">
        <is>
          <t>감가상각누계액</t>
        </is>
      </c>
      <c r="F82" s="20" t="n">
        <v>-4497.35</v>
      </c>
      <c r="H82" s="20" t="n">
        <v>-3871.37</v>
      </c>
      <c r="I82" s="20" t="n">
        <v>-3972.829</v>
      </c>
      <c r="J82" s="20" t="n">
        <v>-4127.277</v>
      </c>
      <c r="K82" s="20" t="n">
        <v>-4276.754</v>
      </c>
      <c r="L82" s="20" t="n">
        <v>-4497.35</v>
      </c>
    </row>
    <row r="83">
      <c r="A83" s="18" t="inlineStr">
        <is>
          <t>건물(순액)</t>
        </is>
      </c>
      <c r="C83" s="20" t="n">
        <v>3726.424</v>
      </c>
      <c r="D83" s="20" t="n">
        <v>3670.741</v>
      </c>
      <c r="E83" s="20" t="n">
        <v>3613.728</v>
      </c>
      <c r="F83" s="20" t="n">
        <v>3540.035</v>
      </c>
      <c r="G83" s="20" t="n">
        <v>3486.666</v>
      </c>
      <c r="H83" s="20" t="n">
        <v>2129.425</v>
      </c>
      <c r="I83" s="20" t="n">
        <v>2059.598</v>
      </c>
      <c r="J83" s="20" t="n">
        <v>2770.166</v>
      </c>
      <c r="K83" s="20" t="n">
        <v>2977.12</v>
      </c>
      <c r="L83" s="20" t="n">
        <v>3540.035</v>
      </c>
    </row>
    <row r="84">
      <c r="A84" s="18" t="inlineStr">
        <is>
          <t>구축물</t>
        </is>
      </c>
      <c r="F84" s="20" t="n">
        <v>296.409</v>
      </c>
      <c r="H84" s="20" t="n">
        <v>263.907</v>
      </c>
      <c r="I84" s="20" t="n">
        <v>266.949</v>
      </c>
      <c r="J84" s="20" t="n">
        <v>291.894</v>
      </c>
      <c r="K84" s="20" t="n">
        <v>298.674</v>
      </c>
      <c r="L84" s="20" t="n">
        <v>296.409</v>
      </c>
    </row>
    <row r="85">
      <c r="A85" s="18" t="inlineStr">
        <is>
          <t>감가상각누계액</t>
        </is>
      </c>
      <c r="F85" s="20" t="n">
        <v>-247.766</v>
      </c>
      <c r="H85" s="20" t="n">
        <v>-220.96</v>
      </c>
      <c r="I85" s="20" t="n">
        <v>-224.817</v>
      </c>
      <c r="J85" s="20" t="n">
        <v>-234.879</v>
      </c>
      <c r="K85" s="20" t="n">
        <v>-242.981</v>
      </c>
      <c r="L85" s="20" t="n">
        <v>-247.766</v>
      </c>
    </row>
    <row r="86">
      <c r="A86" s="18" t="inlineStr">
        <is>
          <t>구축물(순액)</t>
        </is>
      </c>
      <c r="C86" s="20" t="n">
        <v>56.39</v>
      </c>
      <c r="D86" s="20" t="n">
        <v>53.822</v>
      </c>
      <c r="E86" s="20" t="n">
        <v>51.232</v>
      </c>
      <c r="F86" s="20" t="n">
        <v>48.642</v>
      </c>
      <c r="G86" s="20" t="n">
        <v>46.457</v>
      </c>
      <c r="H86" s="20" t="n">
        <v>35.628</v>
      </c>
      <c r="I86" s="20" t="n">
        <v>35.767</v>
      </c>
      <c r="J86" s="20" t="n">
        <v>57.014</v>
      </c>
      <c r="K86" s="20" t="n">
        <v>29.305</v>
      </c>
      <c r="L86" s="20" t="n">
        <v>48.642</v>
      </c>
    </row>
    <row r="87">
      <c r="A87" s="18" t="inlineStr">
        <is>
          <t>차량운반구</t>
        </is>
      </c>
      <c r="F87" s="20" t="n">
        <v>48.141</v>
      </c>
      <c r="H87" s="20" t="n">
        <v>374.086</v>
      </c>
      <c r="I87" s="20" t="n">
        <v>376.146</v>
      </c>
      <c r="J87" s="20" t="n">
        <v>44.222</v>
      </c>
      <c r="K87" s="20" t="n">
        <v>48.141</v>
      </c>
      <c r="L87" s="20" t="n">
        <v>48.141</v>
      </c>
    </row>
    <row r="88">
      <c r="A88" s="18" t="inlineStr">
        <is>
          <t>감가상각누계액</t>
        </is>
      </c>
      <c r="F88" s="20" t="n">
        <v>-41.783</v>
      </c>
      <c r="H88" s="20" t="n">
        <v>-302.115</v>
      </c>
      <c r="I88" s="20" t="n">
        <v>-306.602</v>
      </c>
      <c r="J88" s="20" t="n">
        <v>-35.144</v>
      </c>
      <c r="K88" s="20" t="n">
        <v>-37.139</v>
      </c>
      <c r="L88" s="20" t="n">
        <v>-41.783</v>
      </c>
    </row>
    <row r="89">
      <c r="A89" s="18" t="inlineStr">
        <is>
          <t>차량운반구(순액)</t>
        </is>
      </c>
      <c r="C89" s="20" t="n">
        <v>9.839</v>
      </c>
      <c r="D89" s="20" t="n">
        <v>8.676</v>
      </c>
      <c r="E89" s="20" t="n">
        <v>7.513</v>
      </c>
      <c r="F89" s="20" t="n">
        <v>6.358</v>
      </c>
      <c r="G89" s="20" t="n">
        <v>5.721</v>
      </c>
      <c r="H89" s="20" t="n">
        <v>71.97</v>
      </c>
      <c r="I89" s="20" t="n">
        <v>69.54300000000001</v>
      </c>
      <c r="J89" s="20" t="n">
        <v>9.077999999999999</v>
      </c>
      <c r="K89" s="20" t="n">
        <v>11.001</v>
      </c>
      <c r="L89" s="20" t="n">
        <v>6.358</v>
      </c>
    </row>
    <row r="90">
      <c r="A90" s="18" t="inlineStr">
        <is>
          <t>공구·기구·비품</t>
        </is>
      </c>
      <c r="F90" s="20" t="n">
        <v>636.74</v>
      </c>
      <c r="H90" s="20" t="n">
        <v>558.228</v>
      </c>
      <c r="I90" s="20" t="n">
        <v>562.053</v>
      </c>
      <c r="J90" s="20" t="n">
        <v>581.922</v>
      </c>
      <c r="K90" s="20" t="n">
        <v>623.888</v>
      </c>
      <c r="L90" s="20" t="n">
        <v>636.74</v>
      </c>
    </row>
    <row r="91">
      <c r="A91" s="18" t="inlineStr">
        <is>
          <t>감가상각누계액</t>
        </is>
      </c>
      <c r="F91" s="20" t="n">
        <v>-578.253</v>
      </c>
      <c r="H91" s="20" t="n">
        <v>-427.716</v>
      </c>
      <c r="I91" s="20" t="n">
        <v>-486.045</v>
      </c>
      <c r="J91" s="20" t="n">
        <v>-528.372</v>
      </c>
      <c r="K91" s="20" t="n">
        <v>-553.448</v>
      </c>
      <c r="L91" s="20" t="n">
        <v>-578.253</v>
      </c>
    </row>
    <row r="92">
      <c r="A92" s="18" t="inlineStr">
        <is>
          <t>공구·기구·비품(순액)</t>
        </is>
      </c>
      <c r="C92" s="20" t="n">
        <v>63.123</v>
      </c>
      <c r="D92" s="20" t="n">
        <v>56.308</v>
      </c>
      <c r="E92" s="20" t="n">
        <v>67.154</v>
      </c>
      <c r="F92" s="20" t="n">
        <v>58.486</v>
      </c>
      <c r="G92" s="20" t="n">
        <v>53.254</v>
      </c>
      <c r="H92" s="20" t="n">
        <v>122.136</v>
      </c>
      <c r="I92" s="20" t="n">
        <v>70.95699999999999</v>
      </c>
      <c r="J92" s="20" t="n">
        <v>53.55</v>
      </c>
      <c r="K92" s="20" t="n">
        <v>54.148</v>
      </c>
      <c r="L92" s="20" t="n">
        <v>58.486</v>
      </c>
    </row>
    <row r="93">
      <c r="A93" s="18" t="inlineStr">
        <is>
          <t>토지</t>
        </is>
      </c>
      <c r="C93" s="20" t="n">
        <v>6178.956</v>
      </c>
      <c r="D93" s="20" t="n">
        <v>6178.956</v>
      </c>
      <c r="E93" s="20" t="n">
        <v>6274.05</v>
      </c>
      <c r="F93" s="20" t="n">
        <v>6274.05</v>
      </c>
      <c r="G93" s="20" t="n">
        <v>6853.125</v>
      </c>
      <c r="H93" s="20" t="n">
        <v>4894.469</v>
      </c>
      <c r="I93" s="20" t="n">
        <v>4855.087</v>
      </c>
      <c r="J93" s="20" t="n">
        <v>6180.432</v>
      </c>
      <c r="K93" s="20" t="n">
        <v>5228.29</v>
      </c>
      <c r="L93" s="20" t="n">
        <v>6274.05</v>
      </c>
    </row>
    <row r="94">
      <c r="A94" s="18" t="inlineStr">
        <is>
          <t>건설중인자산</t>
        </is>
      </c>
      <c r="D94" s="20" t="n">
        <v>10</v>
      </c>
      <c r="E94" s="20" t="n">
        <v>3.469</v>
      </c>
      <c r="F94" s="20" t="n">
        <v>95.30500000000001</v>
      </c>
      <c r="G94" s="20" t="n">
        <v>67.30500000000001</v>
      </c>
      <c r="H94" s="20" t="n">
        <v>35.97</v>
      </c>
      <c r="I94" s="20" t="n">
        <v>130</v>
      </c>
      <c r="J94" s="20" t="n">
        <v>343.571</v>
      </c>
      <c r="K94" s="20" t="n">
        <v>0</v>
      </c>
      <c r="L94" s="20" t="n">
        <v>95.30500000000001</v>
      </c>
    </row>
    <row r="95">
      <c r="A95" s="18" t="inlineStr">
        <is>
          <t>유형자산 합계</t>
        </is>
      </c>
      <c r="C95" s="20" t="n">
        <v>10034.735</v>
      </c>
      <c r="D95" s="20" t="n">
        <v>9978.505999999999</v>
      </c>
      <c r="E95" s="20" t="n">
        <v>10017.15</v>
      </c>
      <c r="F95" s="20" t="n">
        <v>10022.879</v>
      </c>
      <c r="G95" s="20" t="n">
        <v>10512.53</v>
      </c>
      <c r="H95" s="20" t="n">
        <v>7289.601</v>
      </c>
      <c r="I95" s="20" t="n">
        <v>7220.953</v>
      </c>
      <c r="J95" s="20" t="n">
        <v>9413.812</v>
      </c>
      <c r="K95" s="20" t="n">
        <v>8299.867</v>
      </c>
      <c r="L95" s="20" t="n">
        <v>10022.879</v>
      </c>
    </row>
    <row r="96">
      <c r="A96" s="18" t="inlineStr">
        <is>
          <t>전화가입권</t>
        </is>
      </c>
      <c r="C96" s="20" t="n">
        <v>38.894</v>
      </c>
      <c r="D96" s="20" t="n">
        <v>38.894</v>
      </c>
      <c r="E96" s="20" t="n">
        <v>38.894</v>
      </c>
      <c r="F96" s="20" t="n">
        <v>31.611</v>
      </c>
      <c r="H96" s="20" t="n">
        <v>31.611</v>
      </c>
      <c r="I96" s="20" t="n">
        <v>31.611</v>
      </c>
      <c r="J96" s="20" t="n">
        <v>38.894</v>
      </c>
      <c r="K96" s="20" t="n">
        <v>31.611</v>
      </c>
      <c r="L96" s="20" t="n">
        <v>31.611</v>
      </c>
    </row>
    <row r="97">
      <c r="A97" s="18" t="inlineStr">
        <is>
          <t>소프트웨어</t>
        </is>
      </c>
      <c r="C97" s="20" t="n">
        <v>1014.423</v>
      </c>
      <c r="D97" s="20" t="n">
        <v>949.807</v>
      </c>
      <c r="E97" s="20" t="n">
        <v>885.097</v>
      </c>
      <c r="F97" s="20" t="n">
        <v>820.5359999999999</v>
      </c>
      <c r="G97" s="20" t="n">
        <v>757.005</v>
      </c>
      <c r="H97" s="20" t="n">
        <v>205.839</v>
      </c>
      <c r="I97" s="20" t="n">
        <v>150.029</v>
      </c>
      <c r="J97" s="20" t="n">
        <v>137.09</v>
      </c>
      <c r="K97" s="20" t="n">
        <v>1068.381</v>
      </c>
      <c r="L97" s="20" t="n">
        <v>820.5359999999999</v>
      </c>
    </row>
    <row r="98">
      <c r="A98" s="18" t="inlineStr">
        <is>
          <t>영업권</t>
        </is>
      </c>
      <c r="C98" s="20" t="n">
        <v>225.619</v>
      </c>
      <c r="D98" s="20" t="n">
        <v>211.218</v>
      </c>
      <c r="E98" s="20" t="n">
        <v>196.816</v>
      </c>
      <c r="F98" s="20" t="n">
        <v>182.415</v>
      </c>
      <c r="G98" s="20" t="n">
        <v>168.014</v>
      </c>
      <c r="H98" s="20" t="n">
        <v>412.835</v>
      </c>
      <c r="I98" s="20" t="n">
        <v>355.23</v>
      </c>
      <c r="J98" s="20" t="n">
        <v>297.625</v>
      </c>
      <c r="K98" s="20" t="n">
        <v>240.02</v>
      </c>
      <c r="L98" s="20" t="n">
        <v>182.415</v>
      </c>
    </row>
    <row r="99">
      <c r="A99" s="18" t="inlineStr">
        <is>
          <t>개발 중 소프트웨어</t>
        </is>
      </c>
      <c r="H99" s="20" t="n">
        <v>0</v>
      </c>
      <c r="I99" s="20" t="n">
        <v>129.206</v>
      </c>
      <c r="J99" s="20" t="n">
        <v>349.072</v>
      </c>
      <c r="K99" s="20" t="n">
        <v>0</v>
      </c>
    </row>
    <row r="100">
      <c r="A100" s="18" t="inlineStr">
        <is>
          <t>기타</t>
        </is>
      </c>
      <c r="F100" s="20" t="n">
        <v>38.894</v>
      </c>
      <c r="G100" s="20" t="n">
        <v>38.894</v>
      </c>
      <c r="L100" s="20" t="n">
        <v>38.894</v>
      </c>
    </row>
    <row r="101">
      <c r="A101" s="18" t="inlineStr">
        <is>
          <t>무형자산 합계</t>
        </is>
      </c>
      <c r="C101" s="20" t="n">
        <v>1278.937</v>
      </c>
      <c r="D101" s="20" t="n">
        <v>1199.919</v>
      </c>
      <c r="E101" s="20" t="n">
        <v>1120.808</v>
      </c>
      <c r="F101" s="20" t="n">
        <v>1041.845</v>
      </c>
      <c r="G101" s="20" t="n">
        <v>963.913</v>
      </c>
      <c r="H101" s="20" t="n">
        <v>650.2859999999999</v>
      </c>
      <c r="I101" s="20" t="n">
        <v>666.077</v>
      </c>
      <c r="J101" s="20" t="n">
        <v>822.682</v>
      </c>
      <c r="K101" s="20" t="n">
        <v>1340.013</v>
      </c>
      <c r="L101" s="20" t="n">
        <v>1041.845</v>
      </c>
    </row>
    <row r="102">
      <c r="A102" s="18" t="inlineStr">
        <is>
          <t>투자유가증권</t>
        </is>
      </c>
      <c r="C102" s="20" t="n">
        <v>5466.36</v>
      </c>
      <c r="D102" s="20" t="n">
        <v>5795.806</v>
      </c>
      <c r="E102" s="20" t="n">
        <v>6143.539</v>
      </c>
      <c r="F102" s="20" t="n">
        <v>5799.951</v>
      </c>
      <c r="G102" s="20" t="n">
        <v>7305.942</v>
      </c>
      <c r="H102" s="20" t="n">
        <v>2332.592</v>
      </c>
      <c r="I102" s="20" t="n">
        <v>2416.658</v>
      </c>
      <c r="J102" s="20" t="n">
        <v>4718.216</v>
      </c>
      <c r="K102" s="20" t="n">
        <v>3096.132</v>
      </c>
      <c r="L102" s="20" t="n">
        <v>5799.951</v>
      </c>
    </row>
    <row r="103">
      <c r="A103" s="18" t="inlineStr">
        <is>
          <t>관계회사 주식</t>
        </is>
      </c>
      <c r="F103" s="20" t="n">
        <v>2493.927</v>
      </c>
      <c r="H103" s="20" t="n">
        <v>2493.927</v>
      </c>
      <c r="I103" s="20" t="n">
        <v>2493.927</v>
      </c>
      <c r="J103" s="20" t="n">
        <v>2493.927</v>
      </c>
      <c r="K103" s="20" t="n">
        <v>2493.927</v>
      </c>
      <c r="L103" s="20" t="n">
        <v>2493.927</v>
      </c>
    </row>
    <row r="104">
      <c r="A104" s="18" t="inlineStr">
        <is>
          <t>출자금</t>
        </is>
      </c>
      <c r="C104" s="20" t="n">
        <v>14.86</v>
      </c>
      <c r="D104" s="20" t="n">
        <v>14.86</v>
      </c>
      <c r="E104" s="20" t="n">
        <v>14.86</v>
      </c>
      <c r="F104" s="20" t="n">
        <v>14.86</v>
      </c>
      <c r="G104" s="20" t="n">
        <v>14.84</v>
      </c>
      <c r="H104" s="20" t="n">
        <v>11.65</v>
      </c>
      <c r="I104" s="20" t="n">
        <v>11.65</v>
      </c>
      <c r="J104" s="20" t="n">
        <v>14.86</v>
      </c>
      <c r="K104" s="20" t="n">
        <v>11.65</v>
      </c>
      <c r="L104" s="20" t="n">
        <v>14.86</v>
      </c>
    </row>
    <row r="105">
      <c r="A105" s="18" t="inlineStr">
        <is>
          <t>장기선급비용</t>
        </is>
      </c>
      <c r="F105" s="20" t="n">
        <v>11.292</v>
      </c>
      <c r="H105" s="20" t="n">
        <v>13.987</v>
      </c>
      <c r="I105" s="20" t="n">
        <v>6.171</v>
      </c>
      <c r="J105" s="20" t="n">
        <v>1.682</v>
      </c>
      <c r="K105" s="20" t="n">
        <v>6.142</v>
      </c>
      <c r="L105" s="20" t="n">
        <v>11.292</v>
      </c>
    </row>
    <row r="106">
      <c r="A106" s="18" t="inlineStr">
        <is>
          <t>선급연금비용</t>
        </is>
      </c>
      <c r="F106" s="20" t="n">
        <v>630.271</v>
      </c>
      <c r="H106" s="20" t="n">
        <v>390.1</v>
      </c>
      <c r="I106" s="20" t="n">
        <v>409.022</v>
      </c>
      <c r="J106" s="20" t="n">
        <v>478.341</v>
      </c>
      <c r="K106" s="20" t="n">
        <v>547.7809999999999</v>
      </c>
      <c r="L106" s="20" t="n">
        <v>630.271</v>
      </c>
    </row>
    <row r="107">
      <c r="A107" s="18" t="inlineStr">
        <is>
          <t>퇴직급여자산</t>
        </is>
      </c>
      <c r="C107" s="20" t="n">
        <v>772.023</v>
      </c>
      <c r="D107" s="20" t="n">
        <v>784.495</v>
      </c>
      <c r="E107" s="20" t="n">
        <v>803.345</v>
      </c>
      <c r="F107" s="20" t="n">
        <v>891.859</v>
      </c>
      <c r="G107" s="20" t="n">
        <v>905.364</v>
      </c>
      <c r="H107" s="20" t="n">
        <v>468.63</v>
      </c>
      <c r="I107" s="20" t="n">
        <v>434.045</v>
      </c>
      <c r="J107" s="20" t="n">
        <v>683.6559999999999</v>
      </c>
      <c r="K107" s="20" t="n">
        <v>774</v>
      </c>
      <c r="L107" s="20" t="n">
        <v>891.859</v>
      </c>
    </row>
    <row r="108">
      <c r="A108" s="18" t="inlineStr">
        <is>
          <t>보증금</t>
        </is>
      </c>
      <c r="C108" s="20" t="n">
        <v>222.537</v>
      </c>
      <c r="D108" s="20" t="n">
        <v>222.035</v>
      </c>
      <c r="E108" s="20" t="n">
        <v>222.193</v>
      </c>
      <c r="F108" s="20" t="n">
        <v>221.178</v>
      </c>
      <c r="G108" s="20" t="n">
        <v>219.724</v>
      </c>
      <c r="H108" s="20" t="n">
        <v>153.533</v>
      </c>
      <c r="I108" s="20" t="n">
        <v>152.115</v>
      </c>
      <c r="J108" s="20" t="n">
        <v>223.967</v>
      </c>
      <c r="K108" s="20" t="n">
        <v>157.385</v>
      </c>
      <c r="L108" s="20" t="n">
        <v>221.178</v>
      </c>
    </row>
    <row r="109">
      <c r="A109" s="18" t="inlineStr">
        <is>
          <t>기타</t>
        </is>
      </c>
      <c r="C109" s="20" t="n">
        <v>25.781</v>
      </c>
      <c r="D109" s="20" t="n">
        <v>23.348</v>
      </c>
      <c r="E109" s="20" t="n">
        <v>22.377</v>
      </c>
      <c r="F109" s="20" t="n">
        <v>19.438</v>
      </c>
      <c r="G109" s="20" t="n">
        <v>17.204</v>
      </c>
      <c r="H109" s="20" t="n">
        <v>28.852</v>
      </c>
      <c r="I109" s="20" t="n">
        <v>27.54</v>
      </c>
      <c r="J109" s="20" t="n">
        <v>17.644</v>
      </c>
      <c r="K109" s="20" t="n">
        <v>13.301</v>
      </c>
      <c r="L109" s="20" t="n">
        <v>19.438</v>
      </c>
    </row>
    <row r="110">
      <c r="A110" s="18" t="inlineStr">
        <is>
          <t>대손충당금</t>
        </is>
      </c>
      <c r="C110" s="20" t="n">
        <v>-2.1</v>
      </c>
      <c r="D110" s="20" t="n">
        <v>-2.1</v>
      </c>
      <c r="E110" s="20" t="n">
        <v>-2.1</v>
      </c>
      <c r="F110" s="20" t="n">
        <v>-2.1</v>
      </c>
      <c r="G110" s="20" t="n">
        <v>-2.1</v>
      </c>
      <c r="H110" s="20" t="n">
        <v>-4.28</v>
      </c>
      <c r="I110" s="20" t="n">
        <v>-2.72</v>
      </c>
      <c r="J110" s="20" t="n">
        <v>-2.2</v>
      </c>
      <c r="K110" s="20" t="n">
        <v>-1.96</v>
      </c>
      <c r="L110" s="20" t="n">
        <v>-2.1</v>
      </c>
    </row>
    <row r="111">
      <c r="A111" s="18" t="inlineStr">
        <is>
          <t>투자 및 기타자산 합계</t>
        </is>
      </c>
      <c r="C111" s="20" t="n">
        <v>6499.463</v>
      </c>
      <c r="D111" s="20" t="n">
        <v>6838.446</v>
      </c>
      <c r="E111" s="20" t="n">
        <v>7204.215</v>
      </c>
      <c r="F111" s="20" t="n">
        <v>6945.187</v>
      </c>
      <c r="G111" s="20" t="n">
        <v>8460.975</v>
      </c>
      <c r="H111" s="20" t="n">
        <v>5420.364</v>
      </c>
      <c r="I111" s="20" t="n">
        <v>5514.366</v>
      </c>
      <c r="J111" s="20" t="n">
        <v>5656.144</v>
      </c>
      <c r="K111" s="20" t="n">
        <v>6324.36</v>
      </c>
      <c r="L111" s="20" t="n">
        <v>6945.187</v>
      </c>
    </row>
    <row r="112">
      <c r="A112" s="9" t="inlineStr">
        <is>
          <t>비유동자산 합계</t>
        </is>
      </c>
      <c r="C112" s="12" t="n">
        <v>17813.135</v>
      </c>
      <c r="D112" s="12" t="n">
        <v>18016.872</v>
      </c>
      <c r="E112" s="12" t="n">
        <v>18342.173</v>
      </c>
      <c r="F112" s="12" t="n">
        <v>18009.912</v>
      </c>
      <c r="G112" s="12" t="n">
        <v>19937.42</v>
      </c>
      <c r="H112" s="12" t="n">
        <v>13360.252</v>
      </c>
      <c r="I112" s="12" t="n">
        <v>13401.397</v>
      </c>
      <c r="J112" s="12" t="n">
        <v>15892.639</v>
      </c>
      <c r="K112" s="12" t="n">
        <v>15964.241</v>
      </c>
      <c r="L112" s="12" t="n">
        <v>18009.912</v>
      </c>
    </row>
    <row r="113">
      <c r="A113" s="9" t="inlineStr">
        <is>
          <t>자산 합계</t>
        </is>
      </c>
      <c r="C113" s="12" t="n">
        <v>41968.183</v>
      </c>
      <c r="D113" s="12" t="n">
        <v>41896.972</v>
      </c>
      <c r="E113" s="12" t="n">
        <v>43799.924</v>
      </c>
      <c r="F113" s="12" t="n">
        <v>43630.722</v>
      </c>
      <c r="G113" s="12" t="n">
        <v>44225.882</v>
      </c>
      <c r="H113" s="12" t="n">
        <v>34602.97</v>
      </c>
      <c r="I113" s="12" t="n">
        <v>35795.511</v>
      </c>
      <c r="J113" s="12" t="n">
        <v>42599.648</v>
      </c>
      <c r="K113" s="12" t="n">
        <v>37923.044</v>
      </c>
      <c r="L113" s="12" t="n">
        <v>43630.722</v>
      </c>
    </row>
    <row r="114">
      <c r="A114" s="18" t="inlineStr">
        <is>
          <t>매입채무</t>
        </is>
      </c>
      <c r="C114" s="20" t="n">
        <v>3488.32</v>
      </c>
      <c r="D114" s="20" t="n">
        <v>3204.154</v>
      </c>
      <c r="E114" s="20" t="n">
        <v>5488.524</v>
      </c>
      <c r="F114" s="20" t="n">
        <v>4161.335</v>
      </c>
      <c r="G114" s="20" t="n">
        <v>3944.022</v>
      </c>
      <c r="H114" s="20" t="n">
        <v>3092.761</v>
      </c>
      <c r="I114" s="20" t="n">
        <v>3134.508</v>
      </c>
      <c r="J114" s="20" t="n">
        <v>3702.001</v>
      </c>
      <c r="K114" s="20" t="n">
        <v>3662.333</v>
      </c>
      <c r="L114" s="20" t="n">
        <v>4161.335</v>
      </c>
    </row>
    <row r="115">
      <c r="A115" s="18" t="inlineStr">
        <is>
          <t>단기차입금</t>
        </is>
      </c>
      <c r="C115" s="20" t="n">
        <v>2000</v>
      </c>
      <c r="D115" s="20" t="n">
        <v>2300</v>
      </c>
      <c r="E115" s="20" t="n">
        <v>2300</v>
      </c>
      <c r="F115" s="20" t="n">
        <v>2300</v>
      </c>
      <c r="G115" s="20" t="n">
        <v>2300</v>
      </c>
      <c r="K115" s="20" t="n">
        <v>0</v>
      </c>
      <c r="L115" s="20" t="n">
        <v>2300</v>
      </c>
    </row>
    <row r="116">
      <c r="A116" s="18" t="inlineStr">
        <is>
          <t>미지급금</t>
        </is>
      </c>
      <c r="C116" s="20" t="n">
        <v>262.289</v>
      </c>
      <c r="D116" s="20" t="n">
        <v>230.893</v>
      </c>
      <c r="E116" s="20" t="n">
        <v>270.34</v>
      </c>
      <c r="F116" s="20" t="n">
        <v>253.835</v>
      </c>
      <c r="G116" s="20" t="n">
        <v>231.927</v>
      </c>
      <c r="H116" s="20" t="n">
        <v>326.753</v>
      </c>
      <c r="I116" s="20" t="n">
        <v>166.181</v>
      </c>
      <c r="J116" s="20" t="n">
        <v>381.548</v>
      </c>
      <c r="K116" s="20" t="n">
        <v>278.673</v>
      </c>
      <c r="L116" s="20" t="n">
        <v>253.835</v>
      </c>
    </row>
    <row r="117">
      <c r="A117" s="18" t="inlineStr">
        <is>
          <t>미지급비용</t>
        </is>
      </c>
      <c r="C117" s="20" t="n">
        <v>382.631</v>
      </c>
      <c r="D117" s="20" t="n">
        <v>690.269</v>
      </c>
      <c r="E117" s="20" t="n">
        <v>381.018</v>
      </c>
      <c r="F117" s="20" t="n">
        <v>693.304</v>
      </c>
      <c r="G117" s="20" t="n">
        <v>378.99</v>
      </c>
      <c r="H117" s="20" t="n">
        <v>505.652</v>
      </c>
      <c r="I117" s="20" t="n">
        <v>527.562</v>
      </c>
      <c r="J117" s="20" t="n">
        <v>659.923</v>
      </c>
      <c r="K117" s="20" t="n">
        <v>607.172</v>
      </c>
      <c r="L117" s="20" t="n">
        <v>693.304</v>
      </c>
    </row>
    <row r="118">
      <c r="A118" s="18" t="inlineStr">
        <is>
          <t>미지급법인세</t>
        </is>
      </c>
      <c r="C118" s="20" t="n">
        <v>58.504</v>
      </c>
      <c r="D118" s="20" t="n">
        <v>380.242</v>
      </c>
      <c r="E118" s="20" t="n">
        <v>134.199</v>
      </c>
      <c r="F118" s="20" t="n">
        <v>543.782</v>
      </c>
      <c r="G118" s="20" t="n">
        <v>112.337</v>
      </c>
      <c r="H118" s="20" t="n">
        <v>424.5</v>
      </c>
      <c r="I118" s="20" t="n">
        <v>423</v>
      </c>
      <c r="J118" s="20" t="n">
        <v>449.396</v>
      </c>
      <c r="K118" s="20" t="n">
        <v>429.3</v>
      </c>
      <c r="L118" s="20" t="n">
        <v>543.782</v>
      </c>
    </row>
    <row r="119">
      <c r="A119" s="18" t="inlineStr">
        <is>
          <t>미지급 소비세</t>
        </is>
      </c>
      <c r="C119" s="20" t="n">
        <v>108.747</v>
      </c>
      <c r="D119" s="20" t="n">
        <v>148.288</v>
      </c>
      <c r="E119" s="20" t="n">
        <v>163.294</v>
      </c>
      <c r="F119" s="20" t="n">
        <v>264.4</v>
      </c>
      <c r="G119" s="20" t="n">
        <v>98.41</v>
      </c>
      <c r="H119" s="20" t="n">
        <v>33.682</v>
      </c>
      <c r="I119" s="20" t="n">
        <v>84.197</v>
      </c>
      <c r="J119" s="20" t="n">
        <v>129.914</v>
      </c>
      <c r="K119" s="20" t="n">
        <v>0</v>
      </c>
      <c r="L119" s="20" t="n">
        <v>264.4</v>
      </c>
    </row>
    <row r="120">
      <c r="A120" s="18" t="inlineStr">
        <is>
          <t>선수금</t>
        </is>
      </c>
      <c r="F120" s="20" t="n">
        <v>38.795</v>
      </c>
      <c r="H120" s="20" t="n">
        <v>74.19499999999999</v>
      </c>
      <c r="I120" s="20" t="n">
        <v>30.983</v>
      </c>
      <c r="J120" s="20" t="n">
        <v>43.711</v>
      </c>
      <c r="K120" s="20" t="n">
        <v>19.04</v>
      </c>
      <c r="L120" s="20" t="n">
        <v>38.795</v>
      </c>
    </row>
    <row r="121">
      <c r="A121" s="18" t="inlineStr">
        <is>
          <t>예수금</t>
        </is>
      </c>
      <c r="F121" s="20" t="n">
        <v>24.432</v>
      </c>
      <c r="H121" s="20" t="n">
        <v>18.653</v>
      </c>
      <c r="I121" s="20" t="n">
        <v>26.979</v>
      </c>
      <c r="J121" s="20" t="n">
        <v>39.055</v>
      </c>
      <c r="K121" s="20" t="n">
        <v>23.637</v>
      </c>
      <c r="L121" s="20" t="n">
        <v>24.432</v>
      </c>
    </row>
    <row r="122">
      <c r="A122" s="18" t="inlineStr">
        <is>
          <t>선수수익</t>
        </is>
      </c>
      <c r="F122" s="20" t="n">
        <v>2.336</v>
      </c>
      <c r="H122" s="20" t="n">
        <v>2.603</v>
      </c>
      <c r="I122" s="20" t="n">
        <v>3.08</v>
      </c>
      <c r="J122" s="20" t="n">
        <v>2.739</v>
      </c>
      <c r="K122" s="20" t="n">
        <v>2.193</v>
      </c>
      <c r="L122" s="20" t="n">
        <v>2.336</v>
      </c>
    </row>
    <row r="123">
      <c r="A123" s="18" t="inlineStr">
        <is>
          <t>기타</t>
        </is>
      </c>
      <c r="C123" s="20" t="n">
        <v>280.092</v>
      </c>
      <c r="D123" s="20" t="n">
        <v>75.122</v>
      </c>
      <c r="E123" s="20" t="n">
        <v>200.418</v>
      </c>
      <c r="F123" s="20" t="n">
        <v>75.991</v>
      </c>
      <c r="G123" s="20" t="n">
        <v>282.398</v>
      </c>
      <c r="H123" s="20" t="n">
        <v>10.58</v>
      </c>
      <c r="I123" s="20" t="n">
        <v>9.727</v>
      </c>
      <c r="J123" s="20" t="n">
        <v>101.773</v>
      </c>
      <c r="K123" s="20" t="n">
        <v>7.252</v>
      </c>
      <c r="L123" s="20" t="n">
        <v>75.991</v>
      </c>
    </row>
    <row r="124">
      <c r="A124" s="9" t="inlineStr">
        <is>
          <t>유동부채 합계</t>
        </is>
      </c>
      <c r="C124" s="12" t="n">
        <v>6580.585</v>
      </c>
      <c r="D124" s="12" t="n">
        <v>7028.97</v>
      </c>
      <c r="E124" s="12" t="n">
        <v>8937.796</v>
      </c>
      <c r="F124" s="12" t="n">
        <v>8292.648999999999</v>
      </c>
      <c r="G124" s="12" t="n">
        <v>7348.086</v>
      </c>
      <c r="H124" s="12" t="n">
        <v>4489.383</v>
      </c>
      <c r="I124" s="12" t="n">
        <v>4406.221</v>
      </c>
      <c r="J124" s="12" t="n">
        <v>5424.559</v>
      </c>
      <c r="K124" s="12" t="n">
        <v>5029.602</v>
      </c>
      <c r="L124" s="12" t="n">
        <v>8292.648999999999</v>
      </c>
    </row>
    <row r="125">
      <c r="A125" s="18" t="inlineStr">
        <is>
          <t>장기미지급금</t>
        </is>
      </c>
      <c r="C125" s="20" t="n">
        <v>125.5</v>
      </c>
      <c r="D125" s="20" t="n">
        <v>125.5</v>
      </c>
      <c r="E125" s="20" t="n">
        <v>125.5</v>
      </c>
      <c r="F125" s="20" t="n">
        <v>125.5</v>
      </c>
      <c r="G125" s="20" t="n">
        <v>125.5</v>
      </c>
      <c r="H125" s="20" t="n">
        <v>124.2</v>
      </c>
      <c r="I125" s="20" t="n">
        <v>124.2</v>
      </c>
      <c r="J125" s="20" t="n">
        <v>125.5</v>
      </c>
      <c r="K125" s="20" t="n">
        <v>124.2</v>
      </c>
      <c r="L125" s="20" t="n">
        <v>125.5</v>
      </c>
    </row>
    <row r="126">
      <c r="A126" s="18" t="inlineStr">
        <is>
          <t>장기 예수보증금</t>
        </is>
      </c>
      <c r="C126" s="20" t="n">
        <v>152.951</v>
      </c>
      <c r="D126" s="20" t="n">
        <v>151.501</v>
      </c>
      <c r="E126" s="20" t="n">
        <v>156.001</v>
      </c>
      <c r="F126" s="20" t="n">
        <v>158.001</v>
      </c>
      <c r="G126" s="20" t="n">
        <v>157.851</v>
      </c>
      <c r="H126" s="20" t="n">
        <v>149.318</v>
      </c>
      <c r="I126" s="20" t="n">
        <v>153.318</v>
      </c>
      <c r="J126" s="20" t="n">
        <v>152.251</v>
      </c>
      <c r="K126" s="20" t="n">
        <v>152.851</v>
      </c>
      <c r="L126" s="20" t="n">
        <v>158.001</v>
      </c>
    </row>
    <row r="127">
      <c r="A127" s="18" t="inlineStr">
        <is>
          <t>퇴직급여부채</t>
        </is>
      </c>
      <c r="C127" s="20" t="n">
        <v>124.728</v>
      </c>
      <c r="D127" s="20" t="n">
        <v>126.865</v>
      </c>
      <c r="E127" s="20" t="n">
        <v>128.001</v>
      </c>
      <c r="F127" s="20" t="n">
        <v>128.232</v>
      </c>
      <c r="G127" s="20" t="n">
        <v>130.349</v>
      </c>
      <c r="H127" s="20" t="n">
        <v>148.737</v>
      </c>
      <c r="I127" s="20" t="n">
        <v>143.853</v>
      </c>
      <c r="J127" s="20" t="n">
        <v>132.869</v>
      </c>
      <c r="K127" s="20" t="n">
        <v>124.827</v>
      </c>
      <c r="L127" s="20" t="n">
        <v>128.232</v>
      </c>
    </row>
    <row r="128">
      <c r="A128" s="18" t="inlineStr">
        <is>
          <t>기타</t>
        </is>
      </c>
      <c r="H128" s="20" t="n">
        <v>0</v>
      </c>
    </row>
    <row r="129">
      <c r="A129" s="18" t="inlineStr">
        <is>
          <t>이연법인세부채</t>
        </is>
      </c>
      <c r="C129" s="20" t="n">
        <v>857.527</v>
      </c>
      <c r="D129" s="20" t="n">
        <v>855.889</v>
      </c>
      <c r="E129" s="20" t="n">
        <v>1074.101</v>
      </c>
      <c r="F129" s="20" t="n">
        <v>918.7190000000001</v>
      </c>
      <c r="G129" s="20" t="n">
        <v>1528.385</v>
      </c>
      <c r="H129" s="20" t="n">
        <v>141.883</v>
      </c>
      <c r="I129" s="20" t="n">
        <v>204.723</v>
      </c>
      <c r="J129" s="20" t="n">
        <v>806.3680000000001</v>
      </c>
      <c r="K129" s="20" t="n">
        <v>495.562</v>
      </c>
      <c r="L129" s="20" t="n">
        <v>918.7190000000001</v>
      </c>
    </row>
    <row r="130">
      <c r="A130" s="18" t="inlineStr">
        <is>
          <t>퇴직급여충당금</t>
        </is>
      </c>
      <c r="F130" s="20" t="n">
        <v>147.621</v>
      </c>
      <c r="H130" s="20" t="n">
        <v>152.112</v>
      </c>
      <c r="I130" s="20" t="n">
        <v>152.223</v>
      </c>
      <c r="J130" s="20" t="n">
        <v>148.152</v>
      </c>
      <c r="K130" s="20" t="n">
        <v>147.362</v>
      </c>
      <c r="L130" s="20" t="n">
        <v>147.621</v>
      </c>
    </row>
    <row r="131">
      <c r="A131" s="9" t="inlineStr">
        <is>
          <t>비유동부채 합계</t>
        </is>
      </c>
      <c r="C131" s="12" t="n">
        <v>1260.706</v>
      </c>
      <c r="D131" s="12" t="n">
        <v>1259.756</v>
      </c>
      <c r="E131" s="12" t="n">
        <v>1483.604</v>
      </c>
      <c r="F131" s="12" t="n">
        <v>1330.452</v>
      </c>
      <c r="G131" s="12" t="n">
        <v>1942.086</v>
      </c>
      <c r="H131" s="12" t="n">
        <v>567.514</v>
      </c>
      <c r="I131" s="12" t="n">
        <v>634.465</v>
      </c>
      <c r="J131" s="12" t="n">
        <v>1216.989</v>
      </c>
      <c r="K131" s="12" t="n">
        <v>919.976</v>
      </c>
      <c r="L131" s="12" t="n">
        <v>1330.452</v>
      </c>
    </row>
    <row r="132">
      <c r="A132" s="9" t="inlineStr">
        <is>
          <t>부채 합계</t>
        </is>
      </c>
      <c r="C132" s="12" t="n">
        <v>7841.292</v>
      </c>
      <c r="D132" s="12" t="n">
        <v>8288.726000000001</v>
      </c>
      <c r="E132" s="12" t="n">
        <v>10421.401</v>
      </c>
      <c r="F132" s="12" t="n">
        <v>9623.102000000001</v>
      </c>
      <c r="G132" s="12" t="n">
        <v>9290.173000000001</v>
      </c>
      <c r="H132" s="12" t="n">
        <v>5056.898</v>
      </c>
      <c r="I132" s="12" t="n">
        <v>5040.687</v>
      </c>
      <c r="J132" s="12" t="n">
        <v>6641.548</v>
      </c>
      <c r="K132" s="12" t="n">
        <v>5949.578</v>
      </c>
      <c r="L132" s="12" t="n">
        <v>9623.102000000001</v>
      </c>
    </row>
    <row r="133">
      <c r="A133" s="18" t="inlineStr">
        <is>
          <t>자본금</t>
        </is>
      </c>
      <c r="C133" s="20" t="n">
        <v>2597.406</v>
      </c>
      <c r="D133" s="20" t="n">
        <v>2597.406</v>
      </c>
      <c r="E133" s="20" t="n">
        <v>2597.406</v>
      </c>
      <c r="F133" s="20" t="n">
        <v>2597.406</v>
      </c>
      <c r="G133" s="20" t="n">
        <v>2597.406</v>
      </c>
      <c r="H133" s="20" t="n">
        <v>2597.406</v>
      </c>
      <c r="I133" s="20" t="n">
        <v>2597.406</v>
      </c>
      <c r="J133" s="20" t="n">
        <v>2597.406</v>
      </c>
      <c r="K133" s="20" t="n">
        <v>2597.406</v>
      </c>
      <c r="L133" s="20" t="n">
        <v>2597.406</v>
      </c>
    </row>
    <row r="134">
      <c r="A134" s="18" t="inlineStr">
        <is>
          <t>자본준비금</t>
        </is>
      </c>
      <c r="F134" s="20" t="n">
        <v>2513.808</v>
      </c>
      <c r="H134" s="20" t="n">
        <v>2513.808</v>
      </c>
      <c r="I134" s="20" t="n">
        <v>2513.808</v>
      </c>
      <c r="J134" s="20" t="n">
        <v>2513.808</v>
      </c>
      <c r="K134" s="20" t="n">
        <v>2513.808</v>
      </c>
      <c r="L134" s="20" t="n">
        <v>2513.808</v>
      </c>
    </row>
    <row r="135">
      <c r="A135" s="18" t="inlineStr">
        <is>
          <t>기타자본잉여금</t>
        </is>
      </c>
      <c r="F135" s="20" t="n">
        <v>15.486</v>
      </c>
      <c r="H135" s="20" t="n">
        <v>15.486</v>
      </c>
      <c r="I135" s="20" t="n">
        <v>15.486</v>
      </c>
      <c r="J135" s="20" t="n">
        <v>15.486</v>
      </c>
      <c r="K135" s="20" t="n">
        <v>15.486</v>
      </c>
      <c r="L135" s="20" t="n">
        <v>15.486</v>
      </c>
    </row>
    <row r="136">
      <c r="A136" s="18" t="inlineStr">
        <is>
          <t>자본잉여금</t>
        </is>
      </c>
      <c r="C136" s="20" t="n">
        <v>2529.295</v>
      </c>
      <c r="D136" s="20" t="n">
        <v>2529.295</v>
      </c>
      <c r="E136" s="20" t="n">
        <v>2529.295</v>
      </c>
      <c r="F136" s="20" t="n">
        <v>2529.295</v>
      </c>
      <c r="G136" s="20" t="n">
        <v>2513.808</v>
      </c>
      <c r="H136" s="20" t="n">
        <v>2529.295</v>
      </c>
      <c r="I136" s="20" t="n">
        <v>2529.295</v>
      </c>
      <c r="J136" s="20" t="n">
        <v>2529.295</v>
      </c>
      <c r="K136" s="20" t="n">
        <v>2529.295</v>
      </c>
      <c r="L136" s="20" t="n">
        <v>2529.295</v>
      </c>
    </row>
    <row r="137">
      <c r="A137" s="18" t="inlineStr">
        <is>
          <t>이익준비금</t>
        </is>
      </c>
      <c r="F137" s="20" t="n">
        <v>260.979</v>
      </c>
      <c r="H137" s="20" t="n">
        <v>260.979</v>
      </c>
      <c r="I137" s="20" t="n">
        <v>260.979</v>
      </c>
      <c r="J137" s="20" t="n">
        <v>260.979</v>
      </c>
      <c r="K137" s="20" t="n">
        <v>260.979</v>
      </c>
      <c r="L137" s="20" t="n">
        <v>260.979</v>
      </c>
    </row>
    <row r="138">
      <c r="A138" s="18" t="inlineStr">
        <is>
          <t>고정자산 압축적립금</t>
        </is>
      </c>
      <c r="F138" s="20" t="n">
        <v>148.934</v>
      </c>
      <c r="H138" s="20" t="n">
        <v>152.934</v>
      </c>
      <c r="I138" s="20" t="n">
        <v>152.589</v>
      </c>
      <c r="J138" s="20" t="n">
        <v>152.265</v>
      </c>
      <c r="K138" s="20" t="n">
        <v>151.104</v>
      </c>
      <c r="L138" s="20" t="n">
        <v>148.934</v>
      </c>
    </row>
    <row r="139">
      <c r="A139" s="18" t="inlineStr">
        <is>
          <t>별도적립금</t>
        </is>
      </c>
      <c r="F139" s="20" t="n">
        <v>20550</v>
      </c>
      <c r="H139" s="20" t="n">
        <v>20550</v>
      </c>
      <c r="I139" s="20" t="n">
        <v>20550</v>
      </c>
      <c r="J139" s="20" t="n">
        <v>20550</v>
      </c>
      <c r="K139" s="20" t="n">
        <v>20550</v>
      </c>
      <c r="L139" s="20" t="n">
        <v>20550</v>
      </c>
    </row>
    <row r="140">
      <c r="A140" s="18" t="inlineStr">
        <is>
          <t>이월이익잉여금</t>
        </is>
      </c>
      <c r="F140" s="20" t="n">
        <v>8879.904</v>
      </c>
      <c r="H140" s="20" t="n">
        <v>4966.177</v>
      </c>
      <c r="I140" s="20" t="n">
        <v>6086.538</v>
      </c>
      <c r="J140" s="20" t="n">
        <v>6775.595</v>
      </c>
      <c r="K140" s="20" t="n">
        <v>8234.117</v>
      </c>
      <c r="L140" s="20" t="n">
        <v>8879.904</v>
      </c>
    </row>
    <row r="141">
      <c r="A141" s="18" t="inlineStr">
        <is>
          <t>이익잉여금</t>
        </is>
      </c>
      <c r="C141" s="20" t="n">
        <v>32012.828</v>
      </c>
      <c r="D141" s="20" t="n">
        <v>32441.136</v>
      </c>
      <c r="E141" s="20" t="n">
        <v>32658.816</v>
      </c>
      <c r="F141" s="20" t="n">
        <v>33421.364</v>
      </c>
      <c r="G141" s="20" t="n">
        <v>27612.092</v>
      </c>
      <c r="H141" s="20" t="n">
        <v>25930.091</v>
      </c>
      <c r="I141" s="20" t="n">
        <v>27050.107</v>
      </c>
      <c r="J141" s="20" t="n">
        <v>31082.228</v>
      </c>
      <c r="K141" s="20" t="n">
        <v>29196.201</v>
      </c>
      <c r="L141" s="20" t="n">
        <v>33421.364</v>
      </c>
    </row>
    <row r="142">
      <c r="A142" s="18" t="inlineStr">
        <is>
          <t>자기주식</t>
        </is>
      </c>
      <c r="C142" s="20" t="n">
        <v>-5097.874</v>
      </c>
      <c r="D142" s="20" t="n">
        <v>-6261.474</v>
      </c>
      <c r="E142" s="20" t="n">
        <v>-6933.868</v>
      </c>
      <c r="F142" s="20" t="n">
        <v>-6933.868</v>
      </c>
      <c r="G142" s="20" t="n">
        <v>-1198.924</v>
      </c>
      <c r="H142" s="20" t="n">
        <v>-2549.906</v>
      </c>
      <c r="I142" s="20" t="n">
        <v>-2549.906</v>
      </c>
      <c r="J142" s="20" t="n">
        <v>-2550.013</v>
      </c>
      <c r="K142" s="20" t="n">
        <v>-3933.919</v>
      </c>
      <c r="L142" s="20" t="n">
        <v>-6933.868</v>
      </c>
    </row>
    <row r="143">
      <c r="A143" s="9" t="inlineStr">
        <is>
          <t>주주자본 합계</t>
        </is>
      </c>
      <c r="C143" s="12" t="n">
        <v>32041.656</v>
      </c>
      <c r="D143" s="12" t="n">
        <v>31306.364</v>
      </c>
      <c r="E143" s="12" t="n">
        <v>30851.65</v>
      </c>
      <c r="F143" s="12" t="n">
        <v>31614.198</v>
      </c>
      <c r="G143" s="12" t="n">
        <v>31524.383</v>
      </c>
      <c r="H143" s="12" t="n">
        <v>28506.887</v>
      </c>
      <c r="I143" s="12" t="n">
        <v>29626.903</v>
      </c>
      <c r="J143" s="12" t="n">
        <v>33658.917</v>
      </c>
      <c r="K143" s="12" t="n">
        <v>30388.984</v>
      </c>
      <c r="L143" s="12" t="n">
        <v>31614.198</v>
      </c>
    </row>
    <row r="144">
      <c r="A144" s="18" t="inlineStr">
        <is>
          <t>기타유가증권 평가차액</t>
        </is>
      </c>
      <c r="C144" s="20" t="n">
        <v>1941.52</v>
      </c>
      <c r="D144" s="20" t="n">
        <v>2166.019</v>
      </c>
      <c r="E144" s="20" t="n">
        <v>2398.86</v>
      </c>
      <c r="F144" s="20" t="n">
        <v>2229.833</v>
      </c>
      <c r="G144" s="20" t="n">
        <v>3257.004</v>
      </c>
      <c r="H144" s="20" t="n">
        <v>1039.184</v>
      </c>
      <c r="I144" s="20" t="n">
        <v>1127.92</v>
      </c>
      <c r="J144" s="20" t="n">
        <v>2161.799</v>
      </c>
      <c r="K144" s="20" t="n">
        <v>1584.481</v>
      </c>
      <c r="L144" s="20" t="n">
        <v>2229.833</v>
      </c>
    </row>
    <row r="145">
      <c r="A145" s="18" t="inlineStr">
        <is>
          <t>퇴직급여 조정누계액</t>
        </is>
      </c>
      <c r="C145" s="20" t="n">
        <v>143.713</v>
      </c>
      <c r="D145" s="20" t="n">
        <v>135.862</v>
      </c>
      <c r="E145" s="20" t="n">
        <v>128.012</v>
      </c>
      <c r="F145" s="20" t="n">
        <v>163.588</v>
      </c>
      <c r="G145" s="20" t="n">
        <v>154.321</v>
      </c>
      <c r="H145" s="20" t="n">
        <v>39.124</v>
      </c>
      <c r="I145" s="20" t="n">
        <v>12.6</v>
      </c>
      <c r="J145" s="20" t="n">
        <v>137.382</v>
      </c>
      <c r="K145" s="20" t="n">
        <v>153.531</v>
      </c>
      <c r="L145" s="20" t="n">
        <v>163.588</v>
      </c>
    </row>
    <row r="146">
      <c r="A146" s="18" t="inlineStr">
        <is>
          <t>기타포괄손익누계액 합계</t>
        </is>
      </c>
      <c r="C146" s="20" t="n">
        <v>2085.233</v>
      </c>
      <c r="D146" s="20" t="n">
        <v>2301.881</v>
      </c>
      <c r="E146" s="20" t="n">
        <v>2526.872</v>
      </c>
      <c r="F146" s="20" t="n">
        <v>2393.421</v>
      </c>
      <c r="G146" s="20" t="n">
        <v>3411.325</v>
      </c>
      <c r="H146" s="20" t="n">
        <v>1039.184</v>
      </c>
      <c r="I146" s="20" t="n">
        <v>1127.92</v>
      </c>
      <c r="J146" s="20" t="n">
        <v>2299.182</v>
      </c>
      <c r="K146" s="20" t="n">
        <v>1584.481</v>
      </c>
      <c r="L146" s="20" t="n">
        <v>2393.421</v>
      </c>
    </row>
    <row r="147">
      <c r="A147" s="9" t="inlineStr">
        <is>
          <t>순자산 합계</t>
        </is>
      </c>
      <c r="C147" s="12" t="n">
        <v>34126.89</v>
      </c>
      <c r="D147" s="12" t="n">
        <v>33608.245</v>
      </c>
      <c r="E147" s="12" t="n">
        <v>33378.522</v>
      </c>
      <c r="F147" s="12" t="n">
        <v>34007.62</v>
      </c>
      <c r="G147" s="12" t="n">
        <v>34935.708</v>
      </c>
      <c r="H147" s="12" t="n">
        <v>29546.072</v>
      </c>
      <c r="I147" s="12" t="n">
        <v>30754.823</v>
      </c>
      <c r="J147" s="12" t="n">
        <v>35958.099</v>
      </c>
      <c r="K147" s="12" t="n">
        <v>31973.465</v>
      </c>
      <c r="L147" s="12" t="n">
        <v>34007.62</v>
      </c>
    </row>
    <row r="148">
      <c r="A148" s="9" t="inlineStr">
        <is>
          <t>부채·순자산 합계</t>
        </is>
      </c>
      <c r="C148" s="12" t="n">
        <v>41968.183</v>
      </c>
      <c r="D148" s="12" t="n">
        <v>41896.972</v>
      </c>
      <c r="E148" s="12" t="n">
        <v>43799.924</v>
      </c>
      <c r="F148" s="12" t="n">
        <v>43630.722</v>
      </c>
      <c r="G148" s="12" t="n">
        <v>44225.882</v>
      </c>
      <c r="H148" s="12" t="n">
        <v>34602.97</v>
      </c>
      <c r="I148" s="12" t="n">
        <v>35795.511</v>
      </c>
      <c r="J148" s="12" t="n">
        <v>42599.648</v>
      </c>
      <c r="K148" s="12" t="n">
        <v>37923.044</v>
      </c>
      <c r="L148" s="12" t="n">
        <v>43630.722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https://www2.jpx.co.jp/disc/99320/140120260728500767.pdf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https://www2.jpx.co.jp/disc/99320/140120260424510755.pdf</t>
        </is>
      </c>
    </row>
    <row r="6">
      <c r="A6" t="inlineStr">
        <is>
          <t>2026-01-28</t>
        </is>
      </c>
      <c r="B6" t="inlineStr">
        <is>
          <t>2026년 3월 결산기 ３분기 결산단신</t>
        </is>
      </c>
      <c r="C6" t="inlineStr">
        <is>
          <t>https://www2.jpx.co.jp/disc/99320/140120260127539524.pdf</t>
        </is>
      </c>
    </row>
    <row r="7">
      <c r="A7" t="inlineStr">
        <is>
          <t>2025-10-29</t>
        </is>
      </c>
      <c r="B7" t="inlineStr">
        <is>
          <t>2026년 3월 결산기 2분기 결산단신</t>
        </is>
      </c>
      <c r="C7" t="inlineStr">
        <is>
          <t>https://www2.jpx.co.jp/disc/99320/140120251028580532.pdf</t>
        </is>
      </c>
    </row>
    <row r="8">
      <c r="A8" t="inlineStr">
        <is>
          <t>2025-07-29</t>
        </is>
      </c>
      <c r="B8" t="inlineStr">
        <is>
          <t>2026년 3월 결산기 1분기 결산단신</t>
        </is>
      </c>
      <c r="C8" t="inlineStr">
        <is>
          <t>https://www2.jpx.co.jp/disc/99320/140120250728521763.pdf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https://www2.jpx.co.jp/disc/99320/140120250424522270.pdf</t>
        </is>
      </c>
    </row>
    <row r="10">
      <c r="A10" t="inlineStr">
        <is>
          <t>2025-01-29</t>
        </is>
      </c>
      <c r="B10" t="inlineStr">
        <is>
          <t>2025년 3월 결산기 ３분기 결산단신</t>
        </is>
      </c>
      <c r="C10" t="inlineStr">
        <is>
          <t>https://www2.jpx.co.jp/disc/99320/140120250128556520.pdf</t>
        </is>
      </c>
    </row>
    <row r="11">
      <c r="A11" t="inlineStr">
        <is>
          <t>2024-10-29</t>
        </is>
      </c>
      <c r="B11" t="inlineStr">
        <is>
          <t>2025년 3월 결산기 2분기 결산단신</t>
        </is>
      </c>
      <c r="C11" t="inlineStr">
        <is>
          <t>https://www2.jpx.co.jp/disc/99320/140120241029504458.pdf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https://www2.jpx.co.jp/disc/99320/140120240729556349.pdf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https://www2.jpx.co.jp/disc/99320/140120240425576283.pdf</t>
        </is>
      </c>
    </row>
    <row r="14">
      <c r="A14" t="inlineStr">
        <is>
          <t>2024-01-29</t>
        </is>
      </c>
      <c r="B14" t="inlineStr">
        <is>
          <t>2024년 3월 결산기 3분기 결산단신</t>
        </is>
      </c>
      <c r="C14" t="inlineStr">
        <is>
          <t>https://www2.jpx.co.jp/disc/99320/140120240126519893.pdf</t>
        </is>
      </c>
    </row>
    <row r="15">
      <c r="A15" t="inlineStr">
        <is>
          <t>2023-10-27</t>
        </is>
      </c>
      <c r="B15" t="inlineStr">
        <is>
          <t>2024년 3월 결산기 2분기 결산단신</t>
        </is>
      </c>
      <c r="C15" t="inlineStr">
        <is>
          <t>https://www2.jpx.co.jp/disc/99320/140120231027572818.pdf</t>
        </is>
      </c>
    </row>
    <row r="16">
      <c r="A16" t="inlineStr">
        <is>
          <t>2023-07-27</t>
        </is>
      </c>
      <c r="B16" t="inlineStr">
        <is>
          <t>2024년 3월 결산기 1분기 결산단신</t>
        </is>
      </c>
      <c r="C16" t="inlineStr">
        <is>
          <t>https://www2.jpx.co.jp/disc/99320/140120230727527966.pdf</t>
        </is>
      </c>
    </row>
    <row r="17">
      <c r="A17" t="inlineStr">
        <is>
          <t>2023-04-26</t>
        </is>
      </c>
      <c r="B17" t="inlineStr">
        <is>
          <t>2023년 3월 결산기 연간 결산단신</t>
        </is>
      </c>
      <c r="C17" t="inlineStr">
        <is>
          <t>https://www2.jpx.co.jp/disc/99320/140120230425552642.pdf</t>
        </is>
      </c>
    </row>
    <row r="18">
      <c r="A18" t="inlineStr">
        <is>
          <t>2023-01-27</t>
        </is>
      </c>
      <c r="B18" t="inlineStr">
        <is>
          <t>2023년 3월 결산기 3분기 결산단신</t>
        </is>
      </c>
      <c r="C18" t="inlineStr">
        <is>
          <t>https://www2.jpx.co.jp/disc/99320/140120230126594206.pdf</t>
        </is>
      </c>
    </row>
    <row r="19">
      <c r="A19" t="inlineStr">
        <is>
          <t>2022-10-27</t>
        </is>
      </c>
      <c r="B19" t="inlineStr">
        <is>
          <t>2023년 3월 결산기 2분기 결산단신</t>
        </is>
      </c>
      <c r="C19" t="inlineStr">
        <is>
          <t>https://www2.jpx.co.jp/disc/99320/140120221026550087.pdf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https://www2.jpx.co.jp/disc/99320/140120220426527765.pdf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https://www2.jpx.co.jp/disc/99320/140120210426400365.pdf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https://www2.jpx.co.jp/disc/99320/140120200424499527.pdf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https://www2.jpx.co.jp/disc/99320/140120190423409071.pdf</t>
        </is>
      </c>
    </row>
    <row r="24">
      <c r="A24" t="inlineStr">
        <is>
          <t>2018-04-25</t>
        </is>
      </c>
      <c r="B24" t="inlineStr">
        <is>
          <t>연간 결산단신</t>
        </is>
      </c>
      <c r="C24" t="inlineStr">
        <is>
          <t>https://www2.jpx.co.jp/disc/99320/140120180420415562.pdf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2026-10-26T10:59:51Z</dcterms:created>
  <dcterms:modified xmlns:dcterms="http://purl.org/dc/terms/" xmlns:xsi="http://www.w3.org/2001/XMLSchema-instance" xsi:type="dcterms:W3CDTF">2026-10-26T10:59:51Z</dcterms:modified>
</cp:coreProperties>
</file>