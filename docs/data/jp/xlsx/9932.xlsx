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189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9932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2027.1Q = 2027년 3월 결산기 1분기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2024.2Q</t>
        </is>
      </c>
      <c r="D3" s="5" t="inlineStr">
        <is>
          <t>2024.3Q</t>
        </is>
      </c>
      <c r="E3" s="5" t="inlineStr">
        <is>
          <t>2024.4Q</t>
        </is>
      </c>
      <c r="F3" s="5" t="inlineStr">
        <is>
          <t>2025.1Q</t>
        </is>
      </c>
      <c r="G3" s="5" t="inlineStr">
        <is>
          <t>2025.2Q</t>
        </is>
      </c>
      <c r="H3" s="5" t="inlineStr">
        <is>
          <t>2025.3Q</t>
        </is>
      </c>
      <c r="I3" s="5" t="inlineStr">
        <is>
          <t>2025.4Q</t>
        </is>
      </c>
      <c r="J3" s="5" t="inlineStr">
        <is>
          <t>2026.1Q</t>
        </is>
      </c>
      <c r="K3" s="5" t="inlineStr">
        <is>
          <t>2026.2Q</t>
        </is>
      </c>
      <c r="L3" s="5" t="inlineStr">
        <is>
          <t>2026.3Q</t>
        </is>
      </c>
      <c r="M3" s="5" t="inlineStr">
        <is>
          <t>2026.4Q</t>
        </is>
      </c>
      <c r="N3" s="5" t="inlineStr">
        <is>
          <t>2027.1Q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11216.073</v>
      </c>
      <c r="D4" s="12" t="n">
        <v>13306.798</v>
      </c>
      <c r="E4" s="12" t="n">
        <v>4870.407</v>
      </c>
      <c r="F4" s="12" t="n">
        <v>10976.4</v>
      </c>
      <c r="G4" s="12" t="n">
        <v>12198.763</v>
      </c>
      <c r="H4" s="12" t="n">
        <v>13943.097</v>
      </c>
      <c r="I4" s="12" t="n">
        <v>12346.856</v>
      </c>
      <c r="J4" s="12" t="n">
        <v>11170.441</v>
      </c>
      <c r="K4" s="12" t="n">
        <v>11603.944</v>
      </c>
      <c r="L4" s="12" t="n">
        <v>13502.794</v>
      </c>
      <c r="M4" s="12" t="n">
        <v>12334.442</v>
      </c>
      <c r="N4" s="12" t="n">
        <v>12132.436</v>
      </c>
      <c r="O4" s="11" t="n">
        <v>35249.632</v>
      </c>
      <c r="P4" s="12" t="n">
        <v>38017.758</v>
      </c>
      <c r="Q4" s="12" t="n">
        <v>45417.113</v>
      </c>
      <c r="R4" s="12" t="n">
        <v>37711.203</v>
      </c>
      <c r="S4" s="12" t="n">
        <v>40365.447</v>
      </c>
      <c r="T4" s="12" t="n">
        <v>43120.38</v>
      </c>
      <c r="U4" s="12" t="n">
        <v>39456.905</v>
      </c>
      <c r="V4" s="12" t="n">
        <v>40234.864</v>
      </c>
      <c r="W4" s="12" t="n">
        <v>49465.116</v>
      </c>
      <c r="X4" s="12" t="n">
        <v>48611.621</v>
      </c>
      <c r="Y4" s="11">
        <f>IF(COUNT(Y7,Y10,Y13,Y16,Y19)=0,"",SUM(Y7,Y10,Y13,Y16,Y19))</f>
        <v/>
      </c>
      <c r="Z4" s="12">
        <f>IF(COUNT(Z7,Z10,Z13,Z16,Z19)=0,"",SUM(Z7,Z10,Z13,Z16,Z19))</f>
        <v/>
      </c>
      <c r="AA4" s="12">
        <f>IF(COUNT(AA7,AA10,AA13,AA16,AA19)=0,"",SUM(AA7,AA10,AA13,AA16,AA19))</f>
        <v/>
      </c>
      <c r="AB4" s="12">
        <f>IF(COUNT(AB7,AB10,AB13,AB16,AB19)=0,"",SUM(AB7,AB10,AB13,AB16,AB19))</f>
        <v/>
      </c>
      <c r="AC4" s="12">
        <f>IF(COUNT(AC7,AC10,AC13,AC16,AC19)=0,"",SUM(AC7,AC10,AC13,AC16,AC19))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EastReportableSegmentsMember</t>
        </is>
      </c>
      <c r="B7" s="10" t="n"/>
      <c r="C7" s="19" t="n">
        <v>2718.681</v>
      </c>
      <c r="D7" s="20" t="n">
        <v>3312.389</v>
      </c>
      <c r="E7" s="20" t="n">
        <v>2678.798</v>
      </c>
      <c r="F7" s="20" t="n">
        <v>2684.847</v>
      </c>
      <c r="G7" s="20" t="n">
        <v>2928.239</v>
      </c>
      <c r="H7" s="20" t="n">
        <v>3358.389</v>
      </c>
      <c r="I7" s="20" t="n">
        <v>2779.274</v>
      </c>
      <c r="J7" s="20" t="n">
        <v>2647.548</v>
      </c>
      <c r="K7" s="20" t="n">
        <v>2732.592</v>
      </c>
      <c r="L7" s="20" t="n">
        <v>3128.084</v>
      </c>
      <c r="M7" s="20" t="n">
        <v>2884.363</v>
      </c>
      <c r="N7" s="20" t="n">
        <v>2917.935</v>
      </c>
      <c r="O7" s="19" t="n"/>
      <c r="P7" s="20" t="n"/>
      <c r="Q7" s="20" t="n"/>
      <c r="R7" s="20" t="n"/>
      <c r="S7" s="20" t="n"/>
      <c r="T7" s="20" t="n"/>
      <c r="U7" s="20" t="n"/>
      <c r="V7" s="20" t="n">
        <v>11344.258</v>
      </c>
      <c r="W7" s="20" t="n">
        <v>11750.749</v>
      </c>
      <c r="X7" s="20" t="n">
        <v>11392.587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CentralReportableSegmentsMember</t>
        </is>
      </c>
      <c r="B10" s="10" t="n"/>
      <c r="C10" s="19" t="n">
        <v>3145.131</v>
      </c>
      <c r="D10" s="20" t="n">
        <v>3585.745</v>
      </c>
      <c r="E10" s="20" t="n">
        <v>3129.582</v>
      </c>
      <c r="F10" s="20" t="n">
        <v>3084.093</v>
      </c>
      <c r="G10" s="20" t="n">
        <v>3458.425</v>
      </c>
      <c r="H10" s="20" t="n">
        <v>3956.585</v>
      </c>
      <c r="I10" s="20" t="n">
        <v>4116.88</v>
      </c>
      <c r="J10" s="20" t="n">
        <v>3183.722</v>
      </c>
      <c r="K10" s="20" t="n">
        <v>3270.574</v>
      </c>
      <c r="L10" s="20" t="n">
        <v>3896.478</v>
      </c>
      <c r="M10" s="20" t="n">
        <v>3690.494</v>
      </c>
      <c r="N10" s="20" t="n">
        <v>3310.076</v>
      </c>
      <c r="O10" s="19" t="n"/>
      <c r="P10" s="20" t="n"/>
      <c r="Q10" s="20" t="n"/>
      <c r="R10" s="20" t="n"/>
      <c r="S10" s="20" t="n"/>
      <c r="T10" s="20" t="n"/>
      <c r="U10" s="20" t="n"/>
      <c r="V10" s="20" t="n">
        <v>12818.604</v>
      </c>
      <c r="W10" s="20" t="n">
        <v>14615.983</v>
      </c>
      <c r="X10" s="20" t="n">
        <v>14041.268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WestReportableSegmentsMember</t>
        </is>
      </c>
      <c r="B13" s="10" t="n"/>
      <c r="C13" s="19" t="n">
        <v>4968.686</v>
      </c>
      <c r="D13" s="20" t="n">
        <v>5915.309</v>
      </c>
      <c r="E13" s="20" t="n">
        <v>5098.7</v>
      </c>
      <c r="F13" s="20" t="n">
        <v>4796.757</v>
      </c>
      <c r="G13" s="20" t="n">
        <v>5407.302</v>
      </c>
      <c r="H13" s="20" t="n">
        <v>6113.664</v>
      </c>
      <c r="I13" s="20" t="n">
        <v>5050.996</v>
      </c>
      <c r="J13" s="20" t="n">
        <v>4910.096</v>
      </c>
      <c r="K13" s="20" t="n">
        <v>5172.266</v>
      </c>
      <c r="L13" s="20" t="n">
        <v>5899.57</v>
      </c>
      <c r="M13" s="20" t="n">
        <v>5280.148</v>
      </c>
      <c r="N13" s="20" t="n">
        <v>5340.753</v>
      </c>
      <c r="O13" s="19" t="n"/>
      <c r="P13" s="20" t="n"/>
      <c r="Q13" s="20" t="n"/>
      <c r="R13" s="20" t="n"/>
      <c r="S13" s="20" t="n"/>
      <c r="T13" s="20" t="n"/>
      <c r="U13" s="20" t="n"/>
      <c r="V13" s="20" t="n">
        <v>20874.9</v>
      </c>
      <c r="W13" s="20" t="n">
        <v>21368.719</v>
      </c>
      <c r="X13" s="20" t="n">
        <v>21262.08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OverseasReportableSegmentsMember</t>
        </is>
      </c>
      <c r="B16" s="10" t="n"/>
      <c r="C16" s="19" t="n">
        <v>383.574</v>
      </c>
      <c r="D16" s="20" t="n">
        <v>493.355</v>
      </c>
      <c r="E16" s="20" t="n">
        <v>364.682</v>
      </c>
      <c r="F16" s="20" t="n">
        <v>410.701</v>
      </c>
      <c r="G16" s="20" t="n">
        <v>404.797</v>
      </c>
      <c r="H16" s="20" t="n">
        <v>514.4589999999999</v>
      </c>
      <c r="I16" s="20" t="n">
        <v>399.707</v>
      </c>
      <c r="J16" s="20" t="n">
        <v>429.074</v>
      </c>
      <c r="K16" s="20" t="n">
        <v>428.511</v>
      </c>
      <c r="L16" s="20" t="n">
        <v>578.663</v>
      </c>
      <c r="M16" s="20" t="n">
        <v>479.437</v>
      </c>
      <c r="N16" s="20" t="n">
        <v>563.67</v>
      </c>
      <c r="O16" s="19" t="n"/>
      <c r="P16" s="20" t="n"/>
      <c r="Q16" s="20" t="n"/>
      <c r="R16" s="20" t="n"/>
      <c r="S16" s="20" t="n"/>
      <c r="T16" s="20" t="n"/>
      <c r="U16" s="20" t="n"/>
      <c r="V16" s="20" t="n">
        <v>1598.455</v>
      </c>
      <c r="W16" s="20" t="n">
        <v>1729.664</v>
      </c>
      <c r="X16" s="20" t="n">
        <v>1915.685</v>
      </c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8" t="inlineStr">
        <is>
          <t>EntityTotalMember</t>
        </is>
      </c>
      <c r="B19" s="10" t="n"/>
      <c r="C19" s="19" t="n"/>
      <c r="D19" s="20" t="n"/>
      <c r="E19" s="20" t="n"/>
      <c r="F19" s="20" t="n">
        <v>10976.4</v>
      </c>
      <c r="G19" s="20" t="n"/>
      <c r="H19" s="20" t="n"/>
      <c r="I19" s="20" t="n"/>
      <c r="J19" s="20" t="n">
        <v>11170.441</v>
      </c>
      <c r="K19" s="20" t="n"/>
      <c r="L19" s="20" t="n"/>
      <c r="M19" s="20" t="n"/>
      <c r="N19" s="20" t="n">
        <v>12132.436</v>
      </c>
      <c r="O19" s="19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1" t="n"/>
      <c r="Z19" s="22" t="n"/>
      <c r="AA19" s="22" t="n"/>
      <c r="AB19" s="22" t="n"/>
      <c r="AC19" s="22" t="n"/>
    </row>
    <row r="20">
      <c r="A20" s="13" t="inlineStr">
        <is>
          <t>비중</t>
        </is>
      </c>
      <c r="B20" s="10" t="n"/>
      <c r="C20" s="14">
        <f>IF(OR(C19="",C4=""),"",IFERROR(C19/C4,""))</f>
        <v/>
      </c>
      <c r="D20" s="15">
        <f>IF(OR(D19="",D4=""),"",IFERROR(D19/D4,""))</f>
        <v/>
      </c>
      <c r="E20" s="15">
        <f>IF(OR(E19="",E4=""),"",IFERROR(E19/E4,""))</f>
        <v/>
      </c>
      <c r="F20" s="15">
        <f>IF(OR(F19="",F4=""),"",IFERROR(F19/F4,""))</f>
        <v/>
      </c>
      <c r="G20" s="15">
        <f>IF(OR(G19="",G4=""),"",IFERROR(G19/G4,""))</f>
        <v/>
      </c>
      <c r="H20" s="15">
        <f>IF(OR(H19="",H4=""),"",IFERROR(H19/H4,""))</f>
        <v/>
      </c>
      <c r="I20" s="15">
        <f>IF(OR(I19="",I4=""),"",IFERROR(I19/I4,""))</f>
        <v/>
      </c>
      <c r="J20" s="15">
        <f>IF(OR(J19="",J4=""),"",IFERROR(J19/J4,""))</f>
        <v/>
      </c>
      <c r="K20" s="15">
        <f>IF(OR(K19="",K4=""),"",IFERROR(K19/K4,""))</f>
        <v/>
      </c>
      <c r="L20" s="15">
        <f>IF(OR(L19="",L4=""),"",IFERROR(L19/L4,""))</f>
        <v/>
      </c>
      <c r="M20" s="15">
        <f>IF(OR(M19="",M4=""),"",IFERROR(M19/M4,""))</f>
        <v/>
      </c>
      <c r="N20" s="15">
        <f>IF(OR(N19="",N4=""),"",IFERROR(N19/N4,""))</f>
        <v/>
      </c>
      <c r="O20" s="14">
        <f>IF(OR(O19="",O4=""),"",IFERROR(O19/O4,""))</f>
        <v/>
      </c>
      <c r="P20" s="15">
        <f>IF(OR(P19="",P4=""),"",IFERROR(P19/P4,""))</f>
        <v/>
      </c>
      <c r="Q20" s="15">
        <f>IF(OR(Q19="",Q4=""),"",IFERROR(Q19/Q4,""))</f>
        <v/>
      </c>
      <c r="R20" s="15">
        <f>IF(OR(R19="",R4=""),"",IFERROR(R19/R4,""))</f>
        <v/>
      </c>
      <c r="S20" s="15">
        <f>IF(OR(S19="",S4=""),"",IFERROR(S19/S4,""))</f>
        <v/>
      </c>
      <c r="T20" s="15">
        <f>IF(OR(T19="",T4=""),"",IFERROR(T19/T4,""))</f>
        <v/>
      </c>
      <c r="U20" s="15">
        <f>IF(OR(U19="",U4=""),"",IFERROR(U19/U4,""))</f>
        <v/>
      </c>
      <c r="V20" s="15">
        <f>IF(OR(V19="",V4=""),"",IFERROR(V19/V4,""))</f>
        <v/>
      </c>
      <c r="W20" s="15">
        <f>IF(OR(W19="",W4=""),"",IFERROR(W19/W4,""))</f>
        <v/>
      </c>
      <c r="X20" s="15">
        <f>IF(OR(X19="",X4=""),"",IFERROR(X19/X4,""))</f>
        <v/>
      </c>
      <c r="Y20" s="14">
        <f>IF(OR(Y19="",Y4=""),"",IFERROR(Y19/Y4,""))</f>
        <v/>
      </c>
      <c r="Z20" s="15">
        <f>IF(OR(Z19="",Z4=""),"",IFERROR(Z19/Z4,""))</f>
        <v/>
      </c>
      <c r="AA20" s="15">
        <f>IF(OR(AA19="",AA4=""),"",IFERROR(AA19/AA4,""))</f>
        <v/>
      </c>
      <c r="AB20" s="15">
        <f>IF(OR(AB19="",AB4=""),"",IFERROR(AB19/AB4,""))</f>
        <v/>
      </c>
      <c r="AC20" s="15">
        <f>IF(OR(AC19="",AC4=""),"",IFERROR(AC19/AC4,""))</f>
        <v/>
      </c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IF(OR(G19="",C19=""),"",IFERROR(G19/C19-1,""))</f>
        <v/>
      </c>
      <c r="H21" s="15">
        <f>IF(OR(H19="",D19=""),"",IFERROR(H19/D19-1,""))</f>
        <v/>
      </c>
      <c r="I21" s="15">
        <f>IF(OR(I19="",E19=""),"",IFERROR(I19/E19-1,""))</f>
        <v/>
      </c>
      <c r="J21" s="15">
        <f>IF(OR(J19="",F19=""),"",IFERROR(J19/F19-1,""))</f>
        <v/>
      </c>
      <c r="K21" s="15">
        <f>IF(OR(K19="",G19=""),"",IFERROR(K19/G19-1,""))</f>
        <v/>
      </c>
      <c r="L21" s="15">
        <f>IF(OR(L19="",H19=""),"",IFERROR(L19/H19-1,""))</f>
        <v/>
      </c>
      <c r="M21" s="15">
        <f>IF(OR(M19="",I19=""),"",IFERROR(M19/I19-1,""))</f>
        <v/>
      </c>
      <c r="N21" s="15">
        <f>IF(OR(N19="",J19=""),"",IFERROR(N19/J19-1,""))</f>
        <v/>
      </c>
      <c r="O21" s="14" t="n"/>
      <c r="P21" s="15">
        <f>IF(OR(P19="",O19=""),"",IFERROR(P19/O19-1,""))</f>
        <v/>
      </c>
      <c r="Q21" s="15">
        <f>IF(OR(Q19="",P19=""),"",IFERROR(Q19/P19-1,""))</f>
        <v/>
      </c>
      <c r="R21" s="15">
        <f>IF(OR(R19="",Q19=""),"",IFERROR(R19/Q19-1,""))</f>
        <v/>
      </c>
      <c r="S21" s="15">
        <f>IF(OR(S19="",R19=""),"",IFERROR(S19/R19-1,""))</f>
        <v/>
      </c>
      <c r="T21" s="15">
        <f>IF(OR(T19="",S19=""),"",IFERROR(T19/S19-1,""))</f>
        <v/>
      </c>
      <c r="U21" s="15">
        <f>IF(OR(U19="",T19=""),"",IFERROR(U19/T19-1,""))</f>
        <v/>
      </c>
      <c r="V21" s="15">
        <f>IF(OR(V19="",U19=""),"",IFERROR(V19/U19-1,""))</f>
        <v/>
      </c>
      <c r="W21" s="15">
        <f>IF(OR(W19="",V19=""),"",IFERROR(W19/V19-1,""))</f>
        <v/>
      </c>
      <c r="X21" s="15">
        <f>IF(OR(X19="",W19=""),"",IFERROR(X19/W19-1,""))</f>
        <v/>
      </c>
      <c r="Y21" s="14">
        <f>IF(OR(Y19="",X19=""),"",IFERROR(Y19/X19-1,""))</f>
        <v/>
      </c>
      <c r="Z21" s="15">
        <f>IF(OR(Z19="",Y19=""),"",IFERROR(Z19/Y19-1,""))</f>
        <v/>
      </c>
      <c r="AA21" s="15">
        <f>IF(OR(AA19="",Z19=""),"",IFERROR(AA19/Z19-1,""))</f>
        <v/>
      </c>
      <c r="AB21" s="15">
        <f>IF(OR(AB19="",AA19=""),"",IFERROR(AB19/AA19-1,""))</f>
        <v/>
      </c>
      <c r="AC21" s="15">
        <f>IF(OR(AC19="",AB19=""),"",IFERROR(AC19/AB19-1,""))</f>
        <v/>
      </c>
    </row>
    <row r="22">
      <c r="A22" s="16" t="inlineStr">
        <is>
          <t>매출원가</t>
        </is>
      </c>
      <c r="B22" s="16" t="n"/>
      <c r="C22" s="17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7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7" t="n"/>
      <c r="Z22" s="16" t="n"/>
      <c r="AA22" s="16" t="n"/>
      <c r="AB22" s="16" t="n"/>
      <c r="AC22" s="16" t="n"/>
    </row>
    <row r="23">
      <c r="A23" s="18" t="inlineStr">
        <is>
          <t>전체 매출원가</t>
        </is>
      </c>
      <c r="B23" s="10" t="n"/>
      <c r="C23" s="19" t="n">
        <v>9013.977999999999</v>
      </c>
      <c r="D23" s="20" t="n">
        <v>10582.043</v>
      </c>
      <c r="E23" s="20" t="n">
        <v>4206.655</v>
      </c>
      <c r="F23" s="20" t="n">
        <v>8862.356</v>
      </c>
      <c r="G23" s="20" t="n">
        <v>9824.968999999999</v>
      </c>
      <c r="H23" s="20" t="n">
        <v>11038.413</v>
      </c>
      <c r="I23" s="20" t="n">
        <v>9949.373</v>
      </c>
      <c r="J23" s="20" t="n">
        <v>8997.276</v>
      </c>
      <c r="K23" s="20" t="n">
        <v>9333.35</v>
      </c>
      <c r="L23" s="20" t="n">
        <v>10652.95</v>
      </c>
      <c r="M23" s="20" t="n">
        <v>9926.538</v>
      </c>
      <c r="N23" s="20" t="n">
        <v>9804.666999999999</v>
      </c>
      <c r="O23" s="19" t="n">
        <v>29179.889</v>
      </c>
      <c r="P23" s="20" t="n">
        <v>31378.677</v>
      </c>
      <c r="Q23" s="20" t="n">
        <v>36916.847</v>
      </c>
      <c r="R23" s="20" t="n">
        <v>30786.473</v>
      </c>
      <c r="S23" s="20" t="n">
        <v>32591.333</v>
      </c>
      <c r="T23" s="20" t="n">
        <v>34780.271</v>
      </c>
      <c r="U23" s="20" t="n">
        <v>32111.233</v>
      </c>
      <c r="V23" s="20" t="n">
        <v>32525.131</v>
      </c>
      <c r="W23" s="20" t="n">
        <v>39675.111</v>
      </c>
      <c r="X23" s="20" t="n">
        <v>38910.114</v>
      </c>
      <c r="Y23" s="19" t="n"/>
      <c r="Z23" s="20" t="n"/>
      <c r="AA23" s="20" t="n"/>
      <c r="AB23" s="20" t="n"/>
      <c r="AC23" s="20" t="n"/>
    </row>
    <row r="24">
      <c r="A24" s="18" t="inlineStr">
        <is>
          <t>매출총이익</t>
        </is>
      </c>
      <c r="B24" s="10" t="n"/>
      <c r="C24" s="19">
        <f>IF(OR(C4="",C23=""),"",IFERROR(C4-C23,""))</f>
        <v/>
      </c>
      <c r="D24" s="20">
        <f>IF(OR(D4="",D23=""),"",IFERROR(D4-D23,""))</f>
        <v/>
      </c>
      <c r="E24" s="20">
        <f>IF(OR(E4="",E23=""),"",IFERROR(E4-E23,""))</f>
        <v/>
      </c>
      <c r="F24" s="20">
        <f>IF(OR(F4="",F23=""),"",IFERROR(F4-F23,""))</f>
        <v/>
      </c>
      <c r="G24" s="20">
        <f>IF(OR(G4="",G23=""),"",IFERROR(G4-G23,""))</f>
        <v/>
      </c>
      <c r="H24" s="20">
        <f>IF(OR(H4="",H23=""),"",IFERROR(H4-H23,""))</f>
        <v/>
      </c>
      <c r="I24" s="20">
        <f>IF(OR(I4="",I23=""),"",IFERROR(I4-I23,""))</f>
        <v/>
      </c>
      <c r="J24" s="20">
        <f>IF(OR(J4="",J23=""),"",IFERROR(J4-J23,""))</f>
        <v/>
      </c>
      <c r="K24" s="20">
        <f>IF(OR(K4="",K23=""),"",IFERROR(K4-K23,""))</f>
        <v/>
      </c>
      <c r="L24" s="20">
        <f>IF(OR(L4="",L23=""),"",IFERROR(L4-L23,""))</f>
        <v/>
      </c>
      <c r="M24" s="20">
        <f>IF(OR(M4="",M23=""),"",IFERROR(M4-M23,""))</f>
        <v/>
      </c>
      <c r="N24" s="20">
        <f>IF(OR(N4="",N23=""),"",IFERROR(N4-N23,""))</f>
        <v/>
      </c>
      <c r="O24" s="19">
        <f>IF(OR(O4="",O23=""),"",IFERROR(O4-O23,""))</f>
        <v/>
      </c>
      <c r="P24" s="20">
        <f>IF(OR(P4="",P23=""),"",IFERROR(P4-P23,""))</f>
        <v/>
      </c>
      <c r="Q24" s="20">
        <f>IF(OR(Q4="",Q23=""),"",IFERROR(Q4-Q23,""))</f>
        <v/>
      </c>
      <c r="R24" s="20">
        <f>IF(OR(R4="",R23=""),"",IFERROR(R4-R23,""))</f>
        <v/>
      </c>
      <c r="S24" s="20">
        <f>IF(OR(S4="",S23=""),"",IFERROR(S4-S23,""))</f>
        <v/>
      </c>
      <c r="T24" s="20">
        <f>IF(OR(T4="",T23=""),"",IFERROR(T4-T23,""))</f>
        <v/>
      </c>
      <c r="U24" s="20">
        <f>IF(OR(U4="",U23=""),"",IFERROR(U4-U23,""))</f>
        <v/>
      </c>
      <c r="V24" s="20">
        <f>IF(OR(V4="",V23=""),"",IFERROR(V4-V23,""))</f>
        <v/>
      </c>
      <c r="W24" s="20">
        <f>IF(OR(W4="",W23=""),"",IFERROR(W4-W23,""))</f>
        <v/>
      </c>
      <c r="X24" s="20">
        <f>IF(OR(X4="",X23=""),"",IFERROR(X4-X23,""))</f>
        <v/>
      </c>
      <c r="Y24" s="19" t="n"/>
      <c r="Z24" s="20" t="n"/>
      <c r="AA24" s="20" t="n"/>
      <c r="AB24" s="20" t="n"/>
      <c r="AC24" s="20" t="n"/>
    </row>
    <row r="25">
      <c r="A25" s="13" t="inlineStr">
        <is>
          <t>GPM</t>
        </is>
      </c>
      <c r="B25" s="10" t="n"/>
      <c r="C25" s="14">
        <f>IF(OR(C24="",C4=""),"",IFERROR(C24/C4,""))</f>
        <v/>
      </c>
      <c r="D25" s="15">
        <f>IF(OR(D24="",D4=""),"",IFERROR(D24/D4,""))</f>
        <v/>
      </c>
      <c r="E25" s="15">
        <f>IF(OR(E24="",E4=""),"",IFERROR(E24/E4,""))</f>
        <v/>
      </c>
      <c r="F25" s="15">
        <f>IF(OR(F24="",F4=""),"",IFERROR(F24/F4,""))</f>
        <v/>
      </c>
      <c r="G25" s="15">
        <f>IF(OR(G24="",G4=""),"",IFERROR(G24/G4,""))</f>
        <v/>
      </c>
      <c r="H25" s="15">
        <f>IF(OR(H24="",H4=""),"",IFERROR(H24/H4,""))</f>
        <v/>
      </c>
      <c r="I25" s="15">
        <f>IF(OR(I24="",I4=""),"",IFERROR(I24/I4,""))</f>
        <v/>
      </c>
      <c r="J25" s="15">
        <f>IF(OR(J24="",J4=""),"",IFERROR(J24/J4,""))</f>
        <v/>
      </c>
      <c r="K25" s="15">
        <f>IF(OR(K24="",K4=""),"",IFERROR(K24/K4,""))</f>
        <v/>
      </c>
      <c r="L25" s="15">
        <f>IF(OR(L24="",L4=""),"",IFERROR(L24/L4,""))</f>
        <v/>
      </c>
      <c r="M25" s="15">
        <f>IF(OR(M24="",M4=""),"",IFERROR(M24/M4,""))</f>
        <v/>
      </c>
      <c r="N25" s="15">
        <f>IF(OR(N24="",N4=""),"",IFERROR(N24/N4,""))</f>
        <v/>
      </c>
      <c r="O25" s="14">
        <f>IF(OR(O24="",O4=""),"",IFERROR(O24/O4,""))</f>
        <v/>
      </c>
      <c r="P25" s="15">
        <f>IF(OR(P24="",P4=""),"",IFERROR(P24/P4,""))</f>
        <v/>
      </c>
      <c r="Q25" s="15">
        <f>IF(OR(Q24="",Q4=""),"",IFERROR(Q24/Q4,""))</f>
        <v/>
      </c>
      <c r="R25" s="15">
        <f>IF(OR(R24="",R4=""),"",IFERROR(R24/R4,""))</f>
        <v/>
      </c>
      <c r="S25" s="15">
        <f>IF(OR(S24="",S4=""),"",IFERROR(S24/S4,""))</f>
        <v/>
      </c>
      <c r="T25" s="15">
        <f>IF(OR(T24="",T4=""),"",IFERROR(T24/T4,""))</f>
        <v/>
      </c>
      <c r="U25" s="15">
        <f>IF(OR(U24="",U4=""),"",IFERROR(U24/U4,""))</f>
        <v/>
      </c>
      <c r="V25" s="15">
        <f>IF(OR(V24="",V4=""),"",IFERROR(V24/V4,""))</f>
        <v/>
      </c>
      <c r="W25" s="15">
        <f>IF(OR(W24="",W4=""),"",IFERROR(W24/W4,""))</f>
        <v/>
      </c>
      <c r="X25" s="15">
        <f>IF(OR(X24="",X4=""),"",IFERROR(X24/X4,""))</f>
        <v/>
      </c>
      <c r="Y25" s="14">
        <f>IF(OR(Y24="",Y4=""),"",IFERROR(Y24/Y4,""))</f>
        <v/>
      </c>
      <c r="Z25" s="15">
        <f>IF(OR(Z24="",Z4=""),"",IFERROR(Z24/Z4,""))</f>
        <v/>
      </c>
      <c r="AA25" s="15">
        <f>IF(OR(AA24="",AA4=""),"",IFERROR(AA24/AA4,""))</f>
        <v/>
      </c>
      <c r="AB25" s="15">
        <f>IF(OR(AB24="",AB4=""),"",IFERROR(AB24/AB4,""))</f>
        <v/>
      </c>
      <c r="AC25" s="15">
        <f>IF(OR(AC24="",AC4=""),"",IFERROR(AC24/AC4,""))</f>
        <v/>
      </c>
    </row>
    <row r="26">
      <c r="A26" s="23" t="inlineStr">
        <is>
          <t>판매관리비</t>
        </is>
      </c>
      <c r="B26" s="23" t="n"/>
      <c r="C26" s="24" t="n"/>
      <c r="D26" s="23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  <c r="O26" s="24" t="n"/>
      <c r="P26" s="23" t="n"/>
      <c r="Q26" s="23" t="n"/>
      <c r="R26" s="23" t="n"/>
      <c r="S26" s="23" t="n"/>
      <c r="T26" s="23" t="n"/>
      <c r="U26" s="23" t="n"/>
      <c r="V26" s="23" t="n"/>
      <c r="W26" s="23" t="n"/>
      <c r="X26" s="23" t="n"/>
      <c r="Y26" s="24" t="n"/>
      <c r="Z26" s="23" t="n"/>
      <c r="AA26" s="23" t="n"/>
      <c r="AB26" s="23" t="n"/>
      <c r="AC26" s="23" t="n"/>
    </row>
    <row r="27">
      <c r="A27" s="18" t="inlineStr">
        <is>
          <t>전체 판관비</t>
        </is>
      </c>
      <c r="B27" s="10" t="n"/>
      <c r="C27" s="19" t="n">
        <v>1701.584</v>
      </c>
      <c r="D27" s="20" t="n">
        <v>1748.996</v>
      </c>
      <c r="E27" s="20" t="n">
        <v>846.645</v>
      </c>
      <c r="F27" s="20" t="n">
        <v>1738.8</v>
      </c>
      <c r="G27" s="20" t="n">
        <v>1844.162</v>
      </c>
      <c r="H27" s="20" t="n">
        <v>1743.316</v>
      </c>
      <c r="I27" s="20" t="n">
        <v>2067.964</v>
      </c>
      <c r="J27" s="20" t="n">
        <v>1896.179</v>
      </c>
      <c r="K27" s="20" t="n">
        <v>1895.583</v>
      </c>
      <c r="L27" s="20" t="n">
        <v>1900.035</v>
      </c>
      <c r="M27" s="20" t="n">
        <v>1961.937</v>
      </c>
      <c r="N27" s="20" t="n">
        <v>1840.711</v>
      </c>
      <c r="O27" s="19" t="n">
        <v>4427.897</v>
      </c>
      <c r="P27" s="20" t="n">
        <v>4503.253</v>
      </c>
      <c r="Q27" s="20" t="n">
        <v>5629.634</v>
      </c>
      <c r="R27" s="20" t="n">
        <v>4836.175</v>
      </c>
      <c r="S27" s="20" t="n">
        <v>5703.973</v>
      </c>
      <c r="T27" s="20" t="n">
        <v>6268.67</v>
      </c>
      <c r="U27" s="20" t="n">
        <v>5630.497</v>
      </c>
      <c r="V27" s="20" t="n">
        <v>6009.88</v>
      </c>
      <c r="W27" s="20" t="n">
        <v>7394.242</v>
      </c>
      <c r="X27" s="20" t="n">
        <v>7653.734</v>
      </c>
      <c r="Y27" s="19" t="n"/>
      <c r="Z27" s="20" t="n"/>
      <c r="AA27" s="20" t="n"/>
      <c r="AB27" s="20" t="n"/>
      <c r="AC27" s="20" t="n"/>
    </row>
    <row r="28">
      <c r="A28" s="9" t="inlineStr">
        <is>
          <t>영업이익</t>
        </is>
      </c>
      <c r="B28" s="10" t="inlineStr">
        <is>
          <t>MW = 매출 × OPM</t>
        </is>
      </c>
      <c r="C28" s="11" t="n">
        <v>500.51</v>
      </c>
      <c r="D28" s="12" t="n">
        <v>975.76</v>
      </c>
      <c r="E28" s="12" t="n">
        <v>-182.892</v>
      </c>
      <c r="F28" s="12" t="n">
        <v>375.243</v>
      </c>
      <c r="G28" s="12" t="n">
        <v>529.633</v>
      </c>
      <c r="H28" s="12" t="n">
        <v>1161.367</v>
      </c>
      <c r="I28" s="12" t="n">
        <v>329.519</v>
      </c>
      <c r="J28" s="12" t="n">
        <v>276.986</v>
      </c>
      <c r="K28" s="12" t="n">
        <v>375.01</v>
      </c>
      <c r="L28" s="12" t="n">
        <v>949.809</v>
      </c>
      <c r="M28" s="12" t="n">
        <v>445.967</v>
      </c>
      <c r="N28" s="12" t="n">
        <v>487.057</v>
      </c>
      <c r="O28" s="11" t="n">
        <v>1641.845</v>
      </c>
      <c r="P28" s="12" t="n">
        <v>2135.827</v>
      </c>
      <c r="Q28" s="12" t="n">
        <v>2870.631</v>
      </c>
      <c r="R28" s="12" t="n">
        <v>2088.554</v>
      </c>
      <c r="S28" s="12" t="n">
        <v>2070.14</v>
      </c>
      <c r="T28" s="12" t="n">
        <v>2071.438</v>
      </c>
      <c r="U28" s="12" t="n">
        <v>1715.173</v>
      </c>
      <c r="V28" s="12" t="n">
        <v>1699.853</v>
      </c>
      <c r="W28" s="12" t="n">
        <v>2395.762</v>
      </c>
      <c r="X28" s="12" t="n">
        <v>2047.772</v>
      </c>
      <c r="Y28" s="11">
        <f>IF(OR(Y4="",Y29=""),"",IFERROR(Y4*Y29,""))</f>
        <v/>
      </c>
      <c r="Z28" s="12">
        <f>IF(OR(Z4="",Z29=""),"",IFERROR(Z4*Z29,""))</f>
        <v/>
      </c>
      <c r="AA28" s="12">
        <f>IF(OR(AA4="",AA29=""),"",IFERROR(AA4*AA29,""))</f>
        <v/>
      </c>
      <c r="AB28" s="12">
        <f>IF(OR(AB4="",AB29=""),"",IFERROR(AB4*AB29,""))</f>
        <v/>
      </c>
      <c r="AC28" s="12">
        <f>IF(OR(AC4="",AC29=""),"",IFERROR(AC4*AC29,""))</f>
        <v/>
      </c>
    </row>
    <row r="29">
      <c r="A29" s="13" t="inlineStr">
        <is>
          <t>OPM</t>
        </is>
      </c>
      <c r="B29" s="10" t="inlineStr">
        <is>
          <t>MW 입력</t>
        </is>
      </c>
      <c r="C29" s="14">
        <f>IF(OR(C28="",C4=""),"",IFERROR(C28/C4,""))</f>
        <v/>
      </c>
      <c r="D29" s="15">
        <f>IF(OR(D28="",D4=""),"",IFERROR(D28/D4,""))</f>
        <v/>
      </c>
      <c r="E29" s="15">
        <f>IF(OR(E28="",E4=""),"",IFERROR(E28/E4,""))</f>
        <v/>
      </c>
      <c r="F29" s="15">
        <f>IF(OR(F28="",F4=""),"",IFERROR(F28/F4,""))</f>
        <v/>
      </c>
      <c r="G29" s="15">
        <f>IF(OR(G28="",G4=""),"",IFERROR(G28/G4,""))</f>
        <v/>
      </c>
      <c r="H29" s="15">
        <f>IF(OR(H28="",H4=""),"",IFERROR(H28/H4,""))</f>
        <v/>
      </c>
      <c r="I29" s="15">
        <f>IF(OR(I28="",I4=""),"",IFERROR(I28/I4,""))</f>
        <v/>
      </c>
      <c r="J29" s="15">
        <f>IF(OR(J28="",J4=""),"",IFERROR(J28/J4,""))</f>
        <v/>
      </c>
      <c r="K29" s="15">
        <f>IF(OR(K28="",K4=""),"",IFERROR(K28/K4,""))</f>
        <v/>
      </c>
      <c r="L29" s="15">
        <f>IF(OR(L28="",L4=""),"",IFERROR(L28/L4,""))</f>
        <v/>
      </c>
      <c r="M29" s="15">
        <f>IF(OR(M28="",M4=""),"",IFERROR(M28/M4,""))</f>
        <v/>
      </c>
      <c r="N29" s="15">
        <f>IF(OR(N28="",N4=""),"",IFERROR(N28/N4,""))</f>
        <v/>
      </c>
      <c r="O29" s="14">
        <f>IF(OR(O28="",O4=""),"",IFERROR(O28/O4,""))</f>
        <v/>
      </c>
      <c r="P29" s="15">
        <f>IF(OR(P28="",P4=""),"",IFERROR(P28/P4,""))</f>
        <v/>
      </c>
      <c r="Q29" s="15">
        <f>IF(OR(Q28="",Q4=""),"",IFERROR(Q28/Q4,""))</f>
        <v/>
      </c>
      <c r="R29" s="15">
        <f>IF(OR(R28="",R4=""),"",IFERROR(R28/R4,""))</f>
        <v/>
      </c>
      <c r="S29" s="15">
        <f>IF(OR(S28="",S4=""),"",IFERROR(S28/S4,""))</f>
        <v/>
      </c>
      <c r="T29" s="15">
        <f>IF(OR(T28="",T4=""),"",IFERROR(T28/T4,""))</f>
        <v/>
      </c>
      <c r="U29" s="15">
        <f>IF(OR(U28="",U4=""),"",IFERROR(U28/U4,""))</f>
        <v/>
      </c>
      <c r="V29" s="15">
        <f>IF(OR(V28="",V4=""),"",IFERROR(V28/V4,""))</f>
        <v/>
      </c>
      <c r="W29" s="15">
        <f>IF(OR(W28="",W4=""),"",IFERROR(W28/W4,""))</f>
        <v/>
      </c>
      <c r="X29" s="15">
        <f>IF(OR(X28="",X4=""),"",IFERROR(X28/X4,""))</f>
        <v/>
      </c>
      <c r="Y29" s="25" t="n"/>
      <c r="Z29" s="26" t="n"/>
      <c r="AA29" s="26" t="n"/>
      <c r="AB29" s="26" t="n"/>
      <c r="AC29" s="26" t="n"/>
    </row>
    <row r="30">
      <c r="A30" s="13" t="inlineStr">
        <is>
          <t>증가율</t>
        </is>
      </c>
      <c r="B30" s="10" t="n"/>
      <c r="C30" s="14" t="n"/>
      <c r="D30" s="15" t="n"/>
      <c r="E30" s="15" t="n"/>
      <c r="F30" s="15" t="n"/>
      <c r="G30" s="15">
        <f>IF(OR(G28="",C28=""),"",IFERROR(G28/C28-1,""))</f>
        <v/>
      </c>
      <c r="H30" s="15">
        <f>IF(OR(H28="",D28=""),"",IFERROR(H28/D28-1,""))</f>
        <v/>
      </c>
      <c r="I30" s="15">
        <f>IF(OR(I28="",E28=""),"",IFERROR(I28/E28-1,""))</f>
        <v/>
      </c>
      <c r="J30" s="15">
        <f>IF(OR(J28="",F28=""),"",IFERROR(J28/F28-1,""))</f>
        <v/>
      </c>
      <c r="K30" s="15">
        <f>IF(OR(K28="",G28=""),"",IFERROR(K28/G28-1,""))</f>
        <v/>
      </c>
      <c r="L30" s="15">
        <f>IF(OR(L28="",H28=""),"",IFERROR(L28/H28-1,""))</f>
        <v/>
      </c>
      <c r="M30" s="15">
        <f>IF(OR(M28="",I28=""),"",IFERROR(M28/I28-1,""))</f>
        <v/>
      </c>
      <c r="N30" s="15">
        <f>IF(OR(N28="",J28=""),"",IFERROR(N28/J28-1,""))</f>
        <v/>
      </c>
      <c r="O30" s="14" t="n"/>
      <c r="P30" s="15">
        <f>IF(OR(P28="",O28=""),"",IFERROR(P28/O28-1,""))</f>
        <v/>
      </c>
      <c r="Q30" s="15">
        <f>IF(OR(Q28="",P28=""),"",IFERROR(Q28/P28-1,""))</f>
        <v/>
      </c>
      <c r="R30" s="15">
        <f>IF(OR(R28="",Q28=""),"",IFERROR(R28/Q28-1,""))</f>
        <v/>
      </c>
      <c r="S30" s="15">
        <f>IF(OR(S28="",R28=""),"",IFERROR(S28/R28-1,""))</f>
        <v/>
      </c>
      <c r="T30" s="15">
        <f>IF(OR(T28="",S28=""),"",IFERROR(T28/S28-1,""))</f>
        <v/>
      </c>
      <c r="U30" s="15">
        <f>IF(OR(U28="",T28=""),"",IFERROR(U28/T28-1,""))</f>
        <v/>
      </c>
      <c r="V30" s="15">
        <f>IF(OR(V28="",U28=""),"",IFERROR(V28/U28-1,""))</f>
        <v/>
      </c>
      <c r="W30" s="15">
        <f>IF(OR(W28="",V28=""),"",IFERROR(W28/V28-1,""))</f>
        <v/>
      </c>
      <c r="X30" s="15">
        <f>IF(OR(X28="",W28=""),"",IFERROR(X28/W28-1,""))</f>
        <v/>
      </c>
      <c r="Y30" s="14">
        <f>IF(OR(Y28="",X28=""),"",IFERROR(Y28/X28-1,""))</f>
        <v/>
      </c>
      <c r="Z30" s="15">
        <f>IF(OR(Z28="",Y28=""),"",IFERROR(Z28/Y28-1,""))</f>
        <v/>
      </c>
      <c r="AA30" s="15">
        <f>IF(OR(AA28="",Z28=""),"",IFERROR(AA28/Z28-1,""))</f>
        <v/>
      </c>
      <c r="AB30" s="15">
        <f>IF(OR(AB28="",AA28=""),"",IFERROR(AB28/AA28-1,""))</f>
        <v/>
      </c>
      <c r="AC30" s="15">
        <f>IF(OR(AC28="",AB28=""),"",IFERROR(AC28/AB28-1,""))</f>
        <v/>
      </c>
    </row>
    <row r="31">
      <c r="A31" s="16" t="inlineStr">
        <is>
          <t>비용의 성격별 분류</t>
        </is>
      </c>
      <c r="B31" s="16" t="inlineStr">
        <is>
          <t>참고 데이터</t>
        </is>
      </c>
      <c r="C31" s="17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7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7" t="n"/>
      <c r="Z31" s="16" t="n"/>
      <c r="AA31" s="16" t="n"/>
      <c r="AB31" s="16" t="n"/>
      <c r="AC31" s="16" t="n"/>
    </row>
    <row r="32">
      <c r="A32" s="9" t="inlineStr">
        <is>
          <t>총 판관비</t>
        </is>
      </c>
      <c r="B32" s="10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2" t="n"/>
      <c r="M32" s="12" t="n"/>
      <c r="N32" s="12" t="n"/>
      <c r="O32" s="11">
        <f>IF(O27="","",O27)</f>
        <v/>
      </c>
      <c r="P32" s="12">
        <f>IF(P27="","",P27)</f>
        <v/>
      </c>
      <c r="Q32" s="12">
        <f>IF(Q27="","",Q27)</f>
        <v/>
      </c>
      <c r="R32" s="12">
        <f>IF(R27="","",R27)</f>
        <v/>
      </c>
      <c r="S32" s="12">
        <f>IF(S27="","",S27)</f>
        <v/>
      </c>
      <c r="T32" s="12">
        <f>IF(T27="","",T27)</f>
        <v/>
      </c>
      <c r="U32" s="12">
        <f>IF(U27="","",U27)</f>
        <v/>
      </c>
      <c r="V32" s="12">
        <f>IF(V27="","",V27)</f>
        <v/>
      </c>
      <c r="W32" s="12">
        <f>IF(W27="","",W27)</f>
        <v/>
      </c>
      <c r="X32" s="12">
        <f>IF(X27="","",X27)</f>
        <v/>
      </c>
      <c r="Y32" s="11" t="n"/>
      <c r="Z32" s="12" t="n"/>
      <c r="AA32" s="12" t="n"/>
      <c r="AB32" s="12" t="n"/>
      <c r="AC32" s="12" t="n"/>
    </row>
    <row r="33">
      <c r="A33" s="18" t="inlineStr">
        <is>
          <t>급여</t>
        </is>
      </c>
      <c r="B33" s="10" t="inlineStr">
        <is>
          <t>고정비</t>
        </is>
      </c>
      <c r="C33" s="19" t="n"/>
      <c r="D33" s="20" t="n"/>
      <c r="E33" s="20" t="n"/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19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19" t="n"/>
      <c r="Z33" s="20" t="n"/>
      <c r="AA33" s="20" t="n"/>
      <c r="AB33" s="20" t="n"/>
      <c r="AC33" s="20" t="n"/>
    </row>
    <row r="34">
      <c r="A34" s="13" t="inlineStr">
        <is>
          <t>% of Sales</t>
        </is>
      </c>
      <c r="B34" s="10" t="n"/>
      <c r="C34" s="14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4">
        <f>IF(OR(O33="",O4=""),"",IFERROR(O33/O4,""))</f>
        <v/>
      </c>
      <c r="P34" s="15">
        <f>IF(OR(P33="",P4=""),"",IFERROR(P33/P4,""))</f>
        <v/>
      </c>
      <c r="Q34" s="15">
        <f>IF(OR(Q33="",Q4=""),"",IFERROR(Q33/Q4,""))</f>
        <v/>
      </c>
      <c r="R34" s="15">
        <f>IF(OR(R33="",R4=""),"",IFERROR(R33/R4,""))</f>
        <v/>
      </c>
      <c r="S34" s="15">
        <f>IF(OR(S33="",S4=""),"",IFERROR(S33/S4,""))</f>
        <v/>
      </c>
      <c r="T34" s="15">
        <f>IF(OR(T33="",T4=""),"",IFERROR(T33/T4,""))</f>
        <v/>
      </c>
      <c r="U34" s="15">
        <f>IF(OR(U33="",U4=""),"",IFERROR(U33/U4,""))</f>
        <v/>
      </c>
      <c r="V34" s="15">
        <f>IF(OR(V33="",V4=""),"",IFERROR(V33/V4,""))</f>
        <v/>
      </c>
      <c r="W34" s="15">
        <f>IF(OR(W33="",W4=""),"",IFERROR(W33/W4,""))</f>
        <v/>
      </c>
      <c r="X34" s="15">
        <f>IF(OR(X33="",X4=""),"",IFERROR(X33/X4,""))</f>
        <v/>
      </c>
      <c r="Y34" s="14" t="n"/>
      <c r="Z34" s="15" t="n"/>
      <c r="AA34" s="15" t="n"/>
      <c r="AB34" s="15" t="n"/>
      <c r="AC34" s="15" t="n"/>
    </row>
    <row r="35">
      <c r="A35" s="18" t="inlineStr">
        <is>
          <t>감가상각비</t>
        </is>
      </c>
      <c r="B35" s="10" t="inlineStr">
        <is>
          <t>고정비</t>
        </is>
      </c>
      <c r="C35" s="19" t="n"/>
      <c r="D35" s="20" t="n"/>
      <c r="E35" s="20" t="n"/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19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19" t="n"/>
      <c r="Z35" s="20" t="n"/>
      <c r="AA35" s="20" t="n"/>
      <c r="AB35" s="20" t="n"/>
      <c r="AC35" s="20" t="n"/>
    </row>
    <row r="36">
      <c r="A36" s="13" t="inlineStr">
        <is>
          <t>% of Sales</t>
        </is>
      </c>
      <c r="B36" s="10" t="n"/>
      <c r="C36" s="14" t="n"/>
      <c r="D36" s="15" t="n"/>
      <c r="E36" s="15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4">
        <f>IF(OR(O35="",O4=""),"",IFERROR(O35/O4,""))</f>
        <v/>
      </c>
      <c r="P36" s="15">
        <f>IF(OR(P35="",P4=""),"",IFERROR(P35/P4,""))</f>
        <v/>
      </c>
      <c r="Q36" s="15">
        <f>IF(OR(Q35="",Q4=""),"",IFERROR(Q35/Q4,""))</f>
        <v/>
      </c>
      <c r="R36" s="15">
        <f>IF(OR(R35="",R4=""),"",IFERROR(R35/R4,""))</f>
        <v/>
      </c>
      <c r="S36" s="15">
        <f>IF(OR(S35="",S4=""),"",IFERROR(S35/S4,""))</f>
        <v/>
      </c>
      <c r="T36" s="15">
        <f>IF(OR(T35="",T4=""),"",IFERROR(T35/T4,""))</f>
        <v/>
      </c>
      <c r="U36" s="15">
        <f>IF(OR(U35="",U4=""),"",IFERROR(U35/U4,""))</f>
        <v/>
      </c>
      <c r="V36" s="15">
        <f>IF(OR(V35="",V4=""),"",IFERROR(V35/V4,""))</f>
        <v/>
      </c>
      <c r="W36" s="15">
        <f>IF(OR(W35="",W4=""),"",IFERROR(W35/W4,""))</f>
        <v/>
      </c>
      <c r="X36" s="15">
        <f>IF(OR(X35="",X4=""),"",IFERROR(X35/X4,""))</f>
        <v/>
      </c>
      <c r="Y36" s="14" t="n"/>
      <c r="Z36" s="15" t="n"/>
      <c r="AA36" s="15" t="n"/>
      <c r="AB36" s="15" t="n"/>
      <c r="AC36" s="15" t="n"/>
    </row>
    <row r="37">
      <c r="A37" s="18" t="inlineStr">
        <is>
          <t>지급수수료</t>
        </is>
      </c>
      <c r="B37" s="10" t="inlineStr">
        <is>
          <t>고정비</t>
        </is>
      </c>
      <c r="C37" s="19" t="n"/>
      <c r="D37" s="20" t="n"/>
      <c r="E37" s="20" t="n"/>
      <c r="F37" s="20" t="n"/>
      <c r="G37" s="20" t="n"/>
      <c r="H37" s="20" t="n"/>
      <c r="I37" s="20" t="n"/>
      <c r="J37" s="20" t="n"/>
      <c r="K37" s="20" t="n"/>
      <c r="L37" s="20" t="n"/>
      <c r="M37" s="20" t="n"/>
      <c r="N37" s="20" t="n"/>
      <c r="O37" s="19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19" t="n"/>
      <c r="Z37" s="20" t="n"/>
      <c r="AA37" s="20" t="n"/>
      <c r="AB37" s="20" t="n"/>
      <c r="AC37" s="20" t="n"/>
    </row>
    <row r="38">
      <c r="A38" s="13" t="inlineStr">
        <is>
          <t>% of Sales</t>
        </is>
      </c>
      <c r="B38" s="10" t="n"/>
      <c r="C38" s="14" t="n"/>
      <c r="D38" s="15" t="n"/>
      <c r="E38" s="15" t="n"/>
      <c r="F38" s="15" t="n"/>
      <c r="G38" s="15" t="n"/>
      <c r="H38" s="15" t="n"/>
      <c r="I38" s="15" t="n"/>
      <c r="J38" s="15" t="n"/>
      <c r="K38" s="15" t="n"/>
      <c r="L38" s="15" t="n"/>
      <c r="M38" s="15" t="n"/>
      <c r="N38" s="15" t="n"/>
      <c r="O38" s="14">
        <f>IF(OR(O37="",O4=""),"",IFERROR(O37/O4,""))</f>
        <v/>
      </c>
      <c r="P38" s="15">
        <f>IF(OR(P37="",P4=""),"",IFERROR(P37/P4,""))</f>
        <v/>
      </c>
      <c r="Q38" s="15">
        <f>IF(OR(Q37="",Q4=""),"",IFERROR(Q37/Q4,""))</f>
        <v/>
      </c>
      <c r="R38" s="15">
        <f>IF(OR(R37="",R4=""),"",IFERROR(R37/R4,""))</f>
        <v/>
      </c>
      <c r="S38" s="15">
        <f>IF(OR(S37="",S4=""),"",IFERROR(S37/S4,""))</f>
        <v/>
      </c>
      <c r="T38" s="15">
        <f>IF(OR(T37="",T4=""),"",IFERROR(T37/T4,""))</f>
        <v/>
      </c>
      <c r="U38" s="15">
        <f>IF(OR(U37="",U4=""),"",IFERROR(U37/U4,""))</f>
        <v/>
      </c>
      <c r="V38" s="15">
        <f>IF(OR(V37="",V4=""),"",IFERROR(V37/V4,""))</f>
        <v/>
      </c>
      <c r="W38" s="15">
        <f>IF(OR(W37="",W4=""),"",IFERROR(W37/W4,""))</f>
        <v/>
      </c>
      <c r="X38" s="15">
        <f>IF(OR(X37="",X4=""),"",IFERROR(X37/X4,""))</f>
        <v/>
      </c>
      <c r="Y38" s="14" t="n"/>
      <c r="Z38" s="15" t="n"/>
      <c r="AA38" s="15" t="n"/>
      <c r="AB38" s="15" t="n"/>
      <c r="AC38" s="15" t="n"/>
    </row>
    <row r="39">
      <c r="A39" s="18" t="inlineStr">
        <is>
          <t>연구개발비</t>
        </is>
      </c>
      <c r="B39" s="10" t="inlineStr">
        <is>
          <t>변동비</t>
        </is>
      </c>
      <c r="C39" s="19" t="n"/>
      <c r="D39" s="20" t="n"/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19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19" t="n"/>
      <c r="Z39" s="20" t="n"/>
      <c r="AA39" s="20" t="n"/>
      <c r="AB39" s="20" t="n"/>
      <c r="AC39" s="20" t="n"/>
    </row>
    <row r="40">
      <c r="A40" s="13" t="inlineStr">
        <is>
          <t>% of Sales</t>
        </is>
      </c>
      <c r="B40" s="10" t="n"/>
      <c r="C40" s="14" t="n"/>
      <c r="D40" s="15" t="n"/>
      <c r="E40" s="15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4">
        <f>IF(OR(O39="",O4=""),"",IFERROR(O39/O4,""))</f>
        <v/>
      </c>
      <c r="P40" s="15">
        <f>IF(OR(P39="",P4=""),"",IFERROR(P39/P4,""))</f>
        <v/>
      </c>
      <c r="Q40" s="15">
        <f>IF(OR(Q39="",Q4=""),"",IFERROR(Q39/Q4,""))</f>
        <v/>
      </c>
      <c r="R40" s="15">
        <f>IF(OR(R39="",R4=""),"",IFERROR(R39/R4,""))</f>
        <v/>
      </c>
      <c r="S40" s="15">
        <f>IF(OR(S39="",S4=""),"",IFERROR(S39/S4,""))</f>
        <v/>
      </c>
      <c r="T40" s="15">
        <f>IF(OR(T39="",T4=""),"",IFERROR(T39/T4,""))</f>
        <v/>
      </c>
      <c r="U40" s="15">
        <f>IF(OR(U39="",U4=""),"",IFERROR(U39/U4,""))</f>
        <v/>
      </c>
      <c r="V40" s="15">
        <f>IF(OR(V39="",V4=""),"",IFERROR(V39/V4,""))</f>
        <v/>
      </c>
      <c r="W40" s="15">
        <f>IF(OR(W39="",W4=""),"",IFERROR(W39/W4,""))</f>
        <v/>
      </c>
      <c r="X40" s="15">
        <f>IF(OR(X39="",X4=""),"",IFERROR(X39/X4,""))</f>
        <v/>
      </c>
      <c r="Y40" s="14" t="n"/>
      <c r="Z40" s="15" t="n"/>
      <c r="AA40" s="15" t="n"/>
      <c r="AB40" s="15" t="n"/>
      <c r="AC40" s="15" t="n"/>
    </row>
    <row r="41">
      <c r="A41" s="18" t="inlineStr">
        <is>
          <t>기타비용</t>
        </is>
      </c>
      <c r="B41" s="10" t="inlineStr">
        <is>
          <t>변동비</t>
        </is>
      </c>
      <c r="C41" s="19" t="n"/>
      <c r="D41" s="20" t="n"/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19">
        <f>IF(OR(O32="",O33="",O35="",O37="",O39=""),"",IFERROR(O32-O33-O35-O37-O39,""))</f>
        <v/>
      </c>
      <c r="P41" s="20">
        <f>IF(OR(P32="",P33="",P35="",P37="",P39=""),"",IFERROR(P32-P33-P35-P37-P39,""))</f>
        <v/>
      </c>
      <c r="Q41" s="20">
        <f>IF(OR(Q32="",Q33="",Q35="",Q37="",Q39=""),"",IFERROR(Q32-Q33-Q35-Q37-Q39,""))</f>
        <v/>
      </c>
      <c r="R41" s="20">
        <f>IF(OR(R32="",R33="",R35="",R37="",R39=""),"",IFERROR(R32-R33-R35-R37-R39,""))</f>
        <v/>
      </c>
      <c r="S41" s="20">
        <f>IF(OR(S32="",S33="",S35="",S37="",S39=""),"",IFERROR(S32-S33-S35-S37-S39,""))</f>
        <v/>
      </c>
      <c r="T41" s="20">
        <f>IF(OR(T32="",T33="",T35="",T37="",T39=""),"",IFERROR(T32-T33-T35-T37-T39,""))</f>
        <v/>
      </c>
      <c r="U41" s="20">
        <f>IF(OR(U32="",U33="",U35="",U37="",U39=""),"",IFERROR(U32-U33-U35-U37-U39,""))</f>
        <v/>
      </c>
      <c r="V41" s="20">
        <f>IF(OR(V32="",V33="",V35="",V37="",V39=""),"",IFERROR(V32-V33-V35-V37-V39,""))</f>
        <v/>
      </c>
      <c r="W41" s="20">
        <f>IF(OR(W32="",W33="",W35="",W37="",W39=""),"",IFERROR(W32-W33-W35-W37-W39,""))</f>
        <v/>
      </c>
      <c r="X41" s="20">
        <f>IF(OR(X32="",X33="",X35="",X37="",X39=""),"",IFERROR(X32-X33-X35-X37-X39,""))</f>
        <v/>
      </c>
      <c r="Y41" s="19" t="n"/>
      <c r="Z41" s="20" t="n"/>
      <c r="AA41" s="20" t="n"/>
      <c r="AB41" s="20" t="n"/>
      <c r="AC41" s="20" t="n"/>
    </row>
    <row r="42">
      <c r="A42" s="13" t="inlineStr">
        <is>
          <t>% of Sales</t>
        </is>
      </c>
      <c r="B42" s="10" t="n"/>
      <c r="C42" s="14" t="n"/>
      <c r="D42" s="15" t="n"/>
      <c r="E42" s="15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4">
        <f>IF(OR(O41="",O4=""),"",IFERROR(O41/O4,""))</f>
        <v/>
      </c>
      <c r="P42" s="15">
        <f>IF(OR(P41="",P4=""),"",IFERROR(P41/P4,""))</f>
        <v/>
      </c>
      <c r="Q42" s="15">
        <f>IF(OR(Q41="",Q4=""),"",IFERROR(Q41/Q4,""))</f>
        <v/>
      </c>
      <c r="R42" s="15">
        <f>IF(OR(R41="",R4=""),"",IFERROR(R41/R4,""))</f>
        <v/>
      </c>
      <c r="S42" s="15">
        <f>IF(OR(S41="",S4=""),"",IFERROR(S41/S4,""))</f>
        <v/>
      </c>
      <c r="T42" s="15">
        <f>IF(OR(T41="",T4=""),"",IFERROR(T41/T4,""))</f>
        <v/>
      </c>
      <c r="U42" s="15">
        <f>IF(OR(U41="",U4=""),"",IFERROR(U41/U4,""))</f>
        <v/>
      </c>
      <c r="V42" s="15">
        <f>IF(OR(V41="",V4=""),"",IFERROR(V41/V4,""))</f>
        <v/>
      </c>
      <c r="W42" s="15">
        <f>IF(OR(W41="",W4=""),"",IFERROR(W41/W4,""))</f>
        <v/>
      </c>
      <c r="X42" s="15">
        <f>IF(OR(X41="",X4=""),"",IFERROR(X41/X4,""))</f>
        <v/>
      </c>
      <c r="Y42" s="14" t="n"/>
      <c r="Z42" s="15" t="n"/>
      <c r="AA42" s="15" t="n"/>
      <c r="AB42" s="15" t="n"/>
      <c r="AC42" s="15" t="n"/>
    </row>
    <row r="43">
      <c r="A43" s="16" t="inlineStr">
        <is>
          <t>당기순이익 추정</t>
        </is>
      </c>
      <c r="B43" s="16" t="n"/>
      <c r="C43" s="17" t="n"/>
      <c r="D43" s="16" t="n"/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7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7" t="n"/>
      <c r="Z43" s="16" t="n"/>
      <c r="AA43" s="16" t="n"/>
      <c r="AB43" s="16" t="n"/>
      <c r="AC43" s="16" t="n"/>
    </row>
    <row r="44">
      <c r="A44" s="18" t="inlineStr">
        <is>
          <t>특별이익</t>
        </is>
      </c>
      <c r="B44" s="10" t="n"/>
      <c r="C44" s="19" t="n">
        <v>0.11</v>
      </c>
      <c r="D44" s="20" t="n">
        <v>0.048</v>
      </c>
      <c r="E44" s="20" t="n">
        <v>0.02</v>
      </c>
      <c r="F44" s="20" t="n">
        <v>0</v>
      </c>
      <c r="G44" s="20" t="n">
        <v>0</v>
      </c>
      <c r="H44" s="20" t="n">
        <v>2.129</v>
      </c>
      <c r="I44" s="20" t="n">
        <v>0</v>
      </c>
      <c r="J44" s="20" t="n">
        <v>4.695</v>
      </c>
      <c r="K44" s="20" t="n">
        <v>104.569</v>
      </c>
      <c r="L44" s="20" t="n">
        <v>12.974</v>
      </c>
      <c r="M44" s="20" t="n">
        <v>423.873</v>
      </c>
      <c r="N44" s="20" t="n">
        <v>1.227</v>
      </c>
      <c r="O44" s="19" t="n">
        <v>2.69</v>
      </c>
      <c r="P44" s="20" t="n">
        <v>36.728</v>
      </c>
      <c r="Q44" s="20" t="n">
        <v>92.107</v>
      </c>
      <c r="R44" s="20" t="n">
        <v>2.369</v>
      </c>
      <c r="S44" s="20" t="n">
        <v>14.777</v>
      </c>
      <c r="T44" s="20" t="n">
        <v>7.041</v>
      </c>
      <c r="U44" s="20" t="n">
        <v>270.115</v>
      </c>
      <c r="V44" s="20" t="n">
        <v>0.463</v>
      </c>
      <c r="W44" s="20" t="n">
        <v>2.129</v>
      </c>
      <c r="X44" s="20" t="n">
        <v>546.111</v>
      </c>
      <c r="Y44" s="19">
        <f>IF(OR(Y4="",Y45=""),"",IFERROR(Y4*Y45,""))</f>
        <v/>
      </c>
      <c r="Z44" s="20">
        <f>IF(OR(Z4="",Z45=""),"",IFERROR(Z4*Z45,""))</f>
        <v/>
      </c>
      <c r="AA44" s="20">
        <f>IF(OR(AA4="",AA45=""),"",IFERROR(AA4*AA45,""))</f>
        <v/>
      </c>
      <c r="AB44" s="20">
        <f>IF(OR(AB4="",AB45=""),"",IFERROR(AB4*AB45,""))</f>
        <v/>
      </c>
      <c r="AC44" s="20">
        <f>IF(OR(AC4="",AC45=""),"",IFERROR(AC4*AC45,""))</f>
        <v/>
      </c>
    </row>
    <row r="45">
      <c r="A45" s="13" t="inlineStr">
        <is>
          <t>% of Sales</t>
        </is>
      </c>
      <c r="B45" s="10" t="inlineStr">
        <is>
          <t>MW = 최근 3년 평균</t>
        </is>
      </c>
      <c r="C45" s="14">
        <f>IF(OR(C44="",C4=""),"",IFERROR(C44/C4,""))</f>
        <v/>
      </c>
      <c r="D45" s="15">
        <f>IF(OR(D44="",D4=""),"",IFERROR(D44/D4,""))</f>
        <v/>
      </c>
      <c r="E45" s="15">
        <f>IF(OR(E44="",E4=""),"",IFERROR(E44/E4,""))</f>
        <v/>
      </c>
      <c r="F45" s="15">
        <f>IF(OR(F44="",F4=""),"",IFERROR(F44/F4,""))</f>
        <v/>
      </c>
      <c r="G45" s="15">
        <f>IF(OR(G44="",G4=""),"",IFERROR(G44/G4,""))</f>
        <v/>
      </c>
      <c r="H45" s="15">
        <f>IF(OR(H44="",H4=""),"",IFERROR(H44/H4,""))</f>
        <v/>
      </c>
      <c r="I45" s="15">
        <f>IF(OR(I44="",I4=""),"",IFERROR(I44/I4,""))</f>
        <v/>
      </c>
      <c r="J45" s="15">
        <f>IF(OR(J44="",J4=""),"",IFERROR(J44/J4,""))</f>
        <v/>
      </c>
      <c r="K45" s="15">
        <f>IF(OR(K44="",K4=""),"",IFERROR(K44/K4,""))</f>
        <v/>
      </c>
      <c r="L45" s="15">
        <f>IF(OR(L44="",L4=""),"",IFERROR(L44/L4,""))</f>
        <v/>
      </c>
      <c r="M45" s="15">
        <f>IF(OR(M44="",M4=""),"",IFERROR(M44/M4,""))</f>
        <v/>
      </c>
      <c r="N45" s="15">
        <f>IF(OR(N44="",N4=""),"",IFERROR(N44/N4,""))</f>
        <v/>
      </c>
      <c r="O45" s="14">
        <f>IF(OR(O44="",O4=""),"",IFERROR(O44/O4,""))</f>
        <v/>
      </c>
      <c r="P45" s="15">
        <f>IF(OR(P44="",P4=""),"",IFERROR(P44/P4,""))</f>
        <v/>
      </c>
      <c r="Q45" s="15">
        <f>IF(OR(Q44="",Q4=""),"",IFERROR(Q44/Q4,""))</f>
        <v/>
      </c>
      <c r="R45" s="15">
        <f>IF(OR(R44="",R4=""),"",IFERROR(R44/R4,""))</f>
        <v/>
      </c>
      <c r="S45" s="15">
        <f>IF(OR(S44="",S4=""),"",IFERROR(S44/S4,""))</f>
        <v/>
      </c>
      <c r="T45" s="15">
        <f>IF(OR(T44="",T4=""),"",IFERROR(T44/T4,""))</f>
        <v/>
      </c>
      <c r="U45" s="15">
        <f>IF(OR(U44="",U4=""),"",IFERROR(U44/U4,""))</f>
        <v/>
      </c>
      <c r="V45" s="15">
        <f>IF(OR(V44="",V4=""),"",IFERROR(V44/V4,""))</f>
        <v/>
      </c>
      <c r="W45" s="15">
        <f>IF(OR(W44="",W4=""),"",IFERROR(W44/W4,""))</f>
        <v/>
      </c>
      <c r="X45" s="15">
        <f>IF(OR(X44="",X4=""),"",IFERROR(X44/X4,""))</f>
        <v/>
      </c>
      <c r="Y45" s="25">
        <f>IFERROR(AVERAGE(V45,W45,X45),"")</f>
        <v/>
      </c>
      <c r="Z45" s="26">
        <f>Y45</f>
        <v/>
      </c>
      <c r="AA45" s="26">
        <f>Z45</f>
        <v/>
      </c>
      <c r="AB45" s="26">
        <f>AA45</f>
        <v/>
      </c>
      <c r="AC45" s="26">
        <f>AB45</f>
        <v/>
      </c>
    </row>
    <row r="46">
      <c r="A46" s="18" t="inlineStr">
        <is>
          <t>특별손실</t>
        </is>
      </c>
      <c r="B46" s="10" t="n"/>
      <c r="C46" s="19" t="n">
        <v>2.818</v>
      </c>
      <c r="D46" s="20" t="n">
        <v>-1.559</v>
      </c>
      <c r="E46" s="20" t="n">
        <v>-1.119</v>
      </c>
      <c r="F46" s="20" t="n">
        <v>0</v>
      </c>
      <c r="G46" s="20" t="n">
        <v>7.713</v>
      </c>
      <c r="H46" s="20" t="n">
        <v>3.707</v>
      </c>
      <c r="I46" s="20" t="n">
        <v>33.26</v>
      </c>
      <c r="J46" s="20" t="n">
        <v>0.008</v>
      </c>
      <c r="K46" s="20" t="n">
        <v>0.002</v>
      </c>
      <c r="L46" s="20" t="n">
        <v>0</v>
      </c>
      <c r="M46" s="20" t="n">
        <v>14.696</v>
      </c>
      <c r="N46" s="20" t="n">
        <v>0.273</v>
      </c>
      <c r="O46" s="19" t="n">
        <v>35.786</v>
      </c>
      <c r="P46" s="20" t="n">
        <v>56.35</v>
      </c>
      <c r="Q46" s="20" t="n">
        <v>83.657</v>
      </c>
      <c r="R46" s="20" t="n">
        <v>41.605</v>
      </c>
      <c r="S46" s="20" t="n">
        <v>16.488</v>
      </c>
      <c r="T46" s="20" t="n">
        <v>8.492000000000001</v>
      </c>
      <c r="U46" s="20" t="n">
        <v>49.149</v>
      </c>
      <c r="V46" s="20" t="n">
        <v>5.14</v>
      </c>
      <c r="W46" s="20" t="n">
        <v>44.68</v>
      </c>
      <c r="X46" s="20" t="n">
        <v>14.706</v>
      </c>
      <c r="Y46" s="19">
        <f>IF(OR(Y4="",Y47=""),"",IFERROR(Y4*Y47,""))</f>
        <v/>
      </c>
      <c r="Z46" s="20">
        <f>IF(OR(Z4="",Z47=""),"",IFERROR(Z4*Z47,""))</f>
        <v/>
      </c>
      <c r="AA46" s="20">
        <f>IF(OR(AA4="",AA47=""),"",IFERROR(AA4*AA47,""))</f>
        <v/>
      </c>
      <c r="AB46" s="20">
        <f>IF(OR(AB4="",AB47=""),"",IFERROR(AB4*AB47,""))</f>
        <v/>
      </c>
      <c r="AC46" s="20">
        <f>IF(OR(AC4="",AC47=""),"",IFERROR(AC4*AC47,""))</f>
        <v/>
      </c>
    </row>
    <row r="47">
      <c r="A47" s="13" t="inlineStr">
        <is>
          <t>% of Sales</t>
        </is>
      </c>
      <c r="B47" s="10" t="n"/>
      <c r="C47" s="14">
        <f>IF(OR(C46="",C4=""),"",IFERROR(C46/C4,""))</f>
        <v/>
      </c>
      <c r="D47" s="15">
        <f>IF(OR(D46="",D4=""),"",IFERROR(D46/D4,""))</f>
        <v/>
      </c>
      <c r="E47" s="15">
        <f>IF(OR(E46="",E4=""),"",IFERROR(E46/E4,""))</f>
        <v/>
      </c>
      <c r="F47" s="15">
        <f>IF(OR(F46="",F4=""),"",IFERROR(F46/F4,""))</f>
        <v/>
      </c>
      <c r="G47" s="15">
        <f>IF(OR(G46="",G4=""),"",IFERROR(G46/G4,""))</f>
        <v/>
      </c>
      <c r="H47" s="15">
        <f>IF(OR(H46="",H4=""),"",IFERROR(H46/H4,""))</f>
        <v/>
      </c>
      <c r="I47" s="15">
        <f>IF(OR(I46="",I4=""),"",IFERROR(I46/I4,""))</f>
        <v/>
      </c>
      <c r="J47" s="15">
        <f>IF(OR(J46="",J4=""),"",IFERROR(J46/J4,""))</f>
        <v/>
      </c>
      <c r="K47" s="15">
        <f>IF(OR(K46="",K4=""),"",IFERROR(K46/K4,""))</f>
        <v/>
      </c>
      <c r="L47" s="15">
        <f>IF(OR(L46="",L4=""),"",IFERROR(L46/L4,""))</f>
        <v/>
      </c>
      <c r="M47" s="15">
        <f>IF(OR(M46="",M4=""),"",IFERROR(M46/M4,""))</f>
        <v/>
      </c>
      <c r="N47" s="15">
        <f>IF(OR(N46="",N4=""),"",IFERROR(N46/N4,""))</f>
        <v/>
      </c>
      <c r="O47" s="14">
        <f>IF(OR(O46="",O4=""),"",IFERROR(O46/O4,""))</f>
        <v/>
      </c>
      <c r="P47" s="15">
        <f>IF(OR(P46="",P4=""),"",IFERROR(P46/P4,""))</f>
        <v/>
      </c>
      <c r="Q47" s="15">
        <f>IF(OR(Q46="",Q4=""),"",IFERROR(Q46/Q4,""))</f>
        <v/>
      </c>
      <c r="R47" s="15">
        <f>IF(OR(R46="",R4=""),"",IFERROR(R46/R4,""))</f>
        <v/>
      </c>
      <c r="S47" s="15">
        <f>IF(OR(S46="",S4=""),"",IFERROR(S46/S4,""))</f>
        <v/>
      </c>
      <c r="T47" s="15">
        <f>IF(OR(T46="",T4=""),"",IFERROR(T46/T4,""))</f>
        <v/>
      </c>
      <c r="U47" s="15">
        <f>IF(OR(U46="",U4=""),"",IFERROR(U46/U4,""))</f>
        <v/>
      </c>
      <c r="V47" s="15">
        <f>IF(OR(V46="",V4=""),"",IFERROR(V46/V4,""))</f>
        <v/>
      </c>
      <c r="W47" s="15">
        <f>IF(OR(W46="",W4=""),"",IFERROR(W46/W4,""))</f>
        <v/>
      </c>
      <c r="X47" s="15">
        <f>IF(OR(X46="",X4=""),"",IFERROR(X46/X4,""))</f>
        <v/>
      </c>
      <c r="Y47" s="25">
        <f>IFERROR(AVERAGE(V47,W47,X47),"")</f>
        <v/>
      </c>
      <c r="Z47" s="26">
        <f>Y47</f>
        <v/>
      </c>
      <c r="AA47" s="26">
        <f>Z47</f>
        <v/>
      </c>
      <c r="AB47" s="26">
        <f>AA47</f>
        <v/>
      </c>
      <c r="AC47" s="26">
        <f>AB47</f>
        <v/>
      </c>
    </row>
    <row r="48">
      <c r="A48" s="18" t="inlineStr">
        <is>
          <t>영업외수익</t>
        </is>
      </c>
      <c r="B48" s="10" t="n"/>
      <c r="C48" s="19" t="n">
        <v>134.77</v>
      </c>
      <c r="D48" s="20" t="n">
        <v>112.669</v>
      </c>
      <c r="E48" s="20" t="n">
        <v>23.584</v>
      </c>
      <c r="F48" s="20" t="n">
        <v>109.66</v>
      </c>
      <c r="G48" s="20" t="n">
        <v>143.712</v>
      </c>
      <c r="H48" s="20" t="n">
        <v>116.781</v>
      </c>
      <c r="I48" s="20" t="n">
        <v>190.738</v>
      </c>
      <c r="J48" s="20" t="n">
        <v>127.443</v>
      </c>
      <c r="K48" s="20" t="n">
        <v>154.025</v>
      </c>
      <c r="L48" s="20" t="n">
        <v>114.089</v>
      </c>
      <c r="M48" s="20" t="n">
        <v>159.446</v>
      </c>
      <c r="N48" s="20" t="n">
        <v>134.226</v>
      </c>
      <c r="O48" s="19" t="n">
        <v>422.125</v>
      </c>
      <c r="P48" s="20" t="n">
        <v>434.585</v>
      </c>
      <c r="Q48" s="20" t="n">
        <v>511.306</v>
      </c>
      <c r="R48" s="20" t="n">
        <v>421.74</v>
      </c>
      <c r="S48" s="20" t="n">
        <v>525.471</v>
      </c>
      <c r="T48" s="20" t="n">
        <v>472.945</v>
      </c>
      <c r="U48" s="20" t="n">
        <v>436.238</v>
      </c>
      <c r="V48" s="20" t="n">
        <v>427.551</v>
      </c>
      <c r="W48" s="20" t="n">
        <v>560.891</v>
      </c>
      <c r="X48" s="20" t="n">
        <v>555.003</v>
      </c>
      <c r="Y48" s="19">
        <f>IF(OR(Y4="",Y49=""),"",IFERROR(Y4*Y49,""))</f>
        <v/>
      </c>
      <c r="Z48" s="20">
        <f>IF(OR(Z4="",Z49=""),"",IFERROR(Z4*Z49,""))</f>
        <v/>
      </c>
      <c r="AA48" s="20">
        <f>IF(OR(AA4="",AA49=""),"",IFERROR(AA4*AA49,""))</f>
        <v/>
      </c>
      <c r="AB48" s="20">
        <f>IF(OR(AB4="",AB49=""),"",IFERROR(AB4*AB49,""))</f>
        <v/>
      </c>
      <c r="AC48" s="20">
        <f>IF(OR(AC4="",AC49=""),"",IFERROR(AC4*AC49,""))</f>
        <v/>
      </c>
    </row>
    <row r="49">
      <c r="A49" s="13" t="inlineStr">
        <is>
          <t>% of Sales</t>
        </is>
      </c>
      <c r="B49" s="10" t="n"/>
      <c r="C49" s="14">
        <f>IF(OR(C48="",C4=""),"",IFERROR(C48/C4,""))</f>
        <v/>
      </c>
      <c r="D49" s="15">
        <f>IF(OR(D48="",D4=""),"",IFERROR(D48/D4,""))</f>
        <v/>
      </c>
      <c r="E49" s="15">
        <f>IF(OR(E48="",E4=""),"",IFERROR(E48/E4,""))</f>
        <v/>
      </c>
      <c r="F49" s="15">
        <f>IF(OR(F48="",F4=""),"",IFERROR(F48/F4,""))</f>
        <v/>
      </c>
      <c r="G49" s="15">
        <f>IF(OR(G48="",G4=""),"",IFERROR(G48/G4,""))</f>
        <v/>
      </c>
      <c r="H49" s="15">
        <f>IF(OR(H48="",H4=""),"",IFERROR(H48/H4,""))</f>
        <v/>
      </c>
      <c r="I49" s="15">
        <f>IF(OR(I48="",I4=""),"",IFERROR(I48/I4,""))</f>
        <v/>
      </c>
      <c r="J49" s="15">
        <f>IF(OR(J48="",J4=""),"",IFERROR(J48/J4,""))</f>
        <v/>
      </c>
      <c r="K49" s="15">
        <f>IF(OR(K48="",K4=""),"",IFERROR(K48/K4,""))</f>
        <v/>
      </c>
      <c r="L49" s="15">
        <f>IF(OR(L48="",L4=""),"",IFERROR(L48/L4,""))</f>
        <v/>
      </c>
      <c r="M49" s="15">
        <f>IF(OR(M48="",M4=""),"",IFERROR(M48/M4,""))</f>
        <v/>
      </c>
      <c r="N49" s="15">
        <f>IF(OR(N48="",N4=""),"",IFERROR(N48/N4,""))</f>
        <v/>
      </c>
      <c r="O49" s="14">
        <f>IF(OR(O48="",O4=""),"",IFERROR(O48/O4,""))</f>
        <v/>
      </c>
      <c r="P49" s="15">
        <f>IF(OR(P48="",P4=""),"",IFERROR(P48/P4,""))</f>
        <v/>
      </c>
      <c r="Q49" s="15">
        <f>IF(OR(Q48="",Q4=""),"",IFERROR(Q48/Q4,""))</f>
        <v/>
      </c>
      <c r="R49" s="15">
        <f>IF(OR(R48="",R4=""),"",IFERROR(R48/R4,""))</f>
        <v/>
      </c>
      <c r="S49" s="15">
        <f>IF(OR(S48="",S4=""),"",IFERROR(S48/S4,""))</f>
        <v/>
      </c>
      <c r="T49" s="15">
        <f>IF(OR(T48="",T4=""),"",IFERROR(T48/T4,""))</f>
        <v/>
      </c>
      <c r="U49" s="15">
        <f>IF(OR(U48="",U4=""),"",IFERROR(U48/U4,""))</f>
        <v/>
      </c>
      <c r="V49" s="15">
        <f>IF(OR(V48="",V4=""),"",IFERROR(V48/V4,""))</f>
        <v/>
      </c>
      <c r="W49" s="15">
        <f>IF(OR(W48="",W4=""),"",IFERROR(W48/W4,""))</f>
        <v/>
      </c>
      <c r="X49" s="15">
        <f>IF(OR(X48="",X4=""),"",IFERROR(X48/X4,""))</f>
        <v/>
      </c>
      <c r="Y49" s="25">
        <f>IFERROR(AVERAGE(V49,W49,X49),"")</f>
        <v/>
      </c>
      <c r="Z49" s="26">
        <f>Y49</f>
        <v/>
      </c>
      <c r="AA49" s="26">
        <f>Z49</f>
        <v/>
      </c>
      <c r="AB49" s="26">
        <f>AA49</f>
        <v/>
      </c>
      <c r="AC49" s="26">
        <f>AB49</f>
        <v/>
      </c>
    </row>
    <row r="50">
      <c r="A50" s="18" t="inlineStr">
        <is>
          <t>영업외비용</t>
        </is>
      </c>
      <c r="B50" s="10" t="n"/>
      <c r="C50" s="19" t="n">
        <v>0.629</v>
      </c>
      <c r="D50" s="20" t="n">
        <v>0.022</v>
      </c>
      <c r="E50" s="20" t="n">
        <v>-0.252</v>
      </c>
      <c r="F50" s="20" t="n">
        <v>4.715</v>
      </c>
      <c r="G50" s="20" t="n">
        <v>8.881</v>
      </c>
      <c r="H50" s="20" t="n">
        <v>10.148</v>
      </c>
      <c r="I50" s="20" t="n">
        <v>26.33</v>
      </c>
      <c r="J50" s="20" t="n">
        <v>15.555</v>
      </c>
      <c r="K50" s="20" t="n">
        <v>12.599</v>
      </c>
      <c r="L50" s="20" t="n">
        <v>17.999</v>
      </c>
      <c r="M50" s="20" t="n">
        <v>5.975</v>
      </c>
      <c r="N50" s="20" t="n">
        <v>6.687</v>
      </c>
      <c r="O50" s="19" t="n">
        <v>69.446</v>
      </c>
      <c r="P50" s="20" t="n">
        <v>73.42</v>
      </c>
      <c r="Q50" s="20" t="n">
        <v>84.923</v>
      </c>
      <c r="R50" s="20" t="n">
        <v>84.36799999999999</v>
      </c>
      <c r="S50" s="20" t="n">
        <v>72.55800000000001</v>
      </c>
      <c r="T50" s="20" t="n">
        <v>9.65</v>
      </c>
      <c r="U50" s="20" t="n">
        <v>3.162</v>
      </c>
      <c r="V50" s="20" t="n">
        <v>1.217</v>
      </c>
      <c r="W50" s="20" t="n">
        <v>50.074</v>
      </c>
      <c r="X50" s="20" t="n">
        <v>52.128</v>
      </c>
      <c r="Y50" s="19">
        <f>IF(OR(Y4="",Y51=""),"",IFERROR(Y4*Y51,""))</f>
        <v/>
      </c>
      <c r="Z50" s="20">
        <f>IF(OR(Z4="",Z51=""),"",IFERROR(Z4*Z51,""))</f>
        <v/>
      </c>
      <c r="AA50" s="20">
        <f>IF(OR(AA4="",AA51=""),"",IFERROR(AA4*AA51,""))</f>
        <v/>
      </c>
      <c r="AB50" s="20">
        <f>IF(OR(AB4="",AB51=""),"",IFERROR(AB4*AB51,""))</f>
        <v/>
      </c>
      <c r="AC50" s="20">
        <f>IF(OR(AC4="",AC51=""),"",IFERROR(AC4*AC51,""))</f>
        <v/>
      </c>
    </row>
    <row r="51">
      <c r="A51" s="13" t="inlineStr">
        <is>
          <t>% of Sales</t>
        </is>
      </c>
      <c r="B51" s="10" t="n"/>
      <c r="C51" s="14">
        <f>IF(OR(C50="",C4=""),"",IFERROR(C50/C4,""))</f>
        <v/>
      </c>
      <c r="D51" s="15">
        <f>IF(OR(D50="",D4=""),"",IFERROR(D50/D4,""))</f>
        <v/>
      </c>
      <c r="E51" s="15">
        <f>IF(OR(E50="",E4=""),"",IFERROR(E50/E4,""))</f>
        <v/>
      </c>
      <c r="F51" s="15">
        <f>IF(OR(F50="",F4=""),"",IFERROR(F50/F4,""))</f>
        <v/>
      </c>
      <c r="G51" s="15">
        <f>IF(OR(G50="",G4=""),"",IFERROR(G50/G4,""))</f>
        <v/>
      </c>
      <c r="H51" s="15">
        <f>IF(OR(H50="",H4=""),"",IFERROR(H50/H4,""))</f>
        <v/>
      </c>
      <c r="I51" s="15">
        <f>IF(OR(I50="",I4=""),"",IFERROR(I50/I4,""))</f>
        <v/>
      </c>
      <c r="J51" s="15">
        <f>IF(OR(J50="",J4=""),"",IFERROR(J50/J4,""))</f>
        <v/>
      </c>
      <c r="K51" s="15">
        <f>IF(OR(K50="",K4=""),"",IFERROR(K50/K4,""))</f>
        <v/>
      </c>
      <c r="L51" s="15">
        <f>IF(OR(L50="",L4=""),"",IFERROR(L50/L4,""))</f>
        <v/>
      </c>
      <c r="M51" s="15">
        <f>IF(OR(M50="",M4=""),"",IFERROR(M50/M4,""))</f>
        <v/>
      </c>
      <c r="N51" s="15">
        <f>IF(OR(N50="",N4=""),"",IFERROR(N50/N4,""))</f>
        <v/>
      </c>
      <c r="O51" s="14">
        <f>IF(OR(O50="",O4=""),"",IFERROR(O50/O4,""))</f>
        <v/>
      </c>
      <c r="P51" s="15">
        <f>IF(OR(P50="",P4=""),"",IFERROR(P50/P4,""))</f>
        <v/>
      </c>
      <c r="Q51" s="15">
        <f>IF(OR(Q50="",Q4=""),"",IFERROR(Q50/Q4,""))</f>
        <v/>
      </c>
      <c r="R51" s="15">
        <f>IF(OR(R50="",R4=""),"",IFERROR(R50/R4,""))</f>
        <v/>
      </c>
      <c r="S51" s="15">
        <f>IF(OR(S50="",S4=""),"",IFERROR(S50/S4,""))</f>
        <v/>
      </c>
      <c r="T51" s="15">
        <f>IF(OR(T50="",T4=""),"",IFERROR(T50/T4,""))</f>
        <v/>
      </c>
      <c r="U51" s="15">
        <f>IF(OR(U50="",U4=""),"",IFERROR(U50/U4,""))</f>
        <v/>
      </c>
      <c r="V51" s="15">
        <f>IF(OR(V50="",V4=""),"",IFERROR(V50/V4,""))</f>
        <v/>
      </c>
      <c r="W51" s="15">
        <f>IF(OR(W50="",W4=""),"",IFERROR(W50/W4,""))</f>
        <v/>
      </c>
      <c r="X51" s="15">
        <f>IF(OR(X50="",X4=""),"",IFERROR(X50/X4,""))</f>
        <v/>
      </c>
      <c r="Y51" s="25">
        <f>IFERROR(AVERAGE(V51,W51,X51),"")</f>
        <v/>
      </c>
      <c r="Z51" s="26">
        <f>Y51</f>
        <v/>
      </c>
      <c r="AA51" s="26">
        <f>Z51</f>
        <v/>
      </c>
      <c r="AB51" s="26">
        <f>AA51</f>
        <v/>
      </c>
      <c r="AC51" s="26">
        <f>AB51</f>
        <v/>
      </c>
    </row>
    <row r="52">
      <c r="A52" s="9" t="inlineStr">
        <is>
          <t>법인세비용차감전순이익(손실)</t>
        </is>
      </c>
      <c r="B52" s="10" t="n"/>
      <c r="C52" s="11" t="n">
        <v>631.943</v>
      </c>
      <c r="D52" s="12" t="n">
        <v>1090.013</v>
      </c>
      <c r="E52" s="12" t="n">
        <v>-157.918</v>
      </c>
      <c r="F52" s="12" t="n">
        <v>480.187</v>
      </c>
      <c r="G52" s="12" t="n">
        <v>656.752</v>
      </c>
      <c r="H52" s="12" t="n">
        <v>1266.422</v>
      </c>
      <c r="I52" s="12" t="n">
        <v>460.666</v>
      </c>
      <c r="J52" s="12" t="n">
        <v>393.561</v>
      </c>
      <c r="K52" s="12" t="n">
        <v>621.004</v>
      </c>
      <c r="L52" s="12" t="n">
        <v>1058.872</v>
      </c>
      <c r="M52" s="12" t="n">
        <v>1008.615</v>
      </c>
      <c r="N52" s="12" t="n">
        <v>615.548</v>
      </c>
      <c r="O52" s="11" t="n">
        <v>1961.428</v>
      </c>
      <c r="P52" s="12" t="n">
        <v>2477.37</v>
      </c>
      <c r="Q52" s="12" t="n">
        <v>3305.463</v>
      </c>
      <c r="R52" s="12" t="n">
        <v>2386.688</v>
      </c>
      <c r="S52" s="12" t="n">
        <v>2521.343</v>
      </c>
      <c r="T52" s="12" t="n">
        <v>2533.282</v>
      </c>
      <c r="U52" s="12" t="n">
        <v>2369.217</v>
      </c>
      <c r="V52" s="12" t="n">
        <v>2121.509</v>
      </c>
      <c r="W52" s="12" t="n">
        <v>2864.027</v>
      </c>
      <c r="X52" s="12" t="n">
        <v>3082.052</v>
      </c>
      <c r="Y52" s="11">
        <f>IF(OR(Y28=""),"",IFERROR(Y28+N(Y44)-N(Y46)+N(Y48)-N(Y50),""))</f>
        <v/>
      </c>
      <c r="Z52" s="12">
        <f>IF(OR(Z28=""),"",IFERROR(Z28+N(Z44)-N(Z46)+N(Z48)-N(Z50),""))</f>
        <v/>
      </c>
      <c r="AA52" s="12">
        <f>IF(OR(AA28=""),"",IFERROR(AA28+N(AA44)-N(AA46)+N(AA48)-N(AA50),""))</f>
        <v/>
      </c>
      <c r="AB52" s="12">
        <f>IF(OR(AB28=""),"",IFERROR(AB28+N(AB44)-N(AB46)+N(AB48)-N(AB50),""))</f>
        <v/>
      </c>
      <c r="AC52" s="12">
        <f>IF(OR(AC28=""),"",IFERROR(AC28+N(AC44)-N(AC46)+N(AC48)-N(AC50),""))</f>
        <v/>
      </c>
    </row>
    <row r="53">
      <c r="A53" s="18" t="inlineStr">
        <is>
          <t>법인세비용(수익)</t>
        </is>
      </c>
      <c r="B53" s="10" t="n"/>
      <c r="C53" s="19" t="n">
        <v>217.132</v>
      </c>
      <c r="D53" s="20" t="n">
        <v>368.448</v>
      </c>
      <c r="E53" s="20" t="n">
        <v>-55.027</v>
      </c>
      <c r="F53" s="20" t="n">
        <v>165.275</v>
      </c>
      <c r="G53" s="20" t="n">
        <v>224.923</v>
      </c>
      <c r="H53" s="20" t="n">
        <v>411.789</v>
      </c>
      <c r="I53" s="20" t="n">
        <v>144.806</v>
      </c>
      <c r="J53" s="20" t="n">
        <v>163.084</v>
      </c>
      <c r="K53" s="20" t="n">
        <v>192.696</v>
      </c>
      <c r="L53" s="20" t="n">
        <v>348.249</v>
      </c>
      <c r="M53" s="20" t="n">
        <v>265.419</v>
      </c>
      <c r="N53" s="20" t="n">
        <v>231.357</v>
      </c>
      <c r="O53" s="19" t="n">
        <v>659.446</v>
      </c>
      <c r="P53" s="20" t="n">
        <v>829.748</v>
      </c>
      <c r="Q53" s="20" t="n">
        <v>1077.677</v>
      </c>
      <c r="R53" s="20" t="n">
        <v>822.079</v>
      </c>
      <c r="S53" s="20" t="n">
        <v>799.457</v>
      </c>
      <c r="T53" s="20" t="n">
        <v>898.404</v>
      </c>
      <c r="U53" s="20" t="n">
        <v>644.505</v>
      </c>
      <c r="V53" s="20" t="n">
        <v>727.3</v>
      </c>
      <c r="W53" s="20" t="n">
        <v>946.793</v>
      </c>
      <c r="X53" s="20" t="n">
        <v>969.448</v>
      </c>
      <c r="Y53" s="19">
        <f>IF(OR(Y52="",Y54=""),"",IFERROR(MAX(Y52,0)*Y54,""))</f>
        <v/>
      </c>
      <c r="Z53" s="20">
        <f>IF(OR(Z52="",Z54=""),"",IFERROR(MAX(Z52,0)*Z54,""))</f>
        <v/>
      </c>
      <c r="AA53" s="20">
        <f>IF(OR(AA52="",AA54=""),"",IFERROR(MAX(AA52,0)*AA54,""))</f>
        <v/>
      </c>
      <c r="AB53" s="20">
        <f>IF(OR(AB52="",AB54=""),"",IFERROR(MAX(AB52,0)*AB54,""))</f>
        <v/>
      </c>
      <c r="AC53" s="20">
        <f>IF(OR(AC52="",AC54=""),"",IFERROR(MAX(AC52,0)*AC54,""))</f>
        <v/>
      </c>
    </row>
    <row r="54">
      <c r="A54" s="13" t="inlineStr">
        <is>
          <t>법인세율</t>
        </is>
      </c>
      <c r="B54" s="10" t="inlineStr">
        <is>
          <t>MW 기본 30%</t>
        </is>
      </c>
      <c r="C54" s="14">
        <f>IF(OR(C53="",C52=""),"",IFERROR(C53/C52,""))</f>
        <v/>
      </c>
      <c r="D54" s="15">
        <f>IF(OR(D53="",D52=""),"",IFERROR(D53/D52,""))</f>
        <v/>
      </c>
      <c r="E54" s="15">
        <f>IF(OR(E53="",E52=""),"",IFERROR(E53/E52,""))</f>
        <v/>
      </c>
      <c r="F54" s="15">
        <f>IF(OR(F53="",F52=""),"",IFERROR(F53/F52,""))</f>
        <v/>
      </c>
      <c r="G54" s="15">
        <f>IF(OR(G53="",G52=""),"",IFERROR(G53/G52,""))</f>
        <v/>
      </c>
      <c r="H54" s="15">
        <f>IF(OR(H53="",H52=""),"",IFERROR(H53/H52,""))</f>
        <v/>
      </c>
      <c r="I54" s="15">
        <f>IF(OR(I53="",I52=""),"",IFERROR(I53/I52,""))</f>
        <v/>
      </c>
      <c r="J54" s="15">
        <f>IF(OR(J53="",J52=""),"",IFERROR(J53/J52,""))</f>
        <v/>
      </c>
      <c r="K54" s="15">
        <f>IF(OR(K53="",K52=""),"",IFERROR(K53/K52,""))</f>
        <v/>
      </c>
      <c r="L54" s="15">
        <f>IF(OR(L53="",L52=""),"",IFERROR(L53/L52,""))</f>
        <v/>
      </c>
      <c r="M54" s="15">
        <f>IF(OR(M53="",M52=""),"",IFERROR(M53/M52,""))</f>
        <v/>
      </c>
      <c r="N54" s="15">
        <f>IF(OR(N53="",N52=""),"",IFERROR(N53/N52,""))</f>
        <v/>
      </c>
      <c r="O54" s="14">
        <f>IF(OR(O53="",O52=""),"",IFERROR(O53/O52,""))</f>
        <v/>
      </c>
      <c r="P54" s="15">
        <f>IF(OR(P53="",P52=""),"",IFERROR(P53/P52,""))</f>
        <v/>
      </c>
      <c r="Q54" s="15">
        <f>IF(OR(Q53="",Q52=""),"",IFERROR(Q53/Q52,""))</f>
        <v/>
      </c>
      <c r="R54" s="15">
        <f>IF(OR(R53="",R52=""),"",IFERROR(R53/R52,""))</f>
        <v/>
      </c>
      <c r="S54" s="15">
        <f>IF(OR(S53="",S52=""),"",IFERROR(S53/S52,""))</f>
        <v/>
      </c>
      <c r="T54" s="15">
        <f>IF(OR(T53="",T52=""),"",IFERROR(T53/T52,""))</f>
        <v/>
      </c>
      <c r="U54" s="15">
        <f>IF(OR(U53="",U52=""),"",IFERROR(U53/U52,""))</f>
        <v/>
      </c>
      <c r="V54" s="15">
        <f>IF(OR(V53="",V52=""),"",IFERROR(V53/V52,""))</f>
        <v/>
      </c>
      <c r="W54" s="15">
        <f>IF(OR(W53="",W52=""),"",IFERROR(W53/W52,""))</f>
        <v/>
      </c>
      <c r="X54" s="15">
        <f>IF(OR(X53="",X52=""),"",IFERROR(X53/X52,""))</f>
        <v/>
      </c>
      <c r="Y54" s="25" t="n">
        <v>0.3</v>
      </c>
      <c r="Z54" s="26" t="n">
        <v>0.3</v>
      </c>
      <c r="AA54" s="26" t="n">
        <v>0.3</v>
      </c>
      <c r="AB54" s="26" t="n">
        <v>0.3</v>
      </c>
      <c r="AC54" s="26" t="n">
        <v>0.3</v>
      </c>
    </row>
    <row r="55">
      <c r="A55" s="9" t="inlineStr">
        <is>
          <t>당기순이익(손실)</t>
        </is>
      </c>
      <c r="B55" s="10" t="n"/>
      <c r="C55" s="11" t="n">
        <v>414.812</v>
      </c>
      <c r="D55" s="12" t="n">
        <v>721.564</v>
      </c>
      <c r="E55" s="12" t="n">
        <v>-102.89</v>
      </c>
      <c r="F55" s="12" t="n">
        <v>314.912</v>
      </c>
      <c r="G55" s="12" t="n">
        <v>431.828</v>
      </c>
      <c r="H55" s="12" t="n">
        <v>854.633</v>
      </c>
      <c r="I55" s="12" t="n">
        <v>315.861</v>
      </c>
      <c r="J55" s="12" t="n">
        <v>230.477</v>
      </c>
      <c r="K55" s="12" t="n">
        <v>428.307</v>
      </c>
      <c r="L55" s="12" t="n">
        <v>710.623</v>
      </c>
      <c r="M55" s="12" t="n">
        <v>743.197</v>
      </c>
      <c r="N55" s="12" t="n">
        <v>384.191</v>
      </c>
      <c r="O55" s="11" t="n">
        <v>1301.982</v>
      </c>
      <c r="P55" s="12" t="n">
        <v>1647.621</v>
      </c>
      <c r="Q55" s="12" t="n">
        <v>2227.786</v>
      </c>
      <c r="R55" s="12" t="n">
        <v>1564.608</v>
      </c>
      <c r="S55" s="12" t="n">
        <v>1721.885</v>
      </c>
      <c r="T55" s="12" t="n">
        <v>1634.878</v>
      </c>
      <c r="U55" s="12" t="n">
        <v>1724.712</v>
      </c>
      <c r="V55" s="12" t="n">
        <v>1394.209</v>
      </c>
      <c r="W55" s="12" t="n">
        <v>1917.234</v>
      </c>
      <c r="X55" s="12" t="n">
        <v>2112.604</v>
      </c>
      <c r="Y55" s="11">
        <f>IF(OR(Y52=""),"",IFERROR(Y52-Y53,""))</f>
        <v/>
      </c>
      <c r="Z55" s="12">
        <f>IF(OR(Z52=""),"",IFERROR(Z52-Z53,""))</f>
        <v/>
      </c>
      <c r="AA55" s="12">
        <f>IF(OR(AA52=""),"",IFERROR(AA52-AA53,""))</f>
        <v/>
      </c>
      <c r="AB55" s="12">
        <f>IF(OR(AB52=""),"",IFERROR(AB52-AB53,""))</f>
        <v/>
      </c>
      <c r="AC55" s="12">
        <f>IF(OR(AC52=""),"",IFERROR(AC52-AC53,""))</f>
        <v/>
      </c>
    </row>
    <row r="56">
      <c r="A56" s="9" t="inlineStr">
        <is>
          <t>지배주주 순이익</t>
        </is>
      </c>
      <c r="B56" s="10" t="n"/>
      <c r="C56" s="11" t="n">
        <v>414.812</v>
      </c>
      <c r="D56" s="12" t="n">
        <v>721.564</v>
      </c>
      <c r="E56" s="12" t="n">
        <v>379.623</v>
      </c>
      <c r="F56" s="12" t="n">
        <v>314.912</v>
      </c>
      <c r="G56" s="12" t="n">
        <v>431.828</v>
      </c>
      <c r="H56" s="12" t="n">
        <v>854.633</v>
      </c>
      <c r="I56" s="12" t="n">
        <v>315.861</v>
      </c>
      <c r="J56" s="12" t="n">
        <v>230.477</v>
      </c>
      <c r="K56" s="12" t="n">
        <v>428.307</v>
      </c>
      <c r="L56" s="12" t="n">
        <v>710.623</v>
      </c>
      <c r="M56" s="12" t="n">
        <v>743.197</v>
      </c>
      <c r="N56" s="12" t="n">
        <v>384.191</v>
      </c>
      <c r="O56" s="11" t="n">
        <v>1648.368</v>
      </c>
      <c r="P56" s="12" t="n">
        <v>1913.709</v>
      </c>
      <c r="Q56" s="12" t="n">
        <v>2227.786</v>
      </c>
      <c r="R56" s="12" t="n">
        <v>1894.705</v>
      </c>
      <c r="S56" s="12" t="n">
        <v>1721.885</v>
      </c>
      <c r="T56" s="12" t="n">
        <v>1634.878</v>
      </c>
      <c r="U56" s="12" t="n">
        <v>2101.552</v>
      </c>
      <c r="V56" s="12" t="n">
        <v>1876.722</v>
      </c>
      <c r="W56" s="12" t="n">
        <v>1917.234</v>
      </c>
      <c r="X56" s="12" t="n">
        <v>2112.604</v>
      </c>
      <c r="Y56" s="11">
        <f>IF(OR(Y55="",Y57=""),"",IFERROR(Y55*Y57,""))</f>
        <v/>
      </c>
      <c r="Z56" s="12">
        <f>IF(OR(Z55="",Z57=""),"",IFERROR(Z55*Z57,""))</f>
        <v/>
      </c>
      <c r="AA56" s="12">
        <f>IF(OR(AA55="",AA57=""),"",IFERROR(AA55*AA57,""))</f>
        <v/>
      </c>
      <c r="AB56" s="12">
        <f>IF(OR(AB55="",AB57=""),"",IFERROR(AB55*AB57,""))</f>
        <v/>
      </c>
      <c r="AC56" s="12">
        <f>IF(OR(AC55="",AC57=""),"",IFERROR(AC55*AC57,""))</f>
        <v/>
      </c>
    </row>
    <row r="57">
      <c r="A57" s="13" t="inlineStr">
        <is>
          <t>지배주주 순이익률</t>
        </is>
      </c>
      <c r="B57" s="10" t="inlineStr">
        <is>
          <t>MW 기본 100%</t>
        </is>
      </c>
      <c r="C57" s="14">
        <f>IF(OR(C56="",C55=""),"",IFERROR(C56/C55,""))</f>
        <v/>
      </c>
      <c r="D57" s="15">
        <f>IF(OR(D56="",D55=""),"",IFERROR(D56/D55,""))</f>
        <v/>
      </c>
      <c r="E57" s="15">
        <f>IF(OR(E56="",E55=""),"",IFERROR(E56/E55,""))</f>
        <v/>
      </c>
      <c r="F57" s="15">
        <f>IF(OR(F56="",F55=""),"",IFERROR(F56/F55,""))</f>
        <v/>
      </c>
      <c r="G57" s="15">
        <f>IF(OR(G56="",G55=""),"",IFERROR(G56/G55,""))</f>
        <v/>
      </c>
      <c r="H57" s="15">
        <f>IF(OR(H56="",H55=""),"",IFERROR(H56/H55,""))</f>
        <v/>
      </c>
      <c r="I57" s="15">
        <f>IF(OR(I56="",I55=""),"",IFERROR(I56/I55,""))</f>
        <v/>
      </c>
      <c r="J57" s="15">
        <f>IF(OR(J56="",J55=""),"",IFERROR(J56/J55,""))</f>
        <v/>
      </c>
      <c r="K57" s="15">
        <f>IF(OR(K56="",K55=""),"",IFERROR(K56/K55,""))</f>
        <v/>
      </c>
      <c r="L57" s="15">
        <f>IF(OR(L56="",L55=""),"",IFERROR(L56/L55,""))</f>
        <v/>
      </c>
      <c r="M57" s="15">
        <f>IF(OR(M56="",M55=""),"",IFERROR(M56/M55,""))</f>
        <v/>
      </c>
      <c r="N57" s="15">
        <f>IF(OR(N56="",N55=""),"",IFERROR(N56/N55,""))</f>
        <v/>
      </c>
      <c r="O57" s="14">
        <f>IF(OR(O56="",O55=""),"",IFERROR(O56/O55,""))</f>
        <v/>
      </c>
      <c r="P57" s="15">
        <f>IF(OR(P56="",P55=""),"",IFERROR(P56/P55,""))</f>
        <v/>
      </c>
      <c r="Q57" s="15">
        <f>IF(OR(Q56="",Q55=""),"",IFERROR(Q56/Q55,""))</f>
        <v/>
      </c>
      <c r="R57" s="15">
        <f>IF(OR(R56="",R55=""),"",IFERROR(R56/R55,""))</f>
        <v/>
      </c>
      <c r="S57" s="15">
        <f>IF(OR(S56="",S55=""),"",IFERROR(S56/S55,""))</f>
        <v/>
      </c>
      <c r="T57" s="15">
        <f>IF(OR(T56="",T55=""),"",IFERROR(T56/T55,""))</f>
        <v/>
      </c>
      <c r="U57" s="15">
        <f>IF(OR(U56="",U55=""),"",IFERROR(U56/U55,""))</f>
        <v/>
      </c>
      <c r="V57" s="15">
        <f>IF(OR(V56="",V55=""),"",IFERROR(V56/V55,""))</f>
        <v/>
      </c>
      <c r="W57" s="15">
        <f>IF(OR(W56="",W55=""),"",IFERROR(W56/W55,""))</f>
        <v/>
      </c>
      <c r="X57" s="15">
        <f>IF(OR(X56="",X55=""),"",IFERROR(X56/X55,""))</f>
        <v/>
      </c>
      <c r="Y57" s="25" t="n">
        <v>1</v>
      </c>
      <c r="Z57" s="26" t="n">
        <v>1</v>
      </c>
      <c r="AA57" s="26" t="n">
        <v>1</v>
      </c>
      <c r="AB57" s="26" t="n">
        <v>1</v>
      </c>
      <c r="AC57" s="26" t="n">
        <v>1</v>
      </c>
    </row>
    <row r="58">
      <c r="A58" s="16" t="inlineStr">
        <is>
          <t>목표주가 산출</t>
        </is>
      </c>
      <c r="B58" s="16" t="n"/>
      <c r="C58" s="17" t="n"/>
      <c r="D58" s="16" t="n"/>
      <c r="E58" s="16" t="n"/>
      <c r="F58" s="16" t="n"/>
      <c r="G58" s="16" t="n"/>
      <c r="H58" s="16" t="n"/>
      <c r="I58" s="16" t="n"/>
      <c r="J58" s="16" t="n"/>
      <c r="K58" s="16" t="n"/>
      <c r="L58" s="16" t="n"/>
      <c r="M58" s="16" t="n"/>
      <c r="N58" s="16" t="n"/>
      <c r="O58" s="17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7" t="n"/>
      <c r="Z58" s="16" t="n"/>
      <c r="AA58" s="16" t="n"/>
      <c r="AB58" s="16" t="n"/>
      <c r="AC58" s="16" t="n"/>
    </row>
    <row r="59">
      <c r="A59" s="18" t="inlineStr">
        <is>
          <t>현재 주가 ()</t>
        </is>
      </c>
      <c r="B59" s="27" t="n"/>
      <c r="C59" s="28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8" t="n"/>
      <c r="P59" s="29" t="n"/>
      <c r="Q59" s="29" t="n"/>
      <c r="R59" s="29" t="n"/>
      <c r="S59" s="29" t="n"/>
      <c r="T59" s="29" t="n"/>
      <c r="U59" s="29" t="n"/>
      <c r="V59" s="29" t="n"/>
      <c r="W59" s="29" t="n"/>
      <c r="X59" s="29" t="n"/>
      <c r="Y59" s="28" t="n"/>
      <c r="Z59" s="29" t="n"/>
      <c r="AA59" s="29" t="n"/>
      <c r="AB59" s="29" t="n"/>
      <c r="AC59" s="29" t="n"/>
    </row>
    <row r="60">
      <c r="A60" s="18" t="inlineStr">
        <is>
          <t>발행주식수 (보통주)</t>
        </is>
      </c>
      <c r="B60" s="27" t="n"/>
      <c r="C60" s="28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8" t="n"/>
      <c r="P60" s="29" t="n"/>
      <c r="Q60" s="29" t="n"/>
      <c r="R60" s="29" t="n"/>
      <c r="S60" s="29" t="n"/>
      <c r="T60" s="29" t="n"/>
      <c r="U60" s="29" t="n"/>
      <c r="V60" s="29" t="n"/>
      <c r="W60" s="29" t="n"/>
      <c r="X60" s="29" t="n"/>
      <c r="Y60" s="28" t="n"/>
      <c r="Z60" s="29" t="n"/>
      <c r="AA60" s="29" t="n"/>
      <c r="AB60" s="29" t="n"/>
      <c r="AC60" s="29" t="n"/>
    </row>
    <row r="61">
      <c r="A61" s="18" t="inlineStr">
        <is>
          <t>시가총액 (백만엔)</t>
        </is>
      </c>
      <c r="B61" s="12">
        <f>IF(OR(B59="",B60=""),"",B59*B60/1000000.0)</f>
        <v/>
      </c>
      <c r="C61" s="19" t="n"/>
      <c r="D61" s="20" t="n"/>
      <c r="E61" s="20" t="n"/>
      <c r="F61" s="20" t="n"/>
      <c r="G61" s="20" t="n"/>
      <c r="H61" s="20" t="n"/>
      <c r="I61" s="20" t="n"/>
      <c r="J61" s="20" t="n"/>
      <c r="K61" s="20" t="n"/>
      <c r="L61" s="20" t="n"/>
      <c r="M61" s="20" t="n"/>
      <c r="N61" s="20" t="n"/>
      <c r="O61" s="19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19" t="n"/>
      <c r="Z61" s="20" t="n"/>
      <c r="AA61" s="20" t="n"/>
      <c r="AB61" s="20" t="n"/>
      <c r="AC61" s="20" t="n"/>
    </row>
    <row r="62">
      <c r="A62" s="13" t="inlineStr">
        <is>
          <t>OPM</t>
        </is>
      </c>
      <c r="B62" s="10" t="n"/>
      <c r="C62" s="14" t="n"/>
      <c r="D62" s="15" t="n"/>
      <c r="E62" s="15" t="n"/>
      <c r="F62" s="15" t="n"/>
      <c r="G62" s="15" t="n"/>
      <c r="H62" s="15" t="n"/>
      <c r="I62" s="15" t="n"/>
      <c r="J62" s="15" t="n"/>
      <c r="K62" s="15" t="n"/>
      <c r="L62" s="15" t="n"/>
      <c r="M62" s="15" t="n"/>
      <c r="N62" s="15" t="n"/>
      <c r="O62" s="14">
        <f>IF(O29="","",O29)</f>
        <v/>
      </c>
      <c r="P62" s="15">
        <f>IF(P29="","",P29)</f>
        <v/>
      </c>
      <c r="Q62" s="15">
        <f>IF(Q29="","",Q29)</f>
        <v/>
      </c>
      <c r="R62" s="15">
        <f>IF(R29="","",R29)</f>
        <v/>
      </c>
      <c r="S62" s="15">
        <f>IF(S29="","",S29)</f>
        <v/>
      </c>
      <c r="T62" s="15">
        <f>IF(T29="","",T29)</f>
        <v/>
      </c>
      <c r="U62" s="15">
        <f>IF(U29="","",U29)</f>
        <v/>
      </c>
      <c r="V62" s="15">
        <f>IF(V29="","",V29)</f>
        <v/>
      </c>
      <c r="W62" s="15">
        <f>IF(W29="","",W29)</f>
        <v/>
      </c>
      <c r="X62" s="15">
        <f>IF(X29="","",X29)</f>
        <v/>
      </c>
      <c r="Y62" s="14">
        <f>IF(Y29="","",Y29)</f>
        <v/>
      </c>
      <c r="Z62" s="15">
        <f>IF(Z29="","",Z29)</f>
        <v/>
      </c>
      <c r="AA62" s="15">
        <f>IF(AA29="","",AA29)</f>
        <v/>
      </c>
      <c r="AB62" s="15">
        <f>IF(AB29="","",AB29)</f>
        <v/>
      </c>
      <c r="AC62" s="15">
        <f>IF(AC29="","",AC29)</f>
        <v/>
      </c>
    </row>
    <row r="63">
      <c r="A63" s="13" t="inlineStr">
        <is>
          <t>지배주주 순이익 증가율</t>
        </is>
      </c>
      <c r="B63" s="10" t="n"/>
      <c r="C63" s="14" t="n"/>
      <c r="D63" s="15" t="n"/>
      <c r="E63" s="15" t="n"/>
      <c r="F63" s="15" t="n"/>
      <c r="G63" s="15" t="n"/>
      <c r="H63" s="15" t="n"/>
      <c r="I63" s="15" t="n"/>
      <c r="J63" s="15" t="n"/>
      <c r="K63" s="15" t="n"/>
      <c r="L63" s="15" t="n"/>
      <c r="M63" s="15" t="n"/>
      <c r="N63" s="15" t="n"/>
      <c r="O63" s="14" t="n"/>
      <c r="P63" s="15">
        <f>IF(OR(P56="",O56=""),"",IFERROR(P56/O56-1,""))</f>
        <v/>
      </c>
      <c r="Q63" s="15">
        <f>IF(OR(Q56="",P56=""),"",IFERROR(Q56/P56-1,""))</f>
        <v/>
      </c>
      <c r="R63" s="15">
        <f>IF(OR(R56="",Q56=""),"",IFERROR(R56/Q56-1,""))</f>
        <v/>
      </c>
      <c r="S63" s="15">
        <f>IF(OR(S56="",R56=""),"",IFERROR(S56/R56-1,""))</f>
        <v/>
      </c>
      <c r="T63" s="15">
        <f>IF(OR(T56="",S56=""),"",IFERROR(T56/S56-1,""))</f>
        <v/>
      </c>
      <c r="U63" s="15">
        <f>IF(OR(U56="",T56=""),"",IFERROR(U56/T56-1,""))</f>
        <v/>
      </c>
      <c r="V63" s="15">
        <f>IF(OR(V56="",U56=""),"",IFERROR(V56/U56-1,""))</f>
        <v/>
      </c>
      <c r="W63" s="15">
        <f>IF(OR(W56="",V56=""),"",IFERROR(W56/V56-1,""))</f>
        <v/>
      </c>
      <c r="X63" s="15">
        <f>IF(OR(X56="",W56=""),"",IFERROR(X56/W56-1,""))</f>
        <v/>
      </c>
      <c r="Y63" s="14">
        <f>IF(OR(Y56="",X56=""),"",IFERROR(Y56/X56-1,""))</f>
        <v/>
      </c>
      <c r="Z63" s="15">
        <f>IF(OR(Z56="",Y56=""),"",IFERROR(Z56/Y56-1,""))</f>
        <v/>
      </c>
      <c r="AA63" s="15">
        <f>IF(OR(AA56="",Z56=""),"",IFERROR(AA56/Z56-1,""))</f>
        <v/>
      </c>
      <c r="AB63" s="15">
        <f>IF(OR(AB56="",AA56=""),"",IFERROR(AB56/AA56-1,""))</f>
        <v/>
      </c>
      <c r="AC63" s="15">
        <f>IF(OR(AC56="",AB56=""),"",IFERROR(AC56/AB56-1,""))</f>
        <v/>
      </c>
    </row>
    <row r="64">
      <c r="A64" s="18" t="inlineStr">
        <is>
          <t>P/E (현재 주가)</t>
        </is>
      </c>
      <c r="B64" s="10" t="inlineStr">
        <is>
          <t>시총 ÷ 지배순이익</t>
        </is>
      </c>
      <c r="C64" s="30" t="n"/>
      <c r="D64" s="31" t="n"/>
      <c r="E64" s="31" t="n"/>
      <c r="F64" s="31" t="n"/>
      <c r="G64" s="31" t="n"/>
      <c r="H64" s="31" t="n"/>
      <c r="I64" s="31" t="n"/>
      <c r="J64" s="31" t="n"/>
      <c r="K64" s="31" t="n"/>
      <c r="L64" s="31" t="n"/>
      <c r="M64" s="31" t="n"/>
      <c r="N64" s="31" t="n"/>
      <c r="O64" s="30" t="n"/>
      <c r="P64" s="31" t="n"/>
      <c r="Q64" s="31" t="n"/>
      <c r="R64" s="31" t="n"/>
      <c r="S64" s="31" t="n"/>
      <c r="T64" s="31" t="n"/>
      <c r="U64" s="31" t="n"/>
      <c r="V64" s="31" t="n"/>
      <c r="W64" s="31" t="n"/>
      <c r="X64" s="31">
        <f>IF(OR($B$61="",X56=""),"",IFERROR($B$61/X56,""))</f>
        <v/>
      </c>
      <c r="Y64" s="30">
        <f>IF(OR($B$61="",Y56=""),"",IFERROR($B$61/Y56,""))</f>
        <v/>
      </c>
      <c r="Z64" s="31">
        <f>IF(OR($B$61="",Z56=""),"",IFERROR($B$61/Z56,""))</f>
        <v/>
      </c>
      <c r="AA64" s="31">
        <f>IF(OR($B$61="",AA56=""),"",IFERROR($B$61/AA56,""))</f>
        <v/>
      </c>
      <c r="AB64" s="31">
        <f>IF(OR($B$61="",AB56=""),"",IFERROR($B$61/AB56,""))</f>
        <v/>
      </c>
      <c r="AC64" s="31">
        <f>IF(OR($B$61="",AC56=""),"",IFERROR($B$61/AC56,""))</f>
        <v/>
      </c>
    </row>
    <row r="65">
      <c r="A65" s="18" t="inlineStr">
        <is>
          <t>Target P/E</t>
        </is>
      </c>
      <c r="B65" s="10" t="inlineStr">
        <is>
          <t>직접 입력</t>
        </is>
      </c>
      <c r="C65" s="30" t="n"/>
      <c r="D65" s="31" t="n"/>
      <c r="E65" s="31" t="n"/>
      <c r="F65" s="31" t="n"/>
      <c r="G65" s="31" t="n"/>
      <c r="H65" s="31" t="n"/>
      <c r="I65" s="31" t="n"/>
      <c r="J65" s="31" t="n"/>
      <c r="K65" s="31" t="n"/>
      <c r="L65" s="31" t="n"/>
      <c r="M65" s="31" t="n"/>
      <c r="N65" s="31" t="n"/>
      <c r="O65" s="30" t="n"/>
      <c r="P65" s="31" t="n"/>
      <c r="Q65" s="31" t="n"/>
      <c r="R65" s="31" t="n"/>
      <c r="S65" s="31" t="n"/>
      <c r="T65" s="31" t="n"/>
      <c r="U65" s="31" t="n"/>
      <c r="V65" s="31" t="n"/>
      <c r="W65" s="31" t="n"/>
      <c r="X65" s="31" t="n"/>
      <c r="Y65" s="32" t="n"/>
      <c r="Z65" s="33" t="n"/>
      <c r="AA65" s="33" t="n"/>
      <c r="AB65" s="33" t="n"/>
      <c r="AC65" s="33" t="n"/>
    </row>
    <row r="66">
      <c r="A66" s="18" t="inlineStr">
        <is>
          <t>EPS</t>
        </is>
      </c>
      <c r="B66" s="10" t="inlineStr">
        <is>
          <t>지배순이익 ÷ 주식수</t>
        </is>
      </c>
      <c r="C66" s="28" t="n"/>
      <c r="D66" s="29" t="n"/>
      <c r="E66" s="29" t="n"/>
      <c r="F66" s="29" t="n"/>
      <c r="G66" s="29" t="n"/>
      <c r="H66" s="29" t="n"/>
      <c r="I66" s="29" t="n"/>
      <c r="J66" s="29" t="n"/>
      <c r="K66" s="29" t="n"/>
      <c r="L66" s="29" t="n"/>
      <c r="M66" s="29" t="n"/>
      <c r="N66" s="29" t="n"/>
      <c r="O66" s="28">
        <f>IF(OR(O56="",$B$60=""),"",IFERROR(O56*1000000.0/$B$60,""))</f>
        <v/>
      </c>
      <c r="P66" s="29">
        <f>IF(OR(P56="",$B$60=""),"",IFERROR(P56*1000000.0/$B$60,""))</f>
        <v/>
      </c>
      <c r="Q66" s="29">
        <f>IF(OR(Q56="",$B$60=""),"",IFERROR(Q56*1000000.0/$B$60,""))</f>
        <v/>
      </c>
      <c r="R66" s="29">
        <f>IF(OR(R56="",$B$60=""),"",IFERROR(R56*1000000.0/$B$60,""))</f>
        <v/>
      </c>
      <c r="S66" s="29">
        <f>IF(OR(S56="",$B$60=""),"",IFERROR(S56*1000000.0/$B$60,""))</f>
        <v/>
      </c>
      <c r="T66" s="29">
        <f>IF(OR(T56="",$B$60=""),"",IFERROR(T56*1000000.0/$B$60,""))</f>
        <v/>
      </c>
      <c r="U66" s="29">
        <f>IF(OR(U56="",$B$60=""),"",IFERROR(U56*1000000.0/$B$60,""))</f>
        <v/>
      </c>
      <c r="V66" s="29">
        <f>IF(OR(V56="",$B$60=""),"",IFERROR(V56*1000000.0/$B$60,""))</f>
        <v/>
      </c>
      <c r="W66" s="29">
        <f>IF(OR(W56="",$B$60=""),"",IFERROR(W56*1000000.0/$B$60,""))</f>
        <v/>
      </c>
      <c r="X66" s="29">
        <f>IF(OR(X56="",$B$60=""),"",IFERROR(X56*1000000.0/$B$60,""))</f>
        <v/>
      </c>
      <c r="Y66" s="28">
        <f>IF(OR(Y56="",$B$60=""),"",IFERROR(Y56*1000000.0/$B$60,""))</f>
        <v/>
      </c>
      <c r="Z66" s="29">
        <f>IF(OR(Z56="",$B$60=""),"",IFERROR(Z56*1000000.0/$B$60,""))</f>
        <v/>
      </c>
      <c r="AA66" s="29">
        <f>IF(OR(AA56="",$B$60=""),"",IFERROR(AA56*1000000.0/$B$60,""))</f>
        <v/>
      </c>
      <c r="AB66" s="29">
        <f>IF(OR(AB56="",$B$60=""),"",IFERROR(AB56*1000000.0/$B$60,""))</f>
        <v/>
      </c>
      <c r="AC66" s="29">
        <f>IF(OR(AC56="",$B$60=""),"",IFERROR(AC56*1000000.0/$B$60,""))</f>
        <v/>
      </c>
    </row>
    <row r="67">
      <c r="A67" s="9" t="inlineStr">
        <is>
          <t>목표주가</t>
        </is>
      </c>
      <c r="B67" s="10" t="n"/>
      <c r="C67" s="34" t="n"/>
      <c r="D67" s="27" t="n"/>
      <c r="E67" s="27" t="n"/>
      <c r="F67" s="27" t="n"/>
      <c r="G67" s="27" t="n"/>
      <c r="H67" s="27" t="n"/>
      <c r="I67" s="27" t="n"/>
      <c r="J67" s="27" t="n"/>
      <c r="K67" s="27" t="n"/>
      <c r="L67" s="27" t="n"/>
      <c r="M67" s="27" t="n"/>
      <c r="N67" s="27" t="n"/>
      <c r="O67" s="34" t="n"/>
      <c r="P67" s="27" t="n"/>
      <c r="Q67" s="27" t="n"/>
      <c r="R67" s="27" t="n"/>
      <c r="S67" s="27" t="n"/>
      <c r="T67" s="27" t="n"/>
      <c r="U67" s="27" t="n"/>
      <c r="V67" s="27" t="n"/>
      <c r="W67" s="27" t="n"/>
      <c r="X67" s="27" t="n"/>
      <c r="Y67" s="34">
        <f>IF(OR(Y66="",Y65=""),"",IFERROR(Y66*Y65,""))</f>
        <v/>
      </c>
      <c r="Z67" s="27">
        <f>IF(OR(Z66="",Z65=""),"",IFERROR(Z66*Z65,""))</f>
        <v/>
      </c>
      <c r="AA67" s="27">
        <f>IF(OR(AA66="",AA65=""),"",IFERROR(AA66*AA65,""))</f>
        <v/>
      </c>
      <c r="AB67" s="27">
        <f>IF(OR(AB66="",AB65=""),"",IFERROR(AB66*AB65,""))</f>
        <v/>
      </c>
      <c r="AC67" s="27">
        <f>IF(OR(AC66="",AC65=""),"",IFERROR(AC66*AC65,""))</f>
        <v/>
      </c>
    </row>
    <row r="68">
      <c r="A68" s="18" t="inlineStr">
        <is>
          <t>상승여력</t>
        </is>
      </c>
      <c r="B68" s="10" t="n"/>
      <c r="C68" s="35" t="n"/>
      <c r="D68" s="36" t="n"/>
      <c r="E68" s="36" t="n"/>
      <c r="F68" s="36" t="n"/>
      <c r="G68" s="36" t="n"/>
      <c r="H68" s="36" t="n"/>
      <c r="I68" s="36" t="n"/>
      <c r="J68" s="36" t="n"/>
      <c r="K68" s="36" t="n"/>
      <c r="L68" s="36" t="n"/>
      <c r="M68" s="36" t="n"/>
      <c r="N68" s="36" t="n"/>
      <c r="O68" s="35" t="n"/>
      <c r="P68" s="36" t="n"/>
      <c r="Q68" s="36" t="n"/>
      <c r="R68" s="36" t="n"/>
      <c r="S68" s="36" t="n"/>
      <c r="T68" s="36" t="n"/>
      <c r="U68" s="36" t="n"/>
      <c r="V68" s="36" t="n"/>
      <c r="W68" s="36" t="n"/>
      <c r="X68" s="36" t="n"/>
      <c r="Y68" s="37">
        <f>IF(OR(Y67="",$B$59=""),"",IFERROR(Y67/$B$59-1,""))</f>
        <v/>
      </c>
      <c r="Z68" s="38">
        <f>IF(OR(Z67="",$B$59=""),"",IFERROR(Z67/$B$59-1,""))</f>
        <v/>
      </c>
      <c r="AA68" s="38">
        <f>IF(OR(AA67="",$B$59=""),"",IFERROR(AA67/$B$59-1,""))</f>
        <v/>
      </c>
      <c r="AB68" s="38">
        <f>IF(OR(AB67="",$B$59=""),"",IFERROR(AB67/$B$59-1,""))</f>
        <v/>
      </c>
      <c r="AC68" s="38">
        <f>IF(OR(AC67="",$B$59=""),"",IFERROR(AC67/$B$59-1,""))</f>
        <v/>
      </c>
    </row>
    <row r="69">
      <c r="A69" s="16" t="inlineStr">
        <is>
          <t>자산가치 산출</t>
        </is>
      </c>
      <c r="B69" s="16" t="inlineStr">
        <is>
          <t>최신 분기 BS</t>
        </is>
      </c>
      <c r="C69" s="17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  <c r="M69" s="16" t="n"/>
      <c r="N69" s="16" t="n"/>
      <c r="O69" s="17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7" t="n"/>
      <c r="Z69" s="16" t="n"/>
      <c r="AA69" s="16" t="n"/>
      <c r="AB69" s="16" t="n"/>
      <c r="AC69" s="16" t="n"/>
    </row>
    <row r="70">
      <c r="A70" s="18" t="inlineStr">
        <is>
          <t>현금및현금성자산</t>
        </is>
      </c>
      <c r="B70" s="10" t="n"/>
      <c r="C70" s="19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19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>
        <f>'재무상태표'!G6</f>
        <v/>
      </c>
      <c r="Y70" s="19">
        <f>'재무상태표'!G6</f>
        <v/>
      </c>
      <c r="Z70" s="20">
        <f>'재무상태표'!G6</f>
        <v/>
      </c>
      <c r="AA70" s="20">
        <f>'재무상태표'!G6</f>
        <v/>
      </c>
      <c r="AB70" s="20">
        <f>'재무상태표'!G6</f>
        <v/>
      </c>
      <c r="AC70" s="20">
        <f>'재무상태표'!G6</f>
        <v/>
      </c>
    </row>
    <row r="71">
      <c r="A71" s="18" t="inlineStr">
        <is>
          <t>단기금융상품</t>
        </is>
      </c>
      <c r="B71" s="10" t="n"/>
      <c r="C71" s="19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19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>
        <f>'재무상태표'!G7</f>
        <v/>
      </c>
      <c r="Y71" s="19">
        <f>'재무상태표'!G7</f>
        <v/>
      </c>
      <c r="Z71" s="20">
        <f>'재무상태표'!G7</f>
        <v/>
      </c>
      <c r="AA71" s="20">
        <f>'재무상태표'!G7</f>
        <v/>
      </c>
      <c r="AB71" s="20">
        <f>'재무상태표'!G7</f>
        <v/>
      </c>
      <c r="AC71" s="20">
        <f>'재무상태표'!G7</f>
        <v/>
      </c>
    </row>
    <row r="72">
      <c r="A72" s="18" t="inlineStr">
        <is>
          <t>투자부동산</t>
        </is>
      </c>
      <c r="B72" s="10" t="n"/>
      <c r="C72" s="19" t="n"/>
      <c r="D72" s="20" t="n"/>
      <c r="E72" s="20" t="n"/>
      <c r="F72" s="20" t="n"/>
      <c r="G72" s="20" t="n"/>
      <c r="H72" s="20" t="n"/>
      <c r="I72" s="20" t="n"/>
      <c r="J72" s="20" t="n"/>
      <c r="K72" s="20" t="n"/>
      <c r="L72" s="20" t="n"/>
      <c r="M72" s="20" t="n"/>
      <c r="N72" s="20" t="n"/>
      <c r="O72" s="19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>
        <f>'재무상태표'!G14</f>
        <v/>
      </c>
      <c r="Y72" s="19">
        <f>'재무상태표'!G14</f>
        <v/>
      </c>
      <c r="Z72" s="20">
        <f>'재무상태표'!G14</f>
        <v/>
      </c>
      <c r="AA72" s="20">
        <f>'재무상태표'!G14</f>
        <v/>
      </c>
      <c r="AB72" s="20">
        <f>'재무상태표'!G14</f>
        <v/>
      </c>
      <c r="AC72" s="20">
        <f>'재무상태표'!G14</f>
        <v/>
      </c>
    </row>
    <row r="73">
      <c r="A73" s="18" t="inlineStr">
        <is>
          <t>지배자본</t>
        </is>
      </c>
      <c r="B73" s="10" t="n"/>
      <c r="C73" s="19" t="n"/>
      <c r="D73" s="20" t="n"/>
      <c r="E73" s="20" t="n"/>
      <c r="F73" s="20" t="n"/>
      <c r="G73" s="20" t="n"/>
      <c r="H73" s="20" t="n"/>
      <c r="I73" s="20" t="n"/>
      <c r="J73" s="20" t="n"/>
      <c r="K73" s="20" t="n"/>
      <c r="L73" s="20" t="n"/>
      <c r="M73" s="20" t="n"/>
      <c r="N73" s="20" t="n"/>
      <c r="O73" s="19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>
        <f>'재무상태표'!G31</f>
        <v/>
      </c>
      <c r="Y73" s="19">
        <f>'재무상태표'!G31</f>
        <v/>
      </c>
      <c r="Z73" s="20">
        <f>'재무상태표'!G31</f>
        <v/>
      </c>
      <c r="AA73" s="20">
        <f>'재무상태표'!G31</f>
        <v/>
      </c>
      <c r="AB73" s="20">
        <f>'재무상태표'!G31</f>
        <v/>
      </c>
      <c r="AC73" s="20">
        <f>'재무상태표'!G31</f>
        <v/>
      </c>
    </row>
    <row r="74">
      <c r="A74" s="18" t="inlineStr">
        <is>
          <t>부채</t>
        </is>
      </c>
      <c r="B74" s="10" t="n"/>
      <c r="C74" s="19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19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>
        <f>'재무상태표'!G27</f>
        <v/>
      </c>
      <c r="Y74" s="19">
        <f>'재무상태표'!G27</f>
        <v/>
      </c>
      <c r="Z74" s="20">
        <f>'재무상태표'!G27</f>
        <v/>
      </c>
      <c r="AA74" s="20">
        <f>'재무상태표'!G27</f>
        <v/>
      </c>
      <c r="AB74" s="20">
        <f>'재무상태표'!G27</f>
        <v/>
      </c>
      <c r="AC74" s="20">
        <f>'재무상태표'!G27</f>
        <v/>
      </c>
    </row>
    <row r="75">
      <c r="A75" s="13" t="inlineStr">
        <is>
          <t>부채비율</t>
        </is>
      </c>
      <c r="B75" s="10" t="n"/>
      <c r="C75" s="14" t="n"/>
      <c r="D75" s="15" t="n"/>
      <c r="E75" s="15" t="n"/>
      <c r="F75" s="15" t="n"/>
      <c r="G75" s="15" t="n"/>
      <c r="H75" s="15" t="n"/>
      <c r="I75" s="15" t="n"/>
      <c r="J75" s="15" t="n"/>
      <c r="K75" s="15" t="n"/>
      <c r="L75" s="15" t="n"/>
      <c r="M75" s="15" t="n"/>
      <c r="N75" s="15" t="n"/>
      <c r="O75" s="14" t="n"/>
      <c r="P75" s="15" t="n"/>
      <c r="Q75" s="15" t="n"/>
      <c r="R75" s="15" t="n"/>
      <c r="S75" s="15" t="n"/>
      <c r="T75" s="15" t="n"/>
      <c r="U75" s="15" t="n"/>
      <c r="V75" s="15" t="n"/>
      <c r="W75" s="15" t="n"/>
      <c r="X75" s="15">
        <f>IF(OR(X74="",X73=""),"",IFERROR(X74/X73,""))</f>
        <v/>
      </c>
      <c r="Y75" s="14">
        <f>IF(OR(Y74="",Y73=""),"",IFERROR(Y74/Y73,""))</f>
        <v/>
      </c>
      <c r="Z75" s="15">
        <f>IF(OR(Z74="",Z73=""),"",IFERROR(Z74/Z73,""))</f>
        <v/>
      </c>
      <c r="AA75" s="15">
        <f>IF(OR(AA74="",AA73=""),"",IFERROR(AA74/AA73,""))</f>
        <v/>
      </c>
      <c r="AB75" s="15">
        <f>IF(OR(AB74="",AB73=""),"",IFERROR(AB74/AB73,""))</f>
        <v/>
      </c>
      <c r="AC75" s="15">
        <f>IF(OR(AC74="",AC73=""),"",IFERROR(AC74/AC73,""))</f>
        <v/>
      </c>
    </row>
    <row r="76">
      <c r="A76" s="9" t="inlineStr">
        <is>
          <t>자산가치</t>
        </is>
      </c>
      <c r="B76" s="10" t="inlineStr">
        <is>
          <t>현금+단기금융+투자부동산</t>
        </is>
      </c>
      <c r="C76" s="11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1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>
        <f>SUM(X70,X71,X72)</f>
        <v/>
      </c>
      <c r="Y76" s="11">
        <f>SUM(Y70,Y71,Y72)</f>
        <v/>
      </c>
      <c r="Z76" s="12">
        <f>SUM(Z70,Z71,Z72)</f>
        <v/>
      </c>
      <c r="AA76" s="12">
        <f>SUM(AA70,AA71,AA72)</f>
        <v/>
      </c>
      <c r="AB76" s="12">
        <f>SUM(AB70,AB71,AB72)</f>
        <v/>
      </c>
      <c r="AC76" s="12">
        <f>SUM(AC70,AC71,AC72)</f>
        <v/>
      </c>
    </row>
    <row r="77">
      <c r="A77" s="16" t="inlineStr">
        <is>
          <t>기업가치 산출</t>
        </is>
      </c>
      <c r="B77" s="16" t="n"/>
      <c r="C77" s="17" t="n"/>
      <c r="D77" s="16" t="n"/>
      <c r="E77" s="16" t="n"/>
      <c r="F77" s="16" t="n"/>
      <c r="G77" s="16" t="n"/>
      <c r="H77" s="16" t="n"/>
      <c r="I77" s="16" t="n"/>
      <c r="J77" s="16" t="n"/>
      <c r="K77" s="16" t="n"/>
      <c r="L77" s="16" t="n"/>
      <c r="M77" s="16" t="n"/>
      <c r="N77" s="16" t="n"/>
      <c r="O77" s="17" t="n"/>
      <c r="P77" s="16" t="n"/>
      <c r="Q77" s="16" t="n"/>
      <c r="R77" s="16" t="n"/>
      <c r="S77" s="16" t="n"/>
      <c r="T77" s="16" t="n"/>
      <c r="U77" s="16" t="n"/>
      <c r="V77" s="16" t="n"/>
      <c r="W77" s="16" t="n"/>
      <c r="X77" s="16" t="n"/>
      <c r="Y77" s="17" t="n"/>
      <c r="Z77" s="16" t="n"/>
      <c r="AA77" s="16" t="n"/>
      <c r="AB77" s="16" t="n"/>
      <c r="AC77" s="16" t="n"/>
    </row>
    <row r="78">
      <c r="A78" s="18" t="inlineStr">
        <is>
          <t>목표 시가총액 (P/E)</t>
        </is>
      </c>
      <c r="B78" s="10" t="inlineStr">
        <is>
          <t>지배순이익 × Target P/E</t>
        </is>
      </c>
      <c r="C78" s="19" t="n"/>
      <c r="D78" s="20" t="n"/>
      <c r="E78" s="20" t="n"/>
      <c r="F78" s="20" t="n"/>
      <c r="G78" s="20" t="n"/>
      <c r="H78" s="20" t="n"/>
      <c r="I78" s="20" t="n"/>
      <c r="J78" s="20" t="n"/>
      <c r="K78" s="20" t="n"/>
      <c r="L78" s="20" t="n"/>
      <c r="M78" s="20" t="n"/>
      <c r="N78" s="20" t="n"/>
      <c r="O78" s="19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19">
        <f>IF(OR(Y56="",Y65=""),"",IFERROR(Y56*Y65,""))</f>
        <v/>
      </c>
      <c r="Z78" s="20">
        <f>IF(OR(Z56="",Z65=""),"",IFERROR(Z56*Z65,""))</f>
        <v/>
      </c>
      <c r="AA78" s="20">
        <f>IF(OR(AA56="",AA65=""),"",IFERROR(AA56*AA65,""))</f>
        <v/>
      </c>
      <c r="AB78" s="20">
        <f>IF(OR(AB56="",AB65=""),"",IFERROR(AB56*AB65,""))</f>
        <v/>
      </c>
      <c r="AC78" s="20">
        <f>IF(OR(AC56="",AC65=""),"",IFERROR(AC56*AC65,""))</f>
        <v/>
      </c>
    </row>
    <row r="79">
      <c r="A79" s="9" t="inlineStr">
        <is>
          <t>기업가치</t>
        </is>
      </c>
      <c r="B79" s="10" t="inlineStr">
        <is>
          <t>목표시총 + 자산가치</t>
        </is>
      </c>
      <c r="C79" s="11" t="n"/>
      <c r="D79" s="12" t="n"/>
      <c r="E79" s="12" t="n"/>
      <c r="F79" s="12" t="n"/>
      <c r="G79" s="12" t="n"/>
      <c r="H79" s="12" t="n"/>
      <c r="I79" s="12" t="n"/>
      <c r="J79" s="12" t="n"/>
      <c r="K79" s="12" t="n"/>
      <c r="L79" s="12" t="n"/>
      <c r="M79" s="12" t="n"/>
      <c r="N79" s="12" t="n"/>
      <c r="O79" s="11" t="n"/>
      <c r="P79" s="12" t="n"/>
      <c r="Q79" s="12" t="n"/>
      <c r="R79" s="12" t="n"/>
      <c r="S79" s="12" t="n"/>
      <c r="T79" s="12" t="n"/>
      <c r="U79" s="12" t="n"/>
      <c r="V79" s="12" t="n"/>
      <c r="W79" s="12" t="n"/>
      <c r="X79" s="12" t="n"/>
      <c r="Y79" s="11">
        <f>IF(OR(Y78=""),"",IFERROR(Y78+Y76,""))</f>
        <v/>
      </c>
      <c r="Z79" s="12">
        <f>IF(OR(Z78=""),"",IFERROR(Z78+Z76,""))</f>
        <v/>
      </c>
      <c r="AA79" s="12">
        <f>IF(OR(AA78=""),"",IFERROR(AA78+AA76,""))</f>
        <v/>
      </c>
      <c r="AB79" s="12">
        <f>IF(OR(AB78=""),"",IFERROR(AB78+AB76,""))</f>
        <v/>
      </c>
      <c r="AC79" s="12">
        <f>IF(OR(AC78=""),"",IFERROR(AC78+AC76,""))</f>
        <v/>
      </c>
    </row>
    <row r="80">
      <c r="A80" s="18" t="inlineStr">
        <is>
          <t>현재 시가총액</t>
        </is>
      </c>
      <c r="B80" s="10" t="n"/>
      <c r="C80" s="19" t="n"/>
      <c r="D80" s="20" t="n"/>
      <c r="E80" s="20" t="n"/>
      <c r="F80" s="20" t="n"/>
      <c r="G80" s="20" t="n"/>
      <c r="H80" s="20" t="n"/>
      <c r="I80" s="20" t="n"/>
      <c r="J80" s="20" t="n"/>
      <c r="K80" s="20" t="n"/>
      <c r="L80" s="20" t="n"/>
      <c r="M80" s="20" t="n"/>
      <c r="N80" s="20" t="n"/>
      <c r="O80" s="19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19">
        <f>$B$61</f>
        <v/>
      </c>
      <c r="Z80" s="20">
        <f>$B$61</f>
        <v/>
      </c>
      <c r="AA80" s="20">
        <f>$B$61</f>
        <v/>
      </c>
      <c r="AB80" s="20">
        <f>$B$61</f>
        <v/>
      </c>
      <c r="AC80" s="20">
        <f>$B$61</f>
        <v/>
      </c>
    </row>
    <row r="81">
      <c r="A81" s="18" t="inlineStr">
        <is>
          <t>상승여력</t>
        </is>
      </c>
      <c r="B81" s="10" t="n"/>
      <c r="C81" s="35" t="n"/>
      <c r="D81" s="36" t="n"/>
      <c r="E81" s="36" t="n"/>
      <c r="F81" s="36" t="n"/>
      <c r="G81" s="36" t="n"/>
      <c r="H81" s="36" t="n"/>
      <c r="I81" s="36" t="n"/>
      <c r="J81" s="36" t="n"/>
      <c r="K81" s="36" t="n"/>
      <c r="L81" s="36" t="n"/>
      <c r="M81" s="36" t="n"/>
      <c r="N81" s="36" t="n"/>
      <c r="O81" s="35" t="n"/>
      <c r="P81" s="36" t="n"/>
      <c r="Q81" s="36" t="n"/>
      <c r="R81" s="36" t="n"/>
      <c r="S81" s="36" t="n"/>
      <c r="T81" s="36" t="n"/>
      <c r="U81" s="36" t="n"/>
      <c r="V81" s="36" t="n"/>
      <c r="W81" s="36" t="n"/>
      <c r="X81" s="36" t="n"/>
      <c r="Y81" s="37">
        <f>IF(OR(Y79="",Y80=""),"",IFERROR(Y79/Y80-1,""))</f>
        <v/>
      </c>
      <c r="Z81" s="38">
        <f>IF(OR(Z79="",Z80=""),"",IFERROR(Z79/Z80-1,""))</f>
        <v/>
      </c>
      <c r="AA81" s="38">
        <f>IF(OR(AA79="",AA80=""),"",IFERROR(AA79/AA80-1,""))</f>
        <v/>
      </c>
      <c r="AB81" s="38">
        <f>IF(OR(AB79="",AB80=""),"",IFERROR(AB79/AB80-1,""))</f>
        <v/>
      </c>
      <c r="AC81" s="38">
        <f>IF(OR(AC79="",AC80=""),"",IFERROR(AC79/AC80-1,""))</f>
        <v/>
      </c>
    </row>
    <row r="82">
      <c r="C82" s="39" t="n"/>
      <c r="O82" s="39" t="n"/>
      <c r="Y82" s="39" t="n"/>
    </row>
    <row r="83">
      <c r="A83" s="40" t="inlineStr">
        <is>
          <t>출처</t>
        </is>
      </c>
      <c r="C83" s="39" t="n"/>
      <c r="O83" s="39" t="n"/>
      <c r="Y83" s="39" t="n"/>
    </row>
    <row r="84">
      <c r="A84" s="41" t="inlineStr">
        <is>
          <t>결산단신 XBRL(TDnet·JPX 보관소) — 쓴 문서는 '출처' 시트</t>
        </is>
      </c>
      <c r="C84" s="39" t="n"/>
      <c r="O84" s="39" t="n"/>
      <c r="Y84" s="39" t="n"/>
    </row>
    <row r="85">
      <c r="A85" s="41" t="inlineStr">
        <is>
          <t>분기 = 누계에서 앞 분기를 뺀 3개월 값</t>
        </is>
      </c>
      <c r="C85" s="39" t="n"/>
      <c r="O85" s="39" t="n"/>
      <c r="Y85" s="39" t="n"/>
    </row>
    <row r="86">
      <c r="A86" s="41" t="inlineStr">
        <is>
          <t>주가: 야후 파이낸스 일봉</t>
        </is>
      </c>
      <c r="C86" s="39" t="n"/>
      <c r="O86" s="39" t="n"/>
      <c r="Y86" s="39" t="n"/>
    </row>
    <row r="88">
      <c r="A88" s="16" t="inlineStr">
        <is>
          <t>손익계산서 · 전 항목</t>
        </is>
      </c>
      <c r="B88" s="42" t="inlineStr">
        <is>
          <t>분기 = 3개월 단독</t>
        </is>
      </c>
      <c r="C88" s="16" t="n"/>
      <c r="D88" s="16" t="n"/>
      <c r="E88" s="16" t="n"/>
      <c r="F88" s="16" t="n"/>
      <c r="G88" s="16" t="n"/>
      <c r="H88" s="16" t="n"/>
      <c r="I88" s="16" t="n"/>
      <c r="J88" s="16" t="n"/>
      <c r="K88" s="16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  <c r="AA88" s="16" t="n"/>
      <c r="AB88" s="16" t="n"/>
      <c r="AC88" s="16" t="n"/>
    </row>
    <row r="89">
      <c r="A89" s="5" t="inlineStr">
        <is>
          <t>항목</t>
        </is>
      </c>
      <c r="B89" s="5" t="inlineStr">
        <is>
          <t>참고</t>
        </is>
      </c>
      <c r="C89" s="5" t="inlineStr">
        <is>
          <t>2024.2Q</t>
        </is>
      </c>
      <c r="D89" s="5" t="inlineStr">
        <is>
          <t>2024.3Q</t>
        </is>
      </c>
      <c r="E89" s="5" t="inlineStr">
        <is>
          <t>2024.4Q</t>
        </is>
      </c>
      <c r="F89" s="5" t="inlineStr">
        <is>
          <t>2025.1Q</t>
        </is>
      </c>
      <c r="G89" s="5" t="inlineStr">
        <is>
          <t>2025.2Q</t>
        </is>
      </c>
      <c r="H89" s="5" t="inlineStr">
        <is>
          <t>2025.3Q</t>
        </is>
      </c>
      <c r="I89" s="5" t="inlineStr">
        <is>
          <t>2025.4Q</t>
        </is>
      </c>
      <c r="J89" s="5" t="inlineStr">
        <is>
          <t>2026.1Q</t>
        </is>
      </c>
      <c r="K89" s="5" t="inlineStr">
        <is>
          <t>2026.2Q</t>
        </is>
      </c>
      <c r="L89" s="5" t="inlineStr">
        <is>
          <t>2026.3Q</t>
        </is>
      </c>
      <c r="M89" s="5" t="inlineStr">
        <is>
          <t>2026.4Q</t>
        </is>
      </c>
      <c r="N89" s="5" t="inlineStr">
        <is>
          <t>2027.1Q</t>
        </is>
      </c>
      <c r="O89" s="5" t="inlineStr">
        <is>
          <t>2017</t>
        </is>
      </c>
      <c r="P89" s="5" t="inlineStr">
        <is>
          <t>2018</t>
        </is>
      </c>
      <c r="Q89" s="5" t="inlineStr">
        <is>
          <t>2019</t>
        </is>
      </c>
      <c r="R89" s="5" t="inlineStr">
        <is>
          <t>2020</t>
        </is>
      </c>
      <c r="S89" s="5" t="inlineStr">
        <is>
          <t>2021</t>
        </is>
      </c>
      <c r="T89" s="5" t="inlineStr">
        <is>
          <t>2022</t>
        </is>
      </c>
      <c r="U89" s="5" t="inlineStr">
        <is>
          <t>2023</t>
        </is>
      </c>
      <c r="V89" s="5" t="inlineStr">
        <is>
          <t>2024</t>
        </is>
      </c>
      <c r="W89" s="5" t="inlineStr">
        <is>
          <t>2025</t>
        </is>
      </c>
      <c r="X89" s="5" t="inlineStr">
        <is>
          <t>2026</t>
        </is>
      </c>
      <c r="Y89" s="5" t="inlineStr">
        <is>
          <t>2027(MW)</t>
        </is>
      </c>
      <c r="Z89" s="5" t="inlineStr">
        <is>
          <t>2028(MW)</t>
        </is>
      </c>
      <c r="AA89" s="5" t="inlineStr">
        <is>
          <t>2029(MW)</t>
        </is>
      </c>
      <c r="AB89" s="5" t="inlineStr">
        <is>
          <t>2030(MW)</t>
        </is>
      </c>
      <c r="AC89" s="5" t="inlineStr">
        <is>
          <t>2031(MW)</t>
        </is>
      </c>
    </row>
    <row r="90">
      <c r="A90" s="9" t="inlineStr">
        <is>
          <t>매출액</t>
        </is>
      </c>
      <c r="C90" s="12" t="n">
        <v>11216.073</v>
      </c>
      <c r="D90" s="12" t="n">
        <v>13306.798</v>
      </c>
      <c r="E90" s="12" t="n">
        <v>4870.407</v>
      </c>
      <c r="F90" s="12" t="n">
        <v>10976.4</v>
      </c>
      <c r="G90" s="12" t="n">
        <v>12198.763</v>
      </c>
      <c r="H90" s="12" t="n">
        <v>13943.097</v>
      </c>
      <c r="I90" s="12" t="n">
        <v>12346.856</v>
      </c>
      <c r="J90" s="12" t="n">
        <v>11170.441</v>
      </c>
      <c r="K90" s="12" t="n">
        <v>11603.944</v>
      </c>
      <c r="L90" s="12" t="n">
        <v>13502.794</v>
      </c>
      <c r="M90" s="12" t="n">
        <v>12334.442</v>
      </c>
      <c r="N90" s="12" t="n">
        <v>12132.436</v>
      </c>
      <c r="T90" s="12" t="n">
        <v>10605.804</v>
      </c>
      <c r="U90" s="12" t="n">
        <v>5243.521</v>
      </c>
      <c r="V90" s="12" t="n">
        <v>4870.407</v>
      </c>
      <c r="W90" s="12" t="n">
        <v>12346.856</v>
      </c>
      <c r="X90" s="12" t="n">
        <v>12334.442</v>
      </c>
    </row>
    <row r="91">
      <c r="A91" s="18" t="inlineStr">
        <is>
          <t>매출원가</t>
        </is>
      </c>
      <c r="C91" s="20" t="n">
        <v>9013.977999999999</v>
      </c>
      <c r="D91" s="20" t="n">
        <v>10582.043</v>
      </c>
      <c r="E91" s="20" t="n">
        <v>4206.655</v>
      </c>
      <c r="F91" s="20" t="n">
        <v>8862.356</v>
      </c>
      <c r="G91" s="20" t="n">
        <v>9824.968999999999</v>
      </c>
      <c r="H91" s="20" t="n">
        <v>11038.413</v>
      </c>
      <c r="I91" s="20" t="n">
        <v>9949.373</v>
      </c>
      <c r="J91" s="20" t="n">
        <v>8997.276</v>
      </c>
      <c r="K91" s="20" t="n">
        <v>9333.35</v>
      </c>
      <c r="L91" s="20" t="n">
        <v>10652.95</v>
      </c>
      <c r="M91" s="20" t="n">
        <v>9926.538</v>
      </c>
      <c r="N91" s="20" t="n">
        <v>9804.666999999999</v>
      </c>
      <c r="T91" s="20" t="n">
        <v>8557.124</v>
      </c>
      <c r="U91" s="20" t="n">
        <v>4453.439</v>
      </c>
      <c r="V91" s="20" t="n">
        <v>4206.655</v>
      </c>
      <c r="W91" s="20" t="n">
        <v>9949.373</v>
      </c>
      <c r="X91" s="20" t="n">
        <v>9926.538</v>
      </c>
    </row>
    <row r="92">
      <c r="A92" s="9" t="inlineStr">
        <is>
          <t>매출총이익</t>
        </is>
      </c>
      <c r="C92" s="12" t="n">
        <v>2202.094</v>
      </c>
      <c r="D92" s="12" t="n">
        <v>2724.755</v>
      </c>
      <c r="E92" s="12" t="n">
        <v>663.753</v>
      </c>
      <c r="F92" s="12" t="n">
        <v>2114.043</v>
      </c>
      <c r="G92" s="12" t="n">
        <v>2373.795</v>
      </c>
      <c r="H92" s="12" t="n">
        <v>2904.683</v>
      </c>
      <c r="I92" s="12" t="n">
        <v>2397.483</v>
      </c>
      <c r="J92" s="12" t="n">
        <v>2173.165</v>
      </c>
      <c r="K92" s="12" t="n">
        <v>2270.594</v>
      </c>
      <c r="L92" s="12" t="n">
        <v>2849.843</v>
      </c>
      <c r="M92" s="12" t="n">
        <v>2407.904</v>
      </c>
      <c r="N92" s="12" t="n">
        <v>2327.768</v>
      </c>
      <c r="T92" s="12" t="n">
        <v>2048.68</v>
      </c>
      <c r="U92" s="12" t="n">
        <v>790.081</v>
      </c>
      <c r="V92" s="12" t="n">
        <v>663.753</v>
      </c>
      <c r="W92" s="12" t="n">
        <v>2397.483</v>
      </c>
      <c r="X92" s="12" t="n">
        <v>2407.904</v>
      </c>
    </row>
    <row r="93">
      <c r="A93" s="18" t="inlineStr">
        <is>
          <t>판매비와 관리비</t>
        </is>
      </c>
      <c r="C93" s="20" t="n">
        <v>1701.584</v>
      </c>
      <c r="D93" s="20" t="n">
        <v>1748.996</v>
      </c>
      <c r="E93" s="20" t="n">
        <v>846.645</v>
      </c>
      <c r="F93" s="20" t="n">
        <v>1738.8</v>
      </c>
      <c r="G93" s="20" t="n">
        <v>1844.162</v>
      </c>
      <c r="H93" s="20" t="n">
        <v>1743.316</v>
      </c>
      <c r="I93" s="20" t="n">
        <v>2067.964</v>
      </c>
      <c r="J93" s="20" t="n">
        <v>1896.179</v>
      </c>
      <c r="K93" s="20" t="n">
        <v>1895.583</v>
      </c>
      <c r="L93" s="20" t="n">
        <v>1900.035</v>
      </c>
      <c r="M93" s="20" t="n">
        <v>1961.937</v>
      </c>
      <c r="N93" s="20" t="n">
        <v>1840.711</v>
      </c>
      <c r="T93" s="20" t="n">
        <v>1597.519</v>
      </c>
      <c r="U93" s="20" t="n">
        <v>785.623</v>
      </c>
      <c r="V93" s="20" t="n">
        <v>846.645</v>
      </c>
      <c r="W93" s="20" t="n">
        <v>2067.964</v>
      </c>
      <c r="X93" s="20" t="n">
        <v>1961.937</v>
      </c>
    </row>
    <row r="94">
      <c r="A94" s="9" t="inlineStr">
        <is>
          <t>영업이익</t>
        </is>
      </c>
      <c r="C94" s="12" t="n">
        <v>500.51</v>
      </c>
      <c r="D94" s="12" t="n">
        <v>975.76</v>
      </c>
      <c r="E94" s="12" t="n">
        <v>-182.892</v>
      </c>
      <c r="F94" s="12" t="n">
        <v>375.243</v>
      </c>
      <c r="G94" s="12" t="n">
        <v>529.633</v>
      </c>
      <c r="H94" s="12" t="n">
        <v>1161.367</v>
      </c>
      <c r="I94" s="12" t="n">
        <v>329.519</v>
      </c>
      <c r="J94" s="12" t="n">
        <v>276.986</v>
      </c>
      <c r="K94" s="12" t="n">
        <v>375.01</v>
      </c>
      <c r="L94" s="12" t="n">
        <v>949.809</v>
      </c>
      <c r="M94" s="12" t="n">
        <v>445.967</v>
      </c>
      <c r="N94" s="12" t="n">
        <v>487.057</v>
      </c>
      <c r="T94" s="12" t="n">
        <v>451.161</v>
      </c>
      <c r="U94" s="12" t="n">
        <v>4.458</v>
      </c>
      <c r="V94" s="12" t="n">
        <v>-182.892</v>
      </c>
      <c r="W94" s="12" t="n">
        <v>329.519</v>
      </c>
      <c r="X94" s="12" t="n">
        <v>445.967</v>
      </c>
    </row>
    <row r="95">
      <c r="A95" s="18" t="inlineStr">
        <is>
          <t>이자수익</t>
        </is>
      </c>
      <c r="C95" s="20" t="n">
        <v>0.156</v>
      </c>
      <c r="D95" s="20" t="n">
        <v>0.124</v>
      </c>
      <c r="E95" s="20" t="n">
        <v>0.224</v>
      </c>
      <c r="F95" s="20" t="n">
        <v>0.228</v>
      </c>
      <c r="G95" s="20" t="n">
        <v>0.346</v>
      </c>
      <c r="H95" s="20" t="n">
        <v>0.551</v>
      </c>
      <c r="I95" s="20" t="n">
        <v>0.776</v>
      </c>
      <c r="J95" s="20" t="n">
        <v>0.886</v>
      </c>
      <c r="K95" s="20" t="n">
        <v>1.375</v>
      </c>
      <c r="L95" s="20" t="n">
        <v>1.491</v>
      </c>
      <c r="M95" s="20" t="n">
        <v>1.326</v>
      </c>
      <c r="N95" s="20" t="n">
        <v>1.695</v>
      </c>
      <c r="T95" s="20" t="n">
        <v>0.184</v>
      </c>
      <c r="U95" s="20" t="n">
        <v>0.191</v>
      </c>
      <c r="V95" s="20" t="n">
        <v>0.224</v>
      </c>
      <c r="W95" s="20" t="n">
        <v>0.776</v>
      </c>
      <c r="X95" s="20" t="n">
        <v>1.326</v>
      </c>
    </row>
    <row r="96">
      <c r="A96" s="18" t="inlineStr">
        <is>
          <t>배당금수익</t>
        </is>
      </c>
      <c r="C96" s="20" t="n">
        <v>34.85</v>
      </c>
      <c r="D96" s="20" t="n">
        <v>8.234999999999999</v>
      </c>
      <c r="E96" s="20" t="n">
        <v>18.222</v>
      </c>
      <c r="F96" s="20" t="n">
        <v>7.635</v>
      </c>
      <c r="G96" s="20" t="n">
        <v>38.16</v>
      </c>
      <c r="H96" s="20" t="n">
        <v>9.050000000000001</v>
      </c>
      <c r="I96" s="20" t="n">
        <v>40.162</v>
      </c>
      <c r="J96" s="20" t="n">
        <v>11.911</v>
      </c>
      <c r="K96" s="20" t="n">
        <v>47.705</v>
      </c>
      <c r="L96" s="20" t="n">
        <v>8.387</v>
      </c>
      <c r="M96" s="20" t="n">
        <v>39.977</v>
      </c>
      <c r="N96" s="20" t="n">
        <v>16.316</v>
      </c>
      <c r="T96" s="20" t="n">
        <v>25.1</v>
      </c>
      <c r="U96" s="20" t="n">
        <v>18.733</v>
      </c>
      <c r="V96" s="20" t="n">
        <v>18.222</v>
      </c>
      <c r="W96" s="20" t="n">
        <v>40.162</v>
      </c>
      <c r="X96" s="20" t="n">
        <v>39.977</v>
      </c>
    </row>
    <row r="97">
      <c r="A97" s="18" t="inlineStr">
        <is>
          <t>매입할인</t>
        </is>
      </c>
      <c r="C97" s="20" t="n">
        <v>69.21599999999999</v>
      </c>
      <c r="D97" s="20" t="n">
        <v>70.533</v>
      </c>
      <c r="E97" s="20" t="n">
        <v>24.024</v>
      </c>
      <c r="F97" s="20" t="n">
        <v>69.63</v>
      </c>
      <c r="G97" s="20" t="n">
        <v>70.27200000000001</v>
      </c>
      <c r="H97" s="20" t="n">
        <v>72.979</v>
      </c>
      <c r="I97" s="20" t="n">
        <v>77.238</v>
      </c>
      <c r="J97" s="20" t="n">
        <v>71.26900000000001</v>
      </c>
      <c r="K97" s="20" t="n">
        <v>65.23399999999999</v>
      </c>
      <c r="L97" s="20" t="n">
        <v>67.01300000000001</v>
      </c>
      <c r="M97" s="20" t="n">
        <v>75.816</v>
      </c>
      <c r="N97" s="20" t="n">
        <v>72.12</v>
      </c>
      <c r="T97" s="20" t="n">
        <v>72.523</v>
      </c>
      <c r="U97" s="20" t="n">
        <v>26.88</v>
      </c>
      <c r="V97" s="20" t="n">
        <v>24.024</v>
      </c>
      <c r="W97" s="20" t="n">
        <v>77.238</v>
      </c>
      <c r="X97" s="20" t="n">
        <v>75.816</v>
      </c>
    </row>
    <row r="98">
      <c r="A98" s="18" t="inlineStr">
        <is>
          <t>부동산 임대료</t>
        </is>
      </c>
      <c r="C98" s="20" t="n">
        <v>28.199</v>
      </c>
      <c r="D98" s="20" t="n">
        <v>27.118</v>
      </c>
      <c r="E98" s="20" t="n">
        <v>27.305</v>
      </c>
      <c r="F98" s="20" t="n">
        <v>29.287</v>
      </c>
      <c r="G98" s="20" t="n">
        <v>30.567</v>
      </c>
      <c r="H98" s="20" t="n">
        <v>28.901</v>
      </c>
      <c r="I98" s="20" t="n">
        <v>29.168</v>
      </c>
      <c r="J98" s="20" t="n">
        <v>32.091</v>
      </c>
      <c r="K98" s="20" t="n">
        <v>37.826</v>
      </c>
      <c r="L98" s="20" t="n">
        <v>34.613</v>
      </c>
      <c r="M98" s="20" t="n">
        <v>33.494</v>
      </c>
      <c r="N98" s="20" t="n">
        <v>37.422</v>
      </c>
      <c r="T98" s="20" t="n">
        <v>24.396</v>
      </c>
      <c r="U98" s="20" t="n">
        <v>25.739</v>
      </c>
      <c r="V98" s="20" t="n">
        <v>27.305</v>
      </c>
      <c r="W98" s="20" t="n">
        <v>29.168</v>
      </c>
      <c r="X98" s="20" t="n">
        <v>33.494</v>
      </c>
    </row>
    <row r="99">
      <c r="A99" s="18" t="inlineStr">
        <is>
          <t>보험 해약환급금</t>
        </is>
      </c>
      <c r="F99" s="20" t="n">
        <v>0</v>
      </c>
    </row>
    <row r="100">
      <c r="A100" s="18" t="inlineStr">
        <is>
          <t>기타</t>
        </is>
      </c>
      <c r="C100" s="20" t="n">
        <v>47.82</v>
      </c>
      <c r="D100" s="20" t="n">
        <v>6.659</v>
      </c>
      <c r="E100" s="20" t="n">
        <v>-46.19</v>
      </c>
      <c r="F100" s="20" t="n">
        <v>2.877</v>
      </c>
      <c r="G100" s="20" t="n">
        <v>4.368</v>
      </c>
      <c r="H100" s="20" t="n">
        <v>5.3</v>
      </c>
      <c r="I100" s="20" t="n">
        <v>43.394</v>
      </c>
      <c r="J100" s="20" t="n">
        <v>11.284</v>
      </c>
      <c r="K100" s="20" t="n">
        <v>1.886</v>
      </c>
      <c r="L100" s="20" t="n">
        <v>2.583</v>
      </c>
      <c r="M100" s="20" t="n">
        <v>8.834</v>
      </c>
      <c r="N100" s="20" t="n">
        <v>6.671</v>
      </c>
      <c r="T100" s="20" t="n">
        <v>13.062</v>
      </c>
      <c r="U100" s="20" t="n">
        <v>5.535</v>
      </c>
      <c r="V100" s="20" t="n">
        <v>-46.19</v>
      </c>
      <c r="W100" s="20" t="n">
        <v>43.394</v>
      </c>
      <c r="X100" s="20" t="n">
        <v>8.834</v>
      </c>
    </row>
    <row r="101">
      <c r="A101" s="18" t="inlineStr">
        <is>
          <t>영업외수익 합계</t>
        </is>
      </c>
      <c r="C101" s="20" t="n">
        <v>134.77</v>
      </c>
      <c r="D101" s="20" t="n">
        <v>112.669</v>
      </c>
      <c r="E101" s="20" t="n">
        <v>23.584</v>
      </c>
      <c r="F101" s="20" t="n">
        <v>109.66</v>
      </c>
      <c r="G101" s="20" t="n">
        <v>143.712</v>
      </c>
      <c r="H101" s="20" t="n">
        <v>116.781</v>
      </c>
      <c r="I101" s="20" t="n">
        <v>190.738</v>
      </c>
      <c r="J101" s="20" t="n">
        <v>127.443</v>
      </c>
      <c r="K101" s="20" t="n">
        <v>154.025</v>
      </c>
      <c r="L101" s="20" t="n">
        <v>114.089</v>
      </c>
      <c r="M101" s="20" t="n">
        <v>159.446</v>
      </c>
      <c r="N101" s="20" t="n">
        <v>134.226</v>
      </c>
      <c r="T101" s="20" t="n">
        <v>135.266</v>
      </c>
      <c r="U101" s="20" t="n">
        <v>77.077</v>
      </c>
      <c r="V101" s="20" t="n">
        <v>23.584</v>
      </c>
      <c r="W101" s="20" t="n">
        <v>190.738</v>
      </c>
      <c r="X101" s="20" t="n">
        <v>159.446</v>
      </c>
    </row>
    <row r="102">
      <c r="A102" s="18" t="inlineStr">
        <is>
          <t>이자비용</t>
        </is>
      </c>
      <c r="C102" s="20" t="n">
        <v>0.26</v>
      </c>
      <c r="D102" s="20" t="n">
        <v>0.26</v>
      </c>
      <c r="E102" s="20" t="n">
        <v>0.251</v>
      </c>
      <c r="F102" s="20" t="n">
        <v>0.231</v>
      </c>
      <c r="G102" s="20" t="n">
        <v>0.228</v>
      </c>
      <c r="H102" s="20" t="n">
        <v>0.248</v>
      </c>
      <c r="I102" s="20" t="n">
        <v>1.272</v>
      </c>
      <c r="J102" s="20" t="n">
        <v>2.016</v>
      </c>
      <c r="K102" s="20" t="n">
        <v>4.449</v>
      </c>
      <c r="L102" s="20" t="n">
        <v>4.6</v>
      </c>
      <c r="M102" s="20" t="n">
        <v>6.647</v>
      </c>
      <c r="N102" s="20" t="n">
        <v>6.265</v>
      </c>
      <c r="T102" s="20" t="n">
        <v>0.394</v>
      </c>
      <c r="U102" s="20" t="n">
        <v>0.414</v>
      </c>
      <c r="V102" s="20" t="n">
        <v>0.251</v>
      </c>
      <c r="W102" s="20" t="n">
        <v>1.272</v>
      </c>
      <c r="X102" s="20" t="n">
        <v>6.647</v>
      </c>
    </row>
    <row r="103">
      <c r="A103" s="18" t="inlineStr">
        <is>
          <t>자기주식 취득비용</t>
        </is>
      </c>
      <c r="C103" s="20" t="n">
        <v>0</v>
      </c>
      <c r="D103" s="20" t="n">
        <v>0</v>
      </c>
      <c r="E103" s="20" t="n">
        <v>0</v>
      </c>
      <c r="F103" s="20" t="n">
        <v>2.33</v>
      </c>
      <c r="G103" s="20" t="n">
        <v>8.484</v>
      </c>
      <c r="H103" s="20" t="n">
        <v>3.022</v>
      </c>
      <c r="I103" s="20" t="n">
        <v>0</v>
      </c>
      <c r="J103" s="20" t="n">
        <v>10.475</v>
      </c>
      <c r="K103" s="20" t="n">
        <v>10.472</v>
      </c>
      <c r="L103" s="20" t="n">
        <v>6.051</v>
      </c>
      <c r="M103" s="20" t="n">
        <v>0</v>
      </c>
      <c r="N103" s="20" t="n">
        <v>0</v>
      </c>
      <c r="T103" s="20" t="n">
        <v>0</v>
      </c>
      <c r="U103" s="20" t="n">
        <v>0</v>
      </c>
      <c r="V103" s="20" t="n">
        <v>0</v>
      </c>
      <c r="W103" s="20" t="n">
        <v>0</v>
      </c>
      <c r="X103" s="20" t="n">
        <v>0</v>
      </c>
    </row>
    <row r="104">
      <c r="A104" s="18" t="inlineStr">
        <is>
          <t>기타</t>
        </is>
      </c>
      <c r="C104" s="20" t="n">
        <v>0.369</v>
      </c>
      <c r="D104" s="20" t="n">
        <v>-0.238</v>
      </c>
      <c r="E104" s="20" t="n">
        <v>-0.502</v>
      </c>
      <c r="F104" s="20" t="n">
        <v>2.153</v>
      </c>
      <c r="G104" s="20" t="n">
        <v>0.169</v>
      </c>
      <c r="H104" s="20" t="n">
        <v>6.878</v>
      </c>
      <c r="I104" s="20" t="n">
        <v>25.059</v>
      </c>
      <c r="J104" s="20" t="n">
        <v>3.063</v>
      </c>
      <c r="K104" s="20" t="n">
        <v>-2.322</v>
      </c>
      <c r="L104" s="20" t="n">
        <v>7.347</v>
      </c>
      <c r="M104" s="20" t="n">
        <v>-0.672</v>
      </c>
      <c r="N104" s="20" t="n">
        <v>0.421</v>
      </c>
      <c r="T104" s="20" t="n">
        <v>2.051</v>
      </c>
      <c r="U104" s="20" t="n">
        <v>-1.68</v>
      </c>
      <c r="V104" s="20" t="n">
        <v>-0.502</v>
      </c>
      <c r="W104" s="20" t="n">
        <v>25.059</v>
      </c>
      <c r="X104" s="20" t="n">
        <v>-0.672</v>
      </c>
    </row>
    <row r="105">
      <c r="A105" s="18" t="inlineStr">
        <is>
          <t>영업외비용 합계</t>
        </is>
      </c>
      <c r="C105" s="20" t="n">
        <v>0.629</v>
      </c>
      <c r="D105" s="20" t="n">
        <v>0.022</v>
      </c>
      <c r="E105" s="20" t="n">
        <v>-0.252</v>
      </c>
      <c r="F105" s="20" t="n">
        <v>4.715</v>
      </c>
      <c r="G105" s="20" t="n">
        <v>8.881</v>
      </c>
      <c r="H105" s="20" t="n">
        <v>10.148</v>
      </c>
      <c r="I105" s="20" t="n">
        <v>26.33</v>
      </c>
      <c r="J105" s="20" t="n">
        <v>15.555</v>
      </c>
      <c r="K105" s="20" t="n">
        <v>12.599</v>
      </c>
      <c r="L105" s="20" t="n">
        <v>17.999</v>
      </c>
      <c r="M105" s="20" t="n">
        <v>5.975</v>
      </c>
      <c r="N105" s="20" t="n">
        <v>6.687</v>
      </c>
      <c r="T105" s="20" t="n">
        <v>2.445</v>
      </c>
      <c r="U105" s="20" t="n">
        <v>-1.265</v>
      </c>
      <c r="V105" s="20" t="n">
        <v>-0.252</v>
      </c>
      <c r="W105" s="20" t="n">
        <v>26.33</v>
      </c>
      <c r="X105" s="20" t="n">
        <v>5.975</v>
      </c>
    </row>
    <row r="106">
      <c r="A106" s="9" t="inlineStr">
        <is>
          <t>경상이익</t>
        </is>
      </c>
      <c r="C106" s="12" t="n">
        <v>634.652</v>
      </c>
      <c r="D106" s="12" t="n">
        <v>1088.406</v>
      </c>
      <c r="E106" s="12" t="n">
        <v>-159.056</v>
      </c>
      <c r="F106" s="12" t="n">
        <v>480.187</v>
      </c>
      <c r="G106" s="12" t="n">
        <v>664.466</v>
      </c>
      <c r="H106" s="12" t="n">
        <v>1267.999</v>
      </c>
      <c r="I106" s="12" t="n">
        <v>493.926</v>
      </c>
      <c r="J106" s="12" t="n">
        <v>388.873</v>
      </c>
      <c r="K106" s="12" t="n">
        <v>516.438</v>
      </c>
      <c r="L106" s="12" t="n">
        <v>1045.898</v>
      </c>
      <c r="M106" s="12" t="n">
        <v>599.438</v>
      </c>
      <c r="N106" s="12" t="n">
        <v>614.595</v>
      </c>
      <c r="T106" s="12" t="n">
        <v>583.981</v>
      </c>
      <c r="U106" s="12" t="n">
        <v>82.801</v>
      </c>
      <c r="V106" s="12" t="n">
        <v>-159.056</v>
      </c>
      <c r="W106" s="12" t="n">
        <v>493.926</v>
      </c>
      <c r="X106" s="12" t="n">
        <v>599.438</v>
      </c>
    </row>
    <row r="107">
      <c r="A107" s="18" t="inlineStr">
        <is>
          <t>고정자산 매각이익</t>
        </is>
      </c>
      <c r="C107" s="20" t="n">
        <v>0.11</v>
      </c>
      <c r="D107" s="20" t="n">
        <v>0.048</v>
      </c>
      <c r="E107" s="20" t="n">
        <v>0.02</v>
      </c>
      <c r="F107" s="20" t="n">
        <v>0</v>
      </c>
      <c r="G107" s="20" t="n">
        <v>0</v>
      </c>
      <c r="H107" s="20" t="n">
        <v>2.129</v>
      </c>
      <c r="I107" s="20" t="n">
        <v>0</v>
      </c>
      <c r="J107" s="20" t="n">
        <v>0</v>
      </c>
      <c r="M107" s="20" t="n">
        <v>0</v>
      </c>
      <c r="N107" s="20" t="n">
        <v>1.227</v>
      </c>
      <c r="T107" s="20" t="n">
        <v>0.006</v>
      </c>
      <c r="U107" s="20" t="n">
        <v>0.986</v>
      </c>
      <c r="V107" s="20" t="n">
        <v>0.02</v>
      </c>
      <c r="W107" s="20" t="n">
        <v>0</v>
      </c>
      <c r="X107" s="20" t="n">
        <v>0</v>
      </c>
    </row>
    <row r="108">
      <c r="A108" s="18" t="inlineStr">
        <is>
          <t>투자유가증권 매각이익</t>
        </is>
      </c>
      <c r="E108" s="20" t="n">
        <v>0</v>
      </c>
      <c r="F108" s="20" t="n">
        <v>0</v>
      </c>
      <c r="G108" s="20" t="n">
        <v>0</v>
      </c>
      <c r="H108" s="20" t="n">
        <v>0</v>
      </c>
      <c r="I108" s="20" t="n">
        <v>0</v>
      </c>
      <c r="J108" s="20" t="n">
        <v>4.695</v>
      </c>
      <c r="K108" s="20" t="n">
        <v>104.569</v>
      </c>
      <c r="L108" s="20" t="n">
        <v>0</v>
      </c>
      <c r="M108" s="20" t="n">
        <v>423.873</v>
      </c>
      <c r="N108" s="20" t="n">
        <v>0</v>
      </c>
      <c r="T108" s="20" t="n">
        <v>0</v>
      </c>
      <c r="U108" s="20" t="n">
        <v>0</v>
      </c>
      <c r="V108" s="20" t="n">
        <v>0</v>
      </c>
      <c r="W108" s="20" t="n">
        <v>0</v>
      </c>
      <c r="X108" s="20" t="n">
        <v>423.873</v>
      </c>
    </row>
    <row r="109">
      <c r="A109" s="18" t="inlineStr">
        <is>
          <t>특별이익 합계</t>
        </is>
      </c>
      <c r="C109" s="20" t="n">
        <v>0.11</v>
      </c>
      <c r="D109" s="20" t="n">
        <v>0.048</v>
      </c>
      <c r="E109" s="20" t="n">
        <v>0.02</v>
      </c>
      <c r="F109" s="20" t="n">
        <v>0</v>
      </c>
      <c r="G109" s="20" t="n">
        <v>0</v>
      </c>
      <c r="H109" s="20" t="n">
        <v>2.129</v>
      </c>
      <c r="I109" s="20" t="n">
        <v>0</v>
      </c>
      <c r="J109" s="20" t="n">
        <v>4.695</v>
      </c>
      <c r="K109" s="20" t="n">
        <v>104.569</v>
      </c>
      <c r="L109" s="20" t="n">
        <v>12.974</v>
      </c>
      <c r="M109" s="20" t="n">
        <v>423.873</v>
      </c>
      <c r="N109" s="20" t="n">
        <v>1.227</v>
      </c>
      <c r="T109" s="20" t="n">
        <v>0.006</v>
      </c>
      <c r="U109" s="20" t="n">
        <v>0.985</v>
      </c>
      <c r="V109" s="20" t="n">
        <v>0.02</v>
      </c>
      <c r="W109" s="20" t="n">
        <v>0</v>
      </c>
      <c r="X109" s="20" t="n">
        <v>423.873</v>
      </c>
    </row>
    <row r="110">
      <c r="A110" s="18" t="inlineStr">
        <is>
          <t>고정자산 제각·매각손실</t>
        </is>
      </c>
      <c r="C110" s="20" t="n">
        <v>0.027</v>
      </c>
      <c r="D110" s="20" t="n">
        <v>0</v>
      </c>
      <c r="E110" s="20" t="n">
        <v>0.113</v>
      </c>
      <c r="F110" s="20" t="n">
        <v>0</v>
      </c>
      <c r="G110" s="20" t="n">
        <v>7.713</v>
      </c>
      <c r="H110" s="20" t="n">
        <v>3.707</v>
      </c>
      <c r="I110" s="20" t="n">
        <v>0</v>
      </c>
      <c r="J110" s="20" t="n">
        <v>0.008</v>
      </c>
      <c r="K110" s="20" t="n">
        <v>0.002</v>
      </c>
      <c r="L110" s="20" t="n">
        <v>0</v>
      </c>
      <c r="M110" s="20" t="n">
        <v>0</v>
      </c>
      <c r="N110" s="20" t="n">
        <v>0.273</v>
      </c>
      <c r="T110" s="20" t="n">
        <v>0.08500000000000001</v>
      </c>
      <c r="U110" s="20" t="n">
        <v>0.045</v>
      </c>
      <c r="V110" s="20" t="n">
        <v>0.113</v>
      </c>
      <c r="W110" s="20" t="n">
        <v>0</v>
      </c>
      <c r="X110" s="20" t="n">
        <v>0</v>
      </c>
    </row>
    <row r="111">
      <c r="A111" s="18" t="inlineStr">
        <is>
          <t>투자유가증권 평가손실</t>
        </is>
      </c>
      <c r="T111" s="20" t="n">
        <v>0.152</v>
      </c>
      <c r="U111" s="20" t="n">
        <v>0</v>
      </c>
    </row>
    <row r="112">
      <c r="A112" s="18" t="inlineStr">
        <is>
          <t>관계회사 청산손실</t>
        </is>
      </c>
      <c r="D112" s="20" t="n">
        <v>0.004</v>
      </c>
      <c r="E112" s="20" t="n">
        <v>0</v>
      </c>
      <c r="H112" s="20" t="n">
        <v>0</v>
      </c>
      <c r="I112" s="20" t="n">
        <v>0</v>
      </c>
      <c r="U112" s="20" t="n">
        <v>0</v>
      </c>
      <c r="V112" s="20" t="n">
        <v>0</v>
      </c>
      <c r="W112" s="20" t="n">
        <v>0</v>
      </c>
    </row>
    <row r="113">
      <c r="A113" s="18" t="inlineStr">
        <is>
          <t>손상차손</t>
        </is>
      </c>
      <c r="E113" s="20" t="n">
        <v>0</v>
      </c>
      <c r="T113" s="20" t="n">
        <v>0</v>
      </c>
      <c r="U113" s="20" t="n">
        <v>0</v>
      </c>
      <c r="V113" s="20" t="n">
        <v>0</v>
      </c>
    </row>
    <row r="114">
      <c r="A114" s="18" t="inlineStr">
        <is>
          <t>특별손실 합계</t>
        </is>
      </c>
      <c r="C114" s="20" t="n">
        <v>2.818</v>
      </c>
      <c r="D114" s="20" t="n">
        <v>-1.559</v>
      </c>
      <c r="E114" s="20" t="n">
        <v>-1.119</v>
      </c>
      <c r="F114" s="20" t="n">
        <v>0</v>
      </c>
      <c r="G114" s="20" t="n">
        <v>7.713</v>
      </c>
      <c r="H114" s="20" t="n">
        <v>3.707</v>
      </c>
      <c r="I114" s="20" t="n">
        <v>33.26</v>
      </c>
      <c r="J114" s="20" t="n">
        <v>0.008</v>
      </c>
      <c r="K114" s="20" t="n">
        <v>0.002</v>
      </c>
      <c r="L114" s="20" t="n">
        <v>0</v>
      </c>
      <c r="M114" s="20" t="n">
        <v>14.696</v>
      </c>
      <c r="N114" s="20" t="n">
        <v>0.273</v>
      </c>
      <c r="T114" s="20" t="n">
        <v>0.238</v>
      </c>
      <c r="U114" s="20" t="n">
        <v>0.546</v>
      </c>
      <c r="V114" s="20" t="n">
        <v>-1.119</v>
      </c>
      <c r="W114" s="20" t="n">
        <v>33.26</v>
      </c>
      <c r="X114" s="20" t="n">
        <v>14.696</v>
      </c>
    </row>
    <row r="115">
      <c r="A115" s="9" t="inlineStr">
        <is>
          <t>법인세차감전 순이익</t>
        </is>
      </c>
      <c r="C115" s="12" t="n">
        <v>631.943</v>
      </c>
      <c r="D115" s="12" t="n">
        <v>1090.013</v>
      </c>
      <c r="E115" s="12" t="n">
        <v>-157.918</v>
      </c>
      <c r="F115" s="12" t="n">
        <v>480.187</v>
      </c>
      <c r="G115" s="12" t="n">
        <v>656.752</v>
      </c>
      <c r="H115" s="12" t="n">
        <v>1266.422</v>
      </c>
      <c r="I115" s="12" t="n">
        <v>460.666</v>
      </c>
      <c r="J115" s="12" t="n">
        <v>393.561</v>
      </c>
      <c r="K115" s="12" t="n">
        <v>621.004</v>
      </c>
      <c r="L115" s="12" t="n">
        <v>1058.872</v>
      </c>
      <c r="M115" s="12" t="n">
        <v>1008.615</v>
      </c>
      <c r="N115" s="12" t="n">
        <v>615.548</v>
      </c>
      <c r="T115" s="12" t="n">
        <v>583.75</v>
      </c>
      <c r="U115" s="12" t="n">
        <v>83.242</v>
      </c>
      <c r="V115" s="12" t="n">
        <v>-157.918</v>
      </c>
      <c r="W115" s="12" t="n">
        <v>460.666</v>
      </c>
      <c r="X115" s="12" t="n">
        <v>1008.615</v>
      </c>
    </row>
    <row r="116">
      <c r="A116" s="18" t="inlineStr">
        <is>
          <t>법인세·주민세·사업세</t>
        </is>
      </c>
      <c r="C116" s="20" t="n">
        <v>285.557</v>
      </c>
      <c r="D116" s="20" t="n">
        <v>266.081</v>
      </c>
      <c r="E116" s="20" t="n">
        <v>68.26900000000001</v>
      </c>
      <c r="F116" s="20" t="n">
        <v>52.718</v>
      </c>
      <c r="G116" s="20" t="n">
        <v>336.539</v>
      </c>
      <c r="H116" s="20" t="n">
        <v>303.297</v>
      </c>
      <c r="I116" s="20" t="n">
        <v>249.978</v>
      </c>
      <c r="J116" s="20" t="n">
        <v>44.055</v>
      </c>
      <c r="K116" s="20" t="n">
        <v>293.844</v>
      </c>
      <c r="L116" s="20" t="n">
        <v>244.369</v>
      </c>
      <c r="M116" s="20" t="n">
        <v>380.729</v>
      </c>
      <c r="N116" s="20" t="n">
        <v>97.04000000000001</v>
      </c>
      <c r="T116" s="20" t="n">
        <v>320.669</v>
      </c>
      <c r="U116" s="20" t="n">
        <v>44.679</v>
      </c>
      <c r="V116" s="20" t="n">
        <v>68.26900000000001</v>
      </c>
      <c r="W116" s="20" t="n">
        <v>249.978</v>
      </c>
      <c r="X116" s="20" t="n">
        <v>380.729</v>
      </c>
    </row>
    <row r="117">
      <c r="A117" s="18" t="inlineStr">
        <is>
          <t>법인세 조정액</t>
        </is>
      </c>
      <c r="C117" s="20" t="n">
        <v>-68.426</v>
      </c>
      <c r="D117" s="20" t="n">
        <v>102.367</v>
      </c>
      <c r="E117" s="20" t="n">
        <v>-123.296</v>
      </c>
      <c r="F117" s="20" t="n">
        <v>112.556</v>
      </c>
      <c r="G117" s="20" t="n">
        <v>-111.616</v>
      </c>
      <c r="H117" s="20" t="n">
        <v>108.493</v>
      </c>
      <c r="I117" s="20" t="n">
        <v>-105.173</v>
      </c>
      <c r="J117" s="20" t="n">
        <v>119.028</v>
      </c>
      <c r="K117" s="20" t="n">
        <v>-101.147</v>
      </c>
      <c r="L117" s="20" t="n">
        <v>103.879</v>
      </c>
      <c r="M117" s="20" t="n">
        <v>-115.309</v>
      </c>
      <c r="N117" s="20" t="n">
        <v>134.316</v>
      </c>
      <c r="T117" s="20" t="n">
        <v>-88.074</v>
      </c>
      <c r="U117" s="20" t="n">
        <v>-82.001</v>
      </c>
      <c r="V117" s="20" t="n">
        <v>-123.296</v>
      </c>
      <c r="W117" s="20" t="n">
        <v>-105.173</v>
      </c>
      <c r="X117" s="20" t="n">
        <v>-115.309</v>
      </c>
    </row>
    <row r="118">
      <c r="A118" s="18" t="inlineStr">
        <is>
          <t>법인세 등 합계</t>
        </is>
      </c>
      <c r="C118" s="20" t="n">
        <v>217.132</v>
      </c>
      <c r="D118" s="20" t="n">
        <v>368.448</v>
      </c>
      <c r="E118" s="20" t="n">
        <v>-55.027</v>
      </c>
      <c r="F118" s="20" t="n">
        <v>165.275</v>
      </c>
      <c r="G118" s="20" t="n">
        <v>224.923</v>
      </c>
      <c r="H118" s="20" t="n">
        <v>411.789</v>
      </c>
      <c r="I118" s="20" t="n">
        <v>144.806</v>
      </c>
      <c r="J118" s="20" t="n">
        <v>163.084</v>
      </c>
      <c r="K118" s="20" t="n">
        <v>192.696</v>
      </c>
      <c r="L118" s="20" t="n">
        <v>348.249</v>
      </c>
      <c r="M118" s="20" t="n">
        <v>265.419</v>
      </c>
      <c r="N118" s="20" t="n">
        <v>231.357</v>
      </c>
      <c r="T118" s="20" t="n">
        <v>232.596</v>
      </c>
      <c r="U118" s="20" t="n">
        <v>-37.322</v>
      </c>
      <c r="V118" s="20" t="n">
        <v>-55.027</v>
      </c>
      <c r="W118" s="20" t="n">
        <v>144.806</v>
      </c>
      <c r="X118" s="20" t="n">
        <v>265.419</v>
      </c>
    </row>
    <row r="119">
      <c r="A119" s="9" t="inlineStr">
        <is>
          <t>순이익</t>
        </is>
      </c>
      <c r="C119" s="12" t="n">
        <v>414.812</v>
      </c>
      <c r="D119" s="12" t="n">
        <v>721.564</v>
      </c>
      <c r="E119" s="12" t="n">
        <v>-102.89</v>
      </c>
      <c r="F119" s="12" t="n">
        <v>314.912</v>
      </c>
      <c r="G119" s="12" t="n">
        <v>431.828</v>
      </c>
      <c r="H119" s="12" t="n">
        <v>854.633</v>
      </c>
      <c r="I119" s="12" t="n">
        <v>315.861</v>
      </c>
      <c r="J119" s="12" t="n">
        <v>230.477</v>
      </c>
      <c r="K119" s="12" t="n">
        <v>428.307</v>
      </c>
      <c r="L119" s="12" t="n">
        <v>710.623</v>
      </c>
      <c r="M119" s="12" t="n">
        <v>743.197</v>
      </c>
      <c r="N119" s="12" t="n">
        <v>384.191</v>
      </c>
      <c r="T119" s="12" t="n">
        <v>351.155</v>
      </c>
      <c r="U119" s="12" t="n">
        <v>120.564</v>
      </c>
      <c r="V119" s="12" t="n">
        <v>-102.89</v>
      </c>
      <c r="W119" s="12" t="n">
        <v>315.861</v>
      </c>
      <c r="X119" s="12" t="n">
        <v>743.197</v>
      </c>
    </row>
    <row r="120">
      <c r="A120" s="9" t="inlineStr">
        <is>
          <t>비지배주주 순이익</t>
        </is>
      </c>
      <c r="C120" s="12" t="n">
        <v>0</v>
      </c>
      <c r="D120" s="12" t="n">
        <v>0</v>
      </c>
      <c r="E120" s="12" t="n">
        <v>0</v>
      </c>
      <c r="F120" s="12" t="n">
        <v>0</v>
      </c>
      <c r="G120" s="12" t="n">
        <v>0</v>
      </c>
      <c r="H120" s="12" t="n">
        <v>0</v>
      </c>
      <c r="I120" s="12" t="n">
        <v>0</v>
      </c>
      <c r="J120" s="12" t="n">
        <v>0</v>
      </c>
      <c r="K120" s="12" t="n">
        <v>0</v>
      </c>
      <c r="L120" s="12" t="n">
        <v>0</v>
      </c>
      <c r="M120" s="12" t="n">
        <v>0</v>
      </c>
      <c r="N120" s="12" t="n">
        <v>0</v>
      </c>
      <c r="T120" s="12" t="n">
        <v>0</v>
      </c>
      <c r="U120" s="12" t="n">
        <v>0</v>
      </c>
      <c r="V120" s="12" t="n">
        <v>0</v>
      </c>
      <c r="W120" s="12" t="n">
        <v>0</v>
      </c>
      <c r="X120" s="12" t="n">
        <v>0</v>
      </c>
    </row>
    <row r="121">
      <c r="A121" s="9" t="inlineStr">
        <is>
          <t>지배주주 순이익</t>
        </is>
      </c>
      <c r="C121" s="12" t="n">
        <v>414.812</v>
      </c>
      <c r="D121" s="12" t="n">
        <v>721.564</v>
      </c>
      <c r="E121" s="12" t="n">
        <v>379.623</v>
      </c>
      <c r="F121" s="12" t="n">
        <v>314.912</v>
      </c>
      <c r="G121" s="12" t="n">
        <v>431.828</v>
      </c>
      <c r="H121" s="12" t="n">
        <v>854.633</v>
      </c>
      <c r="I121" s="12" t="n">
        <v>315.861</v>
      </c>
      <c r="J121" s="12" t="n">
        <v>230.477</v>
      </c>
      <c r="K121" s="12" t="n">
        <v>428.307</v>
      </c>
      <c r="L121" s="12" t="n">
        <v>710.623</v>
      </c>
      <c r="M121" s="12" t="n">
        <v>743.197</v>
      </c>
      <c r="N121" s="12" t="n">
        <v>384.191</v>
      </c>
      <c r="T121" s="12" t="n">
        <v>351.155</v>
      </c>
      <c r="U121" s="12" t="n">
        <v>497.404</v>
      </c>
      <c r="V121" s="12" t="n">
        <v>379.623</v>
      </c>
      <c r="W121" s="12" t="n">
        <v>315.861</v>
      </c>
      <c r="X121" s="12" t="n">
        <v>743.197</v>
      </c>
    </row>
    <row r="123">
      <c r="A123" s="16" t="inlineStr">
        <is>
          <t>포괄손익 · 전 항목</t>
        </is>
      </c>
      <c r="B123" s="42" t="inlineStr">
        <is>
          <t>분기 = 3개월 단독</t>
        </is>
      </c>
      <c r="C123" s="16" t="n"/>
      <c r="D123" s="16" t="n"/>
      <c r="E123" s="16" t="n"/>
      <c r="F123" s="16" t="n"/>
      <c r="G123" s="16" t="n"/>
      <c r="H123" s="16" t="n"/>
      <c r="I123" s="16" t="n"/>
      <c r="J123" s="16" t="n"/>
      <c r="K123" s="16" t="n"/>
      <c r="L123" s="16" t="n"/>
      <c r="M123" s="16" t="n"/>
      <c r="N123" s="16" t="n"/>
      <c r="O123" s="16" t="n"/>
      <c r="P123" s="16" t="n"/>
      <c r="Q123" s="16" t="n"/>
      <c r="R123" s="16" t="n"/>
      <c r="S123" s="16" t="n"/>
      <c r="T123" s="16" t="n"/>
      <c r="U123" s="16" t="n"/>
      <c r="V123" s="16" t="n"/>
      <c r="W123" s="16" t="n"/>
      <c r="X123" s="16" t="n"/>
      <c r="Y123" s="16" t="n"/>
      <c r="Z123" s="16" t="n"/>
      <c r="AA123" s="16" t="n"/>
      <c r="AB123" s="16" t="n"/>
      <c r="AC123" s="16" t="n"/>
    </row>
    <row r="124">
      <c r="A124" s="5" t="inlineStr">
        <is>
          <t>항목</t>
        </is>
      </c>
      <c r="B124" s="5" t="inlineStr">
        <is>
          <t>참고</t>
        </is>
      </c>
      <c r="C124" s="5" t="inlineStr">
        <is>
          <t>2024.2Q</t>
        </is>
      </c>
      <c r="D124" s="5" t="inlineStr">
        <is>
          <t>2024.3Q</t>
        </is>
      </c>
      <c r="E124" s="5" t="inlineStr">
        <is>
          <t>2024.4Q</t>
        </is>
      </c>
      <c r="F124" s="5" t="inlineStr">
        <is>
          <t>2025.1Q</t>
        </is>
      </c>
      <c r="G124" s="5" t="inlineStr">
        <is>
          <t>2025.2Q</t>
        </is>
      </c>
      <c r="H124" s="5" t="inlineStr">
        <is>
          <t>2025.3Q</t>
        </is>
      </c>
      <c r="I124" s="5" t="inlineStr">
        <is>
          <t>2025.4Q</t>
        </is>
      </c>
      <c r="J124" s="5" t="inlineStr">
        <is>
          <t>2026.1Q</t>
        </is>
      </c>
      <c r="K124" s="5" t="inlineStr">
        <is>
          <t>2026.2Q</t>
        </is>
      </c>
      <c r="L124" s="5" t="inlineStr">
        <is>
          <t>2026.3Q</t>
        </is>
      </c>
      <c r="M124" s="5" t="inlineStr">
        <is>
          <t>2026.4Q</t>
        </is>
      </c>
      <c r="N124" s="5" t="inlineStr">
        <is>
          <t>2027.1Q</t>
        </is>
      </c>
      <c r="O124" s="5" t="inlineStr">
        <is>
          <t>2017</t>
        </is>
      </c>
      <c r="P124" s="5" t="inlineStr">
        <is>
          <t>2018</t>
        </is>
      </c>
      <c r="Q124" s="5" t="inlineStr">
        <is>
          <t>2019</t>
        </is>
      </c>
      <c r="R124" s="5" t="inlineStr">
        <is>
          <t>2020</t>
        </is>
      </c>
      <c r="S124" s="5" t="inlineStr">
        <is>
          <t>2021</t>
        </is>
      </c>
      <c r="T124" s="5" t="inlineStr">
        <is>
          <t>2022</t>
        </is>
      </c>
      <c r="U124" s="5" t="inlineStr">
        <is>
          <t>2023</t>
        </is>
      </c>
      <c r="V124" s="5" t="inlineStr">
        <is>
          <t>2024</t>
        </is>
      </c>
      <c r="W124" s="5" t="inlineStr">
        <is>
          <t>2025</t>
        </is>
      </c>
      <c r="X124" s="5" t="inlineStr">
        <is>
          <t>2026</t>
        </is>
      </c>
      <c r="Y124" s="5" t="inlineStr">
        <is>
          <t>2027(MW)</t>
        </is>
      </c>
      <c r="Z124" s="5" t="inlineStr">
        <is>
          <t>2028(MW)</t>
        </is>
      </c>
      <c r="AA124" s="5" t="inlineStr">
        <is>
          <t>2029(MW)</t>
        </is>
      </c>
      <c r="AB124" s="5" t="inlineStr">
        <is>
          <t>2030(MW)</t>
        </is>
      </c>
      <c r="AC124" s="5" t="inlineStr">
        <is>
          <t>2031(MW)</t>
        </is>
      </c>
    </row>
    <row r="125">
      <c r="A125" s="9" t="inlineStr">
        <is>
          <t>순이익</t>
        </is>
      </c>
      <c r="C125" s="12" t="n">
        <v>414.812</v>
      </c>
      <c r="D125" s="12" t="n">
        <v>721.564</v>
      </c>
      <c r="E125" s="12" t="n">
        <v>379.623</v>
      </c>
      <c r="F125" s="12" t="n">
        <v>314.912</v>
      </c>
      <c r="G125" s="12" t="n">
        <v>431.828</v>
      </c>
      <c r="H125" s="12" t="n">
        <v>854.633</v>
      </c>
      <c r="I125" s="12" t="n">
        <v>315.861</v>
      </c>
      <c r="J125" s="12" t="n">
        <v>230.477</v>
      </c>
      <c r="K125" s="12" t="n">
        <v>428.307</v>
      </c>
      <c r="L125" s="12" t="n">
        <v>710.623</v>
      </c>
      <c r="M125" s="12" t="n">
        <v>743.197</v>
      </c>
      <c r="N125" s="12" t="n">
        <v>384.191</v>
      </c>
      <c r="T125" s="12" t="n">
        <v>351.155</v>
      </c>
      <c r="U125" s="12" t="n">
        <v>497.404</v>
      </c>
      <c r="V125" s="12" t="n">
        <v>379.623</v>
      </c>
      <c r="W125" s="12" t="n">
        <v>315.861</v>
      </c>
      <c r="X125" s="12" t="n">
        <v>743.197</v>
      </c>
    </row>
    <row r="126">
      <c r="A126" s="18" t="inlineStr">
        <is>
          <t>기타유가증권 평가차액</t>
        </is>
      </c>
      <c r="C126" s="20" t="n">
        <v>43.958</v>
      </c>
      <c r="D126" s="20" t="n">
        <v>184.834</v>
      </c>
      <c r="E126" s="20" t="n">
        <v>256.174</v>
      </c>
      <c r="F126" s="20" t="n">
        <v>88.562</v>
      </c>
      <c r="G126" s="20" t="n">
        <v>-378.777</v>
      </c>
      <c r="H126" s="20" t="n">
        <v>203.875</v>
      </c>
      <c r="I126" s="20" t="n">
        <v>-244.395</v>
      </c>
      <c r="J126" s="20" t="n">
        <v>110.456</v>
      </c>
      <c r="K126" s="20" t="n">
        <v>224.498</v>
      </c>
      <c r="L126" s="20" t="n">
        <v>232.841</v>
      </c>
      <c r="M126" s="20" t="n">
        <v>-169.027</v>
      </c>
      <c r="N126" s="20" t="n">
        <v>1027.17</v>
      </c>
      <c r="T126" s="20" t="n">
        <v>-172.162</v>
      </c>
      <c r="U126" s="20" t="n">
        <v>263.726</v>
      </c>
      <c r="V126" s="20" t="n">
        <v>256.174</v>
      </c>
      <c r="W126" s="20" t="n">
        <v>-244.395</v>
      </c>
      <c r="X126" s="20" t="n">
        <v>-169.027</v>
      </c>
    </row>
    <row r="127">
      <c r="A127" s="18" t="inlineStr">
        <is>
          <t>퇴직급여 조정액</t>
        </is>
      </c>
      <c r="C127" s="20" t="n">
        <v>-0.714</v>
      </c>
      <c r="D127" s="20" t="n">
        <v>-0.714</v>
      </c>
      <c r="E127" s="20" t="n">
        <v>126.923</v>
      </c>
      <c r="F127" s="20" t="n">
        <v>-7.782</v>
      </c>
      <c r="G127" s="20" t="n">
        <v>-7.783</v>
      </c>
      <c r="H127" s="20" t="n">
        <v>-7.783</v>
      </c>
      <c r="I127" s="20" t="n">
        <v>39.497</v>
      </c>
      <c r="J127" s="20" t="n">
        <v>-9.818</v>
      </c>
      <c r="K127" s="20" t="n">
        <v>-7.851</v>
      </c>
      <c r="L127" s="20" t="n">
        <v>-7.85</v>
      </c>
      <c r="M127" s="20" t="n">
        <v>35.575</v>
      </c>
      <c r="N127" s="20" t="n">
        <v>-9.266999999999999</v>
      </c>
      <c r="T127" s="20" t="n">
        <v>-26.422</v>
      </c>
      <c r="U127" s="20" t="n">
        <v>-19.875</v>
      </c>
      <c r="V127" s="20" t="n">
        <v>126.923</v>
      </c>
      <c r="W127" s="20" t="n">
        <v>39.497</v>
      </c>
      <c r="X127" s="20" t="n">
        <v>35.575</v>
      </c>
    </row>
    <row r="128">
      <c r="A128" s="18" t="inlineStr">
        <is>
          <t>기타포괄손익 합계</t>
        </is>
      </c>
      <c r="C128" s="20" t="n">
        <v>43.245</v>
      </c>
      <c r="D128" s="20" t="n">
        <v>184.119</v>
      </c>
      <c r="E128" s="20" t="n">
        <v>383.098</v>
      </c>
      <c r="F128" s="20" t="n">
        <v>80.78</v>
      </c>
      <c r="G128" s="20" t="n">
        <v>-386.561</v>
      </c>
      <c r="H128" s="20" t="n">
        <v>196.093</v>
      </c>
      <c r="I128" s="20" t="n">
        <v>-204.897</v>
      </c>
      <c r="J128" s="20" t="n">
        <v>100.637</v>
      </c>
      <c r="K128" s="20" t="n">
        <v>216.648</v>
      </c>
      <c r="L128" s="20" t="n">
        <v>224.99</v>
      </c>
      <c r="M128" s="20" t="n">
        <v>-133.45</v>
      </c>
      <c r="N128" s="20" t="n">
        <v>1017.903</v>
      </c>
      <c r="T128" s="20" t="n">
        <v>-198.584</v>
      </c>
      <c r="U128" s="20" t="n">
        <v>243.851</v>
      </c>
      <c r="V128" s="20" t="n">
        <v>383.098</v>
      </c>
      <c r="W128" s="20" t="n">
        <v>-204.897</v>
      </c>
      <c r="X128" s="20" t="n">
        <v>-133.45</v>
      </c>
    </row>
    <row r="129">
      <c r="A129" s="9" t="inlineStr">
        <is>
          <t>포괄이익</t>
        </is>
      </c>
      <c r="C129" s="12" t="n">
        <v>458.057</v>
      </c>
      <c r="D129" s="12" t="n">
        <v>905.683</v>
      </c>
      <c r="E129" s="12" t="n">
        <v>762.721</v>
      </c>
      <c r="F129" s="12" t="n">
        <v>395.692</v>
      </c>
      <c r="G129" s="12" t="n">
        <v>45.267</v>
      </c>
      <c r="H129" s="12" t="n">
        <v>1050.726</v>
      </c>
      <c r="I129" s="12" t="n">
        <v>110.963</v>
      </c>
      <c r="J129" s="12" t="n">
        <v>331.114</v>
      </c>
      <c r="K129" s="12" t="n">
        <v>644.956</v>
      </c>
      <c r="L129" s="12" t="n">
        <v>935.6130000000001</v>
      </c>
      <c r="M129" s="12" t="n">
        <v>609.746</v>
      </c>
      <c r="N129" s="12" t="n">
        <v>1402.095</v>
      </c>
      <c r="T129" s="12" t="n">
        <v>152.57</v>
      </c>
      <c r="U129" s="12" t="n">
        <v>741.2569999999999</v>
      </c>
      <c r="V129" s="12" t="n">
        <v>762.721</v>
      </c>
      <c r="W129" s="12" t="n">
        <v>110.963</v>
      </c>
      <c r="X129" s="12" t="n">
        <v>609.746</v>
      </c>
    </row>
    <row r="130">
      <c r="A130" s="9" t="inlineStr">
        <is>
          <t>지배주주 포괄이익</t>
        </is>
      </c>
      <c r="C130" s="12" t="n">
        <v>458.057</v>
      </c>
      <c r="D130" s="12" t="n">
        <v>905.683</v>
      </c>
      <c r="E130" s="12" t="n">
        <v>762.721</v>
      </c>
      <c r="F130" s="12" t="n">
        <v>395.692</v>
      </c>
      <c r="G130" s="12" t="n">
        <v>45.267</v>
      </c>
      <c r="H130" s="12" t="n">
        <v>1050.726</v>
      </c>
      <c r="I130" s="12" t="n">
        <v>110.963</v>
      </c>
      <c r="J130" s="12" t="n">
        <v>331.114</v>
      </c>
      <c r="K130" s="12" t="n">
        <v>644.956</v>
      </c>
      <c r="L130" s="12" t="n">
        <v>935.6130000000001</v>
      </c>
      <c r="M130" s="12" t="n">
        <v>609.746</v>
      </c>
      <c r="N130" s="12" t="n">
        <v>1402.095</v>
      </c>
      <c r="T130" s="12" t="n">
        <v>152.57</v>
      </c>
      <c r="U130" s="12" t="n">
        <v>741.2569999999999</v>
      </c>
      <c r="V130" s="12" t="n">
        <v>762.721</v>
      </c>
      <c r="W130" s="12" t="n">
        <v>110.963</v>
      </c>
      <c r="X130" s="12" t="n">
        <v>609.746</v>
      </c>
    </row>
    <row r="131">
      <c r="A131" s="9" t="inlineStr">
        <is>
          <t>비지배주주 포괄이익</t>
        </is>
      </c>
      <c r="C131" s="12" t="n">
        <v>0</v>
      </c>
      <c r="D131" s="12" t="n">
        <v>0</v>
      </c>
      <c r="E131" s="12" t="n">
        <v>0</v>
      </c>
      <c r="F131" s="12" t="n">
        <v>0</v>
      </c>
      <c r="G131" s="12" t="n">
        <v>0</v>
      </c>
      <c r="H131" s="12" t="n">
        <v>0</v>
      </c>
      <c r="I131" s="12" t="n">
        <v>0</v>
      </c>
      <c r="J131" s="12" t="n">
        <v>0</v>
      </c>
      <c r="K131" s="12" t="n">
        <v>0</v>
      </c>
      <c r="L131" s="12" t="n">
        <v>0</v>
      </c>
      <c r="M131" s="12" t="n">
        <v>0</v>
      </c>
      <c r="N131" s="12" t="n">
        <v>0</v>
      </c>
      <c r="T131" s="12" t="n">
        <v>0</v>
      </c>
      <c r="U131" s="12" t="n">
        <v>0</v>
      </c>
      <c r="V131" s="12" t="n">
        <v>0</v>
      </c>
      <c r="W131" s="12" t="n">
        <v>0</v>
      </c>
      <c r="X131" s="12" t="n">
        <v>0</v>
      </c>
    </row>
    <row r="133">
      <c r="A133" s="16" t="inlineStr">
        <is>
          <t>부문 · 전 항목</t>
        </is>
      </c>
      <c r="B133" s="42" t="inlineStr">
        <is>
          <t>부문 · 항목</t>
        </is>
      </c>
      <c r="C133" s="16" t="n"/>
      <c r="D133" s="16" t="n"/>
      <c r="E133" s="16" t="n"/>
      <c r="F133" s="16" t="n"/>
      <c r="G133" s="16" t="n"/>
      <c r="H133" s="16" t="n"/>
      <c r="I133" s="16" t="n"/>
      <c r="J133" s="16" t="n"/>
      <c r="K133" s="16" t="n"/>
      <c r="L133" s="16" t="n"/>
      <c r="M133" s="16" t="n"/>
      <c r="N133" s="16" t="n"/>
      <c r="O133" s="16" t="n"/>
      <c r="P133" s="16" t="n"/>
      <c r="Q133" s="16" t="n"/>
      <c r="R133" s="16" t="n"/>
      <c r="S133" s="16" t="n"/>
      <c r="T133" s="16" t="n"/>
      <c r="U133" s="16" t="n"/>
      <c r="V133" s="16" t="n"/>
      <c r="W133" s="16" t="n"/>
      <c r="X133" s="16" t="n"/>
      <c r="Y133" s="16" t="n"/>
      <c r="Z133" s="16" t="n"/>
      <c r="AA133" s="16" t="n"/>
      <c r="AB133" s="16" t="n"/>
      <c r="AC133" s="16" t="n"/>
    </row>
    <row r="134">
      <c r="A134" s="5" t="inlineStr">
        <is>
          <t>항목</t>
        </is>
      </c>
      <c r="B134" s="5" t="inlineStr">
        <is>
          <t>참고</t>
        </is>
      </c>
      <c r="C134" s="5" t="inlineStr">
        <is>
          <t>2024.2Q</t>
        </is>
      </c>
      <c r="D134" s="5" t="inlineStr">
        <is>
          <t>2024.3Q</t>
        </is>
      </c>
      <c r="E134" s="5" t="inlineStr">
        <is>
          <t>2024.4Q</t>
        </is>
      </c>
      <c r="F134" s="5" t="inlineStr">
        <is>
          <t>2025.1Q</t>
        </is>
      </c>
      <c r="G134" s="5" t="inlineStr">
        <is>
          <t>2025.2Q</t>
        </is>
      </c>
      <c r="H134" s="5" t="inlineStr">
        <is>
          <t>2025.3Q</t>
        </is>
      </c>
      <c r="I134" s="5" t="inlineStr">
        <is>
          <t>2025.4Q</t>
        </is>
      </c>
      <c r="J134" s="5" t="inlineStr">
        <is>
          <t>2026.1Q</t>
        </is>
      </c>
      <c r="K134" s="5" t="inlineStr">
        <is>
          <t>2026.2Q</t>
        </is>
      </c>
      <c r="L134" s="5" t="inlineStr">
        <is>
          <t>2026.3Q</t>
        </is>
      </c>
      <c r="M134" s="5" t="inlineStr">
        <is>
          <t>2026.4Q</t>
        </is>
      </c>
      <c r="N134" s="5" t="inlineStr">
        <is>
          <t>2027.1Q</t>
        </is>
      </c>
      <c r="O134" s="5" t="inlineStr">
        <is>
          <t>2017</t>
        </is>
      </c>
      <c r="P134" s="5" t="inlineStr">
        <is>
          <t>2018</t>
        </is>
      </c>
      <c r="Q134" s="5" t="inlineStr">
        <is>
          <t>2019</t>
        </is>
      </c>
      <c r="R134" s="5" t="inlineStr">
        <is>
          <t>2020</t>
        </is>
      </c>
      <c r="S134" s="5" t="inlineStr">
        <is>
          <t>2021</t>
        </is>
      </c>
      <c r="T134" s="5" t="inlineStr">
        <is>
          <t>2022</t>
        </is>
      </c>
      <c r="U134" s="5" t="inlineStr">
        <is>
          <t>2023</t>
        </is>
      </c>
      <c r="V134" s="5" t="inlineStr">
        <is>
          <t>2024</t>
        </is>
      </c>
      <c r="W134" s="5" t="inlineStr">
        <is>
          <t>2025</t>
        </is>
      </c>
      <c r="X134" s="5" t="inlineStr">
        <is>
          <t>2026</t>
        </is>
      </c>
      <c r="Y134" s="5" t="inlineStr">
        <is>
          <t>2027(MW)</t>
        </is>
      </c>
      <c r="Z134" s="5" t="inlineStr">
        <is>
          <t>2028(MW)</t>
        </is>
      </c>
      <c r="AA134" s="5" t="inlineStr">
        <is>
          <t>2029(MW)</t>
        </is>
      </c>
      <c r="AB134" s="5" t="inlineStr">
        <is>
          <t>2030(MW)</t>
        </is>
      </c>
      <c r="AC134" s="5" t="inlineStr">
        <is>
          <t>2031(MW)</t>
        </is>
      </c>
    </row>
    <row r="135">
      <c r="A135" s="18" t="inlineStr">
        <is>
          <t>EastReportableSegmentsMember · 외부 고객 매출</t>
        </is>
      </c>
      <c r="C135" s="20" t="n">
        <v>2718.681</v>
      </c>
      <c r="D135" s="20" t="n">
        <v>3312.389</v>
      </c>
      <c r="E135" s="20" t="n">
        <v>2678.798</v>
      </c>
      <c r="F135" s="20" t="n">
        <v>2684.847</v>
      </c>
      <c r="G135" s="20" t="n">
        <v>2928.239</v>
      </c>
      <c r="H135" s="20" t="n">
        <v>3358.389</v>
      </c>
      <c r="I135" s="20" t="n">
        <v>2779.274</v>
      </c>
      <c r="J135" s="20" t="n">
        <v>2647.548</v>
      </c>
      <c r="K135" s="20" t="n">
        <v>2732.592</v>
      </c>
      <c r="L135" s="20" t="n">
        <v>3128.084</v>
      </c>
      <c r="M135" s="20" t="n">
        <v>2884.363</v>
      </c>
      <c r="N135" s="20" t="n">
        <v>2917.935</v>
      </c>
      <c r="V135" s="20" t="n">
        <v>2678.798</v>
      </c>
      <c r="W135" s="20" t="n">
        <v>2779.274</v>
      </c>
      <c r="X135" s="20" t="n">
        <v>2884.363</v>
      </c>
    </row>
    <row r="136">
      <c r="A136" s="18" t="inlineStr">
        <is>
          <t>CentralReportableSegmentsMember · 외부 고객 매출</t>
        </is>
      </c>
      <c r="C136" s="20" t="n">
        <v>3145.131</v>
      </c>
      <c r="D136" s="20" t="n">
        <v>3585.745</v>
      </c>
      <c r="E136" s="20" t="n">
        <v>3129.582</v>
      </c>
      <c r="F136" s="20" t="n">
        <v>3084.093</v>
      </c>
      <c r="G136" s="20" t="n">
        <v>3458.425</v>
      </c>
      <c r="H136" s="20" t="n">
        <v>3956.585</v>
      </c>
      <c r="I136" s="20" t="n">
        <v>4116.88</v>
      </c>
      <c r="J136" s="20" t="n">
        <v>3183.722</v>
      </c>
      <c r="K136" s="20" t="n">
        <v>3270.574</v>
      </c>
      <c r="L136" s="20" t="n">
        <v>3896.478</v>
      </c>
      <c r="M136" s="20" t="n">
        <v>3690.494</v>
      </c>
      <c r="N136" s="20" t="n">
        <v>3310.076</v>
      </c>
      <c r="V136" s="20" t="n">
        <v>3129.582</v>
      </c>
      <c r="W136" s="20" t="n">
        <v>4116.88</v>
      </c>
      <c r="X136" s="20" t="n">
        <v>3690.494</v>
      </c>
    </row>
    <row r="137">
      <c r="A137" s="18" t="inlineStr">
        <is>
          <t>WestReportableSegmentsMember · 외부 고객 매출</t>
        </is>
      </c>
      <c r="C137" s="20" t="n">
        <v>4968.686</v>
      </c>
      <c r="D137" s="20" t="n">
        <v>5915.309</v>
      </c>
      <c r="E137" s="20" t="n">
        <v>5098.7</v>
      </c>
      <c r="F137" s="20" t="n">
        <v>4796.757</v>
      </c>
      <c r="G137" s="20" t="n">
        <v>5407.302</v>
      </c>
      <c r="H137" s="20" t="n">
        <v>6113.664</v>
      </c>
      <c r="I137" s="20" t="n">
        <v>5050.996</v>
      </c>
      <c r="J137" s="20" t="n">
        <v>4910.096</v>
      </c>
      <c r="K137" s="20" t="n">
        <v>5172.266</v>
      </c>
      <c r="L137" s="20" t="n">
        <v>5899.57</v>
      </c>
      <c r="M137" s="20" t="n">
        <v>5280.148</v>
      </c>
      <c r="N137" s="20" t="n">
        <v>5340.753</v>
      </c>
      <c r="V137" s="20" t="n">
        <v>5098.7</v>
      </c>
      <c r="W137" s="20" t="n">
        <v>5050.996</v>
      </c>
      <c r="X137" s="20" t="n">
        <v>5280.148</v>
      </c>
    </row>
    <row r="138">
      <c r="A138" s="18" t="inlineStr">
        <is>
          <t>OverseasReportableSegmentsMember · 외부 고객 매출</t>
        </is>
      </c>
      <c r="C138" s="20" t="n">
        <v>383.574</v>
      </c>
      <c r="D138" s="20" t="n">
        <v>493.355</v>
      </c>
      <c r="E138" s="20" t="n">
        <v>364.682</v>
      </c>
      <c r="F138" s="20" t="n">
        <v>410.701</v>
      </c>
      <c r="G138" s="20" t="n">
        <v>404.797</v>
      </c>
      <c r="H138" s="20" t="n">
        <v>514.4589999999999</v>
      </c>
      <c r="I138" s="20" t="n">
        <v>399.707</v>
      </c>
      <c r="J138" s="20" t="n">
        <v>429.074</v>
      </c>
      <c r="K138" s="20" t="n">
        <v>428.511</v>
      </c>
      <c r="L138" s="20" t="n">
        <v>578.663</v>
      </c>
      <c r="M138" s="20" t="n">
        <v>479.437</v>
      </c>
      <c r="N138" s="20" t="n">
        <v>563.67</v>
      </c>
      <c r="V138" s="20" t="n">
        <v>364.682</v>
      </c>
      <c r="W138" s="20" t="n">
        <v>399.707</v>
      </c>
      <c r="X138" s="20" t="n">
        <v>479.437</v>
      </c>
    </row>
    <row r="139">
      <c r="A139" s="9" t="inlineStr">
        <is>
          <t>외부 고객 매출</t>
        </is>
      </c>
      <c r="C139" s="12" t="n">
        <v>11216.073</v>
      </c>
      <c r="D139" s="12" t="n">
        <v>13306.798</v>
      </c>
      <c r="E139" s="12" t="n">
        <v>11271.761</v>
      </c>
      <c r="F139" s="12" t="n">
        <v>10976.4</v>
      </c>
      <c r="G139" s="12" t="n">
        <v>12198.763</v>
      </c>
      <c r="H139" s="12" t="n">
        <v>13943.097</v>
      </c>
      <c r="I139" s="12" t="n">
        <v>12346.856</v>
      </c>
      <c r="V139" s="12" t="n">
        <v>11271.761</v>
      </c>
      <c r="W139" s="12" t="n">
        <v>12346.856</v>
      </c>
    </row>
    <row r="140">
      <c r="A140" s="18" t="inlineStr">
        <is>
          <t>EntityTotalMember · 외부 고객 매출</t>
        </is>
      </c>
      <c r="F140" s="20" t="n">
        <v>10976.4</v>
      </c>
      <c r="J140" s="20" t="n">
        <v>11170.441</v>
      </c>
      <c r="N140" s="20" t="n">
        <v>12132.436</v>
      </c>
    </row>
    <row r="141">
      <c r="A141" s="18" t="inlineStr">
        <is>
          <t>EastReportableSegmentsMember · 부문 이익</t>
        </is>
      </c>
      <c r="C141" s="20" t="n">
        <v>110.933</v>
      </c>
      <c r="D141" s="20" t="n">
        <v>257.642</v>
      </c>
      <c r="E141" s="20" t="n">
        <v>89.56999999999999</v>
      </c>
      <c r="F141" s="20" t="n">
        <v>92.72</v>
      </c>
      <c r="G141" s="20" t="n">
        <v>130.127</v>
      </c>
      <c r="H141" s="20" t="n">
        <v>268.251</v>
      </c>
      <c r="I141" s="20" t="n">
        <v>36.612</v>
      </c>
      <c r="J141" s="20" t="n">
        <v>42.513</v>
      </c>
      <c r="K141" s="20" t="n">
        <v>62.8</v>
      </c>
      <c r="L141" s="20" t="n">
        <v>186.409</v>
      </c>
      <c r="M141" s="20" t="n">
        <v>88.53400000000001</v>
      </c>
      <c r="N141" s="20" t="n">
        <v>77.73099999999999</v>
      </c>
      <c r="V141" s="20" t="n">
        <v>89.56999999999999</v>
      </c>
      <c r="W141" s="20" t="n">
        <v>36.612</v>
      </c>
      <c r="X141" s="20" t="n">
        <v>88.53400000000001</v>
      </c>
    </row>
    <row r="142">
      <c r="A142" s="18" t="inlineStr">
        <is>
          <t>CentralReportableSegmentsMember · 부문 이익</t>
        </is>
      </c>
      <c r="C142" s="20" t="n">
        <v>139.877</v>
      </c>
      <c r="D142" s="20" t="n">
        <v>224.205</v>
      </c>
      <c r="E142" s="20" t="n">
        <v>84.462</v>
      </c>
      <c r="F142" s="20" t="n">
        <v>82.874</v>
      </c>
      <c r="G142" s="20" t="n">
        <v>140.157</v>
      </c>
      <c r="H142" s="20" t="n">
        <v>320.031</v>
      </c>
      <c r="I142" s="20" t="n">
        <v>202.369</v>
      </c>
      <c r="J142" s="20" t="n">
        <v>57.537</v>
      </c>
      <c r="K142" s="20" t="n">
        <v>72.012</v>
      </c>
      <c r="L142" s="20" t="n">
        <v>249.486</v>
      </c>
      <c r="M142" s="20" t="n">
        <v>166.944</v>
      </c>
      <c r="N142" s="20" t="n">
        <v>124.648</v>
      </c>
      <c r="V142" s="20" t="n">
        <v>84.462</v>
      </c>
      <c r="W142" s="20" t="n">
        <v>202.369</v>
      </c>
      <c r="X142" s="20" t="n">
        <v>166.944</v>
      </c>
    </row>
    <row r="143">
      <c r="A143" s="18" t="inlineStr">
        <is>
          <t>WestReportableSegmentsMember · 부문 이익</t>
        </is>
      </c>
      <c r="C143" s="20" t="n">
        <v>220.706</v>
      </c>
      <c r="D143" s="20" t="n">
        <v>444.433</v>
      </c>
      <c r="E143" s="20" t="n">
        <v>196.588</v>
      </c>
      <c r="F143" s="20" t="n">
        <v>165.708</v>
      </c>
      <c r="G143" s="20" t="n">
        <v>229.486</v>
      </c>
      <c r="H143" s="20" t="n">
        <v>517.027</v>
      </c>
      <c r="I143" s="20" t="n">
        <v>62.898</v>
      </c>
      <c r="J143" s="20" t="n">
        <v>147.468</v>
      </c>
      <c r="K143" s="20" t="n">
        <v>211.363</v>
      </c>
      <c r="L143" s="20" t="n">
        <v>463.148</v>
      </c>
      <c r="M143" s="20" t="n">
        <v>165.553</v>
      </c>
      <c r="N143" s="20" t="n">
        <v>256.474</v>
      </c>
      <c r="V143" s="20" t="n">
        <v>196.588</v>
      </c>
      <c r="W143" s="20" t="n">
        <v>62.898</v>
      </c>
      <c r="X143" s="20" t="n">
        <v>165.553</v>
      </c>
    </row>
    <row r="144">
      <c r="A144" s="18" t="inlineStr">
        <is>
          <t>OverseasReportableSegmentsMember · 부문 이익</t>
        </is>
      </c>
      <c r="C144" s="20" t="n">
        <v>28.994</v>
      </c>
      <c r="D144" s="20" t="n">
        <v>49.481</v>
      </c>
      <c r="E144" s="20" t="n">
        <v>27.844</v>
      </c>
      <c r="F144" s="20" t="n">
        <v>33.939</v>
      </c>
      <c r="G144" s="20" t="n">
        <v>29.863</v>
      </c>
      <c r="H144" s="20" t="n">
        <v>56.058</v>
      </c>
      <c r="I144" s="20" t="n">
        <v>27.641</v>
      </c>
      <c r="J144" s="20" t="n">
        <v>29.466</v>
      </c>
      <c r="K144" s="20" t="n">
        <v>28.836</v>
      </c>
      <c r="L144" s="20" t="n">
        <v>50.766</v>
      </c>
      <c r="M144" s="20" t="n">
        <v>24.936</v>
      </c>
      <c r="N144" s="20" t="n">
        <v>28.202</v>
      </c>
      <c r="V144" s="20" t="n">
        <v>27.844</v>
      </c>
      <c r="W144" s="20" t="n">
        <v>27.641</v>
      </c>
      <c r="X144" s="20" t="n">
        <v>24.936</v>
      </c>
    </row>
    <row r="145">
      <c r="A145" s="9" t="inlineStr">
        <is>
          <t>부문 이익</t>
        </is>
      </c>
      <c r="C145" s="12" t="n">
        <v>500.51</v>
      </c>
      <c r="D145" s="12" t="n">
        <v>975.76</v>
      </c>
      <c r="E145" s="12" t="n">
        <v>398.464</v>
      </c>
      <c r="F145" s="12" t="n">
        <v>375.243</v>
      </c>
      <c r="G145" s="12" t="n">
        <v>529.633</v>
      </c>
      <c r="H145" s="12" t="n">
        <v>1161.367</v>
      </c>
      <c r="I145" s="12" t="n">
        <v>329.519</v>
      </c>
      <c r="V145" s="12" t="n">
        <v>398.464</v>
      </c>
      <c r="W145" s="12" t="n">
        <v>329.519</v>
      </c>
    </row>
    <row r="146">
      <c r="A146" s="18" t="inlineStr">
        <is>
          <t>EntityTotalMember · 부문 이익</t>
        </is>
      </c>
      <c r="F146" s="20" t="n">
        <v>375.243</v>
      </c>
      <c r="J146" s="20" t="n">
        <v>276.986</v>
      </c>
      <c r="N146" s="20" t="n">
        <v>487.057</v>
      </c>
    </row>
    <row r="148">
      <c r="A148" s="16" t="inlineStr">
        <is>
          <t>현금흐름표 · 전 항목</t>
        </is>
      </c>
      <c r="B148" s="42" t="inlineStr">
        <is>
          <t>분기 = 결산기 첫날부터 누계(공시 그대로)</t>
        </is>
      </c>
      <c r="C148" s="16" t="n"/>
      <c r="D148" s="16" t="n"/>
      <c r="E148" s="16" t="n"/>
      <c r="F148" s="16" t="n"/>
      <c r="G148" s="16" t="n"/>
      <c r="H148" s="16" t="n"/>
      <c r="I148" s="16" t="n"/>
      <c r="J148" s="16" t="n"/>
      <c r="K148" s="16" t="n"/>
      <c r="L148" s="16" t="n"/>
      <c r="M148" s="16" t="n"/>
      <c r="N148" s="16" t="n"/>
      <c r="O148" s="16" t="n"/>
      <c r="P148" s="16" t="n"/>
      <c r="Q148" s="16" t="n"/>
      <c r="R148" s="16" t="n"/>
      <c r="S148" s="16" t="n"/>
      <c r="T148" s="16" t="n"/>
      <c r="U148" s="16" t="n"/>
      <c r="V148" s="16" t="n"/>
      <c r="W148" s="16" t="n"/>
      <c r="X148" s="16" t="n"/>
      <c r="Y148" s="16" t="n"/>
      <c r="Z148" s="16" t="n"/>
      <c r="AA148" s="16" t="n"/>
      <c r="AB148" s="16" t="n"/>
      <c r="AC148" s="16" t="n"/>
    </row>
    <row r="149">
      <c r="A149" s="5" t="inlineStr">
        <is>
          <t>항목</t>
        </is>
      </c>
      <c r="B149" s="5" t="inlineStr">
        <is>
          <t>참고</t>
        </is>
      </c>
      <c r="C149" s="5" t="inlineStr">
        <is>
          <t>2024.2Q</t>
        </is>
      </c>
      <c r="D149" s="5" t="inlineStr">
        <is>
          <t>2024.3Q</t>
        </is>
      </c>
      <c r="E149" s="5" t="inlineStr">
        <is>
          <t>2024.4Q</t>
        </is>
      </c>
      <c r="F149" s="5" t="inlineStr">
        <is>
          <t>2025.1Q</t>
        </is>
      </c>
      <c r="G149" s="5" t="inlineStr">
        <is>
          <t>2025.2Q</t>
        </is>
      </c>
      <c r="H149" s="5" t="inlineStr">
        <is>
          <t>2025.3Q</t>
        </is>
      </c>
      <c r="I149" s="5" t="inlineStr">
        <is>
          <t>2025.4Q</t>
        </is>
      </c>
      <c r="J149" s="5" t="inlineStr">
        <is>
          <t>2026.1Q</t>
        </is>
      </c>
      <c r="K149" s="5" t="inlineStr">
        <is>
          <t>2026.2Q</t>
        </is>
      </c>
      <c r="L149" s="5" t="inlineStr">
        <is>
          <t>2026.3Q</t>
        </is>
      </c>
      <c r="M149" s="5" t="inlineStr">
        <is>
          <t>2026.4Q</t>
        </is>
      </c>
      <c r="N149" s="5" t="inlineStr">
        <is>
          <t>2027.1Q</t>
        </is>
      </c>
      <c r="O149" s="5" t="inlineStr">
        <is>
          <t>2017</t>
        </is>
      </c>
      <c r="P149" s="5" t="inlineStr">
        <is>
          <t>2018</t>
        </is>
      </c>
      <c r="Q149" s="5" t="inlineStr">
        <is>
          <t>2019</t>
        </is>
      </c>
      <c r="R149" s="5" t="inlineStr">
        <is>
          <t>2020</t>
        </is>
      </c>
      <c r="S149" s="5" t="inlineStr">
        <is>
          <t>2021</t>
        </is>
      </c>
      <c r="T149" s="5" t="inlineStr">
        <is>
          <t>2022</t>
        </is>
      </c>
      <c r="U149" s="5" t="inlineStr">
        <is>
          <t>2023</t>
        </is>
      </c>
      <c r="V149" s="5" t="inlineStr">
        <is>
          <t>2024</t>
        </is>
      </c>
      <c r="W149" s="5" t="inlineStr">
        <is>
          <t>2025</t>
        </is>
      </c>
      <c r="X149" s="5" t="inlineStr">
        <is>
          <t>2026</t>
        </is>
      </c>
      <c r="Y149" s="5" t="inlineStr">
        <is>
          <t>2027(MW)</t>
        </is>
      </c>
      <c r="Z149" s="5" t="inlineStr">
        <is>
          <t>2028(MW)</t>
        </is>
      </c>
      <c r="AA149" s="5" t="inlineStr">
        <is>
          <t>2029(MW)</t>
        </is>
      </c>
      <c r="AB149" s="5" t="inlineStr">
        <is>
          <t>2030(MW)</t>
        </is>
      </c>
      <c r="AC149" s="5" t="inlineStr">
        <is>
          <t>2031(MW)</t>
        </is>
      </c>
    </row>
    <row r="150">
      <c r="A150" s="9" t="inlineStr">
        <is>
          <t>법인세차감전 순이익</t>
        </is>
      </c>
      <c r="C150" s="12" t="n">
        <v>1189.414</v>
      </c>
      <c r="E150" s="12" t="n">
        <v>2818.102</v>
      </c>
      <c r="G150" s="12" t="n">
        <v>1136.939</v>
      </c>
      <c r="I150" s="12" t="n">
        <v>2864.027</v>
      </c>
      <c r="K150" s="12" t="n">
        <v>1014.565</v>
      </c>
      <c r="M150" s="12" t="n">
        <v>3082.052</v>
      </c>
      <c r="O150" s="12" t="n">
        <v>2433.123</v>
      </c>
      <c r="P150" s="12" t="n">
        <v>2874.761</v>
      </c>
      <c r="Q150" s="12" t="n">
        <v>3305.463</v>
      </c>
      <c r="R150" s="12" t="n">
        <v>2880.294</v>
      </c>
      <c r="S150" s="12" t="n">
        <v>2521.343</v>
      </c>
      <c r="T150" s="12" t="n">
        <v>2533.282</v>
      </c>
      <c r="U150" s="12" t="n">
        <v>2869.052</v>
      </c>
      <c r="V150" s="12" t="n">
        <v>2818.102</v>
      </c>
      <c r="W150" s="12" t="n">
        <v>2864.027</v>
      </c>
      <c r="X150" s="12" t="n">
        <v>3082.052</v>
      </c>
    </row>
    <row r="151">
      <c r="A151" s="18" t="inlineStr">
        <is>
          <t>감가상각비</t>
        </is>
      </c>
      <c r="C151" s="20" t="n">
        <v>143.117</v>
      </c>
      <c r="E151" s="20" t="n">
        <v>270.663</v>
      </c>
      <c r="G151" s="20" t="n">
        <v>137.89</v>
      </c>
      <c r="I151" s="20" t="n">
        <v>341.632</v>
      </c>
      <c r="K151" s="20" t="n">
        <v>268.513</v>
      </c>
      <c r="M151" s="20" t="n">
        <v>540.635</v>
      </c>
      <c r="O151" s="20" t="n">
        <v>329.75</v>
      </c>
      <c r="P151" s="20" t="n">
        <v>346.184</v>
      </c>
      <c r="Q151" s="20" t="n">
        <v>332.923</v>
      </c>
      <c r="R151" s="20" t="n">
        <v>368.264</v>
      </c>
      <c r="S151" s="20" t="n">
        <v>352.346</v>
      </c>
      <c r="T151" s="20" t="n">
        <v>343.997</v>
      </c>
      <c r="U151" s="20" t="n">
        <v>321.784</v>
      </c>
      <c r="V151" s="20" t="n">
        <v>270.663</v>
      </c>
      <c r="W151" s="20" t="n">
        <v>341.632</v>
      </c>
      <c r="X151" s="20" t="n">
        <v>540.635</v>
      </c>
    </row>
    <row r="152">
      <c r="A152" s="18" t="inlineStr">
        <is>
          <t>영업권 상각</t>
        </is>
      </c>
      <c r="C152" s="20" t="n">
        <v>28.802</v>
      </c>
      <c r="E152" s="20" t="n">
        <v>57.604</v>
      </c>
      <c r="G152" s="20" t="n">
        <v>28.802</v>
      </c>
      <c r="I152" s="20" t="n">
        <v>57.604</v>
      </c>
      <c r="K152" s="20" t="n">
        <v>28.802</v>
      </c>
      <c r="M152" s="20" t="n">
        <v>57.604</v>
      </c>
      <c r="Q152" s="20" t="n">
        <v>0</v>
      </c>
      <c r="R152" s="20" t="n">
        <v>48.004</v>
      </c>
      <c r="S152" s="20" t="n">
        <v>57.604</v>
      </c>
      <c r="T152" s="20" t="n">
        <v>57.604</v>
      </c>
      <c r="U152" s="20" t="n">
        <v>57.604</v>
      </c>
      <c r="V152" s="20" t="n">
        <v>57.604</v>
      </c>
      <c r="W152" s="20" t="n">
        <v>57.604</v>
      </c>
      <c r="X152" s="20" t="n">
        <v>57.604</v>
      </c>
    </row>
    <row r="153">
      <c r="A153" s="18" t="inlineStr">
        <is>
          <t>손상차손</t>
        </is>
      </c>
      <c r="E153" s="20" t="n">
        <v>0</v>
      </c>
      <c r="I153" s="20" t="n">
        <v>33.26</v>
      </c>
      <c r="M153" s="20" t="n">
        <v>14.696</v>
      </c>
      <c r="O153" s="20" t="n">
        <v>5.488</v>
      </c>
      <c r="P153" s="20" t="n">
        <v>35.601</v>
      </c>
      <c r="Q153" s="20" t="n">
        <v>33.115</v>
      </c>
      <c r="R153" s="20" t="n">
        <v>19.868</v>
      </c>
      <c r="S153" s="20" t="n">
        <v>0.003</v>
      </c>
      <c r="T153" s="20" t="n">
        <v>0</v>
      </c>
      <c r="U153" s="20" t="n">
        <v>48.603</v>
      </c>
      <c r="V153" s="20" t="n">
        <v>0</v>
      </c>
      <c r="W153" s="20" t="n">
        <v>33.26</v>
      </c>
      <c r="X153" s="20" t="n">
        <v>14.696</v>
      </c>
    </row>
    <row r="154">
      <c r="A154" s="18" t="inlineStr">
        <is>
          <t>관계회사 주식 평가손실</t>
        </is>
      </c>
      <c r="E154" s="20" t="n">
        <v>1.231</v>
      </c>
      <c r="I154" s="20" t="n">
        <v>0</v>
      </c>
      <c r="T154" s="20" t="n">
        <v>0</v>
      </c>
      <c r="U154" s="20" t="n">
        <v>31.118</v>
      </c>
      <c r="V154" s="20" t="n">
        <v>1.231</v>
      </c>
      <c r="W154" s="20" t="n">
        <v>0</v>
      </c>
    </row>
    <row r="155">
      <c r="A155" s="18" t="inlineStr">
        <is>
          <t>퇴직급여부채 증감</t>
        </is>
      </c>
      <c r="C155" s="20" t="n">
        <v>-3.548</v>
      </c>
      <c r="E155" s="20" t="n">
        <v>-4.07</v>
      </c>
      <c r="G155" s="20" t="n">
        <v>0.771</v>
      </c>
      <c r="I155" s="20" t="n">
        <v>-0.79</v>
      </c>
      <c r="K155" s="20" t="n">
        <v>-0.272</v>
      </c>
      <c r="M155" s="20" t="n">
        <v>0.259</v>
      </c>
      <c r="O155" s="20" t="n">
        <v>8.645</v>
      </c>
      <c r="P155" s="20" t="n">
        <v>8.754</v>
      </c>
      <c r="Q155" s="20" t="n">
        <v>6.95</v>
      </c>
      <c r="R155" s="20" t="n">
        <v>4.703</v>
      </c>
      <c r="S155" s="20" t="n">
        <v>2.655</v>
      </c>
      <c r="T155" s="20" t="n">
        <v>-1.572</v>
      </c>
      <c r="U155" s="20" t="n">
        <v>0.11</v>
      </c>
      <c r="V155" s="20" t="n">
        <v>-4.07</v>
      </c>
      <c r="W155" s="20" t="n">
        <v>-0.79</v>
      </c>
      <c r="X155" s="20" t="n">
        <v>0.259</v>
      </c>
    </row>
    <row r="156">
      <c r="A156" s="18" t="inlineStr">
        <is>
          <t>퇴직급여자산 증감</t>
        </is>
      </c>
      <c r="C156" s="20" t="n">
        <v>-16.101</v>
      </c>
      <c r="E156" s="20" t="n">
        <v>-76.774</v>
      </c>
      <c r="G156" s="20" t="n">
        <v>-33.565</v>
      </c>
      <c r="I156" s="20" t="n">
        <v>-74.33199999999999</v>
      </c>
      <c r="K156" s="20" t="n">
        <v>-31.096</v>
      </c>
      <c r="M156" s="20" t="n">
        <v>-97.167</v>
      </c>
      <c r="O156" s="20" t="n">
        <v>-18.986</v>
      </c>
      <c r="P156" s="20" t="n">
        <v>-21.313</v>
      </c>
      <c r="Q156" s="20" t="n">
        <v>1.422</v>
      </c>
      <c r="R156" s="20" t="n">
        <v>4.034</v>
      </c>
      <c r="S156" s="20" t="n">
        <v>-55.159</v>
      </c>
      <c r="T156" s="20" t="n">
        <v>-36.785</v>
      </c>
      <c r="U156" s="20" t="n">
        <v>-8.617000000000001</v>
      </c>
      <c r="V156" s="20" t="n">
        <v>-76.774</v>
      </c>
      <c r="W156" s="20" t="n">
        <v>-74.33199999999999</v>
      </c>
      <c r="X156" s="20" t="n">
        <v>-97.167</v>
      </c>
    </row>
    <row r="157">
      <c r="A157" s="18" t="inlineStr">
        <is>
          <t>이자·배당금 수익</t>
        </is>
      </c>
      <c r="C157" s="20" t="n">
        <v>-41.604</v>
      </c>
      <c r="E157" s="20" t="n">
        <v>-85.428</v>
      </c>
      <c r="G157" s="20" t="n">
        <v>-46.37</v>
      </c>
      <c r="I157" s="20" t="n">
        <v>-96.908</v>
      </c>
      <c r="K157" s="20" t="n">
        <v>-61.877</v>
      </c>
      <c r="M157" s="20" t="n">
        <v>-113.059</v>
      </c>
      <c r="O157" s="20" t="n">
        <v>-145.306</v>
      </c>
      <c r="P157" s="20" t="n">
        <v>-46.471</v>
      </c>
      <c r="Q157" s="20" t="n">
        <v>-52.31</v>
      </c>
      <c r="R157" s="20" t="n">
        <v>-55.565</v>
      </c>
      <c r="S157" s="20" t="n">
        <v>-144.536</v>
      </c>
      <c r="T157" s="20" t="n">
        <v>-60.464</v>
      </c>
      <c r="U157" s="20" t="n">
        <v>-81.97499999999999</v>
      </c>
      <c r="V157" s="20" t="n">
        <v>-85.428</v>
      </c>
      <c r="W157" s="20" t="n">
        <v>-96.908</v>
      </c>
      <c r="X157" s="20" t="n">
        <v>-113.059</v>
      </c>
    </row>
    <row r="158">
      <c r="A158" s="18" t="inlineStr">
        <is>
          <t>이자비용</t>
        </is>
      </c>
      <c r="C158" s="20" t="n">
        <v>0.507</v>
      </c>
      <c r="E158" s="20" t="n">
        <v>1.018</v>
      </c>
      <c r="G158" s="20" t="n">
        <v>0.459</v>
      </c>
      <c r="I158" s="20" t="n">
        <v>1.979</v>
      </c>
      <c r="K158" s="20" t="n">
        <v>6.465</v>
      </c>
      <c r="M158" s="20" t="n">
        <v>17.712</v>
      </c>
      <c r="O158" s="20" t="n">
        <v>2.994</v>
      </c>
      <c r="P158" s="20" t="n">
        <v>1.849</v>
      </c>
      <c r="Q158" s="20" t="n">
        <v>1.287</v>
      </c>
      <c r="R158" s="20" t="n">
        <v>1.419</v>
      </c>
      <c r="S158" s="20" t="n">
        <v>1.316</v>
      </c>
      <c r="T158" s="20" t="n">
        <v>1.333</v>
      </c>
      <c r="U158" s="20" t="n">
        <v>1.343</v>
      </c>
      <c r="V158" s="20" t="n">
        <v>1.018</v>
      </c>
      <c r="W158" s="20" t="n">
        <v>1.979</v>
      </c>
      <c r="X158" s="20" t="n">
        <v>17.712</v>
      </c>
    </row>
    <row r="159">
      <c r="A159" s="18" t="inlineStr">
        <is>
          <t>투자유가증권 평가손익</t>
        </is>
      </c>
      <c r="P159" s="20" t="n">
        <v>0</v>
      </c>
      <c r="Q159" s="20" t="n">
        <v>36.535</v>
      </c>
      <c r="R159" s="20" t="n">
        <v>1.272</v>
      </c>
      <c r="S159" s="20" t="n">
        <v>0</v>
      </c>
      <c r="T159" s="20" t="n">
        <v>1.88</v>
      </c>
      <c r="U159" s="20" t="n">
        <v>0</v>
      </c>
    </row>
    <row r="160">
      <c r="A160" s="18" t="inlineStr">
        <is>
          <t>유형자산 제각·매각손익</t>
        </is>
      </c>
      <c r="C160" s="20" t="n">
        <v>4.631</v>
      </c>
      <c r="E160" s="20" t="n">
        <v>4.732</v>
      </c>
      <c r="G160" s="20" t="n">
        <v>7.713</v>
      </c>
      <c r="I160" s="20" t="n">
        <v>9.291</v>
      </c>
      <c r="K160" s="20" t="n">
        <v>0.01</v>
      </c>
      <c r="M160" s="20" t="n">
        <v>-12.963</v>
      </c>
      <c r="O160" s="20" t="n">
        <v>22.785</v>
      </c>
      <c r="P160" s="20" t="n">
        <v>19.206</v>
      </c>
      <c r="Q160" s="20" t="n">
        <v>-41.369</v>
      </c>
      <c r="R160" s="20" t="n">
        <v>23.728</v>
      </c>
      <c r="S160" s="20" t="n">
        <v>1.707</v>
      </c>
      <c r="T160" s="20" t="n">
        <v>-0.429</v>
      </c>
      <c r="U160" s="20" t="n">
        <v>-122.991</v>
      </c>
      <c r="V160" s="20" t="n">
        <v>4.732</v>
      </c>
      <c r="W160" s="20" t="n">
        <v>9.291</v>
      </c>
      <c r="X160" s="20" t="n">
        <v>-12.963</v>
      </c>
    </row>
    <row r="161">
      <c r="A161" s="18" t="inlineStr">
        <is>
          <t>투자유가증권 매각손익</t>
        </is>
      </c>
      <c r="E161" s="20" t="n">
        <v>0</v>
      </c>
      <c r="G161" s="20" t="n">
        <v>0</v>
      </c>
      <c r="I161" s="20" t="n">
        <v>0</v>
      </c>
      <c r="K161" s="20" t="n">
        <v>-109.264</v>
      </c>
      <c r="M161" s="20" t="n">
        <v>-533.1369999999999</v>
      </c>
      <c r="T161" s="20" t="n">
        <v>0</v>
      </c>
      <c r="U161" s="20" t="n">
        <v>-147.079</v>
      </c>
      <c r="V161" s="20" t="n">
        <v>0</v>
      </c>
      <c r="W161" s="20" t="n">
        <v>0</v>
      </c>
      <c r="X161" s="20" t="n">
        <v>-533.1369999999999</v>
      </c>
    </row>
    <row r="162">
      <c r="A162" s="18" t="inlineStr">
        <is>
          <t>매출채권 증감</t>
        </is>
      </c>
      <c r="C162" s="20" t="n">
        <v>1709.805</v>
      </c>
      <c r="E162" s="20" t="n">
        <v>-3.357</v>
      </c>
      <c r="G162" s="20" t="n">
        <v>1603.04</v>
      </c>
      <c r="I162" s="20" t="n">
        <v>-52.615</v>
      </c>
      <c r="K162" s="20" t="n">
        <v>2446.502</v>
      </c>
      <c r="M162" s="20" t="n">
        <v>1065.59</v>
      </c>
      <c r="O162" s="20" t="n">
        <v>-635.501</v>
      </c>
      <c r="P162" s="20" t="n">
        <v>-1058.182</v>
      </c>
      <c r="Q162" s="20" t="n">
        <v>-262.671</v>
      </c>
      <c r="R162" s="20" t="n">
        <v>964.729</v>
      </c>
      <c r="S162" s="20" t="n">
        <v>677.71</v>
      </c>
      <c r="T162" s="20" t="n">
        <v>-962.366</v>
      </c>
      <c r="U162" s="20" t="n">
        <v>-1295.801</v>
      </c>
      <c r="V162" s="20" t="n">
        <v>-3.357</v>
      </c>
      <c r="W162" s="20" t="n">
        <v>-52.615</v>
      </c>
      <c r="X162" s="20" t="n">
        <v>1065.59</v>
      </c>
    </row>
    <row r="163">
      <c r="A163" s="18" t="inlineStr">
        <is>
          <t>재고자산 증감</t>
        </is>
      </c>
      <c r="C163" s="20" t="n">
        <v>131.987</v>
      </c>
      <c r="E163" s="20" t="n">
        <v>79.57899999999999</v>
      </c>
      <c r="G163" s="20" t="n">
        <v>56.807</v>
      </c>
      <c r="I163" s="20" t="n">
        <v>82.92</v>
      </c>
      <c r="K163" s="20" t="n">
        <v>66.574</v>
      </c>
      <c r="M163" s="20" t="n">
        <v>-108.918</v>
      </c>
      <c r="O163" s="20" t="n">
        <v>120.77</v>
      </c>
      <c r="P163" s="20" t="n">
        <v>-48.076</v>
      </c>
      <c r="Q163" s="20" t="n">
        <v>-33.463</v>
      </c>
      <c r="R163" s="20" t="n">
        <v>11.323</v>
      </c>
      <c r="S163" s="20" t="n">
        <v>277.805</v>
      </c>
      <c r="T163" s="20" t="n">
        <v>-32.382</v>
      </c>
      <c r="U163" s="20" t="n">
        <v>-252.111</v>
      </c>
      <c r="V163" s="20" t="n">
        <v>79.57899999999999</v>
      </c>
      <c r="W163" s="20" t="n">
        <v>82.92</v>
      </c>
      <c r="X163" s="20" t="n">
        <v>-108.918</v>
      </c>
    </row>
    <row r="164">
      <c r="A164" s="18" t="inlineStr">
        <is>
          <t>매입채무 증감</t>
        </is>
      </c>
      <c r="C164" s="20" t="n">
        <v>-541.822</v>
      </c>
      <c r="E164" s="20" t="n">
        <v>133.9</v>
      </c>
      <c r="G164" s="20" t="n">
        <v>-236.036</v>
      </c>
      <c r="I164" s="20" t="n">
        <v>398.525</v>
      </c>
      <c r="K164" s="20" t="n">
        <v>-898.328</v>
      </c>
      <c r="M164" s="20" t="n">
        <v>59.403</v>
      </c>
      <c r="O164" s="20" t="n">
        <v>247.728</v>
      </c>
      <c r="P164" s="20" t="n">
        <v>-13.178</v>
      </c>
      <c r="Q164" s="20" t="n">
        <v>-66.57599999999999</v>
      </c>
      <c r="R164" s="20" t="n">
        <v>-43.77</v>
      </c>
      <c r="S164" s="20" t="n">
        <v>67.152</v>
      </c>
      <c r="T164" s="20" t="n">
        <v>-51.574</v>
      </c>
      <c r="U164" s="20" t="n">
        <v>-25.327</v>
      </c>
      <c r="V164" s="20" t="n">
        <v>133.9</v>
      </c>
      <c r="W164" s="20" t="n">
        <v>398.525</v>
      </c>
      <c r="X164" s="20" t="n">
        <v>59.403</v>
      </c>
    </row>
    <row r="165">
      <c r="A165" s="18" t="inlineStr">
        <is>
          <t>기타</t>
        </is>
      </c>
      <c r="C165" s="20" t="n">
        <v>46.128</v>
      </c>
      <c r="E165" s="20" t="n">
        <v>145.436</v>
      </c>
      <c r="G165" s="20" t="n">
        <v>-178.124</v>
      </c>
      <c r="I165" s="20" t="n">
        <v>-157.337</v>
      </c>
      <c r="K165" s="20" t="n">
        <v>158.847</v>
      </c>
      <c r="M165" s="20" t="n">
        <v>267.869</v>
      </c>
      <c r="O165" s="20" t="n">
        <v>127.244</v>
      </c>
      <c r="P165" s="20" t="n">
        <v>146.386</v>
      </c>
      <c r="Q165" s="20" t="n">
        <v>-168.627</v>
      </c>
      <c r="R165" s="20" t="n">
        <v>63.65</v>
      </c>
      <c r="S165" s="20" t="n">
        <v>250.774</v>
      </c>
      <c r="T165" s="20" t="n">
        <v>-131.843</v>
      </c>
      <c r="U165" s="20" t="n">
        <v>19.761</v>
      </c>
      <c r="V165" s="20" t="n">
        <v>145.436</v>
      </c>
      <c r="W165" s="20" t="n">
        <v>-157.337</v>
      </c>
      <c r="X165" s="20" t="n">
        <v>267.869</v>
      </c>
    </row>
    <row r="166">
      <c r="A166" s="18" t="inlineStr">
        <is>
          <t>소계</t>
        </is>
      </c>
      <c r="C166" s="20" t="n">
        <v>2651.318</v>
      </c>
      <c r="E166" s="20" t="n">
        <v>3342.639</v>
      </c>
      <c r="G166" s="20" t="n">
        <v>2478.327</v>
      </c>
      <c r="I166" s="20" t="n">
        <v>3407.256</v>
      </c>
      <c r="K166" s="20" t="n">
        <v>2889.441</v>
      </c>
      <c r="M166" s="20" t="n">
        <v>4240.579</v>
      </c>
      <c r="O166" s="20" t="n">
        <v>2498.737</v>
      </c>
      <c r="P166" s="20" t="n">
        <v>2245.52</v>
      </c>
      <c r="Q166" s="20" t="n">
        <v>3092.679</v>
      </c>
      <c r="R166" s="20" t="n">
        <v>4291.957</v>
      </c>
      <c r="S166" s="20" t="n">
        <v>4010.723</v>
      </c>
      <c r="T166" s="20" t="n">
        <v>1660.679</v>
      </c>
      <c r="U166" s="20" t="n">
        <v>1415.476</v>
      </c>
      <c r="V166" s="20" t="n">
        <v>3342.639</v>
      </c>
      <c r="W166" s="20" t="n">
        <v>3407.256</v>
      </c>
      <c r="X166" s="20" t="n">
        <v>4240.579</v>
      </c>
    </row>
    <row r="167">
      <c r="A167" s="18" t="inlineStr">
        <is>
          <t>이자·배당금 수취</t>
        </is>
      </c>
      <c r="C167" s="20" t="n">
        <v>44.784</v>
      </c>
      <c r="E167" s="20" t="n">
        <v>84.363</v>
      </c>
      <c r="G167" s="20" t="n">
        <v>48.651</v>
      </c>
      <c r="I167" s="20" t="n">
        <v>92.498</v>
      </c>
      <c r="K167" s="20" t="n">
        <v>60.955</v>
      </c>
      <c r="M167" s="20" t="n">
        <v>113.461</v>
      </c>
      <c r="O167" s="20" t="n">
        <v>145.449</v>
      </c>
      <c r="P167" s="20" t="n">
        <v>48.055</v>
      </c>
      <c r="Q167" s="20" t="n">
        <v>50.353</v>
      </c>
      <c r="R167" s="20" t="n">
        <v>55.148</v>
      </c>
      <c r="S167" s="20" t="n">
        <v>140.38</v>
      </c>
      <c r="T167" s="20" t="n">
        <v>50.48</v>
      </c>
      <c r="U167" s="20" t="n">
        <v>73.752</v>
      </c>
      <c r="V167" s="20" t="n">
        <v>84.363</v>
      </c>
      <c r="W167" s="20" t="n">
        <v>92.498</v>
      </c>
      <c r="X167" s="20" t="n">
        <v>113.461</v>
      </c>
    </row>
    <row r="168">
      <c r="A168" s="18" t="inlineStr">
        <is>
          <t>이자 지급</t>
        </is>
      </c>
      <c r="C168" s="20" t="n">
        <v>-1.125</v>
      </c>
      <c r="E168" s="20" t="n">
        <v>-1.305</v>
      </c>
      <c r="G168" s="20" t="n">
        <v>-0.83</v>
      </c>
      <c r="I168" s="20" t="n">
        <v>-1.961</v>
      </c>
      <c r="K168" s="20" t="n">
        <v>-6.331</v>
      </c>
      <c r="M168" s="20" t="n">
        <v>-16.811</v>
      </c>
      <c r="O168" s="20" t="n">
        <v>-2.994</v>
      </c>
      <c r="P168" s="20" t="n">
        <v>-1.481</v>
      </c>
      <c r="Q168" s="20" t="n">
        <v>-1.175</v>
      </c>
      <c r="R168" s="20" t="n">
        <v>-1.773</v>
      </c>
      <c r="S168" s="20" t="n">
        <v>-1.263</v>
      </c>
      <c r="T168" s="20" t="n">
        <v>-1.422</v>
      </c>
      <c r="U168" s="20" t="n">
        <v>-1.353</v>
      </c>
      <c r="V168" s="20" t="n">
        <v>-1.305</v>
      </c>
      <c r="W168" s="20" t="n">
        <v>-1.961</v>
      </c>
      <c r="X168" s="20" t="n">
        <v>-16.811</v>
      </c>
    </row>
    <row r="169">
      <c r="A169" s="18" t="inlineStr">
        <is>
          <t>법인세 납부</t>
        </is>
      </c>
      <c r="C169" s="20" t="n">
        <v>-471.047</v>
      </c>
      <c r="E169" s="20" t="n">
        <v>-901.748</v>
      </c>
      <c r="G169" s="20" t="n">
        <v>-403.236</v>
      </c>
      <c r="I169" s="20" t="n">
        <v>-828.6799999999999</v>
      </c>
      <c r="K169" s="20" t="n">
        <v>-522.1420000000001</v>
      </c>
      <c r="M169" s="20" t="n">
        <v>-990.95</v>
      </c>
      <c r="O169" s="20" t="n">
        <v>-812.7569999999999</v>
      </c>
      <c r="P169" s="20" t="n">
        <v>-750.931</v>
      </c>
      <c r="Q169" s="20" t="n">
        <v>-1105.482</v>
      </c>
      <c r="R169" s="20" t="n">
        <v>-1167.509</v>
      </c>
      <c r="S169" s="20" t="n">
        <v>-823.9640000000001</v>
      </c>
      <c r="T169" s="20" t="n">
        <v>-689.192</v>
      </c>
      <c r="U169" s="20" t="n">
        <v>-801.453</v>
      </c>
      <c r="V169" s="20" t="n">
        <v>-901.748</v>
      </c>
      <c r="W169" s="20" t="n">
        <v>-828.6799999999999</v>
      </c>
      <c r="X169" s="20" t="n">
        <v>-990.95</v>
      </c>
    </row>
    <row r="170">
      <c r="A170" s="18" t="inlineStr">
        <is>
          <t>기타</t>
        </is>
      </c>
      <c r="E170" s="20" t="n">
        <v>0</v>
      </c>
      <c r="I170" s="20" t="n">
        <v>68.94799999999999</v>
      </c>
      <c r="V170" s="20" t="n">
        <v>0</v>
      </c>
      <c r="W170" s="20" t="n">
        <v>68.94799999999999</v>
      </c>
    </row>
    <row r="171">
      <c r="A171" s="9" t="inlineStr">
        <is>
          <t>영업활동 현금흐름</t>
        </is>
      </c>
      <c r="C171" s="12" t="n">
        <v>2223.93</v>
      </c>
      <c r="E171" s="12" t="n">
        <v>2523.948</v>
      </c>
      <c r="G171" s="12" t="n">
        <v>2122.912</v>
      </c>
      <c r="I171" s="12" t="n">
        <v>2669.113</v>
      </c>
      <c r="K171" s="12" t="n">
        <v>2421.923</v>
      </c>
      <c r="M171" s="12" t="n">
        <v>3346.278</v>
      </c>
      <c r="O171" s="12" t="n">
        <v>1828.433</v>
      </c>
      <c r="P171" s="12" t="n">
        <v>1541.163</v>
      </c>
      <c r="Q171" s="12" t="n">
        <v>2036.374</v>
      </c>
      <c r="R171" s="12" t="n">
        <v>3177.823</v>
      </c>
      <c r="S171" s="12" t="n">
        <v>3325.875</v>
      </c>
      <c r="T171" s="12" t="n">
        <v>1020.545</v>
      </c>
      <c r="U171" s="12" t="n">
        <v>686.421</v>
      </c>
      <c r="V171" s="12" t="n">
        <v>2523.948</v>
      </c>
      <c r="W171" s="12" t="n">
        <v>2669.113</v>
      </c>
      <c r="X171" s="12" t="n">
        <v>3346.278</v>
      </c>
    </row>
    <row r="172">
      <c r="A172" s="18" t="inlineStr">
        <is>
          <t>정기예금 예입</t>
        </is>
      </c>
      <c r="C172" s="20" t="n">
        <v>-50.2</v>
      </c>
      <c r="E172" s="20" t="n">
        <v>-68.191</v>
      </c>
      <c r="G172" s="20" t="n">
        <v>-49.2</v>
      </c>
      <c r="I172" s="20" t="n">
        <v>-110.591</v>
      </c>
      <c r="K172" s="20" t="n">
        <v>-49.2</v>
      </c>
      <c r="M172" s="20" t="n">
        <v>-122.804</v>
      </c>
      <c r="O172" s="20" t="n">
        <v>-167.807</v>
      </c>
      <c r="P172" s="20" t="n">
        <v>-167.811</v>
      </c>
      <c r="Q172" s="20" t="n">
        <v>-167.816</v>
      </c>
      <c r="R172" s="20" t="n">
        <v>-167.82</v>
      </c>
      <c r="S172" s="20" t="n">
        <v>-167.825</v>
      </c>
      <c r="T172" s="20" t="n">
        <v>-167.826</v>
      </c>
      <c r="U172" s="20" t="n">
        <v>-167.826</v>
      </c>
      <c r="V172" s="20" t="n">
        <v>-68.191</v>
      </c>
      <c r="W172" s="20" t="n">
        <v>-110.591</v>
      </c>
      <c r="X172" s="20" t="n">
        <v>-122.804</v>
      </c>
    </row>
    <row r="173">
      <c r="A173" s="18" t="inlineStr">
        <is>
          <t>정기예금 인출</t>
        </is>
      </c>
      <c r="C173" s="20" t="n">
        <v>67.235</v>
      </c>
      <c r="E173" s="20" t="n">
        <v>112.226</v>
      </c>
      <c r="G173" s="20" t="n">
        <v>26.2</v>
      </c>
      <c r="I173" s="20" t="n">
        <v>111.591</v>
      </c>
      <c r="K173" s="20" t="n">
        <v>25.2</v>
      </c>
      <c r="M173" s="20" t="n">
        <v>122.791</v>
      </c>
      <c r="O173" s="20" t="n">
        <v>170.796</v>
      </c>
      <c r="P173" s="20" t="n">
        <v>167.807</v>
      </c>
      <c r="Q173" s="20" t="n">
        <v>167.811</v>
      </c>
      <c r="R173" s="20" t="n">
        <v>167.816</v>
      </c>
      <c r="S173" s="20" t="n">
        <v>164.82</v>
      </c>
      <c r="T173" s="20" t="n">
        <v>167.825</v>
      </c>
      <c r="U173" s="20" t="n">
        <v>170.826</v>
      </c>
      <c r="V173" s="20" t="n">
        <v>112.226</v>
      </c>
      <c r="W173" s="20" t="n">
        <v>111.591</v>
      </c>
      <c r="X173" s="20" t="n">
        <v>122.791</v>
      </c>
    </row>
    <row r="174">
      <c r="A174" s="18" t="inlineStr">
        <is>
          <t>유형자산 취득(설비투자)</t>
        </is>
      </c>
      <c r="C174" s="20" t="n">
        <v>-473.59</v>
      </c>
      <c r="E174" s="20" t="n">
        <v>-1002.112</v>
      </c>
      <c r="G174" s="20" t="n">
        <v>-201.655</v>
      </c>
      <c r="I174" s="20" t="n">
        <v>-995.775</v>
      </c>
      <c r="K174" s="20" t="n">
        <v>-44.636</v>
      </c>
      <c r="M174" s="20" t="n">
        <v>-260.681</v>
      </c>
      <c r="O174" s="20" t="n">
        <v>-327.492</v>
      </c>
      <c r="P174" s="20" t="n">
        <v>-283.422</v>
      </c>
      <c r="Q174" s="20" t="n">
        <v>-278.554</v>
      </c>
      <c r="R174" s="20" t="n">
        <v>-320.574</v>
      </c>
      <c r="S174" s="20" t="n">
        <v>-154.296</v>
      </c>
      <c r="T174" s="20" t="n">
        <v>-684.942</v>
      </c>
      <c r="U174" s="20" t="n">
        <v>-598.002</v>
      </c>
      <c r="V174" s="20" t="n">
        <v>-1002.112</v>
      </c>
      <c r="W174" s="20" t="n">
        <v>-995.775</v>
      </c>
      <c r="X174" s="20" t="n">
        <v>-260.681</v>
      </c>
    </row>
    <row r="175">
      <c r="A175" s="18" t="inlineStr">
        <is>
          <t>유형자산 매각</t>
        </is>
      </c>
      <c r="C175" s="20" t="n">
        <v>0.58</v>
      </c>
      <c r="E175" s="20" t="n">
        <v>66.496</v>
      </c>
      <c r="G175" s="20" t="n">
        <v>0</v>
      </c>
      <c r="I175" s="20" t="n">
        <v>3.479</v>
      </c>
      <c r="M175" s="20" t="n">
        <v>25.362</v>
      </c>
      <c r="O175" s="20" t="n">
        <v>41.877</v>
      </c>
      <c r="P175" s="20" t="n">
        <v>61.996</v>
      </c>
      <c r="Q175" s="20" t="n">
        <v>99.729</v>
      </c>
      <c r="R175" s="20" t="n">
        <v>43.517</v>
      </c>
      <c r="S175" s="20" t="n">
        <v>60.634</v>
      </c>
      <c r="T175" s="20" t="n">
        <v>12.874</v>
      </c>
      <c r="U175" s="20" t="n">
        <v>135.981</v>
      </c>
      <c r="V175" s="20" t="n">
        <v>66.496</v>
      </c>
      <c r="W175" s="20" t="n">
        <v>3.479</v>
      </c>
      <c r="X175" s="20" t="n">
        <v>25.362</v>
      </c>
    </row>
    <row r="176">
      <c r="A176" s="18" t="inlineStr">
        <is>
          <t>무형자산 취득</t>
        </is>
      </c>
      <c r="C176" s="20" t="n">
        <v>-145.539</v>
      </c>
      <c r="E176" s="20" t="n">
        <v>-254.216</v>
      </c>
      <c r="G176" s="20" t="n">
        <v>-453.718</v>
      </c>
      <c r="I176" s="20" t="n">
        <v>-738.7619999999999</v>
      </c>
      <c r="K176" s="20" t="n">
        <v>-9.997999999999999</v>
      </c>
      <c r="M176" s="20" t="n">
        <v>-9.997999999999999</v>
      </c>
      <c r="O176" s="20" t="n">
        <v>-66.625</v>
      </c>
      <c r="P176" s="20" t="n">
        <v>-23.717</v>
      </c>
      <c r="Q176" s="20" t="n">
        <v>-58.416</v>
      </c>
      <c r="R176" s="20" t="n">
        <v>-4.718</v>
      </c>
      <c r="S176" s="20" t="n">
        <v>-112.953</v>
      </c>
      <c r="T176" s="20" t="n">
        <v>-103.857</v>
      </c>
      <c r="U176" s="20" t="n">
        <v>-145.09</v>
      </c>
      <c r="V176" s="20" t="n">
        <v>-254.216</v>
      </c>
      <c r="W176" s="20" t="n">
        <v>-738.7619999999999</v>
      </c>
      <c r="X176" s="20" t="n">
        <v>-9.997999999999999</v>
      </c>
    </row>
    <row r="177">
      <c r="A177" s="18" t="inlineStr">
        <is>
          <t>투자유가증권 취득</t>
        </is>
      </c>
      <c r="C177" s="20" t="n">
        <v>-12.689</v>
      </c>
      <c r="E177" s="20" t="n">
        <v>-22.716</v>
      </c>
      <c r="G177" s="20" t="n">
        <v>-13.191</v>
      </c>
      <c r="I177" s="20" t="n">
        <v>-24.358</v>
      </c>
      <c r="K177" s="20" t="n">
        <v>-1035.968</v>
      </c>
      <c r="M177" s="20" t="n">
        <v>-1047.049</v>
      </c>
      <c r="O177" s="20" t="n">
        <v>-181.289</v>
      </c>
      <c r="P177" s="20" t="n">
        <v>-13.627</v>
      </c>
      <c r="Q177" s="20" t="n">
        <v>-15.127</v>
      </c>
      <c r="R177" s="20" t="n">
        <v>-27.916</v>
      </c>
      <c r="S177" s="20" t="n">
        <v>-15.921</v>
      </c>
      <c r="T177" s="20" t="n">
        <v>-105.038</v>
      </c>
      <c r="U177" s="20" t="n">
        <v>-20.295</v>
      </c>
      <c r="V177" s="20" t="n">
        <v>-22.716</v>
      </c>
      <c r="W177" s="20" t="n">
        <v>-24.358</v>
      </c>
      <c r="X177" s="20" t="n">
        <v>-1047.049</v>
      </c>
    </row>
    <row r="178">
      <c r="A178" s="18" t="inlineStr">
        <is>
          <t>영업권 취득 지출</t>
        </is>
      </c>
      <c r="Q178" s="20" t="n">
        <v>0</v>
      </c>
      <c r="R178" s="20" t="n">
        <v>-829.803</v>
      </c>
      <c r="S178" s="20" t="n">
        <v>0</v>
      </c>
    </row>
    <row r="179">
      <c r="A179" s="18" t="inlineStr">
        <is>
          <t>관계회사 정리 수입</t>
        </is>
      </c>
      <c r="E179" s="20" t="n">
        <v>55.949</v>
      </c>
      <c r="I179" s="20" t="n">
        <v>0</v>
      </c>
      <c r="U179" s="20" t="n">
        <v>0</v>
      </c>
      <c r="V179" s="20" t="n">
        <v>55.949</v>
      </c>
      <c r="W179" s="20" t="n">
        <v>0</v>
      </c>
    </row>
    <row r="180">
      <c r="A180" s="18" t="inlineStr">
        <is>
          <t>투자유가증권 매각</t>
        </is>
      </c>
      <c r="C180" s="20" t="n">
        <v>55.953</v>
      </c>
      <c r="E180" s="20" t="n">
        <v>0</v>
      </c>
      <c r="G180" s="20" t="n">
        <v>0</v>
      </c>
      <c r="I180" s="20" t="n">
        <v>0</v>
      </c>
      <c r="K180" s="20" t="n">
        <v>118.898</v>
      </c>
      <c r="M180" s="20" t="n">
        <v>683.385</v>
      </c>
      <c r="O180" s="20" t="n">
        <v>1.63</v>
      </c>
      <c r="P180" s="20" t="n">
        <v>37.44</v>
      </c>
      <c r="Q180" s="20" t="n">
        <v>39.668</v>
      </c>
      <c r="R180" s="20" t="n">
        <v>0</v>
      </c>
      <c r="T180" s="20" t="n">
        <v>0</v>
      </c>
      <c r="U180" s="20" t="n">
        <v>178.842</v>
      </c>
      <c r="V180" s="20" t="n">
        <v>0</v>
      </c>
      <c r="W180" s="20" t="n">
        <v>0</v>
      </c>
      <c r="X180" s="20" t="n">
        <v>683.385</v>
      </c>
    </row>
    <row r="181">
      <c r="A181" s="18" t="inlineStr">
        <is>
          <t>기타</t>
        </is>
      </c>
      <c r="I181" s="20" t="n">
        <v>0</v>
      </c>
      <c r="M181" s="20" t="n">
        <v>8.031000000000001</v>
      </c>
      <c r="O181" s="20" t="n">
        <v>-10.87</v>
      </c>
      <c r="P181" s="20" t="n">
        <v>-0.851</v>
      </c>
      <c r="Q181" s="20" t="n">
        <v>-11.709</v>
      </c>
      <c r="R181" s="20" t="n">
        <v>-13.386</v>
      </c>
      <c r="S181" s="20" t="n">
        <v>0</v>
      </c>
      <c r="W181" s="20" t="n">
        <v>0</v>
      </c>
      <c r="X181" s="20" t="n">
        <v>8.031000000000001</v>
      </c>
    </row>
    <row r="182">
      <c r="A182" s="9" t="inlineStr">
        <is>
          <t>투자활동 현금흐름</t>
        </is>
      </c>
      <c r="C182" s="12" t="n">
        <v>-558.249</v>
      </c>
      <c r="E182" s="12" t="n">
        <v>-1112.564</v>
      </c>
      <c r="G182" s="12" t="n">
        <v>-691.564</v>
      </c>
      <c r="I182" s="12" t="n">
        <v>-1754.416</v>
      </c>
      <c r="K182" s="12" t="n">
        <v>-995.705</v>
      </c>
      <c r="M182" s="12" t="n">
        <v>-600.962</v>
      </c>
      <c r="O182" s="12" t="n">
        <v>-539.78</v>
      </c>
      <c r="P182" s="12" t="n">
        <v>-222.184</v>
      </c>
      <c r="Q182" s="12" t="n">
        <v>-224.415</v>
      </c>
      <c r="R182" s="12" t="n">
        <v>-1152.885</v>
      </c>
      <c r="S182" s="12" t="n">
        <v>-225.541</v>
      </c>
      <c r="T182" s="12" t="n">
        <v>-880.9640000000001</v>
      </c>
      <c r="U182" s="12" t="n">
        <v>-445.564</v>
      </c>
      <c r="V182" s="12" t="n">
        <v>-1112.564</v>
      </c>
      <c r="W182" s="12" t="n">
        <v>-1754.416</v>
      </c>
      <c r="X182" s="12" t="n">
        <v>-600.962</v>
      </c>
    </row>
    <row r="183">
      <c r="A183" s="18" t="inlineStr">
        <is>
          <t>장기차입금 상환</t>
        </is>
      </c>
      <c r="O183" s="20" t="n">
        <v>-139.16</v>
      </c>
      <c r="P183" s="20" t="n">
        <v>-139.223</v>
      </c>
      <c r="Q183" s="20" t="n">
        <v>0</v>
      </c>
    </row>
    <row r="184">
      <c r="A184" s="18" t="inlineStr">
        <is>
          <t>단기차입</t>
        </is>
      </c>
      <c r="G184" s="20" t="n">
        <v>0</v>
      </c>
      <c r="K184" s="20" t="n">
        <v>2300</v>
      </c>
    </row>
    <row r="185">
      <c r="A185" s="18" t="inlineStr">
        <is>
          <t>단기차입금 순증감</t>
        </is>
      </c>
      <c r="I185" s="20" t="n">
        <v>0</v>
      </c>
      <c r="M185" s="20" t="n">
        <v>2300</v>
      </c>
      <c r="O185" s="20" t="n">
        <v>-250</v>
      </c>
      <c r="P185" s="20" t="n">
        <v>0</v>
      </c>
      <c r="W185" s="20" t="n">
        <v>0</v>
      </c>
      <c r="X185" s="20" t="n">
        <v>2300</v>
      </c>
    </row>
    <row r="186">
      <c r="A186" s="18" t="inlineStr">
        <is>
          <t>자기주식 취득</t>
        </is>
      </c>
      <c r="C186" s="20" t="n">
        <v>-0.106</v>
      </c>
      <c r="E186" s="20" t="n">
        <v>-0.106</v>
      </c>
      <c r="G186" s="20" t="n">
        <v>-1081.731</v>
      </c>
      <c r="I186" s="20" t="n">
        <v>-1383.906</v>
      </c>
      <c r="K186" s="20" t="n">
        <v>-2327.554</v>
      </c>
      <c r="M186" s="20" t="n">
        <v>-2999.948</v>
      </c>
      <c r="O186" s="20" t="n">
        <v>-250.127</v>
      </c>
      <c r="P186" s="20" t="n">
        <v>-0.153</v>
      </c>
      <c r="Q186" s="20" t="n">
        <v>-0.097</v>
      </c>
      <c r="R186" s="20" t="n">
        <v>-1017.114</v>
      </c>
      <c r="S186" s="20" t="n">
        <v>-719.742</v>
      </c>
      <c r="T186" s="20" t="n">
        <v>-428.96</v>
      </c>
      <c r="U186" s="20" t="n">
        <v>0</v>
      </c>
      <c r="V186" s="20" t="n">
        <v>-0.106</v>
      </c>
      <c r="W186" s="20" t="n">
        <v>-1383.906</v>
      </c>
      <c r="X186" s="20" t="n">
        <v>-2999.948</v>
      </c>
    </row>
    <row r="187">
      <c r="A187" s="18" t="inlineStr">
        <is>
          <t>배당금 지급</t>
        </is>
      </c>
      <c r="C187" s="20" t="n">
        <v>-353.538</v>
      </c>
      <c r="E187" s="20" t="n">
        <v>-706.415</v>
      </c>
      <c r="G187" s="20" t="n">
        <v>-352.872</v>
      </c>
      <c r="I187" s="20" t="n">
        <v>-691.809</v>
      </c>
      <c r="K187" s="20" t="n">
        <v>-514.6180000000001</v>
      </c>
      <c r="M187" s="20" t="n">
        <v>-998.703</v>
      </c>
      <c r="O187" s="20" t="n">
        <v>-561.739</v>
      </c>
      <c r="P187" s="20" t="n">
        <v>-553.777</v>
      </c>
      <c r="Q187" s="20" t="n">
        <v>-664.626</v>
      </c>
      <c r="R187" s="20" t="n">
        <v>-869.174</v>
      </c>
      <c r="S187" s="20" t="n">
        <v>-744.498</v>
      </c>
      <c r="T187" s="20" t="n">
        <v>-917.102</v>
      </c>
      <c r="U187" s="20" t="n">
        <v>-604.345</v>
      </c>
      <c r="V187" s="20" t="n">
        <v>-706.415</v>
      </c>
      <c r="W187" s="20" t="n">
        <v>-691.809</v>
      </c>
      <c r="X187" s="20" t="n">
        <v>-998.703</v>
      </c>
    </row>
    <row r="188">
      <c r="A188" s="9" t="inlineStr">
        <is>
          <t>재무활동 현금흐름</t>
        </is>
      </c>
      <c r="C188" s="12" t="n">
        <v>-353.645</v>
      </c>
      <c r="E188" s="12" t="n">
        <v>-706.522</v>
      </c>
      <c r="G188" s="12" t="n">
        <v>-1434.604</v>
      </c>
      <c r="I188" s="12" t="n">
        <v>-2075.716</v>
      </c>
      <c r="K188" s="12" t="n">
        <v>-542.173</v>
      </c>
      <c r="M188" s="12" t="n">
        <v>-1698.652</v>
      </c>
      <c r="O188" s="12" t="n">
        <v>-1201.027</v>
      </c>
      <c r="P188" s="12" t="n">
        <v>-693.154</v>
      </c>
      <c r="Q188" s="12" t="n">
        <v>-664.723</v>
      </c>
      <c r="R188" s="12" t="n">
        <v>-1886.288</v>
      </c>
      <c r="S188" s="12" t="n">
        <v>-1464.24</v>
      </c>
      <c r="T188" s="12" t="n">
        <v>-1346.062</v>
      </c>
      <c r="U188" s="12" t="n">
        <v>-604.345</v>
      </c>
      <c r="V188" s="12" t="n">
        <v>-706.522</v>
      </c>
      <c r="W188" s="12" t="n">
        <v>-2075.716</v>
      </c>
      <c r="X188" s="12" t="n">
        <v>-1698.652</v>
      </c>
    </row>
    <row r="189">
      <c r="A189" s="18" t="inlineStr">
        <is>
          <t>현금성자산 증감</t>
        </is>
      </c>
      <c r="C189" s="20" t="n">
        <v>1312.035</v>
      </c>
      <c r="E189" s="20" t="n">
        <v>704.861</v>
      </c>
      <c r="G189" s="20" t="n">
        <v>-3.256</v>
      </c>
      <c r="I189" s="20" t="n">
        <v>-1161.02</v>
      </c>
      <c r="K189" s="20" t="n">
        <v>884.044</v>
      </c>
      <c r="M189" s="20" t="n">
        <v>1046.663</v>
      </c>
      <c r="O189" s="20" t="n">
        <v>87.625</v>
      </c>
      <c r="P189" s="20" t="n">
        <v>625.823</v>
      </c>
      <c r="Q189" s="20" t="n">
        <v>1147.235</v>
      </c>
      <c r="R189" s="20" t="n">
        <v>138.649</v>
      </c>
      <c r="S189" s="20" t="n">
        <v>1636.094</v>
      </c>
      <c r="T189" s="20" t="n">
        <v>-1206.481</v>
      </c>
      <c r="U189" s="20" t="n">
        <v>-363.489</v>
      </c>
      <c r="V189" s="20" t="n">
        <v>704.861</v>
      </c>
      <c r="W189" s="20" t="n">
        <v>-1161.02</v>
      </c>
      <c r="X189" s="20" t="n">
        <v>1046.663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48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9932 재무상태표</t>
        </is>
      </c>
    </row>
    <row r="2">
      <c r="A2" s="43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24155.047</v>
      </c>
      <c r="D5" s="12" t="n">
        <v>23880.1</v>
      </c>
      <c r="E5" s="12" t="n">
        <v>25457.75</v>
      </c>
      <c r="F5" s="12" t="n">
        <v>25620.809</v>
      </c>
      <c r="G5" s="12" t="n">
        <v>24288.461</v>
      </c>
      <c r="H5" s="11" t="n">
        <v>21242.718</v>
      </c>
      <c r="I5" s="12" t="n">
        <v>22394.113</v>
      </c>
      <c r="J5" s="12" t="n">
        <v>26707.008</v>
      </c>
      <c r="K5" s="12" t="n">
        <v>21958.802</v>
      </c>
      <c r="L5" s="12" t="n">
        <v>25620.809</v>
      </c>
    </row>
    <row r="6">
      <c r="A6" s="18" t="inlineStr">
        <is>
          <t>현금및현금성자산</t>
        </is>
      </c>
      <c r="B6" s="10" t="n"/>
      <c r="C6" s="19" t="n">
        <v>7208.108</v>
      </c>
      <c r="D6" s="20" t="n">
        <v>8229.098</v>
      </c>
      <c r="E6" s="20" t="n">
        <v>6487.629</v>
      </c>
      <c r="F6" s="20" t="n">
        <v>8367.731</v>
      </c>
      <c r="G6" s="20" t="n">
        <v>7506.094</v>
      </c>
      <c r="H6" s="19" t="n">
        <v>6755.213</v>
      </c>
      <c r="I6" s="20" t="n">
        <v>6259.926</v>
      </c>
      <c r="J6" s="20" t="n">
        <v>8483.074000000001</v>
      </c>
      <c r="K6" s="20" t="n">
        <v>5794.055</v>
      </c>
      <c r="L6" s="20" t="n">
        <v>8367.731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/>
      <c r="I7" s="20" t="n"/>
      <c r="J7" s="20" t="n"/>
      <c r="K7" s="20" t="n"/>
      <c r="L7" s="20" t="n"/>
    </row>
    <row r="8">
      <c r="A8" s="18" t="inlineStr">
        <is>
          <t>매출채권</t>
        </is>
      </c>
      <c r="B8" s="10" t="n"/>
      <c r="C8" s="19" t="n">
        <v>9630.998</v>
      </c>
      <c r="D8" s="20" t="n">
        <v>8968.284</v>
      </c>
      <c r="E8" s="20" t="n">
        <v>11408.59</v>
      </c>
      <c r="F8" s="20" t="n">
        <v>9784.325000000001</v>
      </c>
      <c r="G8" s="20" t="n">
        <v>8848.411</v>
      </c>
      <c r="H8" s="19" t="n">
        <v>10404.962</v>
      </c>
      <c r="I8" s="20" t="n">
        <v>10736.994</v>
      </c>
      <c r="J8" s="20" t="n">
        <v>10500.456</v>
      </c>
      <c r="K8" s="20" t="n">
        <v>10922.46</v>
      </c>
      <c r="L8" s="20" t="n">
        <v>9784.325000000001</v>
      </c>
    </row>
    <row r="9">
      <c r="A9" s="18" t="inlineStr">
        <is>
          <t>재고자산</t>
        </is>
      </c>
      <c r="B9" s="10" t="n"/>
      <c r="C9" s="19" t="n">
        <v>1919.425</v>
      </c>
      <c r="D9" s="20" t="n">
        <v>1573.092</v>
      </c>
      <c r="E9" s="20" t="n">
        <v>2213.343</v>
      </c>
      <c r="F9" s="20" t="n">
        <v>1748.966</v>
      </c>
      <c r="G9" s="20" t="n">
        <v>2235.601</v>
      </c>
      <c r="H9" s="19" t="n">
        <v>1541.293</v>
      </c>
      <c r="I9" s="20" t="n">
        <v>1790.64</v>
      </c>
      <c r="J9" s="20" t="n">
        <v>1722.586</v>
      </c>
      <c r="K9" s="20" t="n">
        <v>1622.818</v>
      </c>
      <c r="L9" s="20" t="n">
        <v>1748.966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17813.135</v>
      </c>
      <c r="D11" s="12" t="n">
        <v>18016.872</v>
      </c>
      <c r="E11" s="12" t="n">
        <v>18342.173</v>
      </c>
      <c r="F11" s="12" t="n">
        <v>18009.912</v>
      </c>
      <c r="G11" s="12" t="n">
        <v>19937.42</v>
      </c>
      <c r="H11" s="11" t="n">
        <v>13360.252</v>
      </c>
      <c r="I11" s="12" t="n">
        <v>13401.397</v>
      </c>
      <c r="J11" s="12" t="n">
        <v>15892.639</v>
      </c>
      <c r="K11" s="12" t="n">
        <v>15964.241</v>
      </c>
      <c r="L11" s="12" t="n">
        <v>18009.912</v>
      </c>
    </row>
    <row r="12">
      <c r="A12" s="18" t="inlineStr">
        <is>
          <t>유형자산</t>
        </is>
      </c>
      <c r="B12" s="10" t="n"/>
      <c r="C12" s="19" t="n">
        <v>10034.735</v>
      </c>
      <c r="D12" s="20" t="n">
        <v>9978.505999999999</v>
      </c>
      <c r="E12" s="20" t="n">
        <v>10017.15</v>
      </c>
      <c r="F12" s="20" t="n">
        <v>10022.879</v>
      </c>
      <c r="G12" s="20" t="n">
        <v>10512.53</v>
      </c>
      <c r="H12" s="19" t="n">
        <v>7289.601</v>
      </c>
      <c r="I12" s="20" t="n">
        <v>7220.953</v>
      </c>
      <c r="J12" s="20" t="n">
        <v>9413.812</v>
      </c>
      <c r="K12" s="20" t="n">
        <v>8299.867</v>
      </c>
      <c r="L12" s="20" t="n">
        <v>10022.879</v>
      </c>
    </row>
    <row r="13">
      <c r="A13" s="18" t="inlineStr">
        <is>
          <t>무형자산</t>
        </is>
      </c>
      <c r="B13" s="10" t="n"/>
      <c r="C13" s="19" t="n">
        <v>1278.937</v>
      </c>
      <c r="D13" s="20" t="n">
        <v>1199.919</v>
      </c>
      <c r="E13" s="20" t="n">
        <v>1120.808</v>
      </c>
      <c r="F13" s="20" t="n">
        <v>1041.845</v>
      </c>
      <c r="G13" s="20" t="n">
        <v>963.913</v>
      </c>
      <c r="H13" s="19" t="n">
        <v>650.2859999999999</v>
      </c>
      <c r="I13" s="20" t="n">
        <v>666.077</v>
      </c>
      <c r="J13" s="20" t="n">
        <v>822.682</v>
      </c>
      <c r="K13" s="20" t="n">
        <v>1340.013</v>
      </c>
      <c r="L13" s="20" t="n">
        <v>1041.845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41968.183</v>
      </c>
      <c r="D16" s="12" t="n">
        <v>41896.972</v>
      </c>
      <c r="E16" s="12" t="n">
        <v>43799.924</v>
      </c>
      <c r="F16" s="12" t="n">
        <v>43630.722</v>
      </c>
      <c r="G16" s="12" t="n">
        <v>44225.882</v>
      </c>
      <c r="H16" s="11" t="n">
        <v>34602.97</v>
      </c>
      <c r="I16" s="12" t="n">
        <v>35795.511</v>
      </c>
      <c r="J16" s="12" t="n">
        <v>42599.648</v>
      </c>
      <c r="K16" s="12" t="n">
        <v>37923.044</v>
      </c>
      <c r="L16" s="12" t="n">
        <v>43630.722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6580.585</v>
      </c>
      <c r="D18" s="12" t="n">
        <v>7028.97</v>
      </c>
      <c r="E18" s="12" t="n">
        <v>8937.796</v>
      </c>
      <c r="F18" s="12" t="n">
        <v>8292.648999999999</v>
      </c>
      <c r="G18" s="12" t="n">
        <v>7348.086</v>
      </c>
      <c r="H18" s="11" t="n">
        <v>4489.383</v>
      </c>
      <c r="I18" s="12" t="n">
        <v>4406.221</v>
      </c>
      <c r="J18" s="12" t="n">
        <v>5424.559</v>
      </c>
      <c r="K18" s="12" t="n">
        <v>5029.602</v>
      </c>
      <c r="L18" s="12" t="n">
        <v>8292.648999999999</v>
      </c>
    </row>
    <row r="19">
      <c r="A19" s="18" t="inlineStr">
        <is>
          <t>매입채무</t>
        </is>
      </c>
      <c r="B19" s="10" t="n"/>
      <c r="C19" s="19" t="n">
        <v>3488.32</v>
      </c>
      <c r="D19" s="20" t="n">
        <v>3204.154</v>
      </c>
      <c r="E19" s="20" t="n">
        <v>5488.524</v>
      </c>
      <c r="F19" s="20" t="n">
        <v>4161.335</v>
      </c>
      <c r="G19" s="20" t="n">
        <v>3944.022</v>
      </c>
      <c r="H19" s="19" t="n">
        <v>3092.761</v>
      </c>
      <c r="I19" s="20" t="n">
        <v>3134.508</v>
      </c>
      <c r="J19" s="20" t="n">
        <v>3702.001</v>
      </c>
      <c r="K19" s="20" t="n">
        <v>3662.333</v>
      </c>
      <c r="L19" s="20" t="n">
        <v>4161.335</v>
      </c>
    </row>
    <row r="20">
      <c r="A20" s="18" t="inlineStr">
        <is>
          <t>단기차입금</t>
        </is>
      </c>
      <c r="B20" s="10" t="n"/>
      <c r="C20" s="19" t="n">
        <v>2000</v>
      </c>
      <c r="D20" s="20" t="n">
        <v>2300</v>
      </c>
      <c r="E20" s="20" t="n">
        <v>2300</v>
      </c>
      <c r="F20" s="20" t="n">
        <v>2300</v>
      </c>
      <c r="G20" s="20" t="n">
        <v>2300</v>
      </c>
      <c r="H20" s="19" t="n"/>
      <c r="I20" s="20" t="n"/>
      <c r="J20" s="20" t="n"/>
      <c r="K20" s="20" t="n">
        <v>0</v>
      </c>
      <c r="L20" s="20" t="n">
        <v>2300</v>
      </c>
    </row>
    <row r="21">
      <c r="A21" s="18" t="inlineStr">
        <is>
          <t>유동성장기부채</t>
        </is>
      </c>
      <c r="B21" s="10" t="n"/>
      <c r="C21" s="19" t="n"/>
      <c r="D21" s="20" t="n"/>
      <c r="E21" s="20" t="n"/>
      <c r="F21" s="20" t="n"/>
      <c r="G21" s="20" t="n"/>
      <c r="H21" s="19" t="n"/>
      <c r="I21" s="20" t="n"/>
      <c r="J21" s="20" t="n"/>
      <c r="K21" s="20" t="n"/>
      <c r="L21" s="20" t="n"/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1260.706</v>
      </c>
      <c r="D23" s="12" t="n">
        <v>1259.756</v>
      </c>
      <c r="E23" s="12" t="n">
        <v>1483.604</v>
      </c>
      <c r="F23" s="12" t="n">
        <v>1330.452</v>
      </c>
      <c r="G23" s="12" t="n">
        <v>1942.086</v>
      </c>
      <c r="H23" s="11" t="n">
        <v>567.514</v>
      </c>
      <c r="I23" s="12" t="n">
        <v>634.465</v>
      </c>
      <c r="J23" s="12" t="n">
        <v>1216.989</v>
      </c>
      <c r="K23" s="12" t="n">
        <v>919.976</v>
      </c>
      <c r="L23" s="12" t="n">
        <v>1330.452</v>
      </c>
    </row>
    <row r="24">
      <c r="A24" s="18" t="inlineStr">
        <is>
          <t>장기차입금</t>
        </is>
      </c>
      <c r="B24" s="10" t="n"/>
      <c r="C24" s="19" t="n"/>
      <c r="D24" s="20" t="n"/>
      <c r="E24" s="20" t="n"/>
      <c r="F24" s="20" t="n"/>
      <c r="G24" s="20" t="n"/>
      <c r="H24" s="19" t="n"/>
      <c r="I24" s="20" t="n"/>
      <c r="J24" s="20" t="n"/>
      <c r="K24" s="20" t="n"/>
      <c r="L24" s="20" t="n"/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/>
      <c r="I25" s="20" t="n"/>
      <c r="J25" s="20" t="n"/>
      <c r="K25" s="20" t="n"/>
      <c r="L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7841.292</v>
      </c>
      <c r="D27" s="12" t="n">
        <v>8288.726000000001</v>
      </c>
      <c r="E27" s="12" t="n">
        <v>10421.401</v>
      </c>
      <c r="F27" s="12" t="n">
        <v>9623.102000000001</v>
      </c>
      <c r="G27" s="12" t="n">
        <v>9290.173000000001</v>
      </c>
      <c r="H27" s="11" t="n">
        <v>5056.898</v>
      </c>
      <c r="I27" s="12" t="n">
        <v>5040.687</v>
      </c>
      <c r="J27" s="12" t="n">
        <v>6641.548</v>
      </c>
      <c r="K27" s="12" t="n">
        <v>5949.578</v>
      </c>
      <c r="L27" s="12" t="n">
        <v>9623.102000000001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34126.89</v>
      </c>
      <c r="D31" s="12" t="n">
        <v>33608.245</v>
      </c>
      <c r="E31" s="12" t="n">
        <v>33378.522</v>
      </c>
      <c r="F31" s="12" t="n">
        <v>34007.62</v>
      </c>
      <c r="G31" s="12" t="n">
        <v>34935.708</v>
      </c>
      <c r="H31" s="11" t="n">
        <v>29546.072</v>
      </c>
      <c r="I31" s="12" t="n">
        <v>30754.823</v>
      </c>
      <c r="J31" s="12" t="n">
        <v>35958.099</v>
      </c>
      <c r="K31" s="12" t="n">
        <v>31973.465</v>
      </c>
      <c r="L31" s="12" t="n">
        <v>34007.62</v>
      </c>
    </row>
    <row r="32">
      <c r="A32" s="18" t="inlineStr">
        <is>
          <t>자본금</t>
        </is>
      </c>
      <c r="B32" s="10" t="n"/>
      <c r="C32" s="19" t="n">
        <v>2597.406</v>
      </c>
      <c r="D32" s="20" t="n">
        <v>2597.406</v>
      </c>
      <c r="E32" s="20" t="n">
        <v>2597.406</v>
      </c>
      <c r="F32" s="20" t="n">
        <v>2597.406</v>
      </c>
      <c r="G32" s="20" t="n">
        <v>2597.406</v>
      </c>
      <c r="H32" s="19" t="n">
        <v>2597.406</v>
      </c>
      <c r="I32" s="20" t="n">
        <v>2597.406</v>
      </c>
      <c r="J32" s="20" t="n">
        <v>2597.406</v>
      </c>
      <c r="K32" s="20" t="n">
        <v>2597.406</v>
      </c>
      <c r="L32" s="20" t="n">
        <v>2597.406</v>
      </c>
    </row>
    <row r="33">
      <c r="A33" s="18" t="inlineStr">
        <is>
          <t>이익잉여금</t>
        </is>
      </c>
      <c r="B33" s="10" t="n"/>
      <c r="C33" s="19" t="n">
        <v>32012.828</v>
      </c>
      <c r="D33" s="20" t="n">
        <v>32441.136</v>
      </c>
      <c r="E33" s="20" t="n">
        <v>32658.816</v>
      </c>
      <c r="F33" s="20" t="n">
        <v>33421.364</v>
      </c>
      <c r="G33" s="20" t="n">
        <v>27612.092</v>
      </c>
      <c r="H33" s="19" t="n">
        <v>25930.091</v>
      </c>
      <c r="I33" s="20" t="n">
        <v>27050.107</v>
      </c>
      <c r="J33" s="20" t="n">
        <v>31082.228</v>
      </c>
      <c r="K33" s="20" t="n">
        <v>29196.201</v>
      </c>
      <c r="L33" s="20" t="n">
        <v>33421.364</v>
      </c>
    </row>
    <row r="34">
      <c r="A34" s="18" t="inlineStr">
        <is>
          <t>비지배지분</t>
        </is>
      </c>
      <c r="B34" s="10" t="n"/>
      <c r="C34" s="19" t="n"/>
      <c r="D34" s="20" t="n"/>
      <c r="E34" s="20" t="n"/>
      <c r="F34" s="20" t="n"/>
      <c r="G34" s="20" t="n"/>
      <c r="H34" s="19" t="n"/>
      <c r="I34" s="20" t="n"/>
      <c r="J34" s="20" t="n"/>
      <c r="K34" s="20" t="n"/>
      <c r="L34" s="20" t="n"/>
    </row>
    <row r="35">
      <c r="A35" s="9" t="inlineStr">
        <is>
          <t>자본총계</t>
        </is>
      </c>
      <c r="B35" s="10" t="n"/>
      <c r="C35" s="11" t="n">
        <v>34126.89</v>
      </c>
      <c r="D35" s="12" t="n">
        <v>33608.245</v>
      </c>
      <c r="E35" s="12" t="n">
        <v>33378.522</v>
      </c>
      <c r="F35" s="12" t="n">
        <v>34007.62</v>
      </c>
      <c r="G35" s="12" t="n">
        <v>34935.708</v>
      </c>
      <c r="H35" s="11" t="n">
        <v>29546.072</v>
      </c>
      <c r="I35" s="12" t="n">
        <v>30754.823</v>
      </c>
      <c r="J35" s="12" t="n">
        <v>35958.099</v>
      </c>
      <c r="K35" s="12" t="n">
        <v>31973.465</v>
      </c>
      <c r="L35" s="12" t="n">
        <v>34007.62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/>
      <c r="D37" s="12" t="n">
        <v>2968.124</v>
      </c>
      <c r="E37" s="12" t="n"/>
      <c r="F37" s="12" t="n">
        <v>3346.278</v>
      </c>
      <c r="G37" s="12" t="n"/>
      <c r="H37" s="11" t="n">
        <v>1020.545</v>
      </c>
      <c r="I37" s="12" t="n">
        <v>686.421</v>
      </c>
      <c r="J37" s="12" t="n">
        <v>2523.948</v>
      </c>
      <c r="K37" s="12" t="n">
        <v>2669.113</v>
      </c>
      <c r="L37" s="12" t="n">
        <v>3346.278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/>
      <c r="D38" s="20" t="n">
        <v>1133.798</v>
      </c>
      <c r="E38" s="20" t="n"/>
      <c r="F38" s="20" t="n">
        <v>270.679</v>
      </c>
      <c r="G38" s="20" t="n"/>
      <c r="H38" s="19" t="n">
        <v>788.799</v>
      </c>
      <c r="I38" s="20" t="n">
        <v>743.092</v>
      </c>
      <c r="J38" s="20" t="n">
        <v>1256.328</v>
      </c>
      <c r="K38" s="20" t="n">
        <v>1734.537</v>
      </c>
      <c r="L38" s="20" t="n">
        <v>270.679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/>
      <c r="D40" s="20" t="n">
        <v>853.5549999999999</v>
      </c>
      <c r="E40" s="20" t="n"/>
      <c r="F40" s="20" t="n">
        <v>998.703</v>
      </c>
      <c r="G40" s="20" t="n"/>
      <c r="H40" s="19" t="n">
        <v>917.102</v>
      </c>
      <c r="I40" s="20" t="n">
        <v>604.345</v>
      </c>
      <c r="J40" s="20" t="n">
        <v>706.415</v>
      </c>
      <c r="K40" s="20" t="n">
        <v>691.809</v>
      </c>
      <c r="L40" s="20" t="n">
        <v>998.703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4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4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4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4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4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4" t="inlineStr">
        <is>
          <t>이자보상배율</t>
        </is>
      </c>
      <c r="B48" s="10" t="inlineStr">
        <is>
          <t>5x↑ (금융원가 기준)</t>
        </is>
      </c>
      <c r="C48" s="30">
        <f>IFERROR((IF(COUNT('연간'!G28:J28)&lt;4,"",SUM('연간'!G28:J28)))/(IF(COUNT('연간'!G50:J50)&lt;4,"",SUM('연간'!G50:J50))),"")</f>
        <v/>
      </c>
      <c r="D48" s="31">
        <f>IFERROR((IF(COUNT('연간'!H28:K28)&lt;4,"",SUM('연간'!H28:K28)))/(IF(COUNT('연간'!H50:K50)&lt;4,"",SUM('연간'!H50:K50))),"")</f>
        <v/>
      </c>
      <c r="E48" s="31">
        <f>IFERROR((IF(COUNT('연간'!I28:L28)&lt;4,"",SUM('연간'!I28:L28)))/(IF(COUNT('연간'!I50:L50)&lt;4,"",SUM('연간'!I50:L50))),"")</f>
        <v/>
      </c>
      <c r="F48" s="31">
        <f>IFERROR((IF(COUNT('연간'!J28:M28)&lt;4,"",SUM('연간'!J28:M28)))/(IF(COUNT('연간'!J50:M50)&lt;4,"",SUM('연간'!J50:M50))),"")</f>
        <v/>
      </c>
      <c r="G48" s="31">
        <f>IFERROR((IF(COUNT('연간'!K28:N28)&lt;4,"",SUM('연간'!K28:N28)))/(IF(COUNT('연간'!K50:N50)&lt;4,"",SUM('연간'!K50:N50))),"")</f>
        <v/>
      </c>
      <c r="H48" s="30">
        <f>IFERROR(('연간'!T28)/('연간'!T50),"")</f>
        <v/>
      </c>
      <c r="I48" s="31">
        <f>IFERROR(('연간'!U28)/('연간'!U50),"")</f>
        <v/>
      </c>
      <c r="J48" s="31">
        <f>IFERROR(('연간'!V28)/('연간'!V50),"")</f>
        <v/>
      </c>
      <c r="K48" s="31">
        <f>IFERROR(('연간'!W28)/('연간'!W50),"")</f>
        <v/>
      </c>
      <c r="L48" s="31">
        <f>IFERROR(('연간'!X28)/('연간'!X50),"")</f>
        <v/>
      </c>
    </row>
    <row r="49">
      <c r="A49" s="44" t="inlineStr">
        <is>
          <t>차입금 상환연수</t>
        </is>
      </c>
      <c r="B49" s="10" t="inlineStr">
        <is>
          <t>4년↓ (버핏)</t>
        </is>
      </c>
      <c r="C49" s="45">
        <f>IFERROR(IF((IF(COUNT('연간'!G56:J56)&lt;4,"",SUM('연간'!G56:J56)))&lt;=0,"적자",C28/(IF(COUNT('연간'!G56:J56)&lt;4,"",SUM('연간'!G56:J56)))),"")</f>
        <v/>
      </c>
      <c r="D49" s="46">
        <f>IFERROR(IF((IF(COUNT('연간'!H56:K56)&lt;4,"",SUM('연간'!H56:K56)))&lt;=0,"적자",D28/(IF(COUNT('연간'!H56:K56)&lt;4,"",SUM('연간'!H56:K56)))),"")</f>
        <v/>
      </c>
      <c r="E49" s="46">
        <f>IFERROR(IF((IF(COUNT('연간'!I56:L56)&lt;4,"",SUM('연간'!I56:L56)))&lt;=0,"적자",E28/(IF(COUNT('연간'!I56:L56)&lt;4,"",SUM('연간'!I56:L56)))),"")</f>
        <v/>
      </c>
      <c r="F49" s="46">
        <f>IFERROR(IF((IF(COUNT('연간'!J56:M56)&lt;4,"",SUM('연간'!J56:M56)))&lt;=0,"적자",F28/(IF(COUNT('연간'!J56:M56)&lt;4,"",SUM('연간'!J56:M56)))),"")</f>
        <v/>
      </c>
      <c r="G49" s="46">
        <f>IFERROR(IF((IF(COUNT('연간'!K56:N56)&lt;4,"",SUM('연간'!K56:N56)))&lt;=0,"적자",G28/(IF(COUNT('연간'!K56:N56)&lt;4,"",SUM('연간'!K56:N56)))),"")</f>
        <v/>
      </c>
      <c r="H49" s="45">
        <f>IFERROR(IF(('연간'!T56)&lt;=0,"적자",H28/('연간'!T56)),"")</f>
        <v/>
      </c>
      <c r="I49" s="46">
        <f>IFERROR(IF(('연간'!U56)&lt;=0,"적자",I28/('연간'!U56)),"")</f>
        <v/>
      </c>
      <c r="J49" s="46">
        <f>IFERROR(IF(('연간'!V56)&lt;=0,"적자",J28/('연간'!V56)),"")</f>
        <v/>
      </c>
      <c r="K49" s="46">
        <f>IFERROR(IF(('연간'!W56)&lt;=0,"적자",K28/('연간'!W56)),"")</f>
        <v/>
      </c>
      <c r="L49" s="46">
        <f>IFERROR(IF(('연간'!X56)&lt;=0,"적자",L28/('연간'!X56)),"")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4" t="inlineStr">
        <is>
          <t>ROE</t>
        </is>
      </c>
      <c r="B51" s="10" t="inlineStr">
        <is>
          <t>15%↑ (버핏)</t>
        </is>
      </c>
      <c r="C51" s="35">
        <f>IFERROR((IF(COUNT('연간'!G56:J56)&lt;4,"",SUM('연간'!G56:J56)))/C31,"")</f>
        <v/>
      </c>
      <c r="D51" s="36">
        <f>IFERROR((IF(COUNT('연간'!H56:K56)&lt;4,"",SUM('연간'!H56:K56)))/D31,"")</f>
        <v/>
      </c>
      <c r="E51" s="36">
        <f>IFERROR((IF(COUNT('연간'!I56:L56)&lt;4,"",SUM('연간'!I56:L56)))/E31,"")</f>
        <v/>
      </c>
      <c r="F51" s="36">
        <f>IFERROR((IF(COUNT('연간'!J56:M56)&lt;4,"",SUM('연간'!J56:M56)))/F31,"")</f>
        <v/>
      </c>
      <c r="G51" s="36">
        <f>IFERROR((IF(COUNT('연간'!K56:N56)&lt;4,"",SUM('연간'!K56:N56)))/G31,"")</f>
        <v/>
      </c>
      <c r="H51" s="35">
        <f>IFERROR(('연간'!T56)/H31,"")</f>
        <v/>
      </c>
      <c r="I51" s="36">
        <f>IFERROR(('연간'!U56)/I31,"")</f>
        <v/>
      </c>
      <c r="J51" s="36">
        <f>IFERROR(('연간'!V56)/J31,"")</f>
        <v/>
      </c>
      <c r="K51" s="36">
        <f>IFERROR(('연간'!W56)/K31,"")</f>
        <v/>
      </c>
      <c r="L51" s="36">
        <f>IFERROR(('연간'!X56)/L31,"")</f>
        <v/>
      </c>
    </row>
    <row r="52">
      <c r="A52" s="44" t="inlineStr">
        <is>
          <t>ROA</t>
        </is>
      </c>
      <c r="B52" s="10" t="inlineStr">
        <is>
          <t>5%↑</t>
        </is>
      </c>
      <c r="C52" s="35">
        <f>IFERROR((IF(COUNT('연간'!G55:J55)&lt;4,"",SUM('연간'!G55:J55)))/C16,"")</f>
        <v/>
      </c>
      <c r="D52" s="36">
        <f>IFERROR((IF(COUNT('연간'!H55:K55)&lt;4,"",SUM('연간'!H55:K55)))/D16,"")</f>
        <v/>
      </c>
      <c r="E52" s="36">
        <f>IFERROR((IF(COUNT('연간'!I55:L55)&lt;4,"",SUM('연간'!I55:L55)))/E16,"")</f>
        <v/>
      </c>
      <c r="F52" s="36">
        <f>IFERROR((IF(COUNT('연간'!J55:M55)&lt;4,"",SUM('연간'!J55:M55)))/F16,"")</f>
        <v/>
      </c>
      <c r="G52" s="36">
        <f>IFERROR((IF(COUNT('연간'!K55:N55)&lt;4,"",SUM('연간'!K55:N55)))/G16,"")</f>
        <v/>
      </c>
      <c r="H52" s="35">
        <f>IFERROR(('연간'!T55)/H16,"")</f>
        <v/>
      </c>
      <c r="I52" s="36">
        <f>IFERROR(('연간'!U55)/I16,"")</f>
        <v/>
      </c>
      <c r="J52" s="36">
        <f>IFERROR(('연간'!V55)/J16,"")</f>
        <v/>
      </c>
      <c r="K52" s="36">
        <f>IFERROR(('연간'!W55)/K16,"")</f>
        <v/>
      </c>
      <c r="L52" s="36">
        <f>IFERROR(('연간'!X55)/L16,"")</f>
        <v/>
      </c>
    </row>
    <row r="53">
      <c r="A53" s="44" t="inlineStr">
        <is>
          <t>ROIC</t>
        </is>
      </c>
      <c r="B53" s="10" t="inlineStr">
        <is>
          <t>10%↑ (세후영업이익 기준)</t>
        </is>
      </c>
      <c r="C53" s="35">
        <f>IFERROR((IF(COUNT('연간'!G28:J28)&lt;4,"",SUM('연간'!G28:J28)))*(1-0.3)/(C35+C29),"")</f>
        <v/>
      </c>
      <c r="D53" s="36">
        <f>IFERROR((IF(COUNT('연간'!H28:K28)&lt;4,"",SUM('연간'!H28:K28)))*(1-0.3)/(D35+D29),"")</f>
        <v/>
      </c>
      <c r="E53" s="36">
        <f>IFERROR((IF(COUNT('연간'!I28:L28)&lt;4,"",SUM('연간'!I28:L28)))*(1-0.3)/(E35+E29),"")</f>
        <v/>
      </c>
      <c r="F53" s="36">
        <f>IFERROR((IF(COUNT('연간'!J28:M28)&lt;4,"",SUM('연간'!J28:M28)))*(1-0.3)/(F35+F29),"")</f>
        <v/>
      </c>
      <c r="G53" s="36">
        <f>IFERROR((IF(COUNT('연간'!K28:N28)&lt;4,"",SUM('연간'!K28:N28)))*(1-0.3)/(G35+G29),"")</f>
        <v/>
      </c>
      <c r="H53" s="35">
        <f>IFERROR(('연간'!T28)*(1-0.3)/(H35+H29),"")</f>
        <v/>
      </c>
      <c r="I53" s="36">
        <f>IFERROR(('연간'!U28)*(1-0.3)/(I35+I29),"")</f>
        <v/>
      </c>
      <c r="J53" s="36">
        <f>IFERROR(('연간'!V28)*(1-0.3)/(J35+J29),"")</f>
        <v/>
      </c>
      <c r="K53" s="36">
        <f>IFERROR(('연간'!W28)*(1-0.3)/(K35+K29),"")</f>
        <v/>
      </c>
      <c r="L53" s="36">
        <f>IFERROR(('연간'!X28)*(1-0.3)/(L35+L29),"")</f>
        <v/>
      </c>
    </row>
    <row r="54">
      <c r="A54" s="44" t="inlineStr">
        <is>
          <t>매출총이익률 (GPM)</t>
        </is>
      </c>
      <c r="B54" s="10" t="inlineStr">
        <is>
          <t>40%↑ (해자 신호)</t>
        </is>
      </c>
      <c r="C54" s="35">
        <f>IFERROR((IF(COUNT('연간'!G24:J24)&lt;4,"",SUM('연간'!G24:J24)))/(IF(COUNT('연간'!G4:J4)&lt;4,"",SUM('연간'!G4:J4))),"")</f>
        <v/>
      </c>
      <c r="D54" s="36">
        <f>IFERROR((IF(COUNT('연간'!H24:K24)&lt;4,"",SUM('연간'!H24:K24)))/(IF(COUNT('연간'!H4:K4)&lt;4,"",SUM('연간'!H4:K4))),"")</f>
        <v/>
      </c>
      <c r="E54" s="36">
        <f>IFERROR((IF(COUNT('연간'!I24:L24)&lt;4,"",SUM('연간'!I24:L24)))/(IF(COUNT('연간'!I4:L4)&lt;4,"",SUM('연간'!I4:L4))),"")</f>
        <v/>
      </c>
      <c r="F54" s="36">
        <f>IFERROR((IF(COUNT('연간'!J24:M24)&lt;4,"",SUM('연간'!J24:M24)))/(IF(COUNT('연간'!J4:M4)&lt;4,"",SUM('연간'!J4:M4))),"")</f>
        <v/>
      </c>
      <c r="G54" s="36">
        <f>IFERROR((IF(COUNT('연간'!K24:N24)&lt;4,"",SUM('연간'!K24:N24)))/(IF(COUNT('연간'!K4:N4)&lt;4,"",SUM('연간'!K4:N4))),"")</f>
        <v/>
      </c>
      <c r="H54" s="35">
        <f>IFERROR(('연간'!T24)/('연간'!T4),"")</f>
        <v/>
      </c>
      <c r="I54" s="36">
        <f>IFERROR(('연간'!U24)/('연간'!U4),"")</f>
        <v/>
      </c>
      <c r="J54" s="36">
        <f>IFERROR(('연간'!V24)/('연간'!V4),"")</f>
        <v/>
      </c>
      <c r="K54" s="36">
        <f>IFERROR(('연간'!W24)/('연간'!W4),"")</f>
        <v/>
      </c>
      <c r="L54" s="36">
        <f>IFERROR(('연간'!X24)/('연간'!X4),"")</f>
        <v/>
      </c>
    </row>
    <row r="55">
      <c r="A55" s="44" t="inlineStr">
        <is>
          <t>영업이익률 (OPM)</t>
        </is>
      </c>
      <c r="B55" s="10" t="inlineStr">
        <is>
          <t>15%↑</t>
        </is>
      </c>
      <c r="C55" s="35">
        <f>IFERROR((IF(COUNT('연간'!G28:J28)&lt;4,"",SUM('연간'!G28:J28)))/(IF(COUNT('연간'!G4:J4)&lt;4,"",SUM('연간'!G4:J4))),"")</f>
        <v/>
      </c>
      <c r="D55" s="36">
        <f>IFERROR((IF(COUNT('연간'!H28:K28)&lt;4,"",SUM('연간'!H28:K28)))/(IF(COUNT('연간'!H4:K4)&lt;4,"",SUM('연간'!H4:K4))),"")</f>
        <v/>
      </c>
      <c r="E55" s="36">
        <f>IFERROR((IF(COUNT('연간'!I28:L28)&lt;4,"",SUM('연간'!I28:L28)))/(IF(COUNT('연간'!I4:L4)&lt;4,"",SUM('연간'!I4:L4))),"")</f>
        <v/>
      </c>
      <c r="F55" s="36">
        <f>IFERROR((IF(COUNT('연간'!J28:M28)&lt;4,"",SUM('연간'!J28:M28)))/(IF(COUNT('연간'!J4:M4)&lt;4,"",SUM('연간'!J4:M4))),"")</f>
        <v/>
      </c>
      <c r="G55" s="36">
        <f>IFERROR((IF(COUNT('연간'!K28:N28)&lt;4,"",SUM('연간'!K28:N28)))/(IF(COUNT('연간'!K4:N4)&lt;4,"",SUM('연간'!K4:N4))),"")</f>
        <v/>
      </c>
      <c r="H55" s="35">
        <f>IFERROR(('연간'!T28)/('연간'!T4),"")</f>
        <v/>
      </c>
      <c r="I55" s="36">
        <f>IFERROR(('연간'!U28)/('연간'!U4),"")</f>
        <v/>
      </c>
      <c r="J55" s="36">
        <f>IFERROR(('연간'!V28)/('연간'!V4),"")</f>
        <v/>
      </c>
      <c r="K55" s="36">
        <f>IFERROR(('연간'!W28)/('연간'!W4),"")</f>
        <v/>
      </c>
      <c r="L55" s="36">
        <f>IFERROR(('연간'!X28)/('연간'!X4),"")</f>
        <v/>
      </c>
    </row>
    <row r="56">
      <c r="A56" s="44" t="inlineStr">
        <is>
          <t>순이익률</t>
        </is>
      </c>
      <c r="B56" s="10" t="inlineStr">
        <is>
          <t>10%↑</t>
        </is>
      </c>
      <c r="C56" s="35">
        <f>IFERROR((IF(COUNT('연간'!G55:J55)&lt;4,"",SUM('연간'!G55:J55)))/(IF(COUNT('연간'!G4:J4)&lt;4,"",SUM('연간'!G4:J4))),"")</f>
        <v/>
      </c>
      <c r="D56" s="36">
        <f>IFERROR((IF(COUNT('연간'!H55:K55)&lt;4,"",SUM('연간'!H55:K55)))/(IF(COUNT('연간'!H4:K4)&lt;4,"",SUM('연간'!H4:K4))),"")</f>
        <v/>
      </c>
      <c r="E56" s="36">
        <f>IFERROR((IF(COUNT('연간'!I55:L55)&lt;4,"",SUM('연간'!I55:L55)))/(IF(COUNT('연간'!I4:L4)&lt;4,"",SUM('연간'!I4:L4))),"")</f>
        <v/>
      </c>
      <c r="F56" s="36">
        <f>IFERROR((IF(COUNT('연간'!J55:M55)&lt;4,"",SUM('연간'!J55:M55)))/(IF(COUNT('연간'!J4:M4)&lt;4,"",SUM('연간'!J4:M4))),"")</f>
        <v/>
      </c>
      <c r="G56" s="36">
        <f>IFERROR((IF(COUNT('연간'!K55:N55)&lt;4,"",SUM('연간'!K55:N55)))/(IF(COUNT('연간'!K4:N4)&lt;4,"",SUM('연간'!K4:N4))),"")</f>
        <v/>
      </c>
      <c r="H56" s="35">
        <f>IFERROR(('연간'!T55)/('연간'!T4),"")</f>
        <v/>
      </c>
      <c r="I56" s="36">
        <f>IFERROR(('연간'!U55)/('연간'!U4),"")</f>
        <v/>
      </c>
      <c r="J56" s="36">
        <f>IFERROR(('연간'!V55)/('연간'!V4),"")</f>
        <v/>
      </c>
      <c r="K56" s="36">
        <f>IFERROR(('연간'!W55)/('연간'!W4),"")</f>
        <v/>
      </c>
      <c r="L56" s="36">
        <f>IFERROR(('연간'!X55)/('연간'!X4),"")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4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4" t="inlineStr">
        <is>
          <t>매출채권회전일수</t>
        </is>
      </c>
      <c r="B59" s="10" t="inlineStr">
        <is>
          <t>짧을수록↑</t>
        </is>
      </c>
      <c r="C59" s="47">
        <f>IFERROR(C8/(IF(COUNT('연간'!G4:J4)&lt;4,"",SUM('연간'!G4:J4)))*365,"")</f>
        <v/>
      </c>
      <c r="D59" s="48">
        <f>IFERROR(D8/(IF(COUNT('연간'!H4:K4)&lt;4,"",SUM('연간'!H4:K4)))*365,"")</f>
        <v/>
      </c>
      <c r="E59" s="48">
        <f>IFERROR(E8/(IF(COUNT('연간'!I4:L4)&lt;4,"",SUM('연간'!I4:L4)))*365,"")</f>
        <v/>
      </c>
      <c r="F59" s="48">
        <f>IFERROR(F8/(IF(COUNT('연간'!J4:M4)&lt;4,"",SUM('연간'!J4:M4)))*365,"")</f>
        <v/>
      </c>
      <c r="G59" s="48">
        <f>IFERROR(G8/(IF(COUNT('연간'!K4:N4)&lt;4,"",SUM('연간'!K4:N4)))*365,"")</f>
        <v/>
      </c>
      <c r="H59" s="47">
        <f>IFERROR(H8/('연간'!T4)*365,"")</f>
        <v/>
      </c>
      <c r="I59" s="48">
        <f>IFERROR(I8/('연간'!U4)*365,"")</f>
        <v/>
      </c>
      <c r="J59" s="48">
        <f>IFERROR(J8/('연간'!V4)*365,"")</f>
        <v/>
      </c>
      <c r="K59" s="48">
        <f>IFERROR(K8/('연간'!W4)*365,"")</f>
        <v/>
      </c>
      <c r="L59" s="48">
        <f>IFERROR(L8/('연간'!X4)*365,"")</f>
        <v/>
      </c>
    </row>
    <row r="60">
      <c r="A60" s="44" t="inlineStr">
        <is>
          <t>재고자산회전일수</t>
        </is>
      </c>
      <c r="B60" s="10" t="inlineStr">
        <is>
          <t>짧을수록↑</t>
        </is>
      </c>
      <c r="C60" s="47">
        <f>IFERROR(C9/(IF(COUNT('연간'!G23:J23)&lt;4,"",SUM('연간'!G23:J23)))*365,"")</f>
        <v/>
      </c>
      <c r="D60" s="48">
        <f>IFERROR(D9/(IF(COUNT('연간'!H23:K23)&lt;4,"",SUM('연간'!H23:K23)))*365,"")</f>
        <v/>
      </c>
      <c r="E60" s="48">
        <f>IFERROR(E9/(IF(COUNT('연간'!I23:L23)&lt;4,"",SUM('연간'!I23:L23)))*365,"")</f>
        <v/>
      </c>
      <c r="F60" s="48">
        <f>IFERROR(F9/(IF(COUNT('연간'!J23:M23)&lt;4,"",SUM('연간'!J23:M23)))*365,"")</f>
        <v/>
      </c>
      <c r="G60" s="48">
        <f>IFERROR(G9/(IF(COUNT('연간'!K23:N23)&lt;4,"",SUM('연간'!K23:N23)))*365,"")</f>
        <v/>
      </c>
      <c r="H60" s="47">
        <f>IFERROR(H9/('연간'!T23)*365,"")</f>
        <v/>
      </c>
      <c r="I60" s="48">
        <f>IFERROR(I9/('연간'!U23)*365,"")</f>
        <v/>
      </c>
      <c r="J60" s="48">
        <f>IFERROR(J9/('연간'!V23)*365,"")</f>
        <v/>
      </c>
      <c r="K60" s="48">
        <f>IFERROR(K9/('연간'!W23)*365,"")</f>
        <v/>
      </c>
      <c r="L60" s="48">
        <f>IFERROR(L9/('연간'!X23)*365,"")</f>
        <v/>
      </c>
    </row>
    <row r="61">
      <c r="A61" s="44" t="inlineStr">
        <is>
          <t>매입채무회전일수</t>
        </is>
      </c>
      <c r="B61" s="10" t="inlineStr">
        <is>
          <t>길수록 유리</t>
        </is>
      </c>
      <c r="C61" s="47">
        <f>IFERROR(C19/(IF(COUNT('연간'!G23:J23)&lt;4,"",SUM('연간'!G23:J23)))*365,"")</f>
        <v/>
      </c>
      <c r="D61" s="48">
        <f>IFERROR(D19/(IF(COUNT('연간'!H23:K23)&lt;4,"",SUM('연간'!H23:K23)))*365,"")</f>
        <v/>
      </c>
      <c r="E61" s="48">
        <f>IFERROR(E19/(IF(COUNT('연간'!I23:L23)&lt;4,"",SUM('연간'!I23:L23)))*365,"")</f>
        <v/>
      </c>
      <c r="F61" s="48">
        <f>IFERROR(F19/(IF(COUNT('연간'!J23:M23)&lt;4,"",SUM('연간'!J23:M23)))*365,"")</f>
        <v/>
      </c>
      <c r="G61" s="48">
        <f>IFERROR(G19/(IF(COUNT('연간'!K23:N23)&lt;4,"",SUM('연간'!K23:N23)))*365,"")</f>
        <v/>
      </c>
      <c r="H61" s="47">
        <f>IFERROR(H19/('연간'!T23)*365,"")</f>
        <v/>
      </c>
      <c r="I61" s="48">
        <f>IFERROR(I19/('연간'!U23)*365,"")</f>
        <v/>
      </c>
      <c r="J61" s="48">
        <f>IFERROR(J19/('연간'!V23)*365,"")</f>
        <v/>
      </c>
      <c r="K61" s="48">
        <f>IFERROR(K19/('연간'!W23)*365,"")</f>
        <v/>
      </c>
      <c r="L61" s="48">
        <f>IFERROR(L19/('연간'!X23)*365,"")</f>
        <v/>
      </c>
    </row>
    <row r="62">
      <c r="A62" s="44" t="inlineStr">
        <is>
          <t>현금전환주기 (CCC)</t>
        </is>
      </c>
      <c r="B62" s="10" t="inlineStr">
        <is>
          <t>짧을수록↑</t>
        </is>
      </c>
      <c r="C62" s="47">
        <f>IF(OR(C59="",C60="",C61=""),"",IFERROR(C59+C60-C61,""))</f>
        <v/>
      </c>
      <c r="D62" s="48">
        <f>IF(OR(D59="",D60="",D61=""),"",IFERROR(D59+D60-D61,""))</f>
        <v/>
      </c>
      <c r="E62" s="48">
        <f>IF(OR(E59="",E60="",E61=""),"",IFERROR(E59+E60-E61,""))</f>
        <v/>
      </c>
      <c r="F62" s="48">
        <f>IF(OR(F59="",F60="",F61=""),"",IFERROR(F59+F60-F61,""))</f>
        <v/>
      </c>
      <c r="G62" s="48">
        <f>IF(OR(G59="",G60="",G61=""),"",IFERROR(G59+G60-G61,""))</f>
        <v/>
      </c>
      <c r="H62" s="47">
        <f>IF(OR(H59="",H60="",H61=""),"",IFERROR(H59+H60-H61,""))</f>
        <v/>
      </c>
      <c r="I62" s="48">
        <f>IF(OR(I59="",I60="",I61=""),"",IFERROR(I59+I60-I61,""))</f>
        <v/>
      </c>
      <c r="J62" s="48">
        <f>IF(OR(J59="",J60="",J61=""),"",IFERROR(J59+J60-J61,""))</f>
        <v/>
      </c>
      <c r="K62" s="48">
        <f>IF(OR(K59="",K60="",K61=""),"",IFERROR(K59+K60-K61,""))</f>
        <v/>
      </c>
      <c r="L62" s="48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4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IF(C37="","",IFERROR(C37/(IF(COUNT('연간'!G55:J55)&lt;4,"",SUM('연간'!G55:J55))),""))</f>
        <v/>
      </c>
      <c r="D64" s="31">
        <f>IF(D37="","",IFERROR(D37/(IF(COUNT('연간'!H55:K55)&lt;4,"",SUM('연간'!H55:K55))),""))</f>
        <v/>
      </c>
      <c r="E64" s="31">
        <f>IF(E37="","",IFERROR(E37/(IF(COUNT('연간'!I55:L55)&lt;4,"",SUM('연간'!I55:L55))),""))</f>
        <v/>
      </c>
      <c r="F64" s="31">
        <f>IF(F37="","",IFERROR(F37/(IF(COUNT('연간'!J55:M55)&lt;4,"",SUM('연간'!J55:M55))),""))</f>
        <v/>
      </c>
      <c r="G64" s="31">
        <f>IF(G37="","",IFERROR(G37/(IF(COUNT('연간'!K55:N55)&lt;4,"",SUM('연간'!K55:N55))),""))</f>
        <v/>
      </c>
      <c r="H64" s="30">
        <f>IF(H37="","",IFERROR(H37/('연간'!T55),""))</f>
        <v/>
      </c>
      <c r="I64" s="31">
        <f>IF(I37="","",IFERROR(I37/('연간'!U55),""))</f>
        <v/>
      </c>
      <c r="J64" s="31">
        <f>IF(J37="","",IFERROR(J37/('연간'!V55),""))</f>
        <v/>
      </c>
      <c r="K64" s="31">
        <f>IF(K37="","",IFERROR(K37/('연간'!W55),""))</f>
        <v/>
      </c>
      <c r="L64" s="31">
        <f>IF(L37="","",IFERROR(L37/('연간'!X55),""))</f>
        <v/>
      </c>
    </row>
    <row r="65">
      <c r="A65" s="44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4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4" t="inlineStr">
        <is>
          <t>배당성향</t>
        </is>
      </c>
      <c r="B67" s="10" t="inlineStr">
        <is>
          <t>참고</t>
        </is>
      </c>
      <c r="C67" s="35">
        <f>IF(C40="","",IFERROR(C40/(IF(COUNT('연간'!G56:J56)&lt;4,"",SUM('연간'!G56:J56))),""))</f>
        <v/>
      </c>
      <c r="D67" s="36">
        <f>IF(D40="","",IFERROR(D40/(IF(COUNT('연간'!H56:K56)&lt;4,"",SUM('연간'!H56:K56))),""))</f>
        <v/>
      </c>
      <c r="E67" s="36">
        <f>IF(E40="","",IFERROR(E40/(IF(COUNT('연간'!I56:L56)&lt;4,"",SUM('연간'!I56:L56))),""))</f>
        <v/>
      </c>
      <c r="F67" s="36">
        <f>IF(F40="","",IFERROR(F40/(IF(COUNT('연간'!J56:M56)&lt;4,"",SUM('연간'!J56:M56))),""))</f>
        <v/>
      </c>
      <c r="G67" s="36">
        <f>IF(G40="","",IFERROR(G40/(IF(COUNT('연간'!K56:N56)&lt;4,"",SUM('연간'!K56:N56))),""))</f>
        <v/>
      </c>
      <c r="H67" s="35">
        <f>IF(H40="","",IFERROR(H40/('연간'!T56),""))</f>
        <v/>
      </c>
      <c r="I67" s="36">
        <f>IF(I40="","",IFERROR(I40/('연간'!U56),""))</f>
        <v/>
      </c>
      <c r="J67" s="36">
        <f>IF(J40="","",IFERROR(J40/('연간'!V56),""))</f>
        <v/>
      </c>
      <c r="K67" s="36">
        <f>IF(K40="","",IFERROR(K40/('연간'!W56),""))</f>
        <v/>
      </c>
      <c r="L67" s="36">
        <f>IF(L40="","",IFERROR(L40/('연간'!X56),""))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7208.108</v>
      </c>
      <c r="D71" s="20" t="n">
        <v>8229.098</v>
      </c>
      <c r="E71" s="20" t="n">
        <v>6487.629</v>
      </c>
      <c r="F71" s="20" t="n">
        <v>8367.731</v>
      </c>
      <c r="G71" s="20" t="n">
        <v>7506.094</v>
      </c>
      <c r="H71" s="20" t="n">
        <v>6755.213</v>
      </c>
      <c r="I71" s="20" t="n">
        <v>6259.926</v>
      </c>
      <c r="J71" s="20" t="n">
        <v>8483.074000000001</v>
      </c>
      <c r="K71" s="20" t="n">
        <v>5794.055</v>
      </c>
      <c r="L71" s="20" t="n">
        <v>8367.731</v>
      </c>
    </row>
    <row r="72">
      <c r="A72" s="18" t="inlineStr">
        <is>
          <t>받을어음</t>
        </is>
      </c>
      <c r="F72" s="20" t="n">
        <v>97.92</v>
      </c>
      <c r="H72" s="20" t="n">
        <v>1498.276</v>
      </c>
      <c r="I72" s="20" t="n">
        <v>1257.774</v>
      </c>
      <c r="J72" s="20" t="n">
        <v>1023.864</v>
      </c>
      <c r="K72" s="20" t="n">
        <v>496.296</v>
      </c>
      <c r="L72" s="20" t="n">
        <v>97.92</v>
      </c>
    </row>
    <row r="73">
      <c r="A73" s="18" t="inlineStr">
        <is>
          <t>받을어음·매출채권</t>
        </is>
      </c>
      <c r="C73" s="20" t="n">
        <v>9630.998</v>
      </c>
      <c r="D73" s="20" t="n">
        <v>8968.284</v>
      </c>
      <c r="E73" s="20" t="n">
        <v>11408.59</v>
      </c>
      <c r="F73" s="20" t="n">
        <v>9784.325000000001</v>
      </c>
      <c r="G73" s="20" t="n">
        <v>8848.411</v>
      </c>
      <c r="H73" s="20" t="n">
        <v>10404.962</v>
      </c>
      <c r="I73" s="20" t="n">
        <v>10736.994</v>
      </c>
      <c r="J73" s="20" t="n">
        <v>10500.456</v>
      </c>
      <c r="K73" s="20" t="n">
        <v>10922.46</v>
      </c>
      <c r="L73" s="20" t="n">
        <v>9784.325000000001</v>
      </c>
    </row>
    <row r="74">
      <c r="A74" s="18" t="inlineStr">
        <is>
          <t>전자기록채권</t>
        </is>
      </c>
      <c r="C74" s="20" t="n">
        <v>5174.535</v>
      </c>
      <c r="D74" s="20" t="n">
        <v>4936.113</v>
      </c>
      <c r="E74" s="20" t="n">
        <v>5195.709</v>
      </c>
      <c r="F74" s="20" t="n">
        <v>5500.984</v>
      </c>
      <c r="G74" s="20" t="n">
        <v>5466.015</v>
      </c>
      <c r="H74" s="20" t="n">
        <v>3916.438</v>
      </c>
      <c r="I74" s="20" t="n">
        <v>4855.817</v>
      </c>
      <c r="J74" s="20" t="n">
        <v>5797.828</v>
      </c>
      <c r="K74" s="20" t="n">
        <v>4663.538</v>
      </c>
      <c r="L74" s="20" t="n">
        <v>5500.984</v>
      </c>
    </row>
    <row r="75">
      <c r="A75" s="18" t="inlineStr">
        <is>
          <t>매출채권</t>
        </is>
      </c>
      <c r="F75" s="20" t="n">
        <v>8426.35</v>
      </c>
      <c r="H75" s="20" t="n">
        <v>7370.688</v>
      </c>
      <c r="I75" s="20" t="n">
        <v>8069.673</v>
      </c>
      <c r="J75" s="20" t="n">
        <v>9476.591</v>
      </c>
      <c r="K75" s="20" t="n">
        <v>9006.523999999999</v>
      </c>
      <c r="L75" s="20" t="n">
        <v>8426.35</v>
      </c>
    </row>
    <row r="76">
      <c r="A76" s="18" t="inlineStr">
        <is>
          <t>상품</t>
        </is>
      </c>
      <c r="C76" s="20" t="n">
        <v>1919.425</v>
      </c>
      <c r="D76" s="20" t="n">
        <v>1573.092</v>
      </c>
      <c r="E76" s="20" t="n">
        <v>2213.343</v>
      </c>
      <c r="F76" s="20" t="n">
        <v>1748.966</v>
      </c>
      <c r="G76" s="20" t="n">
        <v>2235.601</v>
      </c>
      <c r="H76" s="20" t="n">
        <v>1541.293</v>
      </c>
      <c r="I76" s="20" t="n">
        <v>1790.64</v>
      </c>
      <c r="J76" s="20" t="n">
        <v>1722.586</v>
      </c>
      <c r="K76" s="20" t="n">
        <v>1622.818</v>
      </c>
      <c r="L76" s="20" t="n">
        <v>1748.966</v>
      </c>
    </row>
    <row r="77">
      <c r="A77" s="18" t="inlineStr">
        <is>
          <t>선급비용</t>
        </is>
      </c>
      <c r="F77" s="20" t="n">
        <v>118.628</v>
      </c>
      <c r="H77" s="20" t="n">
        <v>90.98999999999999</v>
      </c>
      <c r="I77" s="20" t="n">
        <v>90.29600000000001</v>
      </c>
      <c r="J77" s="20" t="n">
        <v>88.35299999999999</v>
      </c>
      <c r="K77" s="20" t="n">
        <v>101.897</v>
      </c>
      <c r="L77" s="20" t="n">
        <v>118.628</v>
      </c>
    </row>
    <row r="78">
      <c r="A78" s="18" t="inlineStr">
        <is>
          <t>기타</t>
        </is>
      </c>
      <c r="C78" s="20" t="n">
        <v>223.4</v>
      </c>
      <c r="D78" s="20" t="n">
        <v>174.844</v>
      </c>
      <c r="E78" s="20" t="n">
        <v>154.072</v>
      </c>
      <c r="F78" s="20" t="n">
        <v>220.28</v>
      </c>
      <c r="G78" s="20" t="n">
        <v>233.703</v>
      </c>
      <c r="H78" s="20" t="n">
        <v>71.08799999999999</v>
      </c>
      <c r="I78" s="20" t="n">
        <v>71.40300000000001</v>
      </c>
      <c r="J78" s="20" t="n">
        <v>204.709</v>
      </c>
      <c r="K78" s="20" t="n">
        <v>275.088</v>
      </c>
      <c r="L78" s="20" t="n">
        <v>220.28</v>
      </c>
    </row>
    <row r="79">
      <c r="A79" s="18" t="inlineStr">
        <is>
          <t>대손충당금</t>
        </is>
      </c>
      <c r="C79" s="20" t="n">
        <v>-1.42</v>
      </c>
      <c r="D79" s="20" t="n">
        <v>-1.333</v>
      </c>
      <c r="E79" s="20" t="n">
        <v>-1.594</v>
      </c>
      <c r="F79" s="20" t="n">
        <v>-1.478</v>
      </c>
      <c r="G79" s="20" t="n">
        <v>-1.364</v>
      </c>
      <c r="H79" s="20" t="n">
        <v>-1.27</v>
      </c>
      <c r="I79" s="20" t="n">
        <v>-1.418</v>
      </c>
      <c r="J79" s="20" t="n">
        <v>-1.647</v>
      </c>
      <c r="K79" s="20" t="n">
        <v>-1.416</v>
      </c>
      <c r="L79" s="20" t="n">
        <v>-1.478</v>
      </c>
    </row>
    <row r="80">
      <c r="A80" s="9" t="inlineStr">
        <is>
          <t>유동자산 합계</t>
        </is>
      </c>
      <c r="C80" s="12" t="n">
        <v>24155.047</v>
      </c>
      <c r="D80" s="12" t="n">
        <v>23880.1</v>
      </c>
      <c r="E80" s="12" t="n">
        <v>25457.75</v>
      </c>
      <c r="F80" s="12" t="n">
        <v>25620.809</v>
      </c>
      <c r="G80" s="12" t="n">
        <v>24288.461</v>
      </c>
      <c r="H80" s="12" t="n">
        <v>21242.718</v>
      </c>
      <c r="I80" s="12" t="n">
        <v>22394.113</v>
      </c>
      <c r="J80" s="12" t="n">
        <v>26707.008</v>
      </c>
      <c r="K80" s="12" t="n">
        <v>21958.802</v>
      </c>
      <c r="L80" s="12" t="n">
        <v>25620.809</v>
      </c>
    </row>
    <row r="81">
      <c r="A81" s="18" t="inlineStr">
        <is>
          <t>건물</t>
        </is>
      </c>
      <c r="F81" s="20" t="n">
        <v>8037.385</v>
      </c>
      <c r="H81" s="20" t="n">
        <v>6229.279</v>
      </c>
      <c r="I81" s="20" t="n">
        <v>6248.954</v>
      </c>
      <c r="J81" s="20" t="n">
        <v>6897.443</v>
      </c>
      <c r="K81" s="20" t="n">
        <v>8055.705</v>
      </c>
      <c r="L81" s="20" t="n">
        <v>8037.385</v>
      </c>
    </row>
    <row r="82">
      <c r="A82" s="18" t="inlineStr">
        <is>
          <t>감가상각누계액</t>
        </is>
      </c>
      <c r="F82" s="20" t="n">
        <v>-4497.35</v>
      </c>
      <c r="H82" s="20" t="n">
        <v>-3871.37</v>
      </c>
      <c r="I82" s="20" t="n">
        <v>-3972.829</v>
      </c>
      <c r="J82" s="20" t="n">
        <v>-4127.277</v>
      </c>
      <c r="K82" s="20" t="n">
        <v>-4276.754</v>
      </c>
      <c r="L82" s="20" t="n">
        <v>-4497.35</v>
      </c>
    </row>
    <row r="83">
      <c r="A83" s="18" t="inlineStr">
        <is>
          <t>건물(순액)</t>
        </is>
      </c>
      <c r="C83" s="20" t="n">
        <v>3726.424</v>
      </c>
      <c r="D83" s="20" t="n">
        <v>3670.741</v>
      </c>
      <c r="E83" s="20" t="n">
        <v>3613.728</v>
      </c>
      <c r="F83" s="20" t="n">
        <v>3540.035</v>
      </c>
      <c r="G83" s="20" t="n">
        <v>3486.666</v>
      </c>
      <c r="H83" s="20" t="n">
        <v>2129.425</v>
      </c>
      <c r="I83" s="20" t="n">
        <v>2059.598</v>
      </c>
      <c r="J83" s="20" t="n">
        <v>2770.166</v>
      </c>
      <c r="K83" s="20" t="n">
        <v>2977.12</v>
      </c>
      <c r="L83" s="20" t="n">
        <v>3540.035</v>
      </c>
    </row>
    <row r="84">
      <c r="A84" s="18" t="inlineStr">
        <is>
          <t>구축물</t>
        </is>
      </c>
      <c r="F84" s="20" t="n">
        <v>296.409</v>
      </c>
      <c r="H84" s="20" t="n">
        <v>263.907</v>
      </c>
      <c r="I84" s="20" t="n">
        <v>266.949</v>
      </c>
      <c r="J84" s="20" t="n">
        <v>291.894</v>
      </c>
      <c r="K84" s="20" t="n">
        <v>298.674</v>
      </c>
      <c r="L84" s="20" t="n">
        <v>296.409</v>
      </c>
    </row>
    <row r="85">
      <c r="A85" s="18" t="inlineStr">
        <is>
          <t>감가상각누계액</t>
        </is>
      </c>
      <c r="F85" s="20" t="n">
        <v>-247.766</v>
      </c>
      <c r="H85" s="20" t="n">
        <v>-220.96</v>
      </c>
      <c r="I85" s="20" t="n">
        <v>-224.817</v>
      </c>
      <c r="J85" s="20" t="n">
        <v>-234.879</v>
      </c>
      <c r="K85" s="20" t="n">
        <v>-242.981</v>
      </c>
      <c r="L85" s="20" t="n">
        <v>-247.766</v>
      </c>
    </row>
    <row r="86">
      <c r="A86" s="18" t="inlineStr">
        <is>
          <t>구축물(순액)</t>
        </is>
      </c>
      <c r="C86" s="20" t="n">
        <v>56.39</v>
      </c>
      <c r="D86" s="20" t="n">
        <v>53.822</v>
      </c>
      <c r="E86" s="20" t="n">
        <v>51.232</v>
      </c>
      <c r="F86" s="20" t="n">
        <v>48.642</v>
      </c>
      <c r="G86" s="20" t="n">
        <v>46.457</v>
      </c>
      <c r="H86" s="20" t="n">
        <v>35.628</v>
      </c>
      <c r="I86" s="20" t="n">
        <v>35.767</v>
      </c>
      <c r="J86" s="20" t="n">
        <v>57.014</v>
      </c>
      <c r="K86" s="20" t="n">
        <v>29.305</v>
      </c>
      <c r="L86" s="20" t="n">
        <v>48.642</v>
      </c>
    </row>
    <row r="87">
      <c r="A87" s="18" t="inlineStr">
        <is>
          <t>차량운반구</t>
        </is>
      </c>
      <c r="F87" s="20" t="n">
        <v>48.141</v>
      </c>
      <c r="H87" s="20" t="n">
        <v>374.086</v>
      </c>
      <c r="I87" s="20" t="n">
        <v>376.146</v>
      </c>
      <c r="J87" s="20" t="n">
        <v>44.222</v>
      </c>
      <c r="K87" s="20" t="n">
        <v>48.141</v>
      </c>
      <c r="L87" s="20" t="n">
        <v>48.141</v>
      </c>
    </row>
    <row r="88">
      <c r="A88" s="18" t="inlineStr">
        <is>
          <t>감가상각누계액</t>
        </is>
      </c>
      <c r="F88" s="20" t="n">
        <v>-41.783</v>
      </c>
      <c r="H88" s="20" t="n">
        <v>-302.115</v>
      </c>
      <c r="I88" s="20" t="n">
        <v>-306.602</v>
      </c>
      <c r="J88" s="20" t="n">
        <v>-35.144</v>
      </c>
      <c r="K88" s="20" t="n">
        <v>-37.139</v>
      </c>
      <c r="L88" s="20" t="n">
        <v>-41.783</v>
      </c>
    </row>
    <row r="89">
      <c r="A89" s="18" t="inlineStr">
        <is>
          <t>차량운반구(순액)</t>
        </is>
      </c>
      <c r="C89" s="20" t="n">
        <v>9.839</v>
      </c>
      <c r="D89" s="20" t="n">
        <v>8.676</v>
      </c>
      <c r="E89" s="20" t="n">
        <v>7.513</v>
      </c>
      <c r="F89" s="20" t="n">
        <v>6.358</v>
      </c>
      <c r="G89" s="20" t="n">
        <v>5.721</v>
      </c>
      <c r="H89" s="20" t="n">
        <v>71.97</v>
      </c>
      <c r="I89" s="20" t="n">
        <v>69.54300000000001</v>
      </c>
      <c r="J89" s="20" t="n">
        <v>9.077999999999999</v>
      </c>
      <c r="K89" s="20" t="n">
        <v>11.001</v>
      </c>
      <c r="L89" s="20" t="n">
        <v>6.358</v>
      </c>
    </row>
    <row r="90">
      <c r="A90" s="18" t="inlineStr">
        <is>
          <t>공구·기구·비품</t>
        </is>
      </c>
      <c r="F90" s="20" t="n">
        <v>636.74</v>
      </c>
      <c r="H90" s="20" t="n">
        <v>558.228</v>
      </c>
      <c r="I90" s="20" t="n">
        <v>562.053</v>
      </c>
      <c r="J90" s="20" t="n">
        <v>581.922</v>
      </c>
      <c r="K90" s="20" t="n">
        <v>623.888</v>
      </c>
      <c r="L90" s="20" t="n">
        <v>636.74</v>
      </c>
    </row>
    <row r="91">
      <c r="A91" s="18" t="inlineStr">
        <is>
          <t>감가상각누계액</t>
        </is>
      </c>
      <c r="F91" s="20" t="n">
        <v>-578.253</v>
      </c>
      <c r="H91" s="20" t="n">
        <v>-427.716</v>
      </c>
      <c r="I91" s="20" t="n">
        <v>-486.045</v>
      </c>
      <c r="J91" s="20" t="n">
        <v>-528.372</v>
      </c>
      <c r="K91" s="20" t="n">
        <v>-553.448</v>
      </c>
      <c r="L91" s="20" t="n">
        <v>-578.253</v>
      </c>
    </row>
    <row r="92">
      <c r="A92" s="18" t="inlineStr">
        <is>
          <t>공구·기구·비품(순액)</t>
        </is>
      </c>
      <c r="C92" s="20" t="n">
        <v>63.123</v>
      </c>
      <c r="D92" s="20" t="n">
        <v>56.308</v>
      </c>
      <c r="E92" s="20" t="n">
        <v>67.154</v>
      </c>
      <c r="F92" s="20" t="n">
        <v>58.486</v>
      </c>
      <c r="G92" s="20" t="n">
        <v>53.254</v>
      </c>
      <c r="H92" s="20" t="n">
        <v>122.136</v>
      </c>
      <c r="I92" s="20" t="n">
        <v>70.95699999999999</v>
      </c>
      <c r="J92" s="20" t="n">
        <v>53.55</v>
      </c>
      <c r="K92" s="20" t="n">
        <v>54.148</v>
      </c>
      <c r="L92" s="20" t="n">
        <v>58.486</v>
      </c>
    </row>
    <row r="93">
      <c r="A93" s="18" t="inlineStr">
        <is>
          <t>토지</t>
        </is>
      </c>
      <c r="C93" s="20" t="n">
        <v>6178.956</v>
      </c>
      <c r="D93" s="20" t="n">
        <v>6178.956</v>
      </c>
      <c r="E93" s="20" t="n">
        <v>6274.05</v>
      </c>
      <c r="F93" s="20" t="n">
        <v>6274.05</v>
      </c>
      <c r="G93" s="20" t="n">
        <v>6853.125</v>
      </c>
      <c r="H93" s="20" t="n">
        <v>4894.469</v>
      </c>
      <c r="I93" s="20" t="n">
        <v>4855.087</v>
      </c>
      <c r="J93" s="20" t="n">
        <v>6180.432</v>
      </c>
      <c r="K93" s="20" t="n">
        <v>5228.29</v>
      </c>
      <c r="L93" s="20" t="n">
        <v>6274.05</v>
      </c>
    </row>
    <row r="94">
      <c r="A94" s="18" t="inlineStr">
        <is>
          <t>건설중인자산</t>
        </is>
      </c>
      <c r="D94" s="20" t="n">
        <v>10</v>
      </c>
      <c r="E94" s="20" t="n">
        <v>3.469</v>
      </c>
      <c r="F94" s="20" t="n">
        <v>95.30500000000001</v>
      </c>
      <c r="G94" s="20" t="n">
        <v>67.30500000000001</v>
      </c>
      <c r="H94" s="20" t="n">
        <v>35.97</v>
      </c>
      <c r="I94" s="20" t="n">
        <v>130</v>
      </c>
      <c r="J94" s="20" t="n">
        <v>343.571</v>
      </c>
      <c r="K94" s="20" t="n">
        <v>0</v>
      </c>
      <c r="L94" s="20" t="n">
        <v>95.30500000000001</v>
      </c>
    </row>
    <row r="95">
      <c r="A95" s="18" t="inlineStr">
        <is>
          <t>유형자산 합계</t>
        </is>
      </c>
      <c r="C95" s="20" t="n">
        <v>10034.735</v>
      </c>
      <c r="D95" s="20" t="n">
        <v>9978.505999999999</v>
      </c>
      <c r="E95" s="20" t="n">
        <v>10017.15</v>
      </c>
      <c r="F95" s="20" t="n">
        <v>10022.879</v>
      </c>
      <c r="G95" s="20" t="n">
        <v>10512.53</v>
      </c>
      <c r="H95" s="20" t="n">
        <v>7289.601</v>
      </c>
      <c r="I95" s="20" t="n">
        <v>7220.953</v>
      </c>
      <c r="J95" s="20" t="n">
        <v>9413.812</v>
      </c>
      <c r="K95" s="20" t="n">
        <v>8299.867</v>
      </c>
      <c r="L95" s="20" t="n">
        <v>10022.879</v>
      </c>
    </row>
    <row r="96">
      <c r="A96" s="18" t="inlineStr">
        <is>
          <t>전화가입권</t>
        </is>
      </c>
      <c r="C96" s="20" t="n">
        <v>38.894</v>
      </c>
      <c r="D96" s="20" t="n">
        <v>38.894</v>
      </c>
      <c r="E96" s="20" t="n">
        <v>38.894</v>
      </c>
      <c r="F96" s="20" t="n">
        <v>31.611</v>
      </c>
      <c r="H96" s="20" t="n">
        <v>31.611</v>
      </c>
      <c r="I96" s="20" t="n">
        <v>31.611</v>
      </c>
      <c r="J96" s="20" t="n">
        <v>38.894</v>
      </c>
      <c r="K96" s="20" t="n">
        <v>31.611</v>
      </c>
      <c r="L96" s="20" t="n">
        <v>31.611</v>
      </c>
    </row>
    <row r="97">
      <c r="A97" s="18" t="inlineStr">
        <is>
          <t>소프트웨어</t>
        </is>
      </c>
      <c r="C97" s="20" t="n">
        <v>1014.423</v>
      </c>
      <c r="D97" s="20" t="n">
        <v>949.807</v>
      </c>
      <c r="E97" s="20" t="n">
        <v>885.097</v>
      </c>
      <c r="F97" s="20" t="n">
        <v>820.5359999999999</v>
      </c>
      <c r="G97" s="20" t="n">
        <v>757.005</v>
      </c>
      <c r="H97" s="20" t="n">
        <v>205.839</v>
      </c>
      <c r="I97" s="20" t="n">
        <v>150.029</v>
      </c>
      <c r="J97" s="20" t="n">
        <v>137.09</v>
      </c>
      <c r="K97" s="20" t="n">
        <v>1068.381</v>
      </c>
      <c r="L97" s="20" t="n">
        <v>820.5359999999999</v>
      </c>
    </row>
    <row r="98">
      <c r="A98" s="18" t="inlineStr">
        <is>
          <t>영업권</t>
        </is>
      </c>
      <c r="C98" s="20" t="n">
        <v>225.619</v>
      </c>
      <c r="D98" s="20" t="n">
        <v>211.218</v>
      </c>
      <c r="E98" s="20" t="n">
        <v>196.816</v>
      </c>
      <c r="F98" s="20" t="n">
        <v>182.415</v>
      </c>
      <c r="G98" s="20" t="n">
        <v>168.014</v>
      </c>
      <c r="H98" s="20" t="n">
        <v>412.835</v>
      </c>
      <c r="I98" s="20" t="n">
        <v>355.23</v>
      </c>
      <c r="J98" s="20" t="n">
        <v>297.625</v>
      </c>
      <c r="K98" s="20" t="n">
        <v>240.02</v>
      </c>
      <c r="L98" s="20" t="n">
        <v>182.415</v>
      </c>
    </row>
    <row r="99">
      <c r="A99" s="18" t="inlineStr">
        <is>
          <t>개발 중 소프트웨어</t>
        </is>
      </c>
      <c r="H99" s="20" t="n">
        <v>0</v>
      </c>
      <c r="I99" s="20" t="n">
        <v>129.206</v>
      </c>
      <c r="J99" s="20" t="n">
        <v>349.072</v>
      </c>
      <c r="K99" s="20" t="n">
        <v>0</v>
      </c>
    </row>
    <row r="100">
      <c r="A100" s="18" t="inlineStr">
        <is>
          <t>기타</t>
        </is>
      </c>
      <c r="F100" s="20" t="n">
        <v>38.894</v>
      </c>
      <c r="G100" s="20" t="n">
        <v>38.894</v>
      </c>
      <c r="L100" s="20" t="n">
        <v>38.894</v>
      </c>
    </row>
    <row r="101">
      <c r="A101" s="18" t="inlineStr">
        <is>
          <t>무형자산 합계</t>
        </is>
      </c>
      <c r="C101" s="20" t="n">
        <v>1278.937</v>
      </c>
      <c r="D101" s="20" t="n">
        <v>1199.919</v>
      </c>
      <c r="E101" s="20" t="n">
        <v>1120.808</v>
      </c>
      <c r="F101" s="20" t="n">
        <v>1041.845</v>
      </c>
      <c r="G101" s="20" t="n">
        <v>963.913</v>
      </c>
      <c r="H101" s="20" t="n">
        <v>650.2859999999999</v>
      </c>
      <c r="I101" s="20" t="n">
        <v>666.077</v>
      </c>
      <c r="J101" s="20" t="n">
        <v>822.682</v>
      </c>
      <c r="K101" s="20" t="n">
        <v>1340.013</v>
      </c>
      <c r="L101" s="20" t="n">
        <v>1041.845</v>
      </c>
    </row>
    <row r="102">
      <c r="A102" s="18" t="inlineStr">
        <is>
          <t>투자유가증권</t>
        </is>
      </c>
      <c r="C102" s="20" t="n">
        <v>5466.36</v>
      </c>
      <c r="D102" s="20" t="n">
        <v>5795.806</v>
      </c>
      <c r="E102" s="20" t="n">
        <v>6143.539</v>
      </c>
      <c r="F102" s="20" t="n">
        <v>5799.951</v>
      </c>
      <c r="G102" s="20" t="n">
        <v>7305.942</v>
      </c>
      <c r="H102" s="20" t="n">
        <v>2332.592</v>
      </c>
      <c r="I102" s="20" t="n">
        <v>2416.658</v>
      </c>
      <c r="J102" s="20" t="n">
        <v>4718.216</v>
      </c>
      <c r="K102" s="20" t="n">
        <v>3096.132</v>
      </c>
      <c r="L102" s="20" t="n">
        <v>5799.951</v>
      </c>
    </row>
    <row r="103">
      <c r="A103" s="18" t="inlineStr">
        <is>
          <t>관계회사 주식</t>
        </is>
      </c>
      <c r="F103" s="20" t="n">
        <v>2493.927</v>
      </c>
      <c r="H103" s="20" t="n">
        <v>2493.927</v>
      </c>
      <c r="I103" s="20" t="n">
        <v>2493.927</v>
      </c>
      <c r="J103" s="20" t="n">
        <v>2493.927</v>
      </c>
      <c r="K103" s="20" t="n">
        <v>2493.927</v>
      </c>
      <c r="L103" s="20" t="n">
        <v>2493.927</v>
      </c>
    </row>
    <row r="104">
      <c r="A104" s="18" t="inlineStr">
        <is>
          <t>출자금</t>
        </is>
      </c>
      <c r="C104" s="20" t="n">
        <v>14.86</v>
      </c>
      <c r="D104" s="20" t="n">
        <v>14.86</v>
      </c>
      <c r="E104" s="20" t="n">
        <v>14.86</v>
      </c>
      <c r="F104" s="20" t="n">
        <v>14.86</v>
      </c>
      <c r="G104" s="20" t="n">
        <v>14.84</v>
      </c>
      <c r="H104" s="20" t="n">
        <v>11.65</v>
      </c>
      <c r="I104" s="20" t="n">
        <v>11.65</v>
      </c>
      <c r="J104" s="20" t="n">
        <v>14.86</v>
      </c>
      <c r="K104" s="20" t="n">
        <v>11.65</v>
      </c>
      <c r="L104" s="20" t="n">
        <v>14.86</v>
      </c>
    </row>
    <row r="105">
      <c r="A105" s="18" t="inlineStr">
        <is>
          <t>장기선급비용</t>
        </is>
      </c>
      <c r="F105" s="20" t="n">
        <v>11.292</v>
      </c>
      <c r="H105" s="20" t="n">
        <v>13.987</v>
      </c>
      <c r="I105" s="20" t="n">
        <v>6.171</v>
      </c>
      <c r="J105" s="20" t="n">
        <v>1.682</v>
      </c>
      <c r="K105" s="20" t="n">
        <v>6.142</v>
      </c>
      <c r="L105" s="20" t="n">
        <v>11.292</v>
      </c>
    </row>
    <row r="106">
      <c r="A106" s="18" t="inlineStr">
        <is>
          <t>선급연금비용</t>
        </is>
      </c>
      <c r="F106" s="20" t="n">
        <v>630.271</v>
      </c>
      <c r="H106" s="20" t="n">
        <v>390.1</v>
      </c>
      <c r="I106" s="20" t="n">
        <v>409.022</v>
      </c>
      <c r="J106" s="20" t="n">
        <v>478.341</v>
      </c>
      <c r="K106" s="20" t="n">
        <v>547.7809999999999</v>
      </c>
      <c r="L106" s="20" t="n">
        <v>630.271</v>
      </c>
    </row>
    <row r="107">
      <c r="A107" s="18" t="inlineStr">
        <is>
          <t>퇴직급여자산</t>
        </is>
      </c>
      <c r="C107" s="20" t="n">
        <v>772.023</v>
      </c>
      <c r="D107" s="20" t="n">
        <v>784.495</v>
      </c>
      <c r="E107" s="20" t="n">
        <v>803.345</v>
      </c>
      <c r="F107" s="20" t="n">
        <v>891.859</v>
      </c>
      <c r="G107" s="20" t="n">
        <v>905.364</v>
      </c>
      <c r="H107" s="20" t="n">
        <v>468.63</v>
      </c>
      <c r="I107" s="20" t="n">
        <v>434.045</v>
      </c>
      <c r="J107" s="20" t="n">
        <v>683.6559999999999</v>
      </c>
      <c r="K107" s="20" t="n">
        <v>774</v>
      </c>
      <c r="L107" s="20" t="n">
        <v>891.859</v>
      </c>
    </row>
    <row r="108">
      <c r="A108" s="18" t="inlineStr">
        <is>
          <t>보증금</t>
        </is>
      </c>
      <c r="C108" s="20" t="n">
        <v>222.537</v>
      </c>
      <c r="D108" s="20" t="n">
        <v>222.035</v>
      </c>
      <c r="E108" s="20" t="n">
        <v>222.193</v>
      </c>
      <c r="F108" s="20" t="n">
        <v>221.178</v>
      </c>
      <c r="G108" s="20" t="n">
        <v>219.724</v>
      </c>
      <c r="H108" s="20" t="n">
        <v>153.533</v>
      </c>
      <c r="I108" s="20" t="n">
        <v>152.115</v>
      </c>
      <c r="J108" s="20" t="n">
        <v>223.967</v>
      </c>
      <c r="K108" s="20" t="n">
        <v>157.385</v>
      </c>
      <c r="L108" s="20" t="n">
        <v>221.178</v>
      </c>
    </row>
    <row r="109">
      <c r="A109" s="18" t="inlineStr">
        <is>
          <t>기타</t>
        </is>
      </c>
      <c r="C109" s="20" t="n">
        <v>25.781</v>
      </c>
      <c r="D109" s="20" t="n">
        <v>23.348</v>
      </c>
      <c r="E109" s="20" t="n">
        <v>22.377</v>
      </c>
      <c r="F109" s="20" t="n">
        <v>19.438</v>
      </c>
      <c r="G109" s="20" t="n">
        <v>17.204</v>
      </c>
      <c r="H109" s="20" t="n">
        <v>28.852</v>
      </c>
      <c r="I109" s="20" t="n">
        <v>27.54</v>
      </c>
      <c r="J109" s="20" t="n">
        <v>17.644</v>
      </c>
      <c r="K109" s="20" t="n">
        <v>13.301</v>
      </c>
      <c r="L109" s="20" t="n">
        <v>19.438</v>
      </c>
    </row>
    <row r="110">
      <c r="A110" s="18" t="inlineStr">
        <is>
          <t>대손충당금</t>
        </is>
      </c>
      <c r="C110" s="20" t="n">
        <v>-2.1</v>
      </c>
      <c r="D110" s="20" t="n">
        <v>-2.1</v>
      </c>
      <c r="E110" s="20" t="n">
        <v>-2.1</v>
      </c>
      <c r="F110" s="20" t="n">
        <v>-2.1</v>
      </c>
      <c r="G110" s="20" t="n">
        <v>-2.1</v>
      </c>
      <c r="H110" s="20" t="n">
        <v>-4.28</v>
      </c>
      <c r="I110" s="20" t="n">
        <v>-2.72</v>
      </c>
      <c r="J110" s="20" t="n">
        <v>-2.2</v>
      </c>
      <c r="K110" s="20" t="n">
        <v>-1.96</v>
      </c>
      <c r="L110" s="20" t="n">
        <v>-2.1</v>
      </c>
    </row>
    <row r="111">
      <c r="A111" s="18" t="inlineStr">
        <is>
          <t>투자 및 기타자산 합계</t>
        </is>
      </c>
      <c r="C111" s="20" t="n">
        <v>6499.463</v>
      </c>
      <c r="D111" s="20" t="n">
        <v>6838.446</v>
      </c>
      <c r="E111" s="20" t="n">
        <v>7204.215</v>
      </c>
      <c r="F111" s="20" t="n">
        <v>6945.187</v>
      </c>
      <c r="G111" s="20" t="n">
        <v>8460.975</v>
      </c>
      <c r="H111" s="20" t="n">
        <v>5420.364</v>
      </c>
      <c r="I111" s="20" t="n">
        <v>5514.366</v>
      </c>
      <c r="J111" s="20" t="n">
        <v>5656.144</v>
      </c>
      <c r="K111" s="20" t="n">
        <v>6324.36</v>
      </c>
      <c r="L111" s="20" t="n">
        <v>6945.187</v>
      </c>
    </row>
    <row r="112">
      <c r="A112" s="9" t="inlineStr">
        <is>
          <t>비유동자산 합계</t>
        </is>
      </c>
      <c r="C112" s="12" t="n">
        <v>17813.135</v>
      </c>
      <c r="D112" s="12" t="n">
        <v>18016.872</v>
      </c>
      <c r="E112" s="12" t="n">
        <v>18342.173</v>
      </c>
      <c r="F112" s="12" t="n">
        <v>18009.912</v>
      </c>
      <c r="G112" s="12" t="n">
        <v>19937.42</v>
      </c>
      <c r="H112" s="12" t="n">
        <v>13360.252</v>
      </c>
      <c r="I112" s="12" t="n">
        <v>13401.397</v>
      </c>
      <c r="J112" s="12" t="n">
        <v>15892.639</v>
      </c>
      <c r="K112" s="12" t="n">
        <v>15964.241</v>
      </c>
      <c r="L112" s="12" t="n">
        <v>18009.912</v>
      </c>
    </row>
    <row r="113">
      <c r="A113" s="9" t="inlineStr">
        <is>
          <t>자산 합계</t>
        </is>
      </c>
      <c r="C113" s="12" t="n">
        <v>41968.183</v>
      </c>
      <c r="D113" s="12" t="n">
        <v>41896.972</v>
      </c>
      <c r="E113" s="12" t="n">
        <v>43799.924</v>
      </c>
      <c r="F113" s="12" t="n">
        <v>43630.722</v>
      </c>
      <c r="G113" s="12" t="n">
        <v>44225.882</v>
      </c>
      <c r="H113" s="12" t="n">
        <v>34602.97</v>
      </c>
      <c r="I113" s="12" t="n">
        <v>35795.511</v>
      </c>
      <c r="J113" s="12" t="n">
        <v>42599.648</v>
      </c>
      <c r="K113" s="12" t="n">
        <v>37923.044</v>
      </c>
      <c r="L113" s="12" t="n">
        <v>43630.722</v>
      </c>
    </row>
    <row r="114">
      <c r="A114" s="18" t="inlineStr">
        <is>
          <t>매입채무</t>
        </is>
      </c>
      <c r="C114" s="20" t="n">
        <v>3488.32</v>
      </c>
      <c r="D114" s="20" t="n">
        <v>3204.154</v>
      </c>
      <c r="E114" s="20" t="n">
        <v>5488.524</v>
      </c>
      <c r="F114" s="20" t="n">
        <v>4161.335</v>
      </c>
      <c r="G114" s="20" t="n">
        <v>3944.022</v>
      </c>
      <c r="H114" s="20" t="n">
        <v>3092.761</v>
      </c>
      <c r="I114" s="20" t="n">
        <v>3134.508</v>
      </c>
      <c r="J114" s="20" t="n">
        <v>3702.001</v>
      </c>
      <c r="K114" s="20" t="n">
        <v>3662.333</v>
      </c>
      <c r="L114" s="20" t="n">
        <v>4161.335</v>
      </c>
    </row>
    <row r="115">
      <c r="A115" s="18" t="inlineStr">
        <is>
          <t>단기차입금</t>
        </is>
      </c>
      <c r="C115" s="20" t="n">
        <v>2000</v>
      </c>
      <c r="D115" s="20" t="n">
        <v>2300</v>
      </c>
      <c r="E115" s="20" t="n">
        <v>2300</v>
      </c>
      <c r="F115" s="20" t="n">
        <v>2300</v>
      </c>
      <c r="G115" s="20" t="n">
        <v>2300</v>
      </c>
      <c r="K115" s="20" t="n">
        <v>0</v>
      </c>
      <c r="L115" s="20" t="n">
        <v>2300</v>
      </c>
    </row>
    <row r="116">
      <c r="A116" s="18" t="inlineStr">
        <is>
          <t>미지급금</t>
        </is>
      </c>
      <c r="C116" s="20" t="n">
        <v>262.289</v>
      </c>
      <c r="D116" s="20" t="n">
        <v>230.893</v>
      </c>
      <c r="E116" s="20" t="n">
        <v>270.34</v>
      </c>
      <c r="F116" s="20" t="n">
        <v>253.835</v>
      </c>
      <c r="G116" s="20" t="n">
        <v>231.927</v>
      </c>
      <c r="H116" s="20" t="n">
        <v>326.753</v>
      </c>
      <c r="I116" s="20" t="n">
        <v>166.181</v>
      </c>
      <c r="J116" s="20" t="n">
        <v>381.548</v>
      </c>
      <c r="K116" s="20" t="n">
        <v>278.673</v>
      </c>
      <c r="L116" s="20" t="n">
        <v>253.835</v>
      </c>
    </row>
    <row r="117">
      <c r="A117" s="18" t="inlineStr">
        <is>
          <t>미지급비용</t>
        </is>
      </c>
      <c r="C117" s="20" t="n">
        <v>382.631</v>
      </c>
      <c r="D117" s="20" t="n">
        <v>690.269</v>
      </c>
      <c r="E117" s="20" t="n">
        <v>381.018</v>
      </c>
      <c r="F117" s="20" t="n">
        <v>693.304</v>
      </c>
      <c r="G117" s="20" t="n">
        <v>378.99</v>
      </c>
      <c r="H117" s="20" t="n">
        <v>505.652</v>
      </c>
      <c r="I117" s="20" t="n">
        <v>527.562</v>
      </c>
      <c r="J117" s="20" t="n">
        <v>659.923</v>
      </c>
      <c r="K117" s="20" t="n">
        <v>607.172</v>
      </c>
      <c r="L117" s="20" t="n">
        <v>693.304</v>
      </c>
    </row>
    <row r="118">
      <c r="A118" s="18" t="inlineStr">
        <is>
          <t>미지급법인세</t>
        </is>
      </c>
      <c r="C118" s="20" t="n">
        <v>58.504</v>
      </c>
      <c r="D118" s="20" t="n">
        <v>380.242</v>
      </c>
      <c r="E118" s="20" t="n">
        <v>134.199</v>
      </c>
      <c r="F118" s="20" t="n">
        <v>543.782</v>
      </c>
      <c r="G118" s="20" t="n">
        <v>112.337</v>
      </c>
      <c r="H118" s="20" t="n">
        <v>424.5</v>
      </c>
      <c r="I118" s="20" t="n">
        <v>423</v>
      </c>
      <c r="J118" s="20" t="n">
        <v>449.396</v>
      </c>
      <c r="K118" s="20" t="n">
        <v>429.3</v>
      </c>
      <c r="L118" s="20" t="n">
        <v>543.782</v>
      </c>
    </row>
    <row r="119">
      <c r="A119" s="18" t="inlineStr">
        <is>
          <t>미지급 소비세</t>
        </is>
      </c>
      <c r="C119" s="20" t="n">
        <v>108.747</v>
      </c>
      <c r="D119" s="20" t="n">
        <v>148.288</v>
      </c>
      <c r="E119" s="20" t="n">
        <v>163.294</v>
      </c>
      <c r="F119" s="20" t="n">
        <v>264.4</v>
      </c>
      <c r="G119" s="20" t="n">
        <v>98.41</v>
      </c>
      <c r="H119" s="20" t="n">
        <v>33.682</v>
      </c>
      <c r="I119" s="20" t="n">
        <v>84.197</v>
      </c>
      <c r="J119" s="20" t="n">
        <v>129.914</v>
      </c>
      <c r="K119" s="20" t="n">
        <v>0</v>
      </c>
      <c r="L119" s="20" t="n">
        <v>264.4</v>
      </c>
    </row>
    <row r="120">
      <c r="A120" s="18" t="inlineStr">
        <is>
          <t>선수금</t>
        </is>
      </c>
      <c r="F120" s="20" t="n">
        <v>38.795</v>
      </c>
      <c r="H120" s="20" t="n">
        <v>74.19499999999999</v>
      </c>
      <c r="I120" s="20" t="n">
        <v>30.983</v>
      </c>
      <c r="J120" s="20" t="n">
        <v>43.711</v>
      </c>
      <c r="K120" s="20" t="n">
        <v>19.04</v>
      </c>
      <c r="L120" s="20" t="n">
        <v>38.795</v>
      </c>
    </row>
    <row r="121">
      <c r="A121" s="18" t="inlineStr">
        <is>
          <t>예수금</t>
        </is>
      </c>
      <c r="F121" s="20" t="n">
        <v>24.432</v>
      </c>
      <c r="H121" s="20" t="n">
        <v>18.653</v>
      </c>
      <c r="I121" s="20" t="n">
        <v>26.979</v>
      </c>
      <c r="J121" s="20" t="n">
        <v>39.055</v>
      </c>
      <c r="K121" s="20" t="n">
        <v>23.637</v>
      </c>
      <c r="L121" s="20" t="n">
        <v>24.432</v>
      </c>
    </row>
    <row r="122">
      <c r="A122" s="18" t="inlineStr">
        <is>
          <t>선수수익</t>
        </is>
      </c>
      <c r="F122" s="20" t="n">
        <v>2.336</v>
      </c>
      <c r="H122" s="20" t="n">
        <v>2.603</v>
      </c>
      <c r="I122" s="20" t="n">
        <v>3.08</v>
      </c>
      <c r="J122" s="20" t="n">
        <v>2.739</v>
      </c>
      <c r="K122" s="20" t="n">
        <v>2.193</v>
      </c>
      <c r="L122" s="20" t="n">
        <v>2.336</v>
      </c>
    </row>
    <row r="123">
      <c r="A123" s="18" t="inlineStr">
        <is>
          <t>기타</t>
        </is>
      </c>
      <c r="C123" s="20" t="n">
        <v>280.092</v>
      </c>
      <c r="D123" s="20" t="n">
        <v>75.122</v>
      </c>
      <c r="E123" s="20" t="n">
        <v>200.418</v>
      </c>
      <c r="F123" s="20" t="n">
        <v>75.991</v>
      </c>
      <c r="G123" s="20" t="n">
        <v>282.398</v>
      </c>
      <c r="H123" s="20" t="n">
        <v>10.58</v>
      </c>
      <c r="I123" s="20" t="n">
        <v>9.727</v>
      </c>
      <c r="J123" s="20" t="n">
        <v>101.773</v>
      </c>
      <c r="K123" s="20" t="n">
        <v>7.252</v>
      </c>
      <c r="L123" s="20" t="n">
        <v>75.991</v>
      </c>
    </row>
    <row r="124">
      <c r="A124" s="9" t="inlineStr">
        <is>
          <t>유동부채 합계</t>
        </is>
      </c>
      <c r="C124" s="12" t="n">
        <v>6580.585</v>
      </c>
      <c r="D124" s="12" t="n">
        <v>7028.97</v>
      </c>
      <c r="E124" s="12" t="n">
        <v>8937.796</v>
      </c>
      <c r="F124" s="12" t="n">
        <v>8292.648999999999</v>
      </c>
      <c r="G124" s="12" t="n">
        <v>7348.086</v>
      </c>
      <c r="H124" s="12" t="n">
        <v>4489.383</v>
      </c>
      <c r="I124" s="12" t="n">
        <v>4406.221</v>
      </c>
      <c r="J124" s="12" t="n">
        <v>5424.559</v>
      </c>
      <c r="K124" s="12" t="n">
        <v>5029.602</v>
      </c>
      <c r="L124" s="12" t="n">
        <v>8292.648999999999</v>
      </c>
    </row>
    <row r="125">
      <c r="A125" s="18" t="inlineStr">
        <is>
          <t>장기미지급금</t>
        </is>
      </c>
      <c r="C125" s="20" t="n">
        <v>125.5</v>
      </c>
      <c r="D125" s="20" t="n">
        <v>125.5</v>
      </c>
      <c r="E125" s="20" t="n">
        <v>125.5</v>
      </c>
      <c r="F125" s="20" t="n">
        <v>125.5</v>
      </c>
      <c r="G125" s="20" t="n">
        <v>125.5</v>
      </c>
      <c r="H125" s="20" t="n">
        <v>124.2</v>
      </c>
      <c r="I125" s="20" t="n">
        <v>124.2</v>
      </c>
      <c r="J125" s="20" t="n">
        <v>125.5</v>
      </c>
      <c r="K125" s="20" t="n">
        <v>124.2</v>
      </c>
      <c r="L125" s="20" t="n">
        <v>125.5</v>
      </c>
    </row>
    <row r="126">
      <c r="A126" s="18" t="inlineStr">
        <is>
          <t>장기 예수보증금</t>
        </is>
      </c>
      <c r="C126" s="20" t="n">
        <v>152.951</v>
      </c>
      <c r="D126" s="20" t="n">
        <v>151.501</v>
      </c>
      <c r="E126" s="20" t="n">
        <v>156.001</v>
      </c>
      <c r="F126" s="20" t="n">
        <v>158.001</v>
      </c>
      <c r="G126" s="20" t="n">
        <v>157.851</v>
      </c>
      <c r="H126" s="20" t="n">
        <v>149.318</v>
      </c>
      <c r="I126" s="20" t="n">
        <v>153.318</v>
      </c>
      <c r="J126" s="20" t="n">
        <v>152.251</v>
      </c>
      <c r="K126" s="20" t="n">
        <v>152.851</v>
      </c>
      <c r="L126" s="20" t="n">
        <v>158.001</v>
      </c>
    </row>
    <row r="127">
      <c r="A127" s="18" t="inlineStr">
        <is>
          <t>퇴직급여부채</t>
        </is>
      </c>
      <c r="C127" s="20" t="n">
        <v>124.728</v>
      </c>
      <c r="D127" s="20" t="n">
        <v>126.865</v>
      </c>
      <c r="E127" s="20" t="n">
        <v>128.001</v>
      </c>
      <c r="F127" s="20" t="n">
        <v>128.232</v>
      </c>
      <c r="G127" s="20" t="n">
        <v>130.349</v>
      </c>
      <c r="H127" s="20" t="n">
        <v>148.737</v>
      </c>
      <c r="I127" s="20" t="n">
        <v>143.853</v>
      </c>
      <c r="J127" s="20" t="n">
        <v>132.869</v>
      </c>
      <c r="K127" s="20" t="n">
        <v>124.827</v>
      </c>
      <c r="L127" s="20" t="n">
        <v>128.232</v>
      </c>
    </row>
    <row r="128">
      <c r="A128" s="18" t="inlineStr">
        <is>
          <t>기타</t>
        </is>
      </c>
      <c r="H128" s="20" t="n">
        <v>0</v>
      </c>
    </row>
    <row r="129">
      <c r="A129" s="18" t="inlineStr">
        <is>
          <t>이연법인세부채</t>
        </is>
      </c>
      <c r="C129" s="20" t="n">
        <v>857.527</v>
      </c>
      <c r="D129" s="20" t="n">
        <v>855.889</v>
      </c>
      <c r="E129" s="20" t="n">
        <v>1074.101</v>
      </c>
      <c r="F129" s="20" t="n">
        <v>918.7190000000001</v>
      </c>
      <c r="G129" s="20" t="n">
        <v>1528.385</v>
      </c>
      <c r="H129" s="20" t="n">
        <v>141.883</v>
      </c>
      <c r="I129" s="20" t="n">
        <v>204.723</v>
      </c>
      <c r="J129" s="20" t="n">
        <v>806.3680000000001</v>
      </c>
      <c r="K129" s="20" t="n">
        <v>495.562</v>
      </c>
      <c r="L129" s="20" t="n">
        <v>918.7190000000001</v>
      </c>
    </row>
    <row r="130">
      <c r="A130" s="18" t="inlineStr">
        <is>
          <t>퇴직급여충당금</t>
        </is>
      </c>
      <c r="F130" s="20" t="n">
        <v>147.621</v>
      </c>
      <c r="H130" s="20" t="n">
        <v>152.112</v>
      </c>
      <c r="I130" s="20" t="n">
        <v>152.223</v>
      </c>
      <c r="J130" s="20" t="n">
        <v>148.152</v>
      </c>
      <c r="K130" s="20" t="n">
        <v>147.362</v>
      </c>
      <c r="L130" s="20" t="n">
        <v>147.621</v>
      </c>
    </row>
    <row r="131">
      <c r="A131" s="9" t="inlineStr">
        <is>
          <t>비유동부채 합계</t>
        </is>
      </c>
      <c r="C131" s="12" t="n">
        <v>1260.706</v>
      </c>
      <c r="D131" s="12" t="n">
        <v>1259.756</v>
      </c>
      <c r="E131" s="12" t="n">
        <v>1483.604</v>
      </c>
      <c r="F131" s="12" t="n">
        <v>1330.452</v>
      </c>
      <c r="G131" s="12" t="n">
        <v>1942.086</v>
      </c>
      <c r="H131" s="12" t="n">
        <v>567.514</v>
      </c>
      <c r="I131" s="12" t="n">
        <v>634.465</v>
      </c>
      <c r="J131" s="12" t="n">
        <v>1216.989</v>
      </c>
      <c r="K131" s="12" t="n">
        <v>919.976</v>
      </c>
      <c r="L131" s="12" t="n">
        <v>1330.452</v>
      </c>
    </row>
    <row r="132">
      <c r="A132" s="9" t="inlineStr">
        <is>
          <t>부채 합계</t>
        </is>
      </c>
      <c r="C132" s="12" t="n">
        <v>7841.292</v>
      </c>
      <c r="D132" s="12" t="n">
        <v>8288.726000000001</v>
      </c>
      <c r="E132" s="12" t="n">
        <v>10421.401</v>
      </c>
      <c r="F132" s="12" t="n">
        <v>9623.102000000001</v>
      </c>
      <c r="G132" s="12" t="n">
        <v>9290.173000000001</v>
      </c>
      <c r="H132" s="12" t="n">
        <v>5056.898</v>
      </c>
      <c r="I132" s="12" t="n">
        <v>5040.687</v>
      </c>
      <c r="J132" s="12" t="n">
        <v>6641.548</v>
      </c>
      <c r="K132" s="12" t="n">
        <v>5949.578</v>
      </c>
      <c r="L132" s="12" t="n">
        <v>9623.102000000001</v>
      </c>
    </row>
    <row r="133">
      <c r="A133" s="18" t="inlineStr">
        <is>
          <t>자본금</t>
        </is>
      </c>
      <c r="C133" s="20" t="n">
        <v>2597.406</v>
      </c>
      <c r="D133" s="20" t="n">
        <v>2597.406</v>
      </c>
      <c r="E133" s="20" t="n">
        <v>2597.406</v>
      </c>
      <c r="F133" s="20" t="n">
        <v>2597.406</v>
      </c>
      <c r="G133" s="20" t="n">
        <v>2597.406</v>
      </c>
      <c r="H133" s="20" t="n">
        <v>2597.406</v>
      </c>
      <c r="I133" s="20" t="n">
        <v>2597.406</v>
      </c>
      <c r="J133" s="20" t="n">
        <v>2597.406</v>
      </c>
      <c r="K133" s="20" t="n">
        <v>2597.406</v>
      </c>
      <c r="L133" s="20" t="n">
        <v>2597.406</v>
      </c>
    </row>
    <row r="134">
      <c r="A134" s="18" t="inlineStr">
        <is>
          <t>자본준비금</t>
        </is>
      </c>
      <c r="F134" s="20" t="n">
        <v>2513.808</v>
      </c>
      <c r="H134" s="20" t="n">
        <v>2513.808</v>
      </c>
      <c r="I134" s="20" t="n">
        <v>2513.808</v>
      </c>
      <c r="J134" s="20" t="n">
        <v>2513.808</v>
      </c>
      <c r="K134" s="20" t="n">
        <v>2513.808</v>
      </c>
      <c r="L134" s="20" t="n">
        <v>2513.808</v>
      </c>
    </row>
    <row r="135">
      <c r="A135" s="18" t="inlineStr">
        <is>
          <t>기타자본잉여금</t>
        </is>
      </c>
      <c r="F135" s="20" t="n">
        <v>15.486</v>
      </c>
      <c r="H135" s="20" t="n">
        <v>15.486</v>
      </c>
      <c r="I135" s="20" t="n">
        <v>15.486</v>
      </c>
      <c r="J135" s="20" t="n">
        <v>15.486</v>
      </c>
      <c r="K135" s="20" t="n">
        <v>15.486</v>
      </c>
      <c r="L135" s="20" t="n">
        <v>15.486</v>
      </c>
    </row>
    <row r="136">
      <c r="A136" s="18" t="inlineStr">
        <is>
          <t>자본잉여금</t>
        </is>
      </c>
      <c r="C136" s="20" t="n">
        <v>2529.295</v>
      </c>
      <c r="D136" s="20" t="n">
        <v>2529.295</v>
      </c>
      <c r="E136" s="20" t="n">
        <v>2529.295</v>
      </c>
      <c r="F136" s="20" t="n">
        <v>2529.295</v>
      </c>
      <c r="G136" s="20" t="n">
        <v>2513.808</v>
      </c>
      <c r="H136" s="20" t="n">
        <v>2529.295</v>
      </c>
      <c r="I136" s="20" t="n">
        <v>2529.295</v>
      </c>
      <c r="J136" s="20" t="n">
        <v>2529.295</v>
      </c>
      <c r="K136" s="20" t="n">
        <v>2529.295</v>
      </c>
      <c r="L136" s="20" t="n">
        <v>2529.295</v>
      </c>
    </row>
    <row r="137">
      <c r="A137" s="18" t="inlineStr">
        <is>
          <t>이익준비금</t>
        </is>
      </c>
      <c r="F137" s="20" t="n">
        <v>260.979</v>
      </c>
      <c r="H137" s="20" t="n">
        <v>260.979</v>
      </c>
      <c r="I137" s="20" t="n">
        <v>260.979</v>
      </c>
      <c r="J137" s="20" t="n">
        <v>260.979</v>
      </c>
      <c r="K137" s="20" t="n">
        <v>260.979</v>
      </c>
      <c r="L137" s="20" t="n">
        <v>260.979</v>
      </c>
    </row>
    <row r="138">
      <c r="A138" s="18" t="inlineStr">
        <is>
          <t>고정자산 압축적립금</t>
        </is>
      </c>
      <c r="F138" s="20" t="n">
        <v>148.934</v>
      </c>
      <c r="H138" s="20" t="n">
        <v>152.934</v>
      </c>
      <c r="I138" s="20" t="n">
        <v>152.589</v>
      </c>
      <c r="J138" s="20" t="n">
        <v>152.265</v>
      </c>
      <c r="K138" s="20" t="n">
        <v>151.104</v>
      </c>
      <c r="L138" s="20" t="n">
        <v>148.934</v>
      </c>
    </row>
    <row r="139">
      <c r="A139" s="18" t="inlineStr">
        <is>
          <t>별도적립금</t>
        </is>
      </c>
      <c r="F139" s="20" t="n">
        <v>20550</v>
      </c>
      <c r="H139" s="20" t="n">
        <v>20550</v>
      </c>
      <c r="I139" s="20" t="n">
        <v>20550</v>
      </c>
      <c r="J139" s="20" t="n">
        <v>20550</v>
      </c>
      <c r="K139" s="20" t="n">
        <v>20550</v>
      </c>
      <c r="L139" s="20" t="n">
        <v>20550</v>
      </c>
    </row>
    <row r="140">
      <c r="A140" s="18" t="inlineStr">
        <is>
          <t>이월이익잉여금</t>
        </is>
      </c>
      <c r="F140" s="20" t="n">
        <v>8879.904</v>
      </c>
      <c r="H140" s="20" t="n">
        <v>4966.177</v>
      </c>
      <c r="I140" s="20" t="n">
        <v>6086.538</v>
      </c>
      <c r="J140" s="20" t="n">
        <v>6775.595</v>
      </c>
      <c r="K140" s="20" t="n">
        <v>8234.117</v>
      </c>
      <c r="L140" s="20" t="n">
        <v>8879.904</v>
      </c>
    </row>
    <row r="141">
      <c r="A141" s="18" t="inlineStr">
        <is>
          <t>이익잉여금</t>
        </is>
      </c>
      <c r="C141" s="20" t="n">
        <v>32012.828</v>
      </c>
      <c r="D141" s="20" t="n">
        <v>32441.136</v>
      </c>
      <c r="E141" s="20" t="n">
        <v>32658.816</v>
      </c>
      <c r="F141" s="20" t="n">
        <v>33421.364</v>
      </c>
      <c r="G141" s="20" t="n">
        <v>27612.092</v>
      </c>
      <c r="H141" s="20" t="n">
        <v>25930.091</v>
      </c>
      <c r="I141" s="20" t="n">
        <v>27050.107</v>
      </c>
      <c r="J141" s="20" t="n">
        <v>31082.228</v>
      </c>
      <c r="K141" s="20" t="n">
        <v>29196.201</v>
      </c>
      <c r="L141" s="20" t="n">
        <v>33421.364</v>
      </c>
    </row>
    <row r="142">
      <c r="A142" s="18" t="inlineStr">
        <is>
          <t>자기주식</t>
        </is>
      </c>
      <c r="C142" s="20" t="n">
        <v>-5097.874</v>
      </c>
      <c r="D142" s="20" t="n">
        <v>-6261.474</v>
      </c>
      <c r="E142" s="20" t="n">
        <v>-6933.868</v>
      </c>
      <c r="F142" s="20" t="n">
        <v>-6933.868</v>
      </c>
      <c r="G142" s="20" t="n">
        <v>-1198.924</v>
      </c>
      <c r="H142" s="20" t="n">
        <v>-2549.906</v>
      </c>
      <c r="I142" s="20" t="n">
        <v>-2549.906</v>
      </c>
      <c r="J142" s="20" t="n">
        <v>-2550.013</v>
      </c>
      <c r="K142" s="20" t="n">
        <v>-3933.919</v>
      </c>
      <c r="L142" s="20" t="n">
        <v>-6933.868</v>
      </c>
    </row>
    <row r="143">
      <c r="A143" s="9" t="inlineStr">
        <is>
          <t>주주자본 합계</t>
        </is>
      </c>
      <c r="C143" s="12" t="n">
        <v>32041.656</v>
      </c>
      <c r="D143" s="12" t="n">
        <v>31306.364</v>
      </c>
      <c r="E143" s="12" t="n">
        <v>30851.65</v>
      </c>
      <c r="F143" s="12" t="n">
        <v>31614.198</v>
      </c>
      <c r="G143" s="12" t="n">
        <v>31524.383</v>
      </c>
      <c r="H143" s="12" t="n">
        <v>28506.887</v>
      </c>
      <c r="I143" s="12" t="n">
        <v>29626.903</v>
      </c>
      <c r="J143" s="12" t="n">
        <v>33658.917</v>
      </c>
      <c r="K143" s="12" t="n">
        <v>30388.984</v>
      </c>
      <c r="L143" s="12" t="n">
        <v>31614.198</v>
      </c>
    </row>
    <row r="144">
      <c r="A144" s="18" t="inlineStr">
        <is>
          <t>기타유가증권 평가차액</t>
        </is>
      </c>
      <c r="C144" s="20" t="n">
        <v>1941.52</v>
      </c>
      <c r="D144" s="20" t="n">
        <v>2166.019</v>
      </c>
      <c r="E144" s="20" t="n">
        <v>2398.86</v>
      </c>
      <c r="F144" s="20" t="n">
        <v>2229.833</v>
      </c>
      <c r="G144" s="20" t="n">
        <v>3257.004</v>
      </c>
      <c r="H144" s="20" t="n">
        <v>1039.184</v>
      </c>
      <c r="I144" s="20" t="n">
        <v>1127.92</v>
      </c>
      <c r="J144" s="20" t="n">
        <v>2161.799</v>
      </c>
      <c r="K144" s="20" t="n">
        <v>1584.481</v>
      </c>
      <c r="L144" s="20" t="n">
        <v>2229.833</v>
      </c>
    </row>
    <row r="145">
      <c r="A145" s="18" t="inlineStr">
        <is>
          <t>퇴직급여 조정누계액</t>
        </is>
      </c>
      <c r="C145" s="20" t="n">
        <v>143.713</v>
      </c>
      <c r="D145" s="20" t="n">
        <v>135.862</v>
      </c>
      <c r="E145" s="20" t="n">
        <v>128.012</v>
      </c>
      <c r="F145" s="20" t="n">
        <v>163.588</v>
      </c>
      <c r="G145" s="20" t="n">
        <v>154.321</v>
      </c>
      <c r="H145" s="20" t="n">
        <v>39.124</v>
      </c>
      <c r="I145" s="20" t="n">
        <v>12.6</v>
      </c>
      <c r="J145" s="20" t="n">
        <v>137.382</v>
      </c>
      <c r="K145" s="20" t="n">
        <v>153.531</v>
      </c>
      <c r="L145" s="20" t="n">
        <v>163.588</v>
      </c>
    </row>
    <row r="146">
      <c r="A146" s="18" t="inlineStr">
        <is>
          <t>기타포괄손익누계액 합계</t>
        </is>
      </c>
      <c r="C146" s="20" t="n">
        <v>2085.233</v>
      </c>
      <c r="D146" s="20" t="n">
        <v>2301.881</v>
      </c>
      <c r="E146" s="20" t="n">
        <v>2526.872</v>
      </c>
      <c r="F146" s="20" t="n">
        <v>2393.421</v>
      </c>
      <c r="G146" s="20" t="n">
        <v>3411.325</v>
      </c>
      <c r="H146" s="20" t="n">
        <v>1039.184</v>
      </c>
      <c r="I146" s="20" t="n">
        <v>1127.92</v>
      </c>
      <c r="J146" s="20" t="n">
        <v>2299.182</v>
      </c>
      <c r="K146" s="20" t="n">
        <v>1584.481</v>
      </c>
      <c r="L146" s="20" t="n">
        <v>2393.421</v>
      </c>
    </row>
    <row r="147">
      <c r="A147" s="9" t="inlineStr">
        <is>
          <t>순자산 합계</t>
        </is>
      </c>
      <c r="C147" s="12" t="n">
        <v>34126.89</v>
      </c>
      <c r="D147" s="12" t="n">
        <v>33608.245</v>
      </c>
      <c r="E147" s="12" t="n">
        <v>33378.522</v>
      </c>
      <c r="F147" s="12" t="n">
        <v>34007.62</v>
      </c>
      <c r="G147" s="12" t="n">
        <v>34935.708</v>
      </c>
      <c r="H147" s="12" t="n">
        <v>29546.072</v>
      </c>
      <c r="I147" s="12" t="n">
        <v>30754.823</v>
      </c>
      <c r="J147" s="12" t="n">
        <v>35958.099</v>
      </c>
      <c r="K147" s="12" t="n">
        <v>31973.465</v>
      </c>
      <c r="L147" s="12" t="n">
        <v>34007.62</v>
      </c>
    </row>
    <row r="148">
      <c r="A148" s="9" t="inlineStr">
        <is>
          <t>부채·순자산 합계</t>
        </is>
      </c>
      <c r="C148" s="12" t="n">
        <v>41968.183</v>
      </c>
      <c r="D148" s="12" t="n">
        <v>41896.972</v>
      </c>
      <c r="E148" s="12" t="n">
        <v>43799.924</v>
      </c>
      <c r="F148" s="12" t="n">
        <v>43630.722</v>
      </c>
      <c r="G148" s="12" t="n">
        <v>44225.882</v>
      </c>
      <c r="H148" s="12" t="n">
        <v>34602.97</v>
      </c>
      <c r="I148" s="12" t="n">
        <v>35795.511</v>
      </c>
      <c r="J148" s="12" t="n">
        <v>42599.648</v>
      </c>
      <c r="K148" s="12" t="n">
        <v>37923.044</v>
      </c>
      <c r="L148" s="12" t="n">
        <v>43630.722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49" t="inlineStr">
        <is>
          <t>출처 · 쓴 결산단신</t>
        </is>
      </c>
    </row>
    <row r="3">
      <c r="A3" s="50" t="inlineStr">
        <is>
          <t>공시일</t>
        </is>
      </c>
      <c r="B3" s="50" t="inlineStr">
        <is>
          <t>문서</t>
        </is>
      </c>
      <c r="C3" s="50" t="inlineStr">
        <is>
          <t>PDF</t>
        </is>
      </c>
    </row>
    <row r="4">
      <c r="A4" t="inlineStr">
        <is>
          <t>2026-07-29</t>
        </is>
      </c>
      <c r="B4" t="inlineStr">
        <is>
          <t>2027년 3월 결산기 １분기 결산단신</t>
        </is>
      </c>
      <c r="C4" t="inlineStr">
        <is>
          <t>https://www2.jpx.co.jp/disc/99320/140120260728500767.pdf</t>
        </is>
      </c>
    </row>
    <row r="5">
      <c r="A5" t="inlineStr">
        <is>
          <t>2026-04-27</t>
        </is>
      </c>
      <c r="B5" t="inlineStr">
        <is>
          <t>2026년 3월 결산기 연간 결산단신</t>
        </is>
      </c>
      <c r="C5" t="inlineStr">
        <is>
          <t>https://www2.jpx.co.jp/disc/99320/140120260424510755.pdf</t>
        </is>
      </c>
    </row>
    <row r="6">
      <c r="A6" t="inlineStr">
        <is>
          <t>2026-01-28</t>
        </is>
      </c>
      <c r="B6" t="inlineStr">
        <is>
          <t>2026년 3월 결산기 ３분기 결산단신</t>
        </is>
      </c>
      <c r="C6" t="inlineStr">
        <is>
          <t>https://www2.jpx.co.jp/disc/99320/140120260127539524.pdf</t>
        </is>
      </c>
    </row>
    <row r="7">
      <c r="A7" t="inlineStr">
        <is>
          <t>2025-10-29</t>
        </is>
      </c>
      <c r="B7" t="inlineStr">
        <is>
          <t>2026년 3월 결산기 2분기 결산단신</t>
        </is>
      </c>
      <c r="C7" t="inlineStr">
        <is>
          <t>https://www2.jpx.co.jp/disc/99320/140120251028580532.pdf</t>
        </is>
      </c>
    </row>
    <row r="8">
      <c r="A8" t="inlineStr">
        <is>
          <t>2025-07-29</t>
        </is>
      </c>
      <c r="B8" t="inlineStr">
        <is>
          <t>2026년 3월 결산기 1분기 결산단신</t>
        </is>
      </c>
      <c r="C8" t="inlineStr">
        <is>
          <t>https://www2.jpx.co.jp/disc/99320/140120250728521763.pdf</t>
        </is>
      </c>
    </row>
    <row r="9">
      <c r="A9" t="inlineStr">
        <is>
          <t>2025-04-25</t>
        </is>
      </c>
      <c r="B9" t="inlineStr">
        <is>
          <t>2025년 3월 결산기 연간 결산단신</t>
        </is>
      </c>
      <c r="C9" t="inlineStr">
        <is>
          <t>https://www2.jpx.co.jp/disc/99320/140120250424522270.pdf</t>
        </is>
      </c>
    </row>
    <row r="10">
      <c r="A10" t="inlineStr">
        <is>
          <t>2025-01-29</t>
        </is>
      </c>
      <c r="B10" t="inlineStr">
        <is>
          <t>2025년 3월 결산기 ３분기 결산단신</t>
        </is>
      </c>
      <c r="C10" t="inlineStr">
        <is>
          <t>https://www2.jpx.co.jp/disc/99320/140120250128556520.pdf</t>
        </is>
      </c>
    </row>
    <row r="11">
      <c r="A11" t="inlineStr">
        <is>
          <t>2024-10-29</t>
        </is>
      </c>
      <c r="B11" t="inlineStr">
        <is>
          <t>2025년 3월 결산기 2분기 결산단신</t>
        </is>
      </c>
      <c r="C11" t="inlineStr">
        <is>
          <t>https://www2.jpx.co.jp/disc/99320/140120241029504458.pdf</t>
        </is>
      </c>
    </row>
    <row r="12">
      <c r="A12" t="inlineStr">
        <is>
          <t>2024-07-29</t>
        </is>
      </c>
      <c r="B12" t="inlineStr">
        <is>
          <t>2025년 3월 결산기 １분기 결산단신</t>
        </is>
      </c>
      <c r="C12" t="inlineStr">
        <is>
          <t>https://www2.jpx.co.jp/disc/99320/140120240729556349.pdf</t>
        </is>
      </c>
    </row>
    <row r="13">
      <c r="A13" t="inlineStr">
        <is>
          <t>2024-04-25</t>
        </is>
      </c>
      <c r="B13" t="inlineStr">
        <is>
          <t>2024년 3월 결산기 연간 결산단신</t>
        </is>
      </c>
      <c r="C13" t="inlineStr">
        <is>
          <t>https://www2.jpx.co.jp/disc/99320/140120240425576283.pdf</t>
        </is>
      </c>
    </row>
    <row r="14">
      <c r="A14" t="inlineStr">
        <is>
          <t>2024-01-29</t>
        </is>
      </c>
      <c r="B14" t="inlineStr">
        <is>
          <t>2024년 3월 결산기 3분기 결산단신</t>
        </is>
      </c>
      <c r="C14" t="inlineStr">
        <is>
          <t>https://www2.jpx.co.jp/disc/99320/140120240126519893.pdf</t>
        </is>
      </c>
    </row>
    <row r="15">
      <c r="A15" t="inlineStr">
        <is>
          <t>2023-10-27</t>
        </is>
      </c>
      <c r="B15" t="inlineStr">
        <is>
          <t>2024년 3월 결산기 2분기 결산단신</t>
        </is>
      </c>
      <c r="C15" t="inlineStr">
        <is>
          <t>https://www2.jpx.co.jp/disc/99320/140120231027572818.pdf</t>
        </is>
      </c>
    </row>
    <row r="16">
      <c r="A16" t="inlineStr">
        <is>
          <t>2023-07-27</t>
        </is>
      </c>
      <c r="B16" t="inlineStr">
        <is>
          <t>2024년 3월 결산기 1분기 결산단신</t>
        </is>
      </c>
      <c r="C16" t="inlineStr">
        <is>
          <t>https://www2.jpx.co.jp/disc/99320/140120230727527966.pdf</t>
        </is>
      </c>
    </row>
    <row r="17">
      <c r="A17" t="inlineStr">
        <is>
          <t>2023-04-26</t>
        </is>
      </c>
      <c r="B17" t="inlineStr">
        <is>
          <t>2023년 3월 결산기 연간 결산단신</t>
        </is>
      </c>
      <c r="C17" t="inlineStr">
        <is>
          <t>https://www2.jpx.co.jp/disc/99320/140120230425552642.pdf</t>
        </is>
      </c>
    </row>
    <row r="18">
      <c r="A18" t="inlineStr">
        <is>
          <t>2023-01-27</t>
        </is>
      </c>
      <c r="B18" t="inlineStr">
        <is>
          <t>2023년 3월 결산기 3분기 결산단신</t>
        </is>
      </c>
      <c r="C18" t="inlineStr">
        <is>
          <t>https://www2.jpx.co.jp/disc/99320/140120230126594206.pdf</t>
        </is>
      </c>
    </row>
    <row r="19">
      <c r="A19" t="inlineStr">
        <is>
          <t>2022-10-27</t>
        </is>
      </c>
      <c r="B19" t="inlineStr">
        <is>
          <t>2023년 3월 결산기 2분기 결산단신</t>
        </is>
      </c>
      <c r="C19" t="inlineStr">
        <is>
          <t>https://www2.jpx.co.jp/disc/99320/140120221026550087.pdf</t>
        </is>
      </c>
    </row>
    <row r="20">
      <c r="A20" t="inlineStr">
        <is>
          <t>2022-04-26</t>
        </is>
      </c>
      <c r="B20" t="inlineStr">
        <is>
          <t>2022년 3월 결산기 연간 결산단신</t>
        </is>
      </c>
      <c r="C20" t="inlineStr">
        <is>
          <t>https://www2.jpx.co.jp/disc/99320/140120220426527765.pdf</t>
        </is>
      </c>
    </row>
    <row r="21">
      <c r="A21" t="inlineStr">
        <is>
          <t>2021-04-27</t>
        </is>
      </c>
      <c r="B21" t="inlineStr">
        <is>
          <t>2021년 3월 결산기 연간 결산단신</t>
        </is>
      </c>
      <c r="C21" t="inlineStr">
        <is>
          <t>https://www2.jpx.co.jp/disc/99320/140120210426400365.pdf</t>
        </is>
      </c>
    </row>
    <row r="22">
      <c r="A22" t="inlineStr">
        <is>
          <t>2020-04-27</t>
        </is>
      </c>
      <c r="B22" t="inlineStr">
        <is>
          <t>2020년 3월 결산기 연간 결산단신</t>
        </is>
      </c>
      <c r="C22" t="inlineStr">
        <is>
          <t>https://www2.jpx.co.jp/disc/99320/140120200424499527.pdf</t>
        </is>
      </c>
    </row>
    <row r="23">
      <c r="A23" t="inlineStr">
        <is>
          <t>2019-04-24</t>
        </is>
      </c>
      <c r="B23" t="inlineStr">
        <is>
          <t>2019년 3월 결산기 연간 결산단신</t>
        </is>
      </c>
      <c r="C23" t="inlineStr">
        <is>
          <t>https://www2.jpx.co.jp/disc/99320/140120190423409071.pdf</t>
        </is>
      </c>
    </row>
    <row r="24">
      <c r="A24" t="inlineStr">
        <is>
          <t>2018-04-25</t>
        </is>
      </c>
      <c r="B24" t="inlineStr">
        <is>
          <t>연간 결산단신</t>
        </is>
      </c>
      <c r="C24" t="inlineStr">
        <is>
          <t>https://www2.jpx.co.jp/disc/99320/140120180420415562.pdf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2026-10-25T11:00:11Z</dcterms:created>
  <dcterms:modified xmlns:dcterms="http://purl.org/dc/terms/" xmlns:xsi="http://www.w3.org/2001/XMLSchema-instance" xsi:type="dcterms:W3CDTF">2026-10-25T11:00:12Z</dcterms:modified>
</cp:coreProperties>
</file>