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연간" sheetId="1" state="visible" r:id="rId1"/>
    <sheet xmlns:r="http://schemas.openxmlformats.org/officeDocument/2006/relationships" name="재무상태표" sheetId="2" state="visible" r:id="rId2"/>
    <sheet xmlns:r="http://schemas.openxmlformats.org/officeDocument/2006/relationships" name="출처" sheetId="3" state="visible" r:id="rId3"/>
  </sheets>
  <definedNames>
    <definedName name="_xlnm.Print_Titles" localSheetId="0">'연간'!$3:$3</definedName>
    <definedName name="_xlnm.Print_Titles" localSheetId="1">'재무상태표'!$3:$3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.0%;-0.0%;&quot;-&quot;"/>
    <numFmt numFmtId="165" formatCode="#,##0;(#,##0);&quot;-&quot;"/>
    <numFmt numFmtId="166" formatCode="0.0&quot;x&quot;;-0.0&quot;x&quot;;&quot;-&quot;"/>
    <numFmt numFmtId="167" formatCode="0.0&quot;년&quot;;-0.0&quot;년&quot;;&quot;-&quot;"/>
    <numFmt numFmtId="168" formatCode="0&quot;일&quot;;-0&quot;일&quot;;&quot;-&quot;"/>
  </numFmts>
  <fonts count="17">
    <font>
      <name val="Calibri"/>
      <family val="2"/>
      <color theme="1"/>
      <sz val="11"/>
      <scheme val="minor"/>
    </font>
    <font>
      <name val="맑은 고딕"/>
      <b val="1"/>
      <color rgb="00000000"/>
      <sz val="20"/>
    </font>
    <font>
      <name val="맑은 고딕"/>
      <color rgb="00FF0000"/>
      <sz val="11"/>
    </font>
    <font>
      <name val="맑은 고딕"/>
      <color rgb="00808080"/>
      <sz val="9"/>
    </font>
    <font>
      <name val="맑은 고딕"/>
      <color rgb="000000FF"/>
      <sz val="9"/>
    </font>
    <font>
      <name val="맑은 고딕"/>
      <b val="1"/>
      <color rgb="00000000"/>
      <sz val="10"/>
    </font>
    <font>
      <name val="맑은 고딕"/>
      <color rgb="00808080"/>
      <sz val="11"/>
    </font>
    <font>
      <name val="맑은 고딕"/>
      <b val="1"/>
      <color rgb="00FFFFFF"/>
      <sz val="11"/>
    </font>
    <font>
      <name val="맑은 고딕"/>
      <color rgb="00000000"/>
      <sz val="11"/>
    </font>
    <font>
      <name val="맑은 고딕"/>
      <color rgb="000000FF"/>
      <sz val="11"/>
    </font>
    <font>
      <name val="맑은 고딕"/>
      <b val="1"/>
      <color rgb="00000000"/>
      <sz val="11"/>
    </font>
    <font>
      <name val="맑은 고딕"/>
      <b val="1"/>
      <color rgb="00FF0000"/>
      <sz val="11"/>
    </font>
    <font>
      <name val="맑은 고딕"/>
      <b val="1"/>
      <color rgb="00808080"/>
      <sz val="9"/>
    </font>
    <font>
      <name val="맑은 고딕"/>
      <color rgb="00FF0000"/>
      <sz val="9"/>
    </font>
    <font>
      <name val="맑은 고딕"/>
      <b val="1"/>
      <color rgb="00FFFFFF"/>
      <sz val="9"/>
    </font>
    <font>
      <name val="맑은 고딕"/>
      <b val="1"/>
      <sz val="20"/>
    </font>
    <font>
      <name val="맑은 고딕"/>
      <b val="1"/>
      <sz val="10"/>
    </font>
  </fonts>
  <fills count="7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808080"/>
      </patternFill>
    </fill>
    <fill>
      <patternFill patternType="solid">
        <fgColor rgb="00A6A6A6"/>
      </patternFill>
    </fill>
    <fill>
      <patternFill patternType="solid">
        <fgColor rgb="00DDEBF7"/>
      </patternFill>
    </fill>
    <fill>
      <patternFill patternType="solid">
        <fgColor rgb="FFD9D9D9"/>
      </patternFill>
    </fill>
  </fills>
  <borders count="4">
    <border>
      <left/>
      <right/>
      <top/>
      <bottom/>
      <diagonal/>
    </border>
    <border>
      <top style="thin">
        <color rgb="007F7F7F"/>
      </top>
      <bottom style="thin">
        <color rgb="007F7F7F"/>
      </bottom>
    </border>
    <border>
      <left style="thin">
        <color rgb="007F7F7F"/>
      </left>
      <top style="thin">
        <color rgb="007F7F7F"/>
      </top>
      <bottom style="thin">
        <color rgb="007F7F7F"/>
      </bottom>
    </border>
    <border>
      <left style="thin">
        <color rgb="007F7F7F"/>
      </left>
      <top/>
      <bottom/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5" fillId="5" borderId="2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65" fontId="10" fillId="0" borderId="3" applyAlignment="1" pivotButton="0" quotePrefix="0" xfId="0">
      <alignment horizontal="center" vertical="center"/>
    </xf>
    <xf numFmtId="165" fontId="10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 indent="1"/>
    </xf>
    <xf numFmtId="164" fontId="6" fillId="0" borderId="3" applyAlignment="1" pivotButton="0" quotePrefix="0" xfId="0">
      <alignment horizontal="center" vertical="center"/>
    </xf>
    <xf numFmtId="164" fontId="6" fillId="0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3" borderId="3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165" fontId="8" fillId="0" borderId="3" applyAlignment="1" pivotButton="0" quotePrefix="0" xfId="0">
      <alignment horizontal="center" vertical="center"/>
    </xf>
    <xf numFmtId="165" fontId="8" fillId="0" borderId="0" applyAlignment="1" pivotButton="0" quotePrefix="0" xfId="0">
      <alignment horizontal="center" vertical="center"/>
    </xf>
    <xf numFmtId="165" fontId="9" fillId="0" borderId="3" applyAlignment="1" pivotButton="0" quotePrefix="0" xfId="0">
      <alignment horizontal="center" vertical="center"/>
    </xf>
    <xf numFmtId="165" fontId="9" fillId="0" borderId="0" applyAlignment="1" pivotButton="0" quotePrefix="0" xfId="0">
      <alignment horizontal="center" vertical="center"/>
    </xf>
    <xf numFmtId="0" fontId="7" fillId="4" borderId="0" applyAlignment="1" pivotButton="0" quotePrefix="0" xfId="0">
      <alignment horizontal="center" vertical="center"/>
    </xf>
    <xf numFmtId="0" fontId="7" fillId="4" borderId="3" applyAlignment="1" pivotButton="0" quotePrefix="0" xfId="0">
      <alignment horizontal="center" vertical="center"/>
    </xf>
    <xf numFmtId="164" fontId="9" fillId="0" borderId="3" applyAlignment="1" pivotButton="0" quotePrefix="0" xfId="0">
      <alignment horizontal="center" vertical="center"/>
    </xf>
    <xf numFmtId="164" fontId="9" fillId="0" borderId="0" applyAlignment="1" pivotButton="0" quotePrefix="0" xfId="0">
      <alignment horizontal="center" vertical="center"/>
    </xf>
    <xf numFmtId="3" fontId="10" fillId="0" borderId="0" applyAlignment="1" pivotButton="0" quotePrefix="0" xfId="0">
      <alignment horizontal="center" vertical="center"/>
    </xf>
    <xf numFmtId="3" fontId="8" fillId="0" borderId="3" applyAlignment="1" pivotButton="0" quotePrefix="0" xfId="0">
      <alignment horizontal="center" vertical="center"/>
    </xf>
    <xf numFmtId="3" fontId="8" fillId="0" borderId="0" applyAlignment="1" pivotButton="0" quotePrefix="0" xfId="0">
      <alignment horizontal="center" vertical="center"/>
    </xf>
    <xf numFmtId="166" fontId="8" fillId="0" borderId="3" applyAlignment="1" pivotButton="0" quotePrefix="0" xfId="0">
      <alignment horizontal="center" vertical="center"/>
    </xf>
    <xf numFmtId="166" fontId="8" fillId="0" borderId="0" applyAlignment="1" pivotButton="0" quotePrefix="0" xfId="0">
      <alignment horizontal="center" vertical="center"/>
    </xf>
    <xf numFmtId="166" fontId="9" fillId="0" borderId="3" applyAlignment="1" pivotButton="0" quotePrefix="0" xfId="0">
      <alignment horizontal="center" vertical="center"/>
    </xf>
    <xf numFmtId="166" fontId="9" fillId="0" borderId="0" applyAlignment="1" pivotButton="0" quotePrefix="0" xfId="0">
      <alignment horizontal="center" vertical="center"/>
    </xf>
    <xf numFmtId="3" fontId="10" fillId="0" borderId="3" applyAlignment="1" pivotButton="0" quotePrefix="0" xfId="0">
      <alignment horizontal="center" vertical="center"/>
    </xf>
    <xf numFmtId="164" fontId="8" fillId="0" borderId="3" applyAlignment="1" pivotButton="0" quotePrefix="0" xfId="0">
      <alignment horizontal="center" vertical="center"/>
    </xf>
    <xf numFmtId="164" fontId="8" fillId="0" borderId="0" applyAlignment="1" pivotButton="0" quotePrefix="0" xfId="0">
      <alignment horizontal="center" vertical="center"/>
    </xf>
    <xf numFmtId="164" fontId="11" fillId="0" borderId="3" applyAlignment="1" pivotButton="0" quotePrefix="0" xfId="0">
      <alignment horizontal="center" vertical="center"/>
    </xf>
    <xf numFmtId="164" fontId="11" fillId="0" borderId="0" applyAlignment="1" pivotButton="0" quotePrefix="0" xfId="0">
      <alignment horizontal="center" vertical="center"/>
    </xf>
    <xf numFmtId="0" fontId="0" fillId="0" borderId="3" pivotButton="0" quotePrefix="0" xfId="0"/>
    <xf numFmtId="0" fontId="12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14" fillId="3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13" fillId="0" borderId="0" pivotButton="0" quotePrefix="0" xfId="0"/>
    <xf numFmtId="0" fontId="8" fillId="0" borderId="0" applyAlignment="1" pivotButton="0" quotePrefix="0" xfId="0">
      <alignment horizontal="left" vertical="center" indent="1"/>
    </xf>
    <xf numFmtId="167" fontId="8" fillId="0" borderId="3" applyAlignment="1" pivotButton="0" quotePrefix="0" xfId="0">
      <alignment horizontal="center" vertical="center"/>
    </xf>
    <xf numFmtId="167" fontId="8" fillId="0" borderId="0" applyAlignment="1" pivotButton="0" quotePrefix="0" xfId="0">
      <alignment horizontal="center" vertical="center"/>
    </xf>
    <xf numFmtId="168" fontId="8" fillId="0" borderId="3" applyAlignment="1" pivotButton="0" quotePrefix="0" xfId="0">
      <alignment horizontal="center" vertical="center"/>
    </xf>
    <xf numFmtId="168" fontId="8" fillId="0" borderId="0" applyAlignment="1" pivotButton="0" quotePrefix="0" xfId="0">
      <alignment horizontal="center" vertical="center"/>
    </xf>
    <xf numFmtId="0" fontId="15" fillId="0" borderId="0" pivotButton="0" quotePrefix="0" xfId="0"/>
    <xf numFmtId="0" fontId="16" fillId="6" borderId="0" pivotButton="0" quotePrefix="0" xfId="0"/>
  </cellXfs>
  <cellStyles count="1">
    <cellStyle name="Normal" xfId="0" builtinId="0" hidden="0"/>
  </cellStyles>
  <dxfs count="1">
    <dxf>
      <font>
        <name val="맑은 고딕"/>
        <b val="1"/>
        <color rgb="00FF000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C225"/>
  <sheetViews>
    <sheetView showGridLines="0" zoomScale="85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4" customWidth="1" min="2" max="2"/>
    <col outlineLevel="1" width="11" customWidth="1" min="3" max="3"/>
    <col outlineLevel="1" width="11" customWidth="1" min="4" max="4"/>
    <col outlineLevel="1" width="11" customWidth="1" min="5" max="5"/>
    <col outlineLevel="1" width="11" customWidth="1" min="6" max="6"/>
    <col outlineLevel="1" width="11" customWidth="1" min="7" max="7"/>
    <col outlineLevel="1" width="11" customWidth="1" min="8" max="8"/>
    <col outlineLevel="1" width="11" customWidth="1" min="9" max="9"/>
    <col outlineLevel="1" width="11" customWidth="1" min="10" max="10"/>
    <col outlineLevel="1" width="11" customWidth="1" min="11" max="11"/>
    <col outlineLevel="1" width="11" customWidth="1" min="12" max="12"/>
    <col outlineLevel="1" width="11" customWidth="1" min="13" max="13"/>
    <col outlineLevel="1"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</cols>
  <sheetData>
    <row r="1" ht="30" customHeight="1">
      <c r="A1" s="1" t="inlineStr">
        <is>
          <t>9932 Model</t>
        </is>
      </c>
    </row>
    <row r="2">
      <c r="A2" s="2" t="inlineStr">
        <is>
          <t>모를 땐 보수적으로</t>
        </is>
      </c>
      <c r="B2" s="3" t="inlineStr">
        <is>
          <t>(단위: 백만엔)</t>
        </is>
      </c>
      <c r="C2" s="3" t="inlineStr">
        <is>
          <t>3월 결산 · 일본 기준 · 2027.2Q = 2027년 3월 결산기 2분기</t>
        </is>
      </c>
      <c r="Y2" s="4" t="inlineStr">
        <is>
          <t>(추정: 파란 글씨 = 직접 입력)</t>
        </is>
      </c>
    </row>
    <row r="3">
      <c r="A3" s="5" t="inlineStr">
        <is>
          <t>항목</t>
        </is>
      </c>
      <c r="B3" s="5" t="inlineStr">
        <is>
          <t>참고</t>
        </is>
      </c>
      <c r="C3" s="6" t="inlineStr">
        <is>
          <t>2024.3Q</t>
        </is>
      </c>
      <c r="D3" s="5" t="inlineStr">
        <is>
          <t>2024.4Q</t>
        </is>
      </c>
      <c r="E3" s="5" t="inlineStr">
        <is>
          <t>2025.1Q</t>
        </is>
      </c>
      <c r="F3" s="5" t="inlineStr">
        <is>
          <t>2025.2Q</t>
        </is>
      </c>
      <c r="G3" s="5" t="inlineStr">
        <is>
          <t>2025.3Q</t>
        </is>
      </c>
      <c r="H3" s="5" t="inlineStr">
        <is>
          <t>2025.4Q</t>
        </is>
      </c>
      <c r="I3" s="5" t="inlineStr">
        <is>
          <t>2026.1Q</t>
        </is>
      </c>
      <c r="J3" s="5" t="inlineStr">
        <is>
          <t>2026.2Q</t>
        </is>
      </c>
      <c r="K3" s="5" t="inlineStr">
        <is>
          <t>2026.3Q</t>
        </is>
      </c>
      <c r="L3" s="5" t="inlineStr">
        <is>
          <t>2026.4Q</t>
        </is>
      </c>
      <c r="M3" s="5" t="inlineStr">
        <is>
          <t>2027.1Q</t>
        </is>
      </c>
      <c r="N3" s="5" t="inlineStr">
        <is>
          <t>2027.2Q</t>
        </is>
      </c>
      <c r="O3" s="6" t="inlineStr">
        <is>
          <t>2017</t>
        </is>
      </c>
      <c r="P3" s="5" t="inlineStr">
        <is>
          <t>2018</t>
        </is>
      </c>
      <c r="Q3" s="5" t="inlineStr">
        <is>
          <t>2019</t>
        </is>
      </c>
      <c r="R3" s="5" t="inlineStr">
        <is>
          <t>2020</t>
        </is>
      </c>
      <c r="S3" s="5" t="inlineStr">
        <is>
          <t>2021</t>
        </is>
      </c>
      <c r="T3" s="5" t="inlineStr">
        <is>
          <t>2022</t>
        </is>
      </c>
      <c r="U3" s="5" t="inlineStr">
        <is>
          <t>2023</t>
        </is>
      </c>
      <c r="V3" s="5" t="inlineStr">
        <is>
          <t>2024</t>
        </is>
      </c>
      <c r="W3" s="5" t="inlineStr">
        <is>
          <t>2025</t>
        </is>
      </c>
      <c r="X3" s="5" t="inlineStr">
        <is>
          <t>2026</t>
        </is>
      </c>
      <c r="Y3" s="7" t="inlineStr">
        <is>
          <t>2027(MW)</t>
        </is>
      </c>
      <c r="Z3" s="8" t="inlineStr">
        <is>
          <t>2028(MW)</t>
        </is>
      </c>
      <c r="AA3" s="8" t="inlineStr">
        <is>
          <t>2029(MW)</t>
        </is>
      </c>
      <c r="AB3" s="8" t="inlineStr">
        <is>
          <t>2030(MW)</t>
        </is>
      </c>
      <c r="AC3" s="8" t="inlineStr">
        <is>
          <t>2031(MW)</t>
        </is>
      </c>
    </row>
    <row r="4">
      <c r="A4" s="9" t="inlineStr">
        <is>
          <t>매출액</t>
        </is>
      </c>
      <c r="B4" s="10" t="inlineStr">
        <is>
          <t>MW = 제품 합계</t>
        </is>
      </c>
      <c r="C4" s="11" t="n">
        <v>13306.798</v>
      </c>
      <c r="D4" s="12" t="n">
        <v>4870.407</v>
      </c>
      <c r="E4" s="12" t="n">
        <v>10976.4</v>
      </c>
      <c r="F4" s="12" t="n">
        <v>12198.763</v>
      </c>
      <c r="G4" s="12" t="n">
        <v>13943.097</v>
      </c>
      <c r="H4" s="12" t="n">
        <v>12346.856</v>
      </c>
      <c r="I4" s="12" t="n">
        <v>11170.441</v>
      </c>
      <c r="J4" s="12" t="n">
        <v>11603.944</v>
      </c>
      <c r="K4" s="12" t="n">
        <v>13502.794</v>
      </c>
      <c r="L4" s="12" t="n">
        <v>12334.442</v>
      </c>
      <c r="M4" s="12" t="n">
        <v>12132.436</v>
      </c>
      <c r="N4" s="12" t="n">
        <v>12858.24</v>
      </c>
      <c r="O4" s="11" t="n">
        <v>35249.632</v>
      </c>
      <c r="P4" s="12" t="n">
        <v>38017.758</v>
      </c>
      <c r="Q4" s="12" t="n">
        <v>45417.113</v>
      </c>
      <c r="R4" s="12" t="n">
        <v>37711.203</v>
      </c>
      <c r="S4" s="12" t="n">
        <v>40365.447</v>
      </c>
      <c r="T4" s="12" t="n">
        <v>43120.38</v>
      </c>
      <c r="U4" s="12" t="n">
        <v>39456.905</v>
      </c>
      <c r="V4" s="12" t="n">
        <v>40234.864</v>
      </c>
      <c r="W4" s="12" t="n">
        <v>49465.116</v>
      </c>
      <c r="X4" s="12" t="n">
        <v>48611.621</v>
      </c>
      <c r="Y4" s="11">
        <f>IF(COUNT(Y7,Y10,Y13,Y16,Y19)=0,"",SUM(Y7,Y10,Y13,Y16,Y19))</f>
        <v/>
      </c>
      <c r="Z4" s="12">
        <f>IF(COUNT(Z7,Z10,Z13,Z16,Z19)=0,"",SUM(Z7,Z10,Z13,Z16,Z19))</f>
        <v/>
      </c>
      <c r="AA4" s="12">
        <f>IF(COUNT(AA7,AA10,AA13,AA16,AA19)=0,"",SUM(AA7,AA10,AA13,AA16,AA19))</f>
        <v/>
      </c>
      <c r="AB4" s="12">
        <f>IF(COUNT(AB7,AB10,AB13,AB16,AB19)=0,"",SUM(AB7,AB10,AB13,AB16,AB19))</f>
        <v/>
      </c>
      <c r="AC4" s="12">
        <f>IF(COUNT(AC7,AC10,AC13,AC16,AC19)=0,"",SUM(AC7,AC10,AC13,AC16,AC19))</f>
        <v/>
      </c>
    </row>
    <row r="5">
      <c r="A5" s="13" t="inlineStr">
        <is>
          <t>YoY</t>
        </is>
      </c>
      <c r="B5" s="10" t="n"/>
      <c r="C5" s="14" t="n"/>
      <c r="D5" s="15" t="n"/>
      <c r="E5" s="15" t="n"/>
      <c r="F5" s="15" t="n"/>
      <c r="G5" s="15">
        <f>IF(OR(G4="",C4=""),"",IFERROR(G4/C4-1,""))</f>
        <v/>
      </c>
      <c r="H5" s="15">
        <f>IF(OR(H4="",D4=""),"",IFERROR(H4/D4-1,""))</f>
        <v/>
      </c>
      <c r="I5" s="15">
        <f>IF(OR(I4="",E4=""),"",IFERROR(I4/E4-1,""))</f>
        <v/>
      </c>
      <c r="J5" s="15">
        <f>IF(OR(J4="",F4=""),"",IFERROR(J4/F4-1,""))</f>
        <v/>
      </c>
      <c r="K5" s="15">
        <f>IF(OR(K4="",G4=""),"",IFERROR(K4/G4-1,""))</f>
        <v/>
      </c>
      <c r="L5" s="15">
        <f>IF(OR(L4="",H4=""),"",IFERROR(L4/H4-1,""))</f>
        <v/>
      </c>
      <c r="M5" s="15">
        <f>IF(OR(M4="",I4=""),"",IFERROR(M4/I4-1,""))</f>
        <v/>
      </c>
      <c r="N5" s="15">
        <f>IF(OR(N4="",J4=""),"",IFERROR(N4/J4-1,""))</f>
        <v/>
      </c>
      <c r="O5" s="14" t="n"/>
      <c r="P5" s="15">
        <f>IF(OR(P4="",O4=""),"",IFERROR(P4/O4-1,""))</f>
        <v/>
      </c>
      <c r="Q5" s="15">
        <f>IF(OR(Q4="",P4=""),"",IFERROR(Q4/P4-1,""))</f>
        <v/>
      </c>
      <c r="R5" s="15">
        <f>IF(OR(R4="",Q4=""),"",IFERROR(R4/Q4-1,""))</f>
        <v/>
      </c>
      <c r="S5" s="15">
        <f>IF(OR(S4="",R4=""),"",IFERROR(S4/R4-1,""))</f>
        <v/>
      </c>
      <c r="T5" s="15">
        <f>IF(OR(T4="",S4=""),"",IFERROR(T4/S4-1,""))</f>
        <v/>
      </c>
      <c r="U5" s="15">
        <f>IF(OR(U4="",T4=""),"",IFERROR(U4/T4-1,""))</f>
        <v/>
      </c>
      <c r="V5" s="15">
        <f>IF(OR(V4="",U4=""),"",IFERROR(V4/U4-1,""))</f>
        <v/>
      </c>
      <c r="W5" s="15">
        <f>IF(OR(W4="",V4=""),"",IFERROR(W4/V4-1,""))</f>
        <v/>
      </c>
      <c r="X5" s="15">
        <f>IF(OR(X4="",W4=""),"",IFERROR(X4/W4-1,""))</f>
        <v/>
      </c>
      <c r="Y5" s="14">
        <f>IF(OR(Y4="",X4=""),"",IFERROR(Y4/X4-1,""))</f>
        <v/>
      </c>
      <c r="Z5" s="15">
        <f>IF(OR(Z4="",Y4=""),"",IFERROR(Z4/Y4-1,""))</f>
        <v/>
      </c>
      <c r="AA5" s="15">
        <f>IF(OR(AA4="",Z4=""),"",IFERROR(AA4/Z4-1,""))</f>
        <v/>
      </c>
      <c r="AB5" s="15">
        <f>IF(OR(AB4="",AA4=""),"",IFERROR(AB4/AA4-1,""))</f>
        <v/>
      </c>
      <c r="AC5" s="15">
        <f>IF(OR(AC4="",AB4=""),"",IFERROR(AC4/AB4-1,""))</f>
        <v/>
      </c>
    </row>
    <row r="6">
      <c r="A6" s="16" t="inlineStr">
        <is>
          <t>제품별 매출 분류</t>
        </is>
      </c>
      <c r="B6" s="16" t="inlineStr">
        <is>
          <t>사업보고서 매출실적</t>
        </is>
      </c>
      <c r="C6" s="17" t="n"/>
      <c r="D6" s="16" t="n"/>
      <c r="E6" s="16" t="n"/>
      <c r="F6" s="16" t="n"/>
      <c r="G6" s="16" t="n"/>
      <c r="H6" s="16" t="n"/>
      <c r="I6" s="16" t="n"/>
      <c r="J6" s="16" t="n"/>
      <c r="K6" s="16" t="n"/>
      <c r="L6" s="16" t="n"/>
      <c r="M6" s="16" t="n"/>
      <c r="N6" s="16" t="n"/>
      <c r="O6" s="17" t="n"/>
      <c r="P6" s="16" t="n"/>
      <c r="Q6" s="16" t="n"/>
      <c r="R6" s="16" t="n"/>
      <c r="S6" s="16" t="n"/>
      <c r="T6" s="16" t="n"/>
      <c r="U6" s="16" t="n"/>
      <c r="V6" s="16" t="n"/>
      <c r="W6" s="16" t="n"/>
      <c r="X6" s="16" t="n"/>
      <c r="Y6" s="17" t="n"/>
      <c r="Z6" s="16" t="n"/>
      <c r="AA6" s="16" t="n"/>
      <c r="AB6" s="16" t="n"/>
      <c r="AC6" s="16" t="n"/>
    </row>
    <row r="7">
      <c r="A7" s="18" t="inlineStr">
        <is>
          <t>EastReportableSegmentsMember</t>
        </is>
      </c>
      <c r="B7" s="10" t="n"/>
      <c r="C7" s="19" t="n">
        <v>3312.389</v>
      </c>
      <c r="D7" s="20" t="n">
        <v>2678.798</v>
      </c>
      <c r="E7" s="20" t="n">
        <v>2684.847</v>
      </c>
      <c r="F7" s="20" t="n">
        <v>2928.239</v>
      </c>
      <c r="G7" s="20" t="n">
        <v>3358.389</v>
      </c>
      <c r="H7" s="20" t="n">
        <v>2779.274</v>
      </c>
      <c r="I7" s="20" t="n">
        <v>2647.548</v>
      </c>
      <c r="J7" s="20" t="n">
        <v>2732.592</v>
      </c>
      <c r="K7" s="20" t="n">
        <v>3128.084</v>
      </c>
      <c r="L7" s="20" t="n">
        <v>2884.363</v>
      </c>
      <c r="M7" s="20" t="n">
        <v>2917.935</v>
      </c>
      <c r="N7" s="20" t="n">
        <v>3048.399</v>
      </c>
      <c r="O7" s="19" t="n"/>
      <c r="P7" s="20" t="n"/>
      <c r="Q7" s="20" t="n"/>
      <c r="R7" s="20" t="n"/>
      <c r="S7" s="20" t="n"/>
      <c r="T7" s="20" t="n"/>
      <c r="U7" s="20" t="n"/>
      <c r="V7" s="20" t="n">
        <v>11344.258</v>
      </c>
      <c r="W7" s="20" t="n">
        <v>11750.749</v>
      </c>
      <c r="X7" s="20" t="n">
        <v>11392.587</v>
      </c>
      <c r="Y7" s="21" t="n"/>
      <c r="Z7" s="22" t="n"/>
      <c r="AA7" s="22" t="n"/>
      <c r="AB7" s="22" t="n"/>
      <c r="AC7" s="22" t="n"/>
    </row>
    <row r="8">
      <c r="A8" s="13" t="inlineStr">
        <is>
          <t>비중</t>
        </is>
      </c>
      <c r="B8" s="10" t="n"/>
      <c r="C8" s="14">
        <f>IF(OR(C7="",C4=""),"",IFERROR(C7/C4,""))</f>
        <v/>
      </c>
      <c r="D8" s="15">
        <f>IF(OR(D7="",D4=""),"",IFERROR(D7/D4,""))</f>
        <v/>
      </c>
      <c r="E8" s="15">
        <f>IF(OR(E7="",E4=""),"",IFERROR(E7/E4,""))</f>
        <v/>
      </c>
      <c r="F8" s="15">
        <f>IF(OR(F7="",F4=""),"",IFERROR(F7/F4,""))</f>
        <v/>
      </c>
      <c r="G8" s="15">
        <f>IF(OR(G7="",G4=""),"",IFERROR(G7/G4,""))</f>
        <v/>
      </c>
      <c r="H8" s="15">
        <f>IF(OR(H7="",H4=""),"",IFERROR(H7/H4,""))</f>
        <v/>
      </c>
      <c r="I8" s="15">
        <f>IF(OR(I7="",I4=""),"",IFERROR(I7/I4,""))</f>
        <v/>
      </c>
      <c r="J8" s="15">
        <f>IF(OR(J7="",J4=""),"",IFERROR(J7/J4,""))</f>
        <v/>
      </c>
      <c r="K8" s="15">
        <f>IF(OR(K7="",K4=""),"",IFERROR(K7/K4,""))</f>
        <v/>
      </c>
      <c r="L8" s="15">
        <f>IF(OR(L7="",L4=""),"",IFERROR(L7/L4,""))</f>
        <v/>
      </c>
      <c r="M8" s="15">
        <f>IF(OR(M7="",M4=""),"",IFERROR(M7/M4,""))</f>
        <v/>
      </c>
      <c r="N8" s="15">
        <f>IF(OR(N7="",N4=""),"",IFERROR(N7/N4,""))</f>
        <v/>
      </c>
      <c r="O8" s="14">
        <f>IF(OR(O7="",O4=""),"",IFERROR(O7/O4,""))</f>
        <v/>
      </c>
      <c r="P8" s="15">
        <f>IF(OR(P7="",P4=""),"",IFERROR(P7/P4,""))</f>
        <v/>
      </c>
      <c r="Q8" s="15">
        <f>IF(OR(Q7="",Q4=""),"",IFERROR(Q7/Q4,""))</f>
        <v/>
      </c>
      <c r="R8" s="15">
        <f>IF(OR(R7="",R4=""),"",IFERROR(R7/R4,""))</f>
        <v/>
      </c>
      <c r="S8" s="15">
        <f>IF(OR(S7="",S4=""),"",IFERROR(S7/S4,""))</f>
        <v/>
      </c>
      <c r="T8" s="15">
        <f>IF(OR(T7="",T4=""),"",IFERROR(T7/T4,""))</f>
        <v/>
      </c>
      <c r="U8" s="15">
        <f>IF(OR(U7="",U4=""),"",IFERROR(U7/U4,""))</f>
        <v/>
      </c>
      <c r="V8" s="15">
        <f>IF(OR(V7="",V4=""),"",IFERROR(V7/V4,""))</f>
        <v/>
      </c>
      <c r="W8" s="15">
        <f>IF(OR(W7="",W4=""),"",IFERROR(W7/W4,""))</f>
        <v/>
      </c>
      <c r="X8" s="15">
        <f>IF(OR(X7="",X4=""),"",IFERROR(X7/X4,""))</f>
        <v/>
      </c>
      <c r="Y8" s="14">
        <f>IF(OR(Y7="",Y4=""),"",IFERROR(Y7/Y4,""))</f>
        <v/>
      </c>
      <c r="Z8" s="15">
        <f>IF(OR(Z7="",Z4=""),"",IFERROR(Z7/Z4,""))</f>
        <v/>
      </c>
      <c r="AA8" s="15">
        <f>IF(OR(AA7="",AA4=""),"",IFERROR(AA7/AA4,""))</f>
        <v/>
      </c>
      <c r="AB8" s="15">
        <f>IF(OR(AB7="",AB4=""),"",IFERROR(AB7/AB4,""))</f>
        <v/>
      </c>
      <c r="AC8" s="15">
        <f>IF(OR(AC7="",AC4=""),"",IFERROR(AC7/AC4,""))</f>
        <v/>
      </c>
    </row>
    <row r="9">
      <c r="A9" s="13" t="inlineStr">
        <is>
          <t>YoY</t>
        </is>
      </c>
      <c r="B9" s="10" t="n"/>
      <c r="C9" s="14" t="n"/>
      <c r="D9" s="15" t="n"/>
      <c r="E9" s="15" t="n"/>
      <c r="F9" s="15" t="n"/>
      <c r="G9" s="15">
        <f>IF(OR(G7="",C7=""),"",IFERROR(G7/C7-1,""))</f>
        <v/>
      </c>
      <c r="H9" s="15">
        <f>IF(OR(H7="",D7=""),"",IFERROR(H7/D7-1,""))</f>
        <v/>
      </c>
      <c r="I9" s="15">
        <f>IF(OR(I7="",E7=""),"",IFERROR(I7/E7-1,""))</f>
        <v/>
      </c>
      <c r="J9" s="15">
        <f>IF(OR(J7="",F7=""),"",IFERROR(J7/F7-1,""))</f>
        <v/>
      </c>
      <c r="K9" s="15">
        <f>IF(OR(K7="",G7=""),"",IFERROR(K7/G7-1,""))</f>
        <v/>
      </c>
      <c r="L9" s="15">
        <f>IF(OR(L7="",H7=""),"",IFERROR(L7/H7-1,""))</f>
        <v/>
      </c>
      <c r="M9" s="15">
        <f>IF(OR(M7="",I7=""),"",IFERROR(M7/I7-1,""))</f>
        <v/>
      </c>
      <c r="N9" s="15">
        <f>IF(OR(N7="",J7=""),"",IFERROR(N7/J7-1,""))</f>
        <v/>
      </c>
      <c r="O9" s="14" t="n"/>
      <c r="P9" s="15">
        <f>IF(OR(P7="",O7=""),"",IFERROR(P7/O7-1,""))</f>
        <v/>
      </c>
      <c r="Q9" s="15">
        <f>IF(OR(Q7="",P7=""),"",IFERROR(Q7/P7-1,""))</f>
        <v/>
      </c>
      <c r="R9" s="15">
        <f>IF(OR(R7="",Q7=""),"",IFERROR(R7/Q7-1,""))</f>
        <v/>
      </c>
      <c r="S9" s="15">
        <f>IF(OR(S7="",R7=""),"",IFERROR(S7/R7-1,""))</f>
        <v/>
      </c>
      <c r="T9" s="15">
        <f>IF(OR(T7="",S7=""),"",IFERROR(T7/S7-1,""))</f>
        <v/>
      </c>
      <c r="U9" s="15">
        <f>IF(OR(U7="",T7=""),"",IFERROR(U7/T7-1,""))</f>
        <v/>
      </c>
      <c r="V9" s="15">
        <f>IF(OR(V7="",U7=""),"",IFERROR(V7/U7-1,""))</f>
        <v/>
      </c>
      <c r="W9" s="15">
        <f>IF(OR(W7="",V7=""),"",IFERROR(W7/V7-1,""))</f>
        <v/>
      </c>
      <c r="X9" s="15">
        <f>IF(OR(X7="",W7=""),"",IFERROR(X7/W7-1,""))</f>
        <v/>
      </c>
      <c r="Y9" s="14">
        <f>IF(OR(Y7="",X7=""),"",IFERROR(Y7/X7-1,""))</f>
        <v/>
      </c>
      <c r="Z9" s="15">
        <f>IF(OR(Z7="",Y7=""),"",IFERROR(Z7/Y7-1,""))</f>
        <v/>
      </c>
      <c r="AA9" s="15">
        <f>IF(OR(AA7="",Z7=""),"",IFERROR(AA7/Z7-1,""))</f>
        <v/>
      </c>
      <c r="AB9" s="15">
        <f>IF(OR(AB7="",AA7=""),"",IFERROR(AB7/AA7-1,""))</f>
        <v/>
      </c>
      <c r="AC9" s="15">
        <f>IF(OR(AC7="",AB7=""),"",IFERROR(AC7/AB7-1,""))</f>
        <v/>
      </c>
    </row>
    <row r="10">
      <c r="A10" s="18" t="inlineStr">
        <is>
          <t>CentralReportableSegmentsMember</t>
        </is>
      </c>
      <c r="B10" s="10" t="n"/>
      <c r="C10" s="19" t="n">
        <v>3585.745</v>
      </c>
      <c r="D10" s="20" t="n">
        <v>3129.582</v>
      </c>
      <c r="E10" s="20" t="n">
        <v>3084.093</v>
      </c>
      <c r="F10" s="20" t="n">
        <v>3458.425</v>
      </c>
      <c r="G10" s="20" t="n">
        <v>3956.585</v>
      </c>
      <c r="H10" s="20" t="n">
        <v>4116.88</v>
      </c>
      <c r="I10" s="20" t="n">
        <v>3183.722</v>
      </c>
      <c r="J10" s="20" t="n">
        <v>3270.574</v>
      </c>
      <c r="K10" s="20" t="n">
        <v>3896.478</v>
      </c>
      <c r="L10" s="20" t="n">
        <v>3690.494</v>
      </c>
      <c r="M10" s="20" t="n">
        <v>3310.076</v>
      </c>
      <c r="N10" s="20" t="n">
        <v>3743.416</v>
      </c>
      <c r="O10" s="19" t="n"/>
      <c r="P10" s="20" t="n"/>
      <c r="Q10" s="20" t="n"/>
      <c r="R10" s="20" t="n"/>
      <c r="S10" s="20" t="n"/>
      <c r="T10" s="20" t="n"/>
      <c r="U10" s="20" t="n"/>
      <c r="V10" s="20" t="n">
        <v>12818.604</v>
      </c>
      <c r="W10" s="20" t="n">
        <v>14615.983</v>
      </c>
      <c r="X10" s="20" t="n">
        <v>14041.268</v>
      </c>
      <c r="Y10" s="21" t="n"/>
      <c r="Z10" s="22" t="n"/>
      <c r="AA10" s="22" t="n"/>
      <c r="AB10" s="22" t="n"/>
      <c r="AC10" s="22" t="n"/>
    </row>
    <row r="11">
      <c r="A11" s="13" t="inlineStr">
        <is>
          <t>비중</t>
        </is>
      </c>
      <c r="B11" s="10" t="n"/>
      <c r="C11" s="14">
        <f>IF(OR(C10="",C4=""),"",IFERROR(C10/C4,""))</f>
        <v/>
      </c>
      <c r="D11" s="15">
        <f>IF(OR(D10="",D4=""),"",IFERROR(D10/D4,""))</f>
        <v/>
      </c>
      <c r="E11" s="15">
        <f>IF(OR(E10="",E4=""),"",IFERROR(E10/E4,""))</f>
        <v/>
      </c>
      <c r="F11" s="15">
        <f>IF(OR(F10="",F4=""),"",IFERROR(F10/F4,""))</f>
        <v/>
      </c>
      <c r="G11" s="15">
        <f>IF(OR(G10="",G4=""),"",IFERROR(G10/G4,""))</f>
        <v/>
      </c>
      <c r="H11" s="15">
        <f>IF(OR(H10="",H4=""),"",IFERROR(H10/H4,""))</f>
        <v/>
      </c>
      <c r="I11" s="15">
        <f>IF(OR(I10="",I4=""),"",IFERROR(I10/I4,""))</f>
        <v/>
      </c>
      <c r="J11" s="15">
        <f>IF(OR(J10="",J4=""),"",IFERROR(J10/J4,""))</f>
        <v/>
      </c>
      <c r="K11" s="15">
        <f>IF(OR(K10="",K4=""),"",IFERROR(K10/K4,""))</f>
        <v/>
      </c>
      <c r="L11" s="15">
        <f>IF(OR(L10="",L4=""),"",IFERROR(L10/L4,""))</f>
        <v/>
      </c>
      <c r="M11" s="15">
        <f>IF(OR(M10="",M4=""),"",IFERROR(M10/M4,""))</f>
        <v/>
      </c>
      <c r="N11" s="15">
        <f>IF(OR(N10="",N4=""),"",IFERROR(N10/N4,""))</f>
        <v/>
      </c>
      <c r="O11" s="14">
        <f>IF(OR(O10="",O4=""),"",IFERROR(O10/O4,""))</f>
        <v/>
      </c>
      <c r="P11" s="15">
        <f>IF(OR(P10="",P4=""),"",IFERROR(P10/P4,""))</f>
        <v/>
      </c>
      <c r="Q11" s="15">
        <f>IF(OR(Q10="",Q4=""),"",IFERROR(Q10/Q4,""))</f>
        <v/>
      </c>
      <c r="R11" s="15">
        <f>IF(OR(R10="",R4=""),"",IFERROR(R10/R4,""))</f>
        <v/>
      </c>
      <c r="S11" s="15">
        <f>IF(OR(S10="",S4=""),"",IFERROR(S10/S4,""))</f>
        <v/>
      </c>
      <c r="T11" s="15">
        <f>IF(OR(T10="",T4=""),"",IFERROR(T10/T4,""))</f>
        <v/>
      </c>
      <c r="U11" s="15">
        <f>IF(OR(U10="",U4=""),"",IFERROR(U10/U4,""))</f>
        <v/>
      </c>
      <c r="V11" s="15">
        <f>IF(OR(V10="",V4=""),"",IFERROR(V10/V4,""))</f>
        <v/>
      </c>
      <c r="W11" s="15">
        <f>IF(OR(W10="",W4=""),"",IFERROR(W10/W4,""))</f>
        <v/>
      </c>
      <c r="X11" s="15">
        <f>IF(OR(X10="",X4=""),"",IFERROR(X10/X4,""))</f>
        <v/>
      </c>
      <c r="Y11" s="14">
        <f>IF(OR(Y10="",Y4=""),"",IFERROR(Y10/Y4,""))</f>
        <v/>
      </c>
      <c r="Z11" s="15">
        <f>IF(OR(Z10="",Z4=""),"",IFERROR(Z10/Z4,""))</f>
        <v/>
      </c>
      <c r="AA11" s="15">
        <f>IF(OR(AA10="",AA4=""),"",IFERROR(AA10/AA4,""))</f>
        <v/>
      </c>
      <c r="AB11" s="15">
        <f>IF(OR(AB10="",AB4=""),"",IFERROR(AB10/AB4,""))</f>
        <v/>
      </c>
      <c r="AC11" s="15">
        <f>IF(OR(AC10="",AC4=""),"",IFERROR(AC10/AC4,""))</f>
        <v/>
      </c>
    </row>
    <row r="12">
      <c r="A12" s="13" t="inlineStr">
        <is>
          <t>YoY</t>
        </is>
      </c>
      <c r="B12" s="10" t="n"/>
      <c r="C12" s="14" t="n"/>
      <c r="D12" s="15" t="n"/>
      <c r="E12" s="15" t="n"/>
      <c r="F12" s="15" t="n"/>
      <c r="G12" s="15">
        <f>IF(OR(G10="",C10=""),"",IFERROR(G10/C10-1,""))</f>
        <v/>
      </c>
      <c r="H12" s="15">
        <f>IF(OR(H10="",D10=""),"",IFERROR(H10/D10-1,""))</f>
        <v/>
      </c>
      <c r="I12" s="15">
        <f>IF(OR(I10="",E10=""),"",IFERROR(I10/E10-1,""))</f>
        <v/>
      </c>
      <c r="J12" s="15">
        <f>IF(OR(J10="",F10=""),"",IFERROR(J10/F10-1,""))</f>
        <v/>
      </c>
      <c r="K12" s="15">
        <f>IF(OR(K10="",G10=""),"",IFERROR(K10/G10-1,""))</f>
        <v/>
      </c>
      <c r="L12" s="15">
        <f>IF(OR(L10="",H10=""),"",IFERROR(L10/H10-1,""))</f>
        <v/>
      </c>
      <c r="M12" s="15">
        <f>IF(OR(M10="",I10=""),"",IFERROR(M10/I10-1,""))</f>
        <v/>
      </c>
      <c r="N12" s="15">
        <f>IF(OR(N10="",J10=""),"",IFERROR(N10/J10-1,""))</f>
        <v/>
      </c>
      <c r="O12" s="14" t="n"/>
      <c r="P12" s="15">
        <f>IF(OR(P10="",O10=""),"",IFERROR(P10/O10-1,""))</f>
        <v/>
      </c>
      <c r="Q12" s="15">
        <f>IF(OR(Q10="",P10=""),"",IFERROR(Q10/P10-1,""))</f>
        <v/>
      </c>
      <c r="R12" s="15">
        <f>IF(OR(R10="",Q10=""),"",IFERROR(R10/Q10-1,""))</f>
        <v/>
      </c>
      <c r="S12" s="15">
        <f>IF(OR(S10="",R10=""),"",IFERROR(S10/R10-1,""))</f>
        <v/>
      </c>
      <c r="T12" s="15">
        <f>IF(OR(T10="",S10=""),"",IFERROR(T10/S10-1,""))</f>
        <v/>
      </c>
      <c r="U12" s="15">
        <f>IF(OR(U10="",T10=""),"",IFERROR(U10/T10-1,""))</f>
        <v/>
      </c>
      <c r="V12" s="15">
        <f>IF(OR(V10="",U10=""),"",IFERROR(V10/U10-1,""))</f>
        <v/>
      </c>
      <c r="W12" s="15">
        <f>IF(OR(W10="",V10=""),"",IFERROR(W10/V10-1,""))</f>
        <v/>
      </c>
      <c r="X12" s="15">
        <f>IF(OR(X10="",W10=""),"",IFERROR(X10/W10-1,""))</f>
        <v/>
      </c>
      <c r="Y12" s="14">
        <f>IF(OR(Y10="",X10=""),"",IFERROR(Y10/X10-1,""))</f>
        <v/>
      </c>
      <c r="Z12" s="15">
        <f>IF(OR(Z10="",Y10=""),"",IFERROR(Z10/Y10-1,""))</f>
        <v/>
      </c>
      <c r="AA12" s="15">
        <f>IF(OR(AA10="",Z10=""),"",IFERROR(AA10/Z10-1,""))</f>
        <v/>
      </c>
      <c r="AB12" s="15">
        <f>IF(OR(AB10="",AA10=""),"",IFERROR(AB10/AA10-1,""))</f>
        <v/>
      </c>
      <c r="AC12" s="15">
        <f>IF(OR(AC10="",AB10=""),"",IFERROR(AC10/AB10-1,""))</f>
        <v/>
      </c>
    </row>
    <row r="13">
      <c r="A13" s="18" t="inlineStr">
        <is>
          <t>WestReportableSegmentsMember</t>
        </is>
      </c>
      <c r="B13" s="10" t="n"/>
      <c r="C13" s="19" t="n">
        <v>5915.309</v>
      </c>
      <c r="D13" s="20" t="n">
        <v>5098.7</v>
      </c>
      <c r="E13" s="20" t="n">
        <v>4796.757</v>
      </c>
      <c r="F13" s="20" t="n">
        <v>5407.302</v>
      </c>
      <c r="G13" s="20" t="n">
        <v>6113.664</v>
      </c>
      <c r="H13" s="20" t="n">
        <v>5050.996</v>
      </c>
      <c r="I13" s="20" t="n">
        <v>4910.096</v>
      </c>
      <c r="J13" s="20" t="n">
        <v>5172.266</v>
      </c>
      <c r="K13" s="20" t="n">
        <v>5899.57</v>
      </c>
      <c r="L13" s="20" t="n">
        <v>5280.148</v>
      </c>
      <c r="M13" s="20" t="n">
        <v>5340.753</v>
      </c>
      <c r="N13" s="20" t="n">
        <v>5490.304</v>
      </c>
      <c r="O13" s="19" t="n"/>
      <c r="P13" s="20" t="n"/>
      <c r="Q13" s="20" t="n"/>
      <c r="R13" s="20" t="n"/>
      <c r="S13" s="20" t="n"/>
      <c r="T13" s="20" t="n"/>
      <c r="U13" s="20" t="n"/>
      <c r="V13" s="20" t="n">
        <v>20874.9</v>
      </c>
      <c r="W13" s="20" t="n">
        <v>21368.719</v>
      </c>
      <c r="X13" s="20" t="n">
        <v>21262.08</v>
      </c>
      <c r="Y13" s="21" t="n"/>
      <c r="Z13" s="22" t="n"/>
      <c r="AA13" s="22" t="n"/>
      <c r="AB13" s="22" t="n"/>
      <c r="AC13" s="22" t="n"/>
    </row>
    <row r="14">
      <c r="A14" s="13" t="inlineStr">
        <is>
          <t>비중</t>
        </is>
      </c>
      <c r="B14" s="10" t="n"/>
      <c r="C14" s="14">
        <f>IF(OR(C13="",C4=""),"",IFERROR(C13/C4,""))</f>
        <v/>
      </c>
      <c r="D14" s="15">
        <f>IF(OR(D13="",D4=""),"",IFERROR(D13/D4,""))</f>
        <v/>
      </c>
      <c r="E14" s="15">
        <f>IF(OR(E13="",E4=""),"",IFERROR(E13/E4,""))</f>
        <v/>
      </c>
      <c r="F14" s="15">
        <f>IF(OR(F13="",F4=""),"",IFERROR(F13/F4,""))</f>
        <v/>
      </c>
      <c r="G14" s="15">
        <f>IF(OR(G13="",G4=""),"",IFERROR(G13/G4,""))</f>
        <v/>
      </c>
      <c r="H14" s="15">
        <f>IF(OR(H13="",H4=""),"",IFERROR(H13/H4,""))</f>
        <v/>
      </c>
      <c r="I14" s="15">
        <f>IF(OR(I13="",I4=""),"",IFERROR(I13/I4,""))</f>
        <v/>
      </c>
      <c r="J14" s="15">
        <f>IF(OR(J13="",J4=""),"",IFERROR(J13/J4,""))</f>
        <v/>
      </c>
      <c r="K14" s="15">
        <f>IF(OR(K13="",K4=""),"",IFERROR(K13/K4,""))</f>
        <v/>
      </c>
      <c r="L14" s="15">
        <f>IF(OR(L13="",L4=""),"",IFERROR(L13/L4,""))</f>
        <v/>
      </c>
      <c r="M14" s="15">
        <f>IF(OR(M13="",M4=""),"",IFERROR(M13/M4,""))</f>
        <v/>
      </c>
      <c r="N14" s="15">
        <f>IF(OR(N13="",N4=""),"",IFERROR(N13/N4,""))</f>
        <v/>
      </c>
      <c r="O14" s="14">
        <f>IF(OR(O13="",O4=""),"",IFERROR(O13/O4,""))</f>
        <v/>
      </c>
      <c r="P14" s="15">
        <f>IF(OR(P13="",P4=""),"",IFERROR(P13/P4,""))</f>
        <v/>
      </c>
      <c r="Q14" s="15">
        <f>IF(OR(Q13="",Q4=""),"",IFERROR(Q13/Q4,""))</f>
        <v/>
      </c>
      <c r="R14" s="15">
        <f>IF(OR(R13="",R4=""),"",IFERROR(R13/R4,""))</f>
        <v/>
      </c>
      <c r="S14" s="15">
        <f>IF(OR(S13="",S4=""),"",IFERROR(S13/S4,""))</f>
        <v/>
      </c>
      <c r="T14" s="15">
        <f>IF(OR(T13="",T4=""),"",IFERROR(T13/T4,""))</f>
        <v/>
      </c>
      <c r="U14" s="15">
        <f>IF(OR(U13="",U4=""),"",IFERROR(U13/U4,""))</f>
        <v/>
      </c>
      <c r="V14" s="15">
        <f>IF(OR(V13="",V4=""),"",IFERROR(V13/V4,""))</f>
        <v/>
      </c>
      <c r="W14" s="15">
        <f>IF(OR(W13="",W4=""),"",IFERROR(W13/W4,""))</f>
        <v/>
      </c>
      <c r="X14" s="15">
        <f>IF(OR(X13="",X4=""),"",IFERROR(X13/X4,""))</f>
        <v/>
      </c>
      <c r="Y14" s="14">
        <f>IF(OR(Y13="",Y4=""),"",IFERROR(Y13/Y4,""))</f>
        <v/>
      </c>
      <c r="Z14" s="15">
        <f>IF(OR(Z13="",Z4=""),"",IFERROR(Z13/Z4,""))</f>
        <v/>
      </c>
      <c r="AA14" s="15">
        <f>IF(OR(AA13="",AA4=""),"",IFERROR(AA13/AA4,""))</f>
        <v/>
      </c>
      <c r="AB14" s="15">
        <f>IF(OR(AB13="",AB4=""),"",IFERROR(AB13/AB4,""))</f>
        <v/>
      </c>
      <c r="AC14" s="15">
        <f>IF(OR(AC13="",AC4=""),"",IFERROR(AC13/AC4,""))</f>
        <v/>
      </c>
    </row>
    <row r="15">
      <c r="A15" s="13" t="inlineStr">
        <is>
          <t>YoY</t>
        </is>
      </c>
      <c r="B15" s="10" t="n"/>
      <c r="C15" s="14" t="n"/>
      <c r="D15" s="15" t="n"/>
      <c r="E15" s="15" t="n"/>
      <c r="F15" s="15" t="n"/>
      <c r="G15" s="15">
        <f>IF(OR(G13="",C13=""),"",IFERROR(G13/C13-1,""))</f>
        <v/>
      </c>
      <c r="H15" s="15">
        <f>IF(OR(H13="",D13=""),"",IFERROR(H13/D13-1,""))</f>
        <v/>
      </c>
      <c r="I15" s="15">
        <f>IF(OR(I13="",E13=""),"",IFERROR(I13/E13-1,""))</f>
        <v/>
      </c>
      <c r="J15" s="15">
        <f>IF(OR(J13="",F13=""),"",IFERROR(J13/F13-1,""))</f>
        <v/>
      </c>
      <c r="K15" s="15">
        <f>IF(OR(K13="",G13=""),"",IFERROR(K13/G13-1,""))</f>
        <v/>
      </c>
      <c r="L15" s="15">
        <f>IF(OR(L13="",H13=""),"",IFERROR(L13/H13-1,""))</f>
        <v/>
      </c>
      <c r="M15" s="15">
        <f>IF(OR(M13="",I13=""),"",IFERROR(M13/I13-1,""))</f>
        <v/>
      </c>
      <c r="N15" s="15">
        <f>IF(OR(N13="",J13=""),"",IFERROR(N13/J13-1,""))</f>
        <v/>
      </c>
      <c r="O15" s="14" t="n"/>
      <c r="P15" s="15">
        <f>IF(OR(P13="",O13=""),"",IFERROR(P13/O13-1,""))</f>
        <v/>
      </c>
      <c r="Q15" s="15">
        <f>IF(OR(Q13="",P13=""),"",IFERROR(Q13/P13-1,""))</f>
        <v/>
      </c>
      <c r="R15" s="15">
        <f>IF(OR(R13="",Q13=""),"",IFERROR(R13/Q13-1,""))</f>
        <v/>
      </c>
      <c r="S15" s="15">
        <f>IF(OR(S13="",R13=""),"",IFERROR(S13/R13-1,""))</f>
        <v/>
      </c>
      <c r="T15" s="15">
        <f>IF(OR(T13="",S13=""),"",IFERROR(T13/S13-1,""))</f>
        <v/>
      </c>
      <c r="U15" s="15">
        <f>IF(OR(U13="",T13=""),"",IFERROR(U13/T13-1,""))</f>
        <v/>
      </c>
      <c r="V15" s="15">
        <f>IF(OR(V13="",U13=""),"",IFERROR(V13/U13-1,""))</f>
        <v/>
      </c>
      <c r="W15" s="15">
        <f>IF(OR(W13="",V13=""),"",IFERROR(W13/V13-1,""))</f>
        <v/>
      </c>
      <c r="X15" s="15">
        <f>IF(OR(X13="",W13=""),"",IFERROR(X13/W13-1,""))</f>
        <v/>
      </c>
      <c r="Y15" s="14">
        <f>IF(OR(Y13="",X13=""),"",IFERROR(Y13/X13-1,""))</f>
        <v/>
      </c>
      <c r="Z15" s="15">
        <f>IF(OR(Z13="",Y13=""),"",IFERROR(Z13/Y13-1,""))</f>
        <v/>
      </c>
      <c r="AA15" s="15">
        <f>IF(OR(AA13="",Z13=""),"",IFERROR(AA13/Z13-1,""))</f>
        <v/>
      </c>
      <c r="AB15" s="15">
        <f>IF(OR(AB13="",AA13=""),"",IFERROR(AB13/AA13-1,""))</f>
        <v/>
      </c>
      <c r="AC15" s="15">
        <f>IF(OR(AC13="",AB13=""),"",IFERROR(AC13/AB13-1,""))</f>
        <v/>
      </c>
    </row>
    <row r="16">
      <c r="A16" s="18" t="inlineStr">
        <is>
          <t>OverseasReportableSegmentsMember</t>
        </is>
      </c>
      <c r="B16" s="10" t="n"/>
      <c r="C16" s="19" t="n">
        <v>493.355</v>
      </c>
      <c r="D16" s="20" t="n">
        <v>364.682</v>
      </c>
      <c r="E16" s="20" t="n">
        <v>410.701</v>
      </c>
      <c r="F16" s="20" t="n">
        <v>404.797</v>
      </c>
      <c r="G16" s="20" t="n">
        <v>514.4589999999999</v>
      </c>
      <c r="H16" s="20" t="n">
        <v>399.707</v>
      </c>
      <c r="I16" s="20" t="n">
        <v>429.074</v>
      </c>
      <c r="J16" s="20" t="n">
        <v>428.511</v>
      </c>
      <c r="K16" s="20" t="n">
        <v>578.663</v>
      </c>
      <c r="L16" s="20" t="n">
        <v>479.437</v>
      </c>
      <c r="M16" s="20" t="n">
        <v>563.67</v>
      </c>
      <c r="N16" s="20" t="n">
        <v>576.122</v>
      </c>
      <c r="O16" s="19" t="n"/>
      <c r="P16" s="20" t="n"/>
      <c r="Q16" s="20" t="n"/>
      <c r="R16" s="20" t="n"/>
      <c r="S16" s="20" t="n"/>
      <c r="T16" s="20" t="n"/>
      <c r="U16" s="20" t="n"/>
      <c r="V16" s="20" t="n">
        <v>1598.455</v>
      </c>
      <c r="W16" s="20" t="n">
        <v>1729.664</v>
      </c>
      <c r="X16" s="20" t="n">
        <v>1915.685</v>
      </c>
      <c r="Y16" s="21" t="n"/>
      <c r="Z16" s="22" t="n"/>
      <c r="AA16" s="22" t="n"/>
      <c r="AB16" s="22" t="n"/>
      <c r="AC16" s="22" t="n"/>
    </row>
    <row r="17">
      <c r="A17" s="13" t="inlineStr">
        <is>
          <t>비중</t>
        </is>
      </c>
      <c r="B17" s="10" t="n"/>
      <c r="C17" s="14">
        <f>IF(OR(C16="",C4=""),"",IFERROR(C16/C4,""))</f>
        <v/>
      </c>
      <c r="D17" s="15">
        <f>IF(OR(D16="",D4=""),"",IFERROR(D16/D4,""))</f>
        <v/>
      </c>
      <c r="E17" s="15">
        <f>IF(OR(E16="",E4=""),"",IFERROR(E16/E4,""))</f>
        <v/>
      </c>
      <c r="F17" s="15">
        <f>IF(OR(F16="",F4=""),"",IFERROR(F16/F4,""))</f>
        <v/>
      </c>
      <c r="G17" s="15">
        <f>IF(OR(G16="",G4=""),"",IFERROR(G16/G4,""))</f>
        <v/>
      </c>
      <c r="H17" s="15">
        <f>IF(OR(H16="",H4=""),"",IFERROR(H16/H4,""))</f>
        <v/>
      </c>
      <c r="I17" s="15">
        <f>IF(OR(I16="",I4=""),"",IFERROR(I16/I4,""))</f>
        <v/>
      </c>
      <c r="J17" s="15">
        <f>IF(OR(J16="",J4=""),"",IFERROR(J16/J4,""))</f>
        <v/>
      </c>
      <c r="K17" s="15">
        <f>IF(OR(K16="",K4=""),"",IFERROR(K16/K4,""))</f>
        <v/>
      </c>
      <c r="L17" s="15">
        <f>IF(OR(L16="",L4=""),"",IFERROR(L16/L4,""))</f>
        <v/>
      </c>
      <c r="M17" s="15">
        <f>IF(OR(M16="",M4=""),"",IFERROR(M16/M4,""))</f>
        <v/>
      </c>
      <c r="N17" s="15">
        <f>IF(OR(N16="",N4=""),"",IFERROR(N16/N4,""))</f>
        <v/>
      </c>
      <c r="O17" s="14">
        <f>IF(OR(O16="",O4=""),"",IFERROR(O16/O4,""))</f>
        <v/>
      </c>
      <c r="P17" s="15">
        <f>IF(OR(P16="",P4=""),"",IFERROR(P16/P4,""))</f>
        <v/>
      </c>
      <c r="Q17" s="15">
        <f>IF(OR(Q16="",Q4=""),"",IFERROR(Q16/Q4,""))</f>
        <v/>
      </c>
      <c r="R17" s="15">
        <f>IF(OR(R16="",R4=""),"",IFERROR(R16/R4,""))</f>
        <v/>
      </c>
      <c r="S17" s="15">
        <f>IF(OR(S16="",S4=""),"",IFERROR(S16/S4,""))</f>
        <v/>
      </c>
      <c r="T17" s="15">
        <f>IF(OR(T16="",T4=""),"",IFERROR(T16/T4,""))</f>
        <v/>
      </c>
      <c r="U17" s="15">
        <f>IF(OR(U16="",U4=""),"",IFERROR(U16/U4,""))</f>
        <v/>
      </c>
      <c r="V17" s="15">
        <f>IF(OR(V16="",V4=""),"",IFERROR(V16/V4,""))</f>
        <v/>
      </c>
      <c r="W17" s="15">
        <f>IF(OR(W16="",W4=""),"",IFERROR(W16/W4,""))</f>
        <v/>
      </c>
      <c r="X17" s="15">
        <f>IF(OR(X16="",X4=""),"",IFERROR(X16/X4,""))</f>
        <v/>
      </c>
      <c r="Y17" s="14">
        <f>IF(OR(Y16="",Y4=""),"",IFERROR(Y16/Y4,""))</f>
        <v/>
      </c>
      <c r="Z17" s="15">
        <f>IF(OR(Z16="",Z4=""),"",IFERROR(Z16/Z4,""))</f>
        <v/>
      </c>
      <c r="AA17" s="15">
        <f>IF(OR(AA16="",AA4=""),"",IFERROR(AA16/AA4,""))</f>
        <v/>
      </c>
      <c r="AB17" s="15">
        <f>IF(OR(AB16="",AB4=""),"",IFERROR(AB16/AB4,""))</f>
        <v/>
      </c>
      <c r="AC17" s="15">
        <f>IF(OR(AC16="",AC4=""),"",IFERROR(AC16/AC4,""))</f>
        <v/>
      </c>
    </row>
    <row r="18">
      <c r="A18" s="13" t="inlineStr">
        <is>
          <t>YoY</t>
        </is>
      </c>
      <c r="B18" s="10" t="n"/>
      <c r="C18" s="14" t="n"/>
      <c r="D18" s="15" t="n"/>
      <c r="E18" s="15" t="n"/>
      <c r="F18" s="15" t="n"/>
      <c r="G18" s="15">
        <f>IF(OR(G16="",C16=""),"",IFERROR(G16/C16-1,""))</f>
        <v/>
      </c>
      <c r="H18" s="15">
        <f>IF(OR(H16="",D16=""),"",IFERROR(H16/D16-1,""))</f>
        <v/>
      </c>
      <c r="I18" s="15">
        <f>IF(OR(I16="",E16=""),"",IFERROR(I16/E16-1,""))</f>
        <v/>
      </c>
      <c r="J18" s="15">
        <f>IF(OR(J16="",F16=""),"",IFERROR(J16/F16-1,""))</f>
        <v/>
      </c>
      <c r="K18" s="15">
        <f>IF(OR(K16="",G16=""),"",IFERROR(K16/G16-1,""))</f>
        <v/>
      </c>
      <c r="L18" s="15">
        <f>IF(OR(L16="",H16=""),"",IFERROR(L16/H16-1,""))</f>
        <v/>
      </c>
      <c r="M18" s="15">
        <f>IF(OR(M16="",I16=""),"",IFERROR(M16/I16-1,""))</f>
        <v/>
      </c>
      <c r="N18" s="15">
        <f>IF(OR(N16="",J16=""),"",IFERROR(N16/J16-1,""))</f>
        <v/>
      </c>
      <c r="O18" s="14" t="n"/>
      <c r="P18" s="15">
        <f>IF(OR(P16="",O16=""),"",IFERROR(P16/O16-1,""))</f>
        <v/>
      </c>
      <c r="Q18" s="15">
        <f>IF(OR(Q16="",P16=""),"",IFERROR(Q16/P16-1,""))</f>
        <v/>
      </c>
      <c r="R18" s="15">
        <f>IF(OR(R16="",Q16=""),"",IFERROR(R16/Q16-1,""))</f>
        <v/>
      </c>
      <c r="S18" s="15">
        <f>IF(OR(S16="",R16=""),"",IFERROR(S16/R16-1,""))</f>
        <v/>
      </c>
      <c r="T18" s="15">
        <f>IF(OR(T16="",S16=""),"",IFERROR(T16/S16-1,""))</f>
        <v/>
      </c>
      <c r="U18" s="15">
        <f>IF(OR(U16="",T16=""),"",IFERROR(U16/T16-1,""))</f>
        <v/>
      </c>
      <c r="V18" s="15">
        <f>IF(OR(V16="",U16=""),"",IFERROR(V16/U16-1,""))</f>
        <v/>
      </c>
      <c r="W18" s="15">
        <f>IF(OR(W16="",V16=""),"",IFERROR(W16/V16-1,""))</f>
        <v/>
      </c>
      <c r="X18" s="15">
        <f>IF(OR(X16="",W16=""),"",IFERROR(X16/W16-1,""))</f>
        <v/>
      </c>
      <c r="Y18" s="14">
        <f>IF(OR(Y16="",X16=""),"",IFERROR(Y16/X16-1,""))</f>
        <v/>
      </c>
      <c r="Z18" s="15">
        <f>IF(OR(Z16="",Y16=""),"",IFERROR(Z16/Y16-1,""))</f>
        <v/>
      </c>
      <c r="AA18" s="15">
        <f>IF(OR(AA16="",Z16=""),"",IFERROR(AA16/Z16-1,""))</f>
        <v/>
      </c>
      <c r="AB18" s="15">
        <f>IF(OR(AB16="",AA16=""),"",IFERROR(AB16/AA16-1,""))</f>
        <v/>
      </c>
      <c r="AC18" s="15">
        <f>IF(OR(AC16="",AB16=""),"",IFERROR(AC16/AB16-1,""))</f>
        <v/>
      </c>
    </row>
    <row r="19">
      <c r="A19" s="18" t="inlineStr">
        <is>
          <t>EntityTotalMember</t>
        </is>
      </c>
      <c r="B19" s="10" t="n"/>
      <c r="C19" s="19" t="n"/>
      <c r="D19" s="20" t="n"/>
      <c r="E19" s="20" t="n">
        <v>10976.4</v>
      </c>
      <c r="F19" s="20" t="n"/>
      <c r="G19" s="20" t="n"/>
      <c r="H19" s="20" t="n"/>
      <c r="I19" s="20" t="n">
        <v>11170.441</v>
      </c>
      <c r="J19" s="20" t="n"/>
      <c r="K19" s="20" t="n"/>
      <c r="L19" s="20" t="n"/>
      <c r="M19" s="20" t="n">
        <v>12132.436</v>
      </c>
      <c r="N19" s="20" t="n"/>
      <c r="O19" s="19" t="n"/>
      <c r="P19" s="20" t="n"/>
      <c r="Q19" s="20" t="n"/>
      <c r="R19" s="20" t="n"/>
      <c r="S19" s="20" t="n"/>
      <c r="T19" s="20" t="n"/>
      <c r="U19" s="20" t="n"/>
      <c r="V19" s="20" t="n"/>
      <c r="W19" s="20" t="n"/>
      <c r="X19" s="20" t="n"/>
      <c r="Y19" s="21" t="n"/>
      <c r="Z19" s="22" t="n"/>
      <c r="AA19" s="22" t="n"/>
      <c r="AB19" s="22" t="n"/>
      <c r="AC19" s="22" t="n"/>
    </row>
    <row r="20">
      <c r="A20" s="13" t="inlineStr">
        <is>
          <t>비중</t>
        </is>
      </c>
      <c r="B20" s="10" t="n"/>
      <c r="C20" s="14">
        <f>IF(OR(C19="",C4=""),"",IFERROR(C19/C4,""))</f>
        <v/>
      </c>
      <c r="D20" s="15">
        <f>IF(OR(D19="",D4=""),"",IFERROR(D19/D4,""))</f>
        <v/>
      </c>
      <c r="E20" s="15">
        <f>IF(OR(E19="",E4=""),"",IFERROR(E19/E4,""))</f>
        <v/>
      </c>
      <c r="F20" s="15">
        <f>IF(OR(F19="",F4=""),"",IFERROR(F19/F4,""))</f>
        <v/>
      </c>
      <c r="G20" s="15">
        <f>IF(OR(G19="",G4=""),"",IFERROR(G19/G4,""))</f>
        <v/>
      </c>
      <c r="H20" s="15">
        <f>IF(OR(H19="",H4=""),"",IFERROR(H19/H4,""))</f>
        <v/>
      </c>
      <c r="I20" s="15">
        <f>IF(OR(I19="",I4=""),"",IFERROR(I19/I4,""))</f>
        <v/>
      </c>
      <c r="J20" s="15">
        <f>IF(OR(J19="",J4=""),"",IFERROR(J19/J4,""))</f>
        <v/>
      </c>
      <c r="K20" s="15">
        <f>IF(OR(K19="",K4=""),"",IFERROR(K19/K4,""))</f>
        <v/>
      </c>
      <c r="L20" s="15">
        <f>IF(OR(L19="",L4=""),"",IFERROR(L19/L4,""))</f>
        <v/>
      </c>
      <c r="M20" s="15">
        <f>IF(OR(M19="",M4=""),"",IFERROR(M19/M4,""))</f>
        <v/>
      </c>
      <c r="N20" s="15">
        <f>IF(OR(N19="",N4=""),"",IFERROR(N19/N4,""))</f>
        <v/>
      </c>
      <c r="O20" s="14">
        <f>IF(OR(O19="",O4=""),"",IFERROR(O19/O4,""))</f>
        <v/>
      </c>
      <c r="P20" s="15">
        <f>IF(OR(P19="",P4=""),"",IFERROR(P19/P4,""))</f>
        <v/>
      </c>
      <c r="Q20" s="15">
        <f>IF(OR(Q19="",Q4=""),"",IFERROR(Q19/Q4,""))</f>
        <v/>
      </c>
      <c r="R20" s="15">
        <f>IF(OR(R19="",R4=""),"",IFERROR(R19/R4,""))</f>
        <v/>
      </c>
      <c r="S20" s="15">
        <f>IF(OR(S19="",S4=""),"",IFERROR(S19/S4,""))</f>
        <v/>
      </c>
      <c r="T20" s="15">
        <f>IF(OR(T19="",T4=""),"",IFERROR(T19/T4,""))</f>
        <v/>
      </c>
      <c r="U20" s="15">
        <f>IF(OR(U19="",U4=""),"",IFERROR(U19/U4,""))</f>
        <v/>
      </c>
      <c r="V20" s="15">
        <f>IF(OR(V19="",V4=""),"",IFERROR(V19/V4,""))</f>
        <v/>
      </c>
      <c r="W20" s="15">
        <f>IF(OR(W19="",W4=""),"",IFERROR(W19/W4,""))</f>
        <v/>
      </c>
      <c r="X20" s="15">
        <f>IF(OR(X19="",X4=""),"",IFERROR(X19/X4,""))</f>
        <v/>
      </c>
      <c r="Y20" s="14">
        <f>IF(OR(Y19="",Y4=""),"",IFERROR(Y19/Y4,""))</f>
        <v/>
      </c>
      <c r="Z20" s="15">
        <f>IF(OR(Z19="",Z4=""),"",IFERROR(Z19/Z4,""))</f>
        <v/>
      </c>
      <c r="AA20" s="15">
        <f>IF(OR(AA19="",AA4=""),"",IFERROR(AA19/AA4,""))</f>
        <v/>
      </c>
      <c r="AB20" s="15">
        <f>IF(OR(AB19="",AB4=""),"",IFERROR(AB19/AB4,""))</f>
        <v/>
      </c>
      <c r="AC20" s="15">
        <f>IF(OR(AC19="",AC4=""),"",IFERROR(AC19/AC4,""))</f>
        <v/>
      </c>
    </row>
    <row r="21">
      <c r="A21" s="13" t="inlineStr">
        <is>
          <t>YoY</t>
        </is>
      </c>
      <c r="B21" s="10" t="n"/>
      <c r="C21" s="14" t="n"/>
      <c r="D21" s="15" t="n"/>
      <c r="E21" s="15" t="n"/>
      <c r="F21" s="15" t="n"/>
      <c r="G21" s="15">
        <f>IF(OR(G19="",C19=""),"",IFERROR(G19/C19-1,""))</f>
        <v/>
      </c>
      <c r="H21" s="15">
        <f>IF(OR(H19="",D19=""),"",IFERROR(H19/D19-1,""))</f>
        <v/>
      </c>
      <c r="I21" s="15">
        <f>IF(OR(I19="",E19=""),"",IFERROR(I19/E19-1,""))</f>
        <v/>
      </c>
      <c r="J21" s="15">
        <f>IF(OR(J19="",F19=""),"",IFERROR(J19/F19-1,""))</f>
        <v/>
      </c>
      <c r="K21" s="15">
        <f>IF(OR(K19="",G19=""),"",IFERROR(K19/G19-1,""))</f>
        <v/>
      </c>
      <c r="L21" s="15">
        <f>IF(OR(L19="",H19=""),"",IFERROR(L19/H19-1,""))</f>
        <v/>
      </c>
      <c r="M21" s="15">
        <f>IF(OR(M19="",I19=""),"",IFERROR(M19/I19-1,""))</f>
        <v/>
      </c>
      <c r="N21" s="15">
        <f>IF(OR(N19="",J19=""),"",IFERROR(N19/J19-1,""))</f>
        <v/>
      </c>
      <c r="O21" s="14" t="n"/>
      <c r="P21" s="15">
        <f>IF(OR(P19="",O19=""),"",IFERROR(P19/O19-1,""))</f>
        <v/>
      </c>
      <c r="Q21" s="15">
        <f>IF(OR(Q19="",P19=""),"",IFERROR(Q19/P19-1,""))</f>
        <v/>
      </c>
      <c r="R21" s="15">
        <f>IF(OR(R19="",Q19=""),"",IFERROR(R19/Q19-1,""))</f>
        <v/>
      </c>
      <c r="S21" s="15">
        <f>IF(OR(S19="",R19=""),"",IFERROR(S19/R19-1,""))</f>
        <v/>
      </c>
      <c r="T21" s="15">
        <f>IF(OR(T19="",S19=""),"",IFERROR(T19/S19-1,""))</f>
        <v/>
      </c>
      <c r="U21" s="15">
        <f>IF(OR(U19="",T19=""),"",IFERROR(U19/T19-1,""))</f>
        <v/>
      </c>
      <c r="V21" s="15">
        <f>IF(OR(V19="",U19=""),"",IFERROR(V19/U19-1,""))</f>
        <v/>
      </c>
      <c r="W21" s="15">
        <f>IF(OR(W19="",V19=""),"",IFERROR(W19/V19-1,""))</f>
        <v/>
      </c>
      <c r="X21" s="15">
        <f>IF(OR(X19="",W19=""),"",IFERROR(X19/W19-1,""))</f>
        <v/>
      </c>
      <c r="Y21" s="14">
        <f>IF(OR(Y19="",X19=""),"",IFERROR(Y19/X19-1,""))</f>
        <v/>
      </c>
      <c r="Z21" s="15">
        <f>IF(OR(Z19="",Y19=""),"",IFERROR(Z19/Y19-1,""))</f>
        <v/>
      </c>
      <c r="AA21" s="15">
        <f>IF(OR(AA19="",Z19=""),"",IFERROR(AA19/Z19-1,""))</f>
        <v/>
      </c>
      <c r="AB21" s="15">
        <f>IF(OR(AB19="",AA19=""),"",IFERROR(AB19/AA19-1,""))</f>
        <v/>
      </c>
      <c r="AC21" s="15">
        <f>IF(OR(AC19="",AB19=""),"",IFERROR(AC19/AB19-1,""))</f>
        <v/>
      </c>
    </row>
    <row r="22">
      <c r="A22" s="16" t="inlineStr">
        <is>
          <t>매출원가</t>
        </is>
      </c>
      <c r="B22" s="16" t="n"/>
      <c r="C22" s="17" t="n"/>
      <c r="D22" s="16" t="n"/>
      <c r="E22" s="16" t="n"/>
      <c r="F22" s="16" t="n"/>
      <c r="G22" s="16" t="n"/>
      <c r="H22" s="16" t="n"/>
      <c r="I22" s="16" t="n"/>
      <c r="J22" s="16" t="n"/>
      <c r="K22" s="16" t="n"/>
      <c r="L22" s="16" t="n"/>
      <c r="M22" s="16" t="n"/>
      <c r="N22" s="16" t="n"/>
      <c r="O22" s="17" t="n"/>
      <c r="P22" s="16" t="n"/>
      <c r="Q22" s="16" t="n"/>
      <c r="R22" s="16" t="n"/>
      <c r="S22" s="16" t="n"/>
      <c r="T22" s="16" t="n"/>
      <c r="U22" s="16" t="n"/>
      <c r="V22" s="16" t="n"/>
      <c r="W22" s="16" t="n"/>
      <c r="X22" s="16" t="n"/>
      <c r="Y22" s="17" t="n"/>
      <c r="Z22" s="16" t="n"/>
      <c r="AA22" s="16" t="n"/>
      <c r="AB22" s="16" t="n"/>
      <c r="AC22" s="16" t="n"/>
    </row>
    <row r="23">
      <c r="A23" s="18" t="inlineStr">
        <is>
          <t>전체 매출원가</t>
        </is>
      </c>
      <c r="B23" s="10" t="n"/>
      <c r="C23" s="19" t="n">
        <v>10582.043</v>
      </c>
      <c r="D23" s="20" t="n">
        <v>4206.655</v>
      </c>
      <c r="E23" s="20" t="n">
        <v>8862.356</v>
      </c>
      <c r="F23" s="20" t="n">
        <v>9824.968999999999</v>
      </c>
      <c r="G23" s="20" t="n">
        <v>11038.413</v>
      </c>
      <c r="H23" s="20" t="n">
        <v>9949.373</v>
      </c>
      <c r="I23" s="20" t="n">
        <v>8997.276</v>
      </c>
      <c r="J23" s="20" t="n">
        <v>9333.35</v>
      </c>
      <c r="K23" s="20" t="n">
        <v>10652.95</v>
      </c>
      <c r="L23" s="20" t="n">
        <v>9926.538</v>
      </c>
      <c r="M23" s="20" t="n">
        <v>9804.666999999999</v>
      </c>
      <c r="N23" s="20" t="n">
        <v>10361.894</v>
      </c>
      <c r="O23" s="19" t="n">
        <v>29179.889</v>
      </c>
      <c r="P23" s="20" t="n">
        <v>31378.677</v>
      </c>
      <c r="Q23" s="20" t="n">
        <v>36916.847</v>
      </c>
      <c r="R23" s="20" t="n">
        <v>30786.473</v>
      </c>
      <c r="S23" s="20" t="n">
        <v>32591.333</v>
      </c>
      <c r="T23" s="20" t="n">
        <v>34780.271</v>
      </c>
      <c r="U23" s="20" t="n">
        <v>32111.233</v>
      </c>
      <c r="V23" s="20" t="n">
        <v>32525.131</v>
      </c>
      <c r="W23" s="20" t="n">
        <v>39675.111</v>
      </c>
      <c r="X23" s="20" t="n">
        <v>38910.114</v>
      </c>
      <c r="Y23" s="19" t="n"/>
      <c r="Z23" s="20" t="n"/>
      <c r="AA23" s="20" t="n"/>
      <c r="AB23" s="20" t="n"/>
      <c r="AC23" s="20" t="n"/>
    </row>
    <row r="24">
      <c r="A24" s="13" t="inlineStr">
        <is>
          <t>YoY</t>
        </is>
      </c>
      <c r="B24" s="10" t="n"/>
      <c r="C24" s="14" t="n"/>
      <c r="D24" s="15" t="n"/>
      <c r="E24" s="15" t="n"/>
      <c r="F24" s="15" t="n"/>
      <c r="G24" s="15">
        <f>IF(OR(G23="",C23=""),"",IF(C23&lt;=0,"",IFERROR(G23/C23-1,"")))</f>
        <v/>
      </c>
      <c r="H24" s="15">
        <f>IF(OR(H23="",D23=""),"",IF(D23&lt;=0,"",IFERROR(H23/D23-1,"")))</f>
        <v/>
      </c>
      <c r="I24" s="15">
        <f>IF(OR(I23="",E23=""),"",IF(E23&lt;=0,"",IFERROR(I23/E23-1,"")))</f>
        <v/>
      </c>
      <c r="J24" s="15">
        <f>IF(OR(J23="",F23=""),"",IF(F23&lt;=0,"",IFERROR(J23/F23-1,"")))</f>
        <v/>
      </c>
      <c r="K24" s="15">
        <f>IF(OR(K23="",G23=""),"",IF(G23&lt;=0,"",IFERROR(K23/G23-1,"")))</f>
        <v/>
      </c>
      <c r="L24" s="15">
        <f>IF(OR(L23="",H23=""),"",IF(H23&lt;=0,"",IFERROR(L23/H23-1,"")))</f>
        <v/>
      </c>
      <c r="M24" s="15">
        <f>IF(OR(M23="",I23=""),"",IF(I23&lt;=0,"",IFERROR(M23/I23-1,"")))</f>
        <v/>
      </c>
      <c r="N24" s="15">
        <f>IF(OR(N23="",J23=""),"",IF(J23&lt;=0,"",IFERROR(N23/J23-1,"")))</f>
        <v/>
      </c>
      <c r="O24" s="14" t="n"/>
      <c r="P24" s="15">
        <f>IF(OR(P23="",O23=""),"",IF(O23&lt;=0,"",IFERROR(P23/O23-1,"")))</f>
        <v/>
      </c>
      <c r="Q24" s="15">
        <f>IF(OR(Q23="",P23=""),"",IF(P23&lt;=0,"",IFERROR(Q23/P23-1,"")))</f>
        <v/>
      </c>
      <c r="R24" s="15">
        <f>IF(OR(R23="",Q23=""),"",IF(Q23&lt;=0,"",IFERROR(R23/Q23-1,"")))</f>
        <v/>
      </c>
      <c r="S24" s="15">
        <f>IF(OR(S23="",R23=""),"",IF(R23&lt;=0,"",IFERROR(S23/R23-1,"")))</f>
        <v/>
      </c>
      <c r="T24" s="15">
        <f>IF(OR(T23="",S23=""),"",IF(S23&lt;=0,"",IFERROR(T23/S23-1,"")))</f>
        <v/>
      </c>
      <c r="U24" s="15">
        <f>IF(OR(U23="",T23=""),"",IF(T23&lt;=0,"",IFERROR(U23/T23-1,"")))</f>
        <v/>
      </c>
      <c r="V24" s="15">
        <f>IF(OR(V23="",U23=""),"",IF(U23&lt;=0,"",IFERROR(V23/U23-1,"")))</f>
        <v/>
      </c>
      <c r="W24" s="15">
        <f>IF(OR(W23="",V23=""),"",IF(V23&lt;=0,"",IFERROR(W23/V23-1,"")))</f>
        <v/>
      </c>
      <c r="X24" s="15">
        <f>IF(OR(X23="",W23=""),"",IF(W23&lt;=0,"",IFERROR(X23/W23-1,"")))</f>
        <v/>
      </c>
      <c r="Y24" s="14">
        <f>IF(OR(Y23="",X23=""),"",IF(X23&lt;=0,"",IFERROR(Y23/X23-1,"")))</f>
        <v/>
      </c>
      <c r="Z24" s="15">
        <f>IF(OR(Z23="",Y23=""),"",IF(Y23&lt;=0,"",IFERROR(Z23/Y23-1,"")))</f>
        <v/>
      </c>
      <c r="AA24" s="15">
        <f>IF(OR(AA23="",Z23=""),"",IF(Z23&lt;=0,"",IFERROR(AA23/Z23-1,"")))</f>
        <v/>
      </c>
      <c r="AB24" s="15">
        <f>IF(OR(AB23="",AA23=""),"",IF(AA23&lt;=0,"",IFERROR(AB23/AA23-1,"")))</f>
        <v/>
      </c>
      <c r="AC24" s="15">
        <f>IF(OR(AC23="",AB23=""),"",IF(AB23&lt;=0,"",IFERROR(AC23/AB23-1,"")))</f>
        <v/>
      </c>
    </row>
    <row r="25">
      <c r="A25" s="18" t="inlineStr">
        <is>
          <t>매출총이익</t>
        </is>
      </c>
      <c r="B25" s="10" t="n"/>
      <c r="C25" s="19">
        <f>IF(OR(C4="",C23=""),"",IFERROR(C4-C23,""))</f>
        <v/>
      </c>
      <c r="D25" s="20">
        <f>IF(OR(D4="",D23=""),"",IFERROR(D4-D23,""))</f>
        <v/>
      </c>
      <c r="E25" s="20">
        <f>IF(OR(E4="",E23=""),"",IFERROR(E4-E23,""))</f>
        <v/>
      </c>
      <c r="F25" s="20">
        <f>IF(OR(F4="",F23=""),"",IFERROR(F4-F23,""))</f>
        <v/>
      </c>
      <c r="G25" s="20">
        <f>IF(OR(G4="",G23=""),"",IFERROR(G4-G23,""))</f>
        <v/>
      </c>
      <c r="H25" s="20">
        <f>IF(OR(H4="",H23=""),"",IFERROR(H4-H23,""))</f>
        <v/>
      </c>
      <c r="I25" s="20">
        <f>IF(OR(I4="",I23=""),"",IFERROR(I4-I23,""))</f>
        <v/>
      </c>
      <c r="J25" s="20">
        <f>IF(OR(J4="",J23=""),"",IFERROR(J4-J23,""))</f>
        <v/>
      </c>
      <c r="K25" s="20">
        <f>IF(OR(K4="",K23=""),"",IFERROR(K4-K23,""))</f>
        <v/>
      </c>
      <c r="L25" s="20">
        <f>IF(OR(L4="",L23=""),"",IFERROR(L4-L23,""))</f>
        <v/>
      </c>
      <c r="M25" s="20">
        <f>IF(OR(M4="",M23=""),"",IFERROR(M4-M23,""))</f>
        <v/>
      </c>
      <c r="N25" s="20">
        <f>IF(OR(N4="",N23=""),"",IFERROR(N4-N23,""))</f>
        <v/>
      </c>
      <c r="O25" s="19">
        <f>IF(OR(O4="",O23=""),"",IFERROR(O4-O23,""))</f>
        <v/>
      </c>
      <c r="P25" s="20">
        <f>IF(OR(P4="",P23=""),"",IFERROR(P4-P23,""))</f>
        <v/>
      </c>
      <c r="Q25" s="20">
        <f>IF(OR(Q4="",Q23=""),"",IFERROR(Q4-Q23,""))</f>
        <v/>
      </c>
      <c r="R25" s="20">
        <f>IF(OR(R4="",R23=""),"",IFERROR(R4-R23,""))</f>
        <v/>
      </c>
      <c r="S25" s="20">
        <f>IF(OR(S4="",S23=""),"",IFERROR(S4-S23,""))</f>
        <v/>
      </c>
      <c r="T25" s="20">
        <f>IF(OR(T4="",T23=""),"",IFERROR(T4-T23,""))</f>
        <v/>
      </c>
      <c r="U25" s="20">
        <f>IF(OR(U4="",U23=""),"",IFERROR(U4-U23,""))</f>
        <v/>
      </c>
      <c r="V25" s="20">
        <f>IF(OR(V4="",V23=""),"",IFERROR(V4-V23,""))</f>
        <v/>
      </c>
      <c r="W25" s="20">
        <f>IF(OR(W4="",W23=""),"",IFERROR(W4-W23,""))</f>
        <v/>
      </c>
      <c r="X25" s="20">
        <f>IF(OR(X4="",X23=""),"",IFERROR(X4-X23,""))</f>
        <v/>
      </c>
      <c r="Y25" s="19" t="n"/>
      <c r="Z25" s="20" t="n"/>
      <c r="AA25" s="20" t="n"/>
      <c r="AB25" s="20" t="n"/>
      <c r="AC25" s="20" t="n"/>
    </row>
    <row r="26">
      <c r="A26" s="13" t="inlineStr">
        <is>
          <t>GPM</t>
        </is>
      </c>
      <c r="B26" s="10" t="n"/>
      <c r="C26" s="14">
        <f>IF(OR(C25="",C4=""),"",IFERROR(C25/C4,""))</f>
        <v/>
      </c>
      <c r="D26" s="15">
        <f>IF(OR(D25="",D4=""),"",IFERROR(D25/D4,""))</f>
        <v/>
      </c>
      <c r="E26" s="15">
        <f>IF(OR(E25="",E4=""),"",IFERROR(E25/E4,""))</f>
        <v/>
      </c>
      <c r="F26" s="15">
        <f>IF(OR(F25="",F4=""),"",IFERROR(F25/F4,""))</f>
        <v/>
      </c>
      <c r="G26" s="15">
        <f>IF(OR(G25="",G4=""),"",IFERROR(G25/G4,""))</f>
        <v/>
      </c>
      <c r="H26" s="15">
        <f>IF(OR(H25="",H4=""),"",IFERROR(H25/H4,""))</f>
        <v/>
      </c>
      <c r="I26" s="15">
        <f>IF(OR(I25="",I4=""),"",IFERROR(I25/I4,""))</f>
        <v/>
      </c>
      <c r="J26" s="15">
        <f>IF(OR(J25="",J4=""),"",IFERROR(J25/J4,""))</f>
        <v/>
      </c>
      <c r="K26" s="15">
        <f>IF(OR(K25="",K4=""),"",IFERROR(K25/K4,""))</f>
        <v/>
      </c>
      <c r="L26" s="15">
        <f>IF(OR(L25="",L4=""),"",IFERROR(L25/L4,""))</f>
        <v/>
      </c>
      <c r="M26" s="15">
        <f>IF(OR(M25="",M4=""),"",IFERROR(M25/M4,""))</f>
        <v/>
      </c>
      <c r="N26" s="15">
        <f>IF(OR(N25="",N4=""),"",IFERROR(N25/N4,""))</f>
        <v/>
      </c>
      <c r="O26" s="14">
        <f>IF(OR(O25="",O4=""),"",IFERROR(O25/O4,""))</f>
        <v/>
      </c>
      <c r="P26" s="15">
        <f>IF(OR(P25="",P4=""),"",IFERROR(P25/P4,""))</f>
        <v/>
      </c>
      <c r="Q26" s="15">
        <f>IF(OR(Q25="",Q4=""),"",IFERROR(Q25/Q4,""))</f>
        <v/>
      </c>
      <c r="R26" s="15">
        <f>IF(OR(R25="",R4=""),"",IFERROR(R25/R4,""))</f>
        <v/>
      </c>
      <c r="S26" s="15">
        <f>IF(OR(S25="",S4=""),"",IFERROR(S25/S4,""))</f>
        <v/>
      </c>
      <c r="T26" s="15">
        <f>IF(OR(T25="",T4=""),"",IFERROR(T25/T4,""))</f>
        <v/>
      </c>
      <c r="U26" s="15">
        <f>IF(OR(U25="",U4=""),"",IFERROR(U25/U4,""))</f>
        <v/>
      </c>
      <c r="V26" s="15">
        <f>IF(OR(V25="",V4=""),"",IFERROR(V25/V4,""))</f>
        <v/>
      </c>
      <c r="W26" s="15">
        <f>IF(OR(W25="",W4=""),"",IFERROR(W25/W4,""))</f>
        <v/>
      </c>
      <c r="X26" s="15">
        <f>IF(OR(X25="",X4=""),"",IFERROR(X25/X4,""))</f>
        <v/>
      </c>
      <c r="Y26" s="14">
        <f>IF(OR(Y25="",Y4=""),"",IFERROR(Y25/Y4,""))</f>
        <v/>
      </c>
      <c r="Z26" s="15">
        <f>IF(OR(Z25="",Z4=""),"",IFERROR(Z25/Z4,""))</f>
        <v/>
      </c>
      <c r="AA26" s="15">
        <f>IF(OR(AA25="",AA4=""),"",IFERROR(AA25/AA4,""))</f>
        <v/>
      </c>
      <c r="AB26" s="15">
        <f>IF(OR(AB25="",AB4=""),"",IFERROR(AB25/AB4,""))</f>
        <v/>
      </c>
      <c r="AC26" s="15">
        <f>IF(OR(AC25="",AC4=""),"",IFERROR(AC25/AC4,""))</f>
        <v/>
      </c>
    </row>
    <row r="27">
      <c r="A27" s="13" t="inlineStr">
        <is>
          <t>YoY</t>
        </is>
      </c>
      <c r="B27" s="10" t="n"/>
      <c r="C27" s="14" t="n"/>
      <c r="D27" s="15" t="n"/>
      <c r="E27" s="15" t="n"/>
      <c r="F27" s="15" t="n"/>
      <c r="G27" s="15">
        <f>IF(OR(G25="",C25=""),"",IF(C25&lt;=0,"",IFERROR(G25/C25-1,"")))</f>
        <v/>
      </c>
      <c r="H27" s="15">
        <f>IF(OR(H25="",D25=""),"",IF(D25&lt;=0,"",IFERROR(H25/D25-1,"")))</f>
        <v/>
      </c>
      <c r="I27" s="15">
        <f>IF(OR(I25="",E25=""),"",IF(E25&lt;=0,"",IFERROR(I25/E25-1,"")))</f>
        <v/>
      </c>
      <c r="J27" s="15">
        <f>IF(OR(J25="",F25=""),"",IF(F25&lt;=0,"",IFERROR(J25/F25-1,"")))</f>
        <v/>
      </c>
      <c r="K27" s="15">
        <f>IF(OR(K25="",G25=""),"",IF(G25&lt;=0,"",IFERROR(K25/G25-1,"")))</f>
        <v/>
      </c>
      <c r="L27" s="15">
        <f>IF(OR(L25="",H25=""),"",IF(H25&lt;=0,"",IFERROR(L25/H25-1,"")))</f>
        <v/>
      </c>
      <c r="M27" s="15">
        <f>IF(OR(M25="",I25=""),"",IF(I25&lt;=0,"",IFERROR(M25/I25-1,"")))</f>
        <v/>
      </c>
      <c r="N27" s="15">
        <f>IF(OR(N25="",J25=""),"",IF(J25&lt;=0,"",IFERROR(N25/J25-1,"")))</f>
        <v/>
      </c>
      <c r="O27" s="14" t="n"/>
      <c r="P27" s="15">
        <f>IF(OR(P25="",O25=""),"",IF(O25&lt;=0,"",IFERROR(P25/O25-1,"")))</f>
        <v/>
      </c>
      <c r="Q27" s="15">
        <f>IF(OR(Q25="",P25=""),"",IF(P25&lt;=0,"",IFERROR(Q25/P25-1,"")))</f>
        <v/>
      </c>
      <c r="R27" s="15">
        <f>IF(OR(R25="",Q25=""),"",IF(Q25&lt;=0,"",IFERROR(R25/Q25-1,"")))</f>
        <v/>
      </c>
      <c r="S27" s="15">
        <f>IF(OR(S25="",R25=""),"",IF(R25&lt;=0,"",IFERROR(S25/R25-1,"")))</f>
        <v/>
      </c>
      <c r="T27" s="15">
        <f>IF(OR(T25="",S25=""),"",IF(S25&lt;=0,"",IFERROR(T25/S25-1,"")))</f>
        <v/>
      </c>
      <c r="U27" s="15">
        <f>IF(OR(U25="",T25=""),"",IF(T25&lt;=0,"",IFERROR(U25/T25-1,"")))</f>
        <v/>
      </c>
      <c r="V27" s="15">
        <f>IF(OR(V25="",U25=""),"",IF(U25&lt;=0,"",IFERROR(V25/U25-1,"")))</f>
        <v/>
      </c>
      <c r="W27" s="15">
        <f>IF(OR(W25="",V25=""),"",IF(V25&lt;=0,"",IFERROR(W25/V25-1,"")))</f>
        <v/>
      </c>
      <c r="X27" s="15">
        <f>IF(OR(X25="",W25=""),"",IF(W25&lt;=0,"",IFERROR(X25/W25-1,"")))</f>
        <v/>
      </c>
      <c r="Y27" s="14">
        <f>IF(OR(Y25="",X25=""),"",IF(X25&lt;=0,"",IFERROR(Y25/X25-1,"")))</f>
        <v/>
      </c>
      <c r="Z27" s="15">
        <f>IF(OR(Z25="",Y25=""),"",IF(Y25&lt;=0,"",IFERROR(Z25/Y25-1,"")))</f>
        <v/>
      </c>
      <c r="AA27" s="15">
        <f>IF(OR(AA25="",Z25=""),"",IF(Z25&lt;=0,"",IFERROR(AA25/Z25-1,"")))</f>
        <v/>
      </c>
      <c r="AB27" s="15">
        <f>IF(OR(AB25="",AA25=""),"",IF(AA25&lt;=0,"",IFERROR(AB25/AA25-1,"")))</f>
        <v/>
      </c>
      <c r="AC27" s="15">
        <f>IF(OR(AC25="",AB25=""),"",IF(AB25&lt;=0,"",IFERROR(AC25/AB25-1,"")))</f>
        <v/>
      </c>
    </row>
    <row r="28">
      <c r="A28" s="23" t="inlineStr">
        <is>
          <t>판매관리비</t>
        </is>
      </c>
      <c r="B28" s="23" t="n"/>
      <c r="C28" s="24" t="n"/>
      <c r="D28" s="23" t="n"/>
      <c r="E28" s="23" t="n"/>
      <c r="F28" s="23" t="n"/>
      <c r="G28" s="23" t="n"/>
      <c r="H28" s="23" t="n"/>
      <c r="I28" s="23" t="n"/>
      <c r="J28" s="23" t="n"/>
      <c r="K28" s="23" t="n"/>
      <c r="L28" s="23" t="n"/>
      <c r="M28" s="23" t="n"/>
      <c r="N28" s="23" t="n"/>
      <c r="O28" s="24" t="n"/>
      <c r="P28" s="23" t="n"/>
      <c r="Q28" s="23" t="n"/>
      <c r="R28" s="23" t="n"/>
      <c r="S28" s="23" t="n"/>
      <c r="T28" s="23" t="n"/>
      <c r="U28" s="23" t="n"/>
      <c r="V28" s="23" t="n"/>
      <c r="W28" s="23" t="n"/>
      <c r="X28" s="23" t="n"/>
      <c r="Y28" s="24" t="n"/>
      <c r="Z28" s="23" t="n"/>
      <c r="AA28" s="23" t="n"/>
      <c r="AB28" s="23" t="n"/>
      <c r="AC28" s="23" t="n"/>
    </row>
    <row r="29">
      <c r="A29" s="18" t="inlineStr">
        <is>
          <t>전체 판관비</t>
        </is>
      </c>
      <c r="B29" s="10" t="n"/>
      <c r="C29" s="19" t="n">
        <v>1748.996</v>
      </c>
      <c r="D29" s="20" t="n">
        <v>846.645</v>
      </c>
      <c r="E29" s="20" t="n">
        <v>1738.8</v>
      </c>
      <c r="F29" s="20" t="n">
        <v>1844.162</v>
      </c>
      <c r="G29" s="20" t="n">
        <v>1743.316</v>
      </c>
      <c r="H29" s="20" t="n">
        <v>2067.964</v>
      </c>
      <c r="I29" s="20" t="n">
        <v>1896.179</v>
      </c>
      <c r="J29" s="20" t="n">
        <v>1895.583</v>
      </c>
      <c r="K29" s="20" t="n">
        <v>1900.035</v>
      </c>
      <c r="L29" s="20" t="n">
        <v>1961.937</v>
      </c>
      <c r="M29" s="20" t="n">
        <v>1840.711</v>
      </c>
      <c r="N29" s="20" t="n">
        <v>1960.305</v>
      </c>
      <c r="O29" s="19" t="n">
        <v>4427.897</v>
      </c>
      <c r="P29" s="20" t="n">
        <v>4503.253</v>
      </c>
      <c r="Q29" s="20" t="n">
        <v>5629.634</v>
      </c>
      <c r="R29" s="20" t="n">
        <v>4836.175</v>
      </c>
      <c r="S29" s="20" t="n">
        <v>5703.973</v>
      </c>
      <c r="T29" s="20" t="n">
        <v>6268.67</v>
      </c>
      <c r="U29" s="20" t="n">
        <v>5630.497</v>
      </c>
      <c r="V29" s="20" t="n">
        <v>6009.88</v>
      </c>
      <c r="W29" s="20" t="n">
        <v>7394.242</v>
      </c>
      <c r="X29" s="20" t="n">
        <v>7653.734</v>
      </c>
      <c r="Y29" s="19" t="n"/>
      <c r="Z29" s="20" t="n"/>
      <c r="AA29" s="20" t="n"/>
      <c r="AB29" s="20" t="n"/>
      <c r="AC29" s="20" t="n"/>
    </row>
    <row r="30">
      <c r="A30" s="13" t="inlineStr">
        <is>
          <t>YoY</t>
        </is>
      </c>
      <c r="B30" s="10" t="n"/>
      <c r="C30" s="14" t="n"/>
      <c r="D30" s="15" t="n"/>
      <c r="E30" s="15" t="n"/>
      <c r="F30" s="15" t="n"/>
      <c r="G30" s="15">
        <f>IF(OR(G29="",C29=""),"",IF(C29&lt;=0,"",IFERROR(G29/C29-1,"")))</f>
        <v/>
      </c>
      <c r="H30" s="15">
        <f>IF(OR(H29="",D29=""),"",IF(D29&lt;=0,"",IFERROR(H29/D29-1,"")))</f>
        <v/>
      </c>
      <c r="I30" s="15">
        <f>IF(OR(I29="",E29=""),"",IF(E29&lt;=0,"",IFERROR(I29/E29-1,"")))</f>
        <v/>
      </c>
      <c r="J30" s="15">
        <f>IF(OR(J29="",F29=""),"",IF(F29&lt;=0,"",IFERROR(J29/F29-1,"")))</f>
        <v/>
      </c>
      <c r="K30" s="15">
        <f>IF(OR(K29="",G29=""),"",IF(G29&lt;=0,"",IFERROR(K29/G29-1,"")))</f>
        <v/>
      </c>
      <c r="L30" s="15">
        <f>IF(OR(L29="",H29=""),"",IF(H29&lt;=0,"",IFERROR(L29/H29-1,"")))</f>
        <v/>
      </c>
      <c r="M30" s="15">
        <f>IF(OR(M29="",I29=""),"",IF(I29&lt;=0,"",IFERROR(M29/I29-1,"")))</f>
        <v/>
      </c>
      <c r="N30" s="15">
        <f>IF(OR(N29="",J29=""),"",IF(J29&lt;=0,"",IFERROR(N29/J29-1,"")))</f>
        <v/>
      </c>
      <c r="O30" s="14" t="n"/>
      <c r="P30" s="15">
        <f>IF(OR(P29="",O29=""),"",IF(O29&lt;=0,"",IFERROR(P29/O29-1,"")))</f>
        <v/>
      </c>
      <c r="Q30" s="15">
        <f>IF(OR(Q29="",P29=""),"",IF(P29&lt;=0,"",IFERROR(Q29/P29-1,"")))</f>
        <v/>
      </c>
      <c r="R30" s="15">
        <f>IF(OR(R29="",Q29=""),"",IF(Q29&lt;=0,"",IFERROR(R29/Q29-1,"")))</f>
        <v/>
      </c>
      <c r="S30" s="15">
        <f>IF(OR(S29="",R29=""),"",IF(R29&lt;=0,"",IFERROR(S29/R29-1,"")))</f>
        <v/>
      </c>
      <c r="T30" s="15">
        <f>IF(OR(T29="",S29=""),"",IF(S29&lt;=0,"",IFERROR(T29/S29-1,"")))</f>
        <v/>
      </c>
      <c r="U30" s="15">
        <f>IF(OR(U29="",T29=""),"",IF(T29&lt;=0,"",IFERROR(U29/T29-1,"")))</f>
        <v/>
      </c>
      <c r="V30" s="15">
        <f>IF(OR(V29="",U29=""),"",IF(U29&lt;=0,"",IFERROR(V29/U29-1,"")))</f>
        <v/>
      </c>
      <c r="W30" s="15">
        <f>IF(OR(W29="",V29=""),"",IF(V29&lt;=0,"",IFERROR(W29/V29-1,"")))</f>
        <v/>
      </c>
      <c r="X30" s="15">
        <f>IF(OR(X29="",W29=""),"",IF(W29&lt;=0,"",IFERROR(X29/W29-1,"")))</f>
        <v/>
      </c>
      <c r="Y30" s="14">
        <f>IF(OR(Y29="",X29=""),"",IF(X29&lt;=0,"",IFERROR(Y29/X29-1,"")))</f>
        <v/>
      </c>
      <c r="Z30" s="15">
        <f>IF(OR(Z29="",Y29=""),"",IF(Y29&lt;=0,"",IFERROR(Z29/Y29-1,"")))</f>
        <v/>
      </c>
      <c r="AA30" s="15">
        <f>IF(OR(AA29="",Z29=""),"",IF(Z29&lt;=0,"",IFERROR(AA29/Z29-1,"")))</f>
        <v/>
      </c>
      <c r="AB30" s="15">
        <f>IF(OR(AB29="",AA29=""),"",IF(AA29&lt;=0,"",IFERROR(AB29/AA29-1,"")))</f>
        <v/>
      </c>
      <c r="AC30" s="15">
        <f>IF(OR(AC29="",AB29=""),"",IF(AB29&lt;=0,"",IFERROR(AC29/AB29-1,"")))</f>
        <v/>
      </c>
    </row>
    <row r="31">
      <c r="A31" s="9" t="inlineStr">
        <is>
          <t>영업이익</t>
        </is>
      </c>
      <c r="B31" s="10" t="inlineStr">
        <is>
          <t>MW = 매출 × OPM</t>
        </is>
      </c>
      <c r="C31" s="11" t="n">
        <v>975.76</v>
      </c>
      <c r="D31" s="12" t="n">
        <v>-182.892</v>
      </c>
      <c r="E31" s="12" t="n">
        <v>375.243</v>
      </c>
      <c r="F31" s="12" t="n">
        <v>529.633</v>
      </c>
      <c r="G31" s="12" t="n">
        <v>1161.367</v>
      </c>
      <c r="H31" s="12" t="n">
        <v>329.519</v>
      </c>
      <c r="I31" s="12" t="n">
        <v>276.986</v>
      </c>
      <c r="J31" s="12" t="n">
        <v>375.01</v>
      </c>
      <c r="K31" s="12" t="n">
        <v>949.809</v>
      </c>
      <c r="L31" s="12" t="n">
        <v>445.967</v>
      </c>
      <c r="M31" s="12" t="n">
        <v>487.057</v>
      </c>
      <c r="N31" s="12" t="n">
        <v>536.042</v>
      </c>
      <c r="O31" s="11" t="n">
        <v>1641.845</v>
      </c>
      <c r="P31" s="12" t="n">
        <v>2135.827</v>
      </c>
      <c r="Q31" s="12" t="n">
        <v>2870.631</v>
      </c>
      <c r="R31" s="12" t="n">
        <v>2088.554</v>
      </c>
      <c r="S31" s="12" t="n">
        <v>2070.14</v>
      </c>
      <c r="T31" s="12" t="n">
        <v>2071.438</v>
      </c>
      <c r="U31" s="12" t="n">
        <v>1715.173</v>
      </c>
      <c r="V31" s="12" t="n">
        <v>1699.853</v>
      </c>
      <c r="W31" s="12" t="n">
        <v>2395.762</v>
      </c>
      <c r="X31" s="12" t="n">
        <v>2047.772</v>
      </c>
      <c r="Y31" s="11">
        <f>IF(OR(Y4="",Y32=""),"",IFERROR(Y4*Y32,""))</f>
        <v/>
      </c>
      <c r="Z31" s="12">
        <f>IF(OR(Z4="",Z32=""),"",IFERROR(Z4*Z32,""))</f>
        <v/>
      </c>
      <c r="AA31" s="12">
        <f>IF(OR(AA4="",AA32=""),"",IFERROR(AA4*AA32,""))</f>
        <v/>
      </c>
      <c r="AB31" s="12">
        <f>IF(OR(AB4="",AB32=""),"",IFERROR(AB4*AB32,""))</f>
        <v/>
      </c>
      <c r="AC31" s="12">
        <f>IF(OR(AC4="",AC32=""),"",IFERROR(AC4*AC32,""))</f>
        <v/>
      </c>
    </row>
    <row r="32">
      <c r="A32" s="13" t="inlineStr">
        <is>
          <t>OPM</t>
        </is>
      </c>
      <c r="B32" s="10" t="inlineStr">
        <is>
          <t>MW 입력</t>
        </is>
      </c>
      <c r="C32" s="14">
        <f>IF(OR(C31="",C4=""),"",IFERROR(C31/C4,""))</f>
        <v/>
      </c>
      <c r="D32" s="15">
        <f>IF(OR(D31="",D4=""),"",IFERROR(D31/D4,""))</f>
        <v/>
      </c>
      <c r="E32" s="15">
        <f>IF(OR(E31="",E4=""),"",IFERROR(E31/E4,""))</f>
        <v/>
      </c>
      <c r="F32" s="15">
        <f>IF(OR(F31="",F4=""),"",IFERROR(F31/F4,""))</f>
        <v/>
      </c>
      <c r="G32" s="15">
        <f>IF(OR(G31="",G4=""),"",IFERROR(G31/G4,""))</f>
        <v/>
      </c>
      <c r="H32" s="15">
        <f>IF(OR(H31="",H4=""),"",IFERROR(H31/H4,""))</f>
        <v/>
      </c>
      <c r="I32" s="15">
        <f>IF(OR(I31="",I4=""),"",IFERROR(I31/I4,""))</f>
        <v/>
      </c>
      <c r="J32" s="15">
        <f>IF(OR(J31="",J4=""),"",IFERROR(J31/J4,""))</f>
        <v/>
      </c>
      <c r="K32" s="15">
        <f>IF(OR(K31="",K4=""),"",IFERROR(K31/K4,""))</f>
        <v/>
      </c>
      <c r="L32" s="15">
        <f>IF(OR(L31="",L4=""),"",IFERROR(L31/L4,""))</f>
        <v/>
      </c>
      <c r="M32" s="15">
        <f>IF(OR(M31="",M4=""),"",IFERROR(M31/M4,""))</f>
        <v/>
      </c>
      <c r="N32" s="15">
        <f>IF(OR(N31="",N4=""),"",IFERROR(N31/N4,""))</f>
        <v/>
      </c>
      <c r="O32" s="14">
        <f>IF(OR(O31="",O4=""),"",IFERROR(O31/O4,""))</f>
        <v/>
      </c>
      <c r="P32" s="15">
        <f>IF(OR(P31="",P4=""),"",IFERROR(P31/P4,""))</f>
        <v/>
      </c>
      <c r="Q32" s="15">
        <f>IF(OR(Q31="",Q4=""),"",IFERROR(Q31/Q4,""))</f>
        <v/>
      </c>
      <c r="R32" s="15">
        <f>IF(OR(R31="",R4=""),"",IFERROR(R31/R4,""))</f>
        <v/>
      </c>
      <c r="S32" s="15">
        <f>IF(OR(S31="",S4=""),"",IFERROR(S31/S4,""))</f>
        <v/>
      </c>
      <c r="T32" s="15">
        <f>IF(OR(T31="",T4=""),"",IFERROR(T31/T4,""))</f>
        <v/>
      </c>
      <c r="U32" s="15">
        <f>IF(OR(U31="",U4=""),"",IFERROR(U31/U4,""))</f>
        <v/>
      </c>
      <c r="V32" s="15">
        <f>IF(OR(V31="",V4=""),"",IFERROR(V31/V4,""))</f>
        <v/>
      </c>
      <c r="W32" s="15">
        <f>IF(OR(W31="",W4=""),"",IFERROR(W31/W4,""))</f>
        <v/>
      </c>
      <c r="X32" s="15">
        <f>IF(OR(X31="",X4=""),"",IFERROR(X31/X4,""))</f>
        <v/>
      </c>
      <c r="Y32" s="25" t="n"/>
      <c r="Z32" s="26" t="n"/>
      <c r="AA32" s="26" t="n"/>
      <c r="AB32" s="26" t="n"/>
      <c r="AC32" s="26" t="n"/>
    </row>
    <row r="33">
      <c r="A33" s="13" t="inlineStr">
        <is>
          <t>증가율</t>
        </is>
      </c>
      <c r="B33" s="10" t="n"/>
      <c r="C33" s="14" t="n"/>
      <c r="D33" s="15" t="n"/>
      <c r="E33" s="15" t="n"/>
      <c r="F33" s="15" t="n"/>
      <c r="G33" s="15">
        <f>IF(OR(G31="",C31=""),"",IFERROR(G31/C31-1,""))</f>
        <v/>
      </c>
      <c r="H33" s="15">
        <f>IF(OR(H31="",D31=""),"",IFERROR(H31/D31-1,""))</f>
        <v/>
      </c>
      <c r="I33" s="15">
        <f>IF(OR(I31="",E31=""),"",IFERROR(I31/E31-1,""))</f>
        <v/>
      </c>
      <c r="J33" s="15">
        <f>IF(OR(J31="",F31=""),"",IFERROR(J31/F31-1,""))</f>
        <v/>
      </c>
      <c r="K33" s="15">
        <f>IF(OR(K31="",G31=""),"",IFERROR(K31/G31-1,""))</f>
        <v/>
      </c>
      <c r="L33" s="15">
        <f>IF(OR(L31="",H31=""),"",IFERROR(L31/H31-1,""))</f>
        <v/>
      </c>
      <c r="M33" s="15">
        <f>IF(OR(M31="",I31=""),"",IFERROR(M31/I31-1,""))</f>
        <v/>
      </c>
      <c r="N33" s="15">
        <f>IF(OR(N31="",J31=""),"",IFERROR(N31/J31-1,""))</f>
        <v/>
      </c>
      <c r="O33" s="14" t="n"/>
      <c r="P33" s="15">
        <f>IF(OR(P31="",O31=""),"",IFERROR(P31/O31-1,""))</f>
        <v/>
      </c>
      <c r="Q33" s="15">
        <f>IF(OR(Q31="",P31=""),"",IFERROR(Q31/P31-1,""))</f>
        <v/>
      </c>
      <c r="R33" s="15">
        <f>IF(OR(R31="",Q31=""),"",IFERROR(R31/Q31-1,""))</f>
        <v/>
      </c>
      <c r="S33" s="15">
        <f>IF(OR(S31="",R31=""),"",IFERROR(S31/R31-1,""))</f>
        <v/>
      </c>
      <c r="T33" s="15">
        <f>IF(OR(T31="",S31=""),"",IFERROR(T31/S31-1,""))</f>
        <v/>
      </c>
      <c r="U33" s="15">
        <f>IF(OR(U31="",T31=""),"",IFERROR(U31/T31-1,""))</f>
        <v/>
      </c>
      <c r="V33" s="15">
        <f>IF(OR(V31="",U31=""),"",IFERROR(V31/U31-1,""))</f>
        <v/>
      </c>
      <c r="W33" s="15">
        <f>IF(OR(W31="",V31=""),"",IFERROR(W31/V31-1,""))</f>
        <v/>
      </c>
      <c r="X33" s="15">
        <f>IF(OR(X31="",W31=""),"",IFERROR(X31/W31-1,""))</f>
        <v/>
      </c>
      <c r="Y33" s="14">
        <f>IF(OR(Y31="",X31=""),"",IFERROR(Y31/X31-1,""))</f>
        <v/>
      </c>
      <c r="Z33" s="15">
        <f>IF(OR(Z31="",Y31=""),"",IFERROR(Z31/Y31-1,""))</f>
        <v/>
      </c>
      <c r="AA33" s="15">
        <f>IF(OR(AA31="",Z31=""),"",IFERROR(AA31/Z31-1,""))</f>
        <v/>
      </c>
      <c r="AB33" s="15">
        <f>IF(OR(AB31="",AA31=""),"",IFERROR(AB31/AA31-1,""))</f>
        <v/>
      </c>
      <c r="AC33" s="15">
        <f>IF(OR(AC31="",AB31=""),"",IFERROR(AC31/AB31-1,""))</f>
        <v/>
      </c>
    </row>
    <row r="34">
      <c r="A34" s="16" t="inlineStr">
        <is>
          <t>비용의 성격별 분류</t>
        </is>
      </c>
      <c r="B34" s="16" t="inlineStr">
        <is>
          <t>참고 데이터</t>
        </is>
      </c>
      <c r="C34" s="17" t="n"/>
      <c r="D34" s="16" t="n"/>
      <c r="E34" s="16" t="n"/>
      <c r="F34" s="16" t="n"/>
      <c r="G34" s="16" t="n"/>
      <c r="H34" s="16" t="n"/>
      <c r="I34" s="16" t="n"/>
      <c r="J34" s="16" t="n"/>
      <c r="K34" s="16" t="n"/>
      <c r="L34" s="16" t="n"/>
      <c r="M34" s="16" t="n"/>
      <c r="N34" s="16" t="n"/>
      <c r="O34" s="17" t="n"/>
      <c r="P34" s="16" t="n"/>
      <c r="Q34" s="16" t="n"/>
      <c r="R34" s="16" t="n"/>
      <c r="S34" s="16" t="n"/>
      <c r="T34" s="16" t="n"/>
      <c r="U34" s="16" t="n"/>
      <c r="V34" s="16" t="n"/>
      <c r="W34" s="16" t="n"/>
      <c r="X34" s="16" t="n"/>
      <c r="Y34" s="17" t="n"/>
      <c r="Z34" s="16" t="n"/>
      <c r="AA34" s="16" t="n"/>
      <c r="AB34" s="16" t="n"/>
      <c r="AC34" s="16" t="n"/>
    </row>
    <row r="35">
      <c r="A35" s="9" t="inlineStr">
        <is>
          <t>총 판관비</t>
        </is>
      </c>
      <c r="B35" s="10" t="n"/>
      <c r="C35" s="11" t="n"/>
      <c r="D35" s="12" t="n"/>
      <c r="E35" s="12" t="n"/>
      <c r="F35" s="12" t="n"/>
      <c r="G35" s="12" t="n"/>
      <c r="H35" s="12" t="n"/>
      <c r="I35" s="12" t="n"/>
      <c r="J35" s="12" t="n"/>
      <c r="K35" s="12" t="n"/>
      <c r="L35" s="12" t="n"/>
      <c r="M35" s="12" t="n"/>
      <c r="N35" s="12" t="n"/>
      <c r="O35" s="11">
        <f>IF(O29="","",O29)</f>
        <v/>
      </c>
      <c r="P35" s="12">
        <f>IF(P29="","",P29)</f>
        <v/>
      </c>
      <c r="Q35" s="12">
        <f>IF(Q29="","",Q29)</f>
        <v/>
      </c>
      <c r="R35" s="12">
        <f>IF(R29="","",R29)</f>
        <v/>
      </c>
      <c r="S35" s="12">
        <f>IF(S29="","",S29)</f>
        <v/>
      </c>
      <c r="T35" s="12">
        <f>IF(T29="","",T29)</f>
        <v/>
      </c>
      <c r="U35" s="12">
        <f>IF(U29="","",U29)</f>
        <v/>
      </c>
      <c r="V35" s="12">
        <f>IF(V29="","",V29)</f>
        <v/>
      </c>
      <c r="W35" s="12">
        <f>IF(W29="","",W29)</f>
        <v/>
      </c>
      <c r="X35" s="12">
        <f>IF(X29="","",X29)</f>
        <v/>
      </c>
      <c r="Y35" s="11" t="n"/>
      <c r="Z35" s="12" t="n"/>
      <c r="AA35" s="12" t="n"/>
      <c r="AB35" s="12" t="n"/>
      <c r="AC35" s="12" t="n"/>
    </row>
    <row r="36">
      <c r="A36" s="18" t="inlineStr">
        <is>
          <t>급여</t>
        </is>
      </c>
      <c r="B36" s="10" t="inlineStr">
        <is>
          <t>고정비</t>
        </is>
      </c>
      <c r="C36" s="19" t="n"/>
      <c r="D36" s="20" t="n"/>
      <c r="E36" s="20" t="n"/>
      <c r="F36" s="20" t="n"/>
      <c r="G36" s="20" t="n"/>
      <c r="H36" s="20" t="n"/>
      <c r="I36" s="20" t="n"/>
      <c r="J36" s="20" t="n"/>
      <c r="K36" s="20" t="n"/>
      <c r="L36" s="20" t="n"/>
      <c r="M36" s="20" t="n"/>
      <c r="N36" s="20" t="n"/>
      <c r="O36" s="19" t="n"/>
      <c r="P36" s="20" t="n"/>
      <c r="Q36" s="20" t="n"/>
      <c r="R36" s="20" t="n"/>
      <c r="S36" s="20" t="n"/>
      <c r="T36" s="20" t="n"/>
      <c r="U36" s="20" t="n"/>
      <c r="V36" s="20" t="n"/>
      <c r="W36" s="20" t="n"/>
      <c r="X36" s="20" t="n"/>
      <c r="Y36" s="19" t="n"/>
      <c r="Z36" s="20" t="n"/>
      <c r="AA36" s="20" t="n"/>
      <c r="AB36" s="20" t="n"/>
      <c r="AC36" s="20" t="n"/>
    </row>
    <row r="37">
      <c r="A37" s="13" t="inlineStr">
        <is>
          <t>% of Sales</t>
        </is>
      </c>
      <c r="B37" s="10" t="n"/>
      <c r="C37" s="14" t="n"/>
      <c r="D37" s="15" t="n"/>
      <c r="E37" s="15" t="n"/>
      <c r="F37" s="15" t="n"/>
      <c r="G37" s="15" t="n"/>
      <c r="H37" s="15" t="n"/>
      <c r="I37" s="15" t="n"/>
      <c r="J37" s="15" t="n"/>
      <c r="K37" s="15" t="n"/>
      <c r="L37" s="15" t="n"/>
      <c r="M37" s="15" t="n"/>
      <c r="N37" s="15" t="n"/>
      <c r="O37" s="14">
        <f>IF(OR(O36="",O4=""),"",IFERROR(O36/O4,""))</f>
        <v/>
      </c>
      <c r="P37" s="15">
        <f>IF(OR(P36="",P4=""),"",IFERROR(P36/P4,""))</f>
        <v/>
      </c>
      <c r="Q37" s="15">
        <f>IF(OR(Q36="",Q4=""),"",IFERROR(Q36/Q4,""))</f>
        <v/>
      </c>
      <c r="R37" s="15">
        <f>IF(OR(R36="",R4=""),"",IFERROR(R36/R4,""))</f>
        <v/>
      </c>
      <c r="S37" s="15">
        <f>IF(OR(S36="",S4=""),"",IFERROR(S36/S4,""))</f>
        <v/>
      </c>
      <c r="T37" s="15">
        <f>IF(OR(T36="",T4=""),"",IFERROR(T36/T4,""))</f>
        <v/>
      </c>
      <c r="U37" s="15">
        <f>IF(OR(U36="",U4=""),"",IFERROR(U36/U4,""))</f>
        <v/>
      </c>
      <c r="V37" s="15">
        <f>IF(OR(V36="",V4=""),"",IFERROR(V36/V4,""))</f>
        <v/>
      </c>
      <c r="W37" s="15">
        <f>IF(OR(W36="",W4=""),"",IFERROR(W36/W4,""))</f>
        <v/>
      </c>
      <c r="X37" s="15">
        <f>IF(OR(X36="",X4=""),"",IFERROR(X36/X4,""))</f>
        <v/>
      </c>
      <c r="Y37" s="14" t="n"/>
      <c r="Z37" s="15" t="n"/>
      <c r="AA37" s="15" t="n"/>
      <c r="AB37" s="15" t="n"/>
      <c r="AC37" s="15" t="n"/>
    </row>
    <row r="38">
      <c r="A38" s="18" t="inlineStr">
        <is>
          <t>감가상각비</t>
        </is>
      </c>
      <c r="B38" s="10" t="inlineStr">
        <is>
          <t>고정비</t>
        </is>
      </c>
      <c r="C38" s="19" t="n"/>
      <c r="D38" s="20" t="n"/>
      <c r="E38" s="20" t="n"/>
      <c r="F38" s="20" t="n"/>
      <c r="G38" s="20" t="n"/>
      <c r="H38" s="20" t="n"/>
      <c r="I38" s="20" t="n"/>
      <c r="J38" s="20" t="n"/>
      <c r="K38" s="20" t="n"/>
      <c r="L38" s="20" t="n"/>
      <c r="M38" s="20" t="n"/>
      <c r="N38" s="20" t="n"/>
      <c r="O38" s="19" t="n"/>
      <c r="P38" s="20" t="n"/>
      <c r="Q38" s="20" t="n"/>
      <c r="R38" s="20" t="n"/>
      <c r="S38" s="20" t="n"/>
      <c r="T38" s="20" t="n"/>
      <c r="U38" s="20" t="n"/>
      <c r="V38" s="20" t="n"/>
      <c r="W38" s="20" t="n"/>
      <c r="X38" s="20" t="n"/>
      <c r="Y38" s="19" t="n"/>
      <c r="Z38" s="20" t="n"/>
      <c r="AA38" s="20" t="n"/>
      <c r="AB38" s="20" t="n"/>
      <c r="AC38" s="20" t="n"/>
    </row>
    <row r="39">
      <c r="A39" s="13" t="inlineStr">
        <is>
          <t>% of Sales</t>
        </is>
      </c>
      <c r="B39" s="10" t="n"/>
      <c r="C39" s="14" t="n"/>
      <c r="D39" s="15" t="n"/>
      <c r="E39" s="15" t="n"/>
      <c r="F39" s="15" t="n"/>
      <c r="G39" s="15" t="n"/>
      <c r="H39" s="15" t="n"/>
      <c r="I39" s="15" t="n"/>
      <c r="J39" s="15" t="n"/>
      <c r="K39" s="15" t="n"/>
      <c r="L39" s="15" t="n"/>
      <c r="M39" s="15" t="n"/>
      <c r="N39" s="15" t="n"/>
      <c r="O39" s="14">
        <f>IF(OR(O38="",O4=""),"",IFERROR(O38/O4,""))</f>
        <v/>
      </c>
      <c r="P39" s="15">
        <f>IF(OR(P38="",P4=""),"",IFERROR(P38/P4,""))</f>
        <v/>
      </c>
      <c r="Q39" s="15">
        <f>IF(OR(Q38="",Q4=""),"",IFERROR(Q38/Q4,""))</f>
        <v/>
      </c>
      <c r="R39" s="15">
        <f>IF(OR(R38="",R4=""),"",IFERROR(R38/R4,""))</f>
        <v/>
      </c>
      <c r="S39" s="15">
        <f>IF(OR(S38="",S4=""),"",IFERROR(S38/S4,""))</f>
        <v/>
      </c>
      <c r="T39" s="15">
        <f>IF(OR(T38="",T4=""),"",IFERROR(T38/T4,""))</f>
        <v/>
      </c>
      <c r="U39" s="15">
        <f>IF(OR(U38="",U4=""),"",IFERROR(U38/U4,""))</f>
        <v/>
      </c>
      <c r="V39" s="15">
        <f>IF(OR(V38="",V4=""),"",IFERROR(V38/V4,""))</f>
        <v/>
      </c>
      <c r="W39" s="15">
        <f>IF(OR(W38="",W4=""),"",IFERROR(W38/W4,""))</f>
        <v/>
      </c>
      <c r="X39" s="15">
        <f>IF(OR(X38="",X4=""),"",IFERROR(X38/X4,""))</f>
        <v/>
      </c>
      <c r="Y39" s="14" t="n"/>
      <c r="Z39" s="15" t="n"/>
      <c r="AA39" s="15" t="n"/>
      <c r="AB39" s="15" t="n"/>
      <c r="AC39" s="15" t="n"/>
    </row>
    <row r="40">
      <c r="A40" s="18" t="inlineStr">
        <is>
          <t>지급수수료</t>
        </is>
      </c>
      <c r="B40" s="10" t="inlineStr">
        <is>
          <t>고정비</t>
        </is>
      </c>
      <c r="C40" s="19" t="n"/>
      <c r="D40" s="20" t="n"/>
      <c r="E40" s="20" t="n"/>
      <c r="F40" s="20" t="n"/>
      <c r="G40" s="20" t="n"/>
      <c r="H40" s="20" t="n"/>
      <c r="I40" s="20" t="n"/>
      <c r="J40" s="20" t="n"/>
      <c r="K40" s="20" t="n"/>
      <c r="L40" s="20" t="n"/>
      <c r="M40" s="20" t="n"/>
      <c r="N40" s="20" t="n"/>
      <c r="O40" s="19" t="n"/>
      <c r="P40" s="20" t="n"/>
      <c r="Q40" s="20" t="n"/>
      <c r="R40" s="20" t="n"/>
      <c r="S40" s="20" t="n"/>
      <c r="T40" s="20" t="n"/>
      <c r="U40" s="20" t="n"/>
      <c r="V40" s="20" t="n"/>
      <c r="W40" s="20" t="n"/>
      <c r="X40" s="20" t="n"/>
      <c r="Y40" s="19" t="n"/>
      <c r="Z40" s="20" t="n"/>
      <c r="AA40" s="20" t="n"/>
      <c r="AB40" s="20" t="n"/>
      <c r="AC40" s="20" t="n"/>
    </row>
    <row r="41">
      <c r="A41" s="13" t="inlineStr">
        <is>
          <t>% of Sales</t>
        </is>
      </c>
      <c r="B41" s="10" t="n"/>
      <c r="C41" s="14" t="n"/>
      <c r="D41" s="15" t="n"/>
      <c r="E41" s="15" t="n"/>
      <c r="F41" s="15" t="n"/>
      <c r="G41" s="15" t="n"/>
      <c r="H41" s="15" t="n"/>
      <c r="I41" s="15" t="n"/>
      <c r="J41" s="15" t="n"/>
      <c r="K41" s="15" t="n"/>
      <c r="L41" s="15" t="n"/>
      <c r="M41" s="15" t="n"/>
      <c r="N41" s="15" t="n"/>
      <c r="O41" s="14">
        <f>IF(OR(O40="",O4=""),"",IFERROR(O40/O4,""))</f>
        <v/>
      </c>
      <c r="P41" s="15">
        <f>IF(OR(P40="",P4=""),"",IFERROR(P40/P4,""))</f>
        <v/>
      </c>
      <c r="Q41" s="15">
        <f>IF(OR(Q40="",Q4=""),"",IFERROR(Q40/Q4,""))</f>
        <v/>
      </c>
      <c r="R41" s="15">
        <f>IF(OR(R40="",R4=""),"",IFERROR(R40/R4,""))</f>
        <v/>
      </c>
      <c r="S41" s="15">
        <f>IF(OR(S40="",S4=""),"",IFERROR(S40/S4,""))</f>
        <v/>
      </c>
      <c r="T41" s="15">
        <f>IF(OR(T40="",T4=""),"",IFERROR(T40/T4,""))</f>
        <v/>
      </c>
      <c r="U41" s="15">
        <f>IF(OR(U40="",U4=""),"",IFERROR(U40/U4,""))</f>
        <v/>
      </c>
      <c r="V41" s="15">
        <f>IF(OR(V40="",V4=""),"",IFERROR(V40/V4,""))</f>
        <v/>
      </c>
      <c r="W41" s="15">
        <f>IF(OR(W40="",W4=""),"",IFERROR(W40/W4,""))</f>
        <v/>
      </c>
      <c r="X41" s="15">
        <f>IF(OR(X40="",X4=""),"",IFERROR(X40/X4,""))</f>
        <v/>
      </c>
      <c r="Y41" s="14" t="n"/>
      <c r="Z41" s="15" t="n"/>
      <c r="AA41" s="15" t="n"/>
      <c r="AB41" s="15" t="n"/>
      <c r="AC41" s="15" t="n"/>
    </row>
    <row r="42">
      <c r="A42" s="18" t="inlineStr">
        <is>
          <t>연구개발비</t>
        </is>
      </c>
      <c r="B42" s="10" t="inlineStr">
        <is>
          <t>변동비</t>
        </is>
      </c>
      <c r="C42" s="19" t="n"/>
      <c r="D42" s="20" t="n"/>
      <c r="E42" s="20" t="n"/>
      <c r="F42" s="20" t="n"/>
      <c r="G42" s="20" t="n"/>
      <c r="H42" s="20" t="n"/>
      <c r="I42" s="20" t="n"/>
      <c r="J42" s="20" t="n"/>
      <c r="K42" s="20" t="n"/>
      <c r="L42" s="20" t="n"/>
      <c r="M42" s="20" t="n"/>
      <c r="N42" s="20" t="n"/>
      <c r="O42" s="19" t="n"/>
      <c r="P42" s="20" t="n"/>
      <c r="Q42" s="20" t="n"/>
      <c r="R42" s="20" t="n"/>
      <c r="S42" s="20" t="n"/>
      <c r="T42" s="20" t="n"/>
      <c r="U42" s="20" t="n"/>
      <c r="V42" s="20" t="n"/>
      <c r="W42" s="20" t="n"/>
      <c r="X42" s="20" t="n"/>
      <c r="Y42" s="19" t="n"/>
      <c r="Z42" s="20" t="n"/>
      <c r="AA42" s="20" t="n"/>
      <c r="AB42" s="20" t="n"/>
      <c r="AC42" s="20" t="n"/>
    </row>
    <row r="43">
      <c r="A43" s="13" t="inlineStr">
        <is>
          <t>% of Sales</t>
        </is>
      </c>
      <c r="B43" s="10" t="n"/>
      <c r="C43" s="14" t="n"/>
      <c r="D43" s="15" t="n"/>
      <c r="E43" s="15" t="n"/>
      <c r="F43" s="15" t="n"/>
      <c r="G43" s="15" t="n"/>
      <c r="H43" s="15" t="n"/>
      <c r="I43" s="15" t="n"/>
      <c r="J43" s="15" t="n"/>
      <c r="K43" s="15" t="n"/>
      <c r="L43" s="15" t="n"/>
      <c r="M43" s="15" t="n"/>
      <c r="N43" s="15" t="n"/>
      <c r="O43" s="14">
        <f>IF(OR(O42="",O4=""),"",IFERROR(O42/O4,""))</f>
        <v/>
      </c>
      <c r="P43" s="15">
        <f>IF(OR(P42="",P4=""),"",IFERROR(P42/P4,""))</f>
        <v/>
      </c>
      <c r="Q43" s="15">
        <f>IF(OR(Q42="",Q4=""),"",IFERROR(Q42/Q4,""))</f>
        <v/>
      </c>
      <c r="R43" s="15">
        <f>IF(OR(R42="",R4=""),"",IFERROR(R42/R4,""))</f>
        <v/>
      </c>
      <c r="S43" s="15">
        <f>IF(OR(S42="",S4=""),"",IFERROR(S42/S4,""))</f>
        <v/>
      </c>
      <c r="T43" s="15">
        <f>IF(OR(T42="",T4=""),"",IFERROR(T42/T4,""))</f>
        <v/>
      </c>
      <c r="U43" s="15">
        <f>IF(OR(U42="",U4=""),"",IFERROR(U42/U4,""))</f>
        <v/>
      </c>
      <c r="V43" s="15">
        <f>IF(OR(V42="",V4=""),"",IFERROR(V42/V4,""))</f>
        <v/>
      </c>
      <c r="W43" s="15">
        <f>IF(OR(W42="",W4=""),"",IFERROR(W42/W4,""))</f>
        <v/>
      </c>
      <c r="X43" s="15">
        <f>IF(OR(X42="",X4=""),"",IFERROR(X42/X4,""))</f>
        <v/>
      </c>
      <c r="Y43" s="14" t="n"/>
      <c r="Z43" s="15" t="n"/>
      <c r="AA43" s="15" t="n"/>
      <c r="AB43" s="15" t="n"/>
      <c r="AC43" s="15" t="n"/>
    </row>
    <row r="44">
      <c r="A44" s="18" t="inlineStr">
        <is>
          <t>기타비용</t>
        </is>
      </c>
      <c r="B44" s="10" t="inlineStr">
        <is>
          <t>변동비</t>
        </is>
      </c>
      <c r="C44" s="19" t="n"/>
      <c r="D44" s="20" t="n"/>
      <c r="E44" s="20" t="n"/>
      <c r="F44" s="20" t="n"/>
      <c r="G44" s="20" t="n"/>
      <c r="H44" s="20" t="n"/>
      <c r="I44" s="20" t="n"/>
      <c r="J44" s="20" t="n"/>
      <c r="K44" s="20" t="n"/>
      <c r="L44" s="20" t="n"/>
      <c r="M44" s="20" t="n"/>
      <c r="N44" s="20" t="n"/>
      <c r="O44" s="19">
        <f>IF(OR(O35="",O36="",O38="",O40="",O42=""),"",IFERROR(O35-O36-O38-O40-O42,""))</f>
        <v/>
      </c>
      <c r="P44" s="20">
        <f>IF(OR(P35="",P36="",P38="",P40="",P42=""),"",IFERROR(P35-P36-P38-P40-P42,""))</f>
        <v/>
      </c>
      <c r="Q44" s="20">
        <f>IF(OR(Q35="",Q36="",Q38="",Q40="",Q42=""),"",IFERROR(Q35-Q36-Q38-Q40-Q42,""))</f>
        <v/>
      </c>
      <c r="R44" s="20">
        <f>IF(OR(R35="",R36="",R38="",R40="",R42=""),"",IFERROR(R35-R36-R38-R40-R42,""))</f>
        <v/>
      </c>
      <c r="S44" s="20">
        <f>IF(OR(S35="",S36="",S38="",S40="",S42=""),"",IFERROR(S35-S36-S38-S40-S42,""))</f>
        <v/>
      </c>
      <c r="T44" s="20">
        <f>IF(OR(T35="",T36="",T38="",T40="",T42=""),"",IFERROR(T35-T36-T38-T40-T42,""))</f>
        <v/>
      </c>
      <c r="U44" s="20">
        <f>IF(OR(U35="",U36="",U38="",U40="",U42=""),"",IFERROR(U35-U36-U38-U40-U42,""))</f>
        <v/>
      </c>
      <c r="V44" s="20">
        <f>IF(OR(V35="",V36="",V38="",V40="",V42=""),"",IFERROR(V35-V36-V38-V40-V42,""))</f>
        <v/>
      </c>
      <c r="W44" s="20">
        <f>IF(OR(W35="",W36="",W38="",W40="",W42=""),"",IFERROR(W35-W36-W38-W40-W42,""))</f>
        <v/>
      </c>
      <c r="X44" s="20">
        <f>IF(OR(X35="",X36="",X38="",X40="",X42=""),"",IFERROR(X35-X36-X38-X40-X42,""))</f>
        <v/>
      </c>
      <c r="Y44" s="19" t="n"/>
      <c r="Z44" s="20" t="n"/>
      <c r="AA44" s="20" t="n"/>
      <c r="AB44" s="20" t="n"/>
      <c r="AC44" s="20" t="n"/>
    </row>
    <row r="45">
      <c r="A45" s="13" t="inlineStr">
        <is>
          <t>% of Sales</t>
        </is>
      </c>
      <c r="B45" s="10" t="n"/>
      <c r="C45" s="14" t="n"/>
      <c r="D45" s="15" t="n"/>
      <c r="E45" s="15" t="n"/>
      <c r="F45" s="15" t="n"/>
      <c r="G45" s="15" t="n"/>
      <c r="H45" s="15" t="n"/>
      <c r="I45" s="15" t="n"/>
      <c r="J45" s="15" t="n"/>
      <c r="K45" s="15" t="n"/>
      <c r="L45" s="15" t="n"/>
      <c r="M45" s="15" t="n"/>
      <c r="N45" s="15" t="n"/>
      <c r="O45" s="14">
        <f>IF(OR(O44="",O4=""),"",IFERROR(O44/O4,""))</f>
        <v/>
      </c>
      <c r="P45" s="15">
        <f>IF(OR(P44="",P4=""),"",IFERROR(P44/P4,""))</f>
        <v/>
      </c>
      <c r="Q45" s="15">
        <f>IF(OR(Q44="",Q4=""),"",IFERROR(Q44/Q4,""))</f>
        <v/>
      </c>
      <c r="R45" s="15">
        <f>IF(OR(R44="",R4=""),"",IFERROR(R44/R4,""))</f>
        <v/>
      </c>
      <c r="S45" s="15">
        <f>IF(OR(S44="",S4=""),"",IFERROR(S44/S4,""))</f>
        <v/>
      </c>
      <c r="T45" s="15">
        <f>IF(OR(T44="",T4=""),"",IFERROR(T44/T4,""))</f>
        <v/>
      </c>
      <c r="U45" s="15">
        <f>IF(OR(U44="",U4=""),"",IFERROR(U44/U4,""))</f>
        <v/>
      </c>
      <c r="V45" s="15">
        <f>IF(OR(V44="",V4=""),"",IFERROR(V44/V4,""))</f>
        <v/>
      </c>
      <c r="W45" s="15">
        <f>IF(OR(W44="",W4=""),"",IFERROR(W44/W4,""))</f>
        <v/>
      </c>
      <c r="X45" s="15">
        <f>IF(OR(X44="",X4=""),"",IFERROR(X44/X4,""))</f>
        <v/>
      </c>
      <c r="Y45" s="14" t="n"/>
      <c r="Z45" s="15" t="n"/>
      <c r="AA45" s="15" t="n"/>
      <c r="AB45" s="15" t="n"/>
      <c r="AC45" s="15" t="n"/>
    </row>
    <row r="46">
      <c r="A46" s="16" t="inlineStr">
        <is>
          <t>당기순이익 추정</t>
        </is>
      </c>
      <c r="B46" s="16" t="n"/>
      <c r="C46" s="17" t="n"/>
      <c r="D46" s="16" t="n"/>
      <c r="E46" s="16" t="n"/>
      <c r="F46" s="16" t="n"/>
      <c r="G46" s="16" t="n"/>
      <c r="H46" s="16" t="n"/>
      <c r="I46" s="16" t="n"/>
      <c r="J46" s="16" t="n"/>
      <c r="K46" s="16" t="n"/>
      <c r="L46" s="16" t="n"/>
      <c r="M46" s="16" t="n"/>
      <c r="N46" s="16" t="n"/>
      <c r="O46" s="17" t="n"/>
      <c r="P46" s="16" t="n"/>
      <c r="Q46" s="16" t="n"/>
      <c r="R46" s="16" t="n"/>
      <c r="S46" s="16" t="n"/>
      <c r="T46" s="16" t="n"/>
      <c r="U46" s="16" t="n"/>
      <c r="V46" s="16" t="n"/>
      <c r="W46" s="16" t="n"/>
      <c r="X46" s="16" t="n"/>
      <c r="Y46" s="17" t="n"/>
      <c r="Z46" s="16" t="n"/>
      <c r="AA46" s="16" t="n"/>
      <c r="AB46" s="16" t="n"/>
      <c r="AC46" s="16" t="n"/>
    </row>
    <row r="47">
      <c r="A47" s="18" t="inlineStr">
        <is>
          <t>특별이익</t>
        </is>
      </c>
      <c r="B47" s="10" t="n"/>
      <c r="C47" s="19" t="n">
        <v>0.048</v>
      </c>
      <c r="D47" s="20" t="n">
        <v>0.02</v>
      </c>
      <c r="E47" s="20" t="n">
        <v>0</v>
      </c>
      <c r="F47" s="20" t="n">
        <v>0</v>
      </c>
      <c r="G47" s="20" t="n">
        <v>2.129</v>
      </c>
      <c r="H47" s="20" t="n">
        <v>0</v>
      </c>
      <c r="I47" s="20" t="n">
        <v>4.695</v>
      </c>
      <c r="J47" s="20" t="n">
        <v>104.569</v>
      </c>
      <c r="K47" s="20" t="n">
        <v>12.974</v>
      </c>
      <c r="L47" s="20" t="n">
        <v>423.873</v>
      </c>
      <c r="M47" s="20" t="n">
        <v>1.227</v>
      </c>
      <c r="N47" s="20" t="n">
        <v>0</v>
      </c>
      <c r="O47" s="19" t="n">
        <v>2.69</v>
      </c>
      <c r="P47" s="20" t="n">
        <v>36.728</v>
      </c>
      <c r="Q47" s="20" t="n">
        <v>92.107</v>
      </c>
      <c r="R47" s="20" t="n">
        <v>2.369</v>
      </c>
      <c r="S47" s="20" t="n">
        <v>14.777</v>
      </c>
      <c r="T47" s="20" t="n">
        <v>7.041</v>
      </c>
      <c r="U47" s="20" t="n">
        <v>270.115</v>
      </c>
      <c r="V47" s="20" t="n">
        <v>0.463</v>
      </c>
      <c r="W47" s="20" t="n">
        <v>2.129</v>
      </c>
      <c r="X47" s="20" t="n">
        <v>546.111</v>
      </c>
      <c r="Y47" s="19">
        <f>IF(OR(Y4="",Y48=""),"",IFERROR(Y4*Y48,""))</f>
        <v/>
      </c>
      <c r="Z47" s="20">
        <f>IF(OR(Z4="",Z48=""),"",IFERROR(Z4*Z48,""))</f>
        <v/>
      </c>
      <c r="AA47" s="20">
        <f>IF(OR(AA4="",AA48=""),"",IFERROR(AA4*AA48,""))</f>
        <v/>
      </c>
      <c r="AB47" s="20">
        <f>IF(OR(AB4="",AB48=""),"",IFERROR(AB4*AB48,""))</f>
        <v/>
      </c>
      <c r="AC47" s="20">
        <f>IF(OR(AC4="",AC48=""),"",IFERROR(AC4*AC48,""))</f>
        <v/>
      </c>
    </row>
    <row r="48">
      <c r="A48" s="13" t="inlineStr">
        <is>
          <t>% of Sales</t>
        </is>
      </c>
      <c r="B48" s="10" t="inlineStr">
        <is>
          <t>MW = 최근 3년 평균</t>
        </is>
      </c>
      <c r="C48" s="14">
        <f>IF(OR(C47="",C4=""),"",IFERROR(C47/C4,""))</f>
        <v/>
      </c>
      <c r="D48" s="15">
        <f>IF(OR(D47="",D4=""),"",IFERROR(D47/D4,""))</f>
        <v/>
      </c>
      <c r="E48" s="15">
        <f>IF(OR(E47="",E4=""),"",IFERROR(E47/E4,""))</f>
        <v/>
      </c>
      <c r="F48" s="15">
        <f>IF(OR(F47="",F4=""),"",IFERROR(F47/F4,""))</f>
        <v/>
      </c>
      <c r="G48" s="15">
        <f>IF(OR(G47="",G4=""),"",IFERROR(G47/G4,""))</f>
        <v/>
      </c>
      <c r="H48" s="15">
        <f>IF(OR(H47="",H4=""),"",IFERROR(H47/H4,""))</f>
        <v/>
      </c>
      <c r="I48" s="15">
        <f>IF(OR(I47="",I4=""),"",IFERROR(I47/I4,""))</f>
        <v/>
      </c>
      <c r="J48" s="15">
        <f>IF(OR(J47="",J4=""),"",IFERROR(J47/J4,""))</f>
        <v/>
      </c>
      <c r="K48" s="15">
        <f>IF(OR(K47="",K4=""),"",IFERROR(K47/K4,""))</f>
        <v/>
      </c>
      <c r="L48" s="15">
        <f>IF(OR(L47="",L4=""),"",IFERROR(L47/L4,""))</f>
        <v/>
      </c>
      <c r="M48" s="15">
        <f>IF(OR(M47="",M4=""),"",IFERROR(M47/M4,""))</f>
        <v/>
      </c>
      <c r="N48" s="15">
        <f>IF(OR(N47="",N4=""),"",IFERROR(N47/N4,""))</f>
        <v/>
      </c>
      <c r="O48" s="14">
        <f>IF(OR(O47="",O4=""),"",IFERROR(O47/O4,""))</f>
        <v/>
      </c>
      <c r="P48" s="15">
        <f>IF(OR(P47="",P4=""),"",IFERROR(P47/P4,""))</f>
        <v/>
      </c>
      <c r="Q48" s="15">
        <f>IF(OR(Q47="",Q4=""),"",IFERROR(Q47/Q4,""))</f>
        <v/>
      </c>
      <c r="R48" s="15">
        <f>IF(OR(R47="",R4=""),"",IFERROR(R47/R4,""))</f>
        <v/>
      </c>
      <c r="S48" s="15">
        <f>IF(OR(S47="",S4=""),"",IFERROR(S47/S4,""))</f>
        <v/>
      </c>
      <c r="T48" s="15">
        <f>IF(OR(T47="",T4=""),"",IFERROR(T47/T4,""))</f>
        <v/>
      </c>
      <c r="U48" s="15">
        <f>IF(OR(U47="",U4=""),"",IFERROR(U47/U4,""))</f>
        <v/>
      </c>
      <c r="V48" s="15">
        <f>IF(OR(V47="",V4=""),"",IFERROR(V47/V4,""))</f>
        <v/>
      </c>
      <c r="W48" s="15">
        <f>IF(OR(W47="",W4=""),"",IFERROR(W47/W4,""))</f>
        <v/>
      </c>
      <c r="X48" s="15">
        <f>IF(OR(X47="",X4=""),"",IFERROR(X47/X4,""))</f>
        <v/>
      </c>
      <c r="Y48" s="25">
        <f>IFERROR(AVERAGE(V48,W48,X48),"")</f>
        <v/>
      </c>
      <c r="Z48" s="26">
        <f>Y48</f>
        <v/>
      </c>
      <c r="AA48" s="26">
        <f>Z48</f>
        <v/>
      </c>
      <c r="AB48" s="26">
        <f>AA48</f>
        <v/>
      </c>
      <c r="AC48" s="26">
        <f>AB48</f>
        <v/>
      </c>
    </row>
    <row r="49">
      <c r="A49" s="18" t="inlineStr">
        <is>
          <t>특별손실</t>
        </is>
      </c>
      <c r="B49" s="10" t="n"/>
      <c r="C49" s="19" t="n">
        <v>-1.559</v>
      </c>
      <c r="D49" s="20" t="n">
        <v>-1.119</v>
      </c>
      <c r="E49" s="20" t="n">
        <v>0</v>
      </c>
      <c r="F49" s="20" t="n">
        <v>7.713</v>
      </c>
      <c r="G49" s="20" t="n">
        <v>3.707</v>
      </c>
      <c r="H49" s="20" t="n">
        <v>33.26</v>
      </c>
      <c r="I49" s="20" t="n">
        <v>0.008</v>
      </c>
      <c r="J49" s="20" t="n">
        <v>0.002</v>
      </c>
      <c r="K49" s="20" t="n">
        <v>0</v>
      </c>
      <c r="L49" s="20" t="n">
        <v>14.696</v>
      </c>
      <c r="M49" s="20" t="n">
        <v>0.273</v>
      </c>
      <c r="N49" s="20" t="n">
        <v>0</v>
      </c>
      <c r="O49" s="19" t="n">
        <v>35.786</v>
      </c>
      <c r="P49" s="20" t="n">
        <v>56.35</v>
      </c>
      <c r="Q49" s="20" t="n">
        <v>83.657</v>
      </c>
      <c r="R49" s="20" t="n">
        <v>41.605</v>
      </c>
      <c r="S49" s="20" t="n">
        <v>16.488</v>
      </c>
      <c r="T49" s="20" t="n">
        <v>8.492000000000001</v>
      </c>
      <c r="U49" s="20" t="n">
        <v>49.149</v>
      </c>
      <c r="V49" s="20" t="n">
        <v>5.14</v>
      </c>
      <c r="W49" s="20" t="n">
        <v>44.68</v>
      </c>
      <c r="X49" s="20" t="n">
        <v>14.706</v>
      </c>
      <c r="Y49" s="19">
        <f>IF(OR(Y4="",Y50=""),"",IFERROR(Y4*Y50,""))</f>
        <v/>
      </c>
      <c r="Z49" s="20">
        <f>IF(OR(Z4="",Z50=""),"",IFERROR(Z4*Z50,""))</f>
        <v/>
      </c>
      <c r="AA49" s="20">
        <f>IF(OR(AA4="",AA50=""),"",IFERROR(AA4*AA50,""))</f>
        <v/>
      </c>
      <c r="AB49" s="20">
        <f>IF(OR(AB4="",AB50=""),"",IFERROR(AB4*AB50,""))</f>
        <v/>
      </c>
      <c r="AC49" s="20">
        <f>IF(OR(AC4="",AC50=""),"",IFERROR(AC4*AC50,""))</f>
        <v/>
      </c>
    </row>
    <row r="50">
      <c r="A50" s="13" t="inlineStr">
        <is>
          <t>% of Sales</t>
        </is>
      </c>
      <c r="B50" s="10" t="n"/>
      <c r="C50" s="14">
        <f>IF(OR(C49="",C4=""),"",IFERROR(C49/C4,""))</f>
        <v/>
      </c>
      <c r="D50" s="15">
        <f>IF(OR(D49="",D4=""),"",IFERROR(D49/D4,""))</f>
        <v/>
      </c>
      <c r="E50" s="15">
        <f>IF(OR(E49="",E4=""),"",IFERROR(E49/E4,""))</f>
        <v/>
      </c>
      <c r="F50" s="15">
        <f>IF(OR(F49="",F4=""),"",IFERROR(F49/F4,""))</f>
        <v/>
      </c>
      <c r="G50" s="15">
        <f>IF(OR(G49="",G4=""),"",IFERROR(G49/G4,""))</f>
        <v/>
      </c>
      <c r="H50" s="15">
        <f>IF(OR(H49="",H4=""),"",IFERROR(H49/H4,""))</f>
        <v/>
      </c>
      <c r="I50" s="15">
        <f>IF(OR(I49="",I4=""),"",IFERROR(I49/I4,""))</f>
        <v/>
      </c>
      <c r="J50" s="15">
        <f>IF(OR(J49="",J4=""),"",IFERROR(J49/J4,""))</f>
        <v/>
      </c>
      <c r="K50" s="15">
        <f>IF(OR(K49="",K4=""),"",IFERROR(K49/K4,""))</f>
        <v/>
      </c>
      <c r="L50" s="15">
        <f>IF(OR(L49="",L4=""),"",IFERROR(L49/L4,""))</f>
        <v/>
      </c>
      <c r="M50" s="15">
        <f>IF(OR(M49="",M4=""),"",IFERROR(M49/M4,""))</f>
        <v/>
      </c>
      <c r="N50" s="15">
        <f>IF(OR(N49="",N4=""),"",IFERROR(N49/N4,""))</f>
        <v/>
      </c>
      <c r="O50" s="14">
        <f>IF(OR(O49="",O4=""),"",IFERROR(O49/O4,""))</f>
        <v/>
      </c>
      <c r="P50" s="15">
        <f>IF(OR(P49="",P4=""),"",IFERROR(P49/P4,""))</f>
        <v/>
      </c>
      <c r="Q50" s="15">
        <f>IF(OR(Q49="",Q4=""),"",IFERROR(Q49/Q4,""))</f>
        <v/>
      </c>
      <c r="R50" s="15">
        <f>IF(OR(R49="",R4=""),"",IFERROR(R49/R4,""))</f>
        <v/>
      </c>
      <c r="S50" s="15">
        <f>IF(OR(S49="",S4=""),"",IFERROR(S49/S4,""))</f>
        <v/>
      </c>
      <c r="T50" s="15">
        <f>IF(OR(T49="",T4=""),"",IFERROR(T49/T4,""))</f>
        <v/>
      </c>
      <c r="U50" s="15">
        <f>IF(OR(U49="",U4=""),"",IFERROR(U49/U4,""))</f>
        <v/>
      </c>
      <c r="V50" s="15">
        <f>IF(OR(V49="",V4=""),"",IFERROR(V49/V4,""))</f>
        <v/>
      </c>
      <c r="W50" s="15">
        <f>IF(OR(W49="",W4=""),"",IFERROR(W49/W4,""))</f>
        <v/>
      </c>
      <c r="X50" s="15">
        <f>IF(OR(X49="",X4=""),"",IFERROR(X49/X4,""))</f>
        <v/>
      </c>
      <c r="Y50" s="25">
        <f>IFERROR(AVERAGE(V50,W50,X50),"")</f>
        <v/>
      </c>
      <c r="Z50" s="26">
        <f>Y50</f>
        <v/>
      </c>
      <c r="AA50" s="26">
        <f>Z50</f>
        <v/>
      </c>
      <c r="AB50" s="26">
        <f>AA50</f>
        <v/>
      </c>
      <c r="AC50" s="26">
        <f>AB50</f>
        <v/>
      </c>
    </row>
    <row r="51">
      <c r="A51" s="18" t="inlineStr">
        <is>
          <t>영업외수익</t>
        </is>
      </c>
      <c r="B51" s="10" t="n"/>
      <c r="C51" s="19" t="n">
        <v>112.669</v>
      </c>
      <c r="D51" s="20" t="n">
        <v>23.584</v>
      </c>
      <c r="E51" s="20" t="n">
        <v>109.66</v>
      </c>
      <c r="F51" s="20" t="n">
        <v>143.712</v>
      </c>
      <c r="G51" s="20" t="n">
        <v>116.781</v>
      </c>
      <c r="H51" s="20" t="n">
        <v>190.738</v>
      </c>
      <c r="I51" s="20" t="n">
        <v>127.443</v>
      </c>
      <c r="J51" s="20" t="n">
        <v>154.025</v>
      </c>
      <c r="K51" s="20" t="n">
        <v>114.089</v>
      </c>
      <c r="L51" s="20" t="n">
        <v>159.446</v>
      </c>
      <c r="M51" s="20" t="n">
        <v>134.226</v>
      </c>
      <c r="N51" s="20" t="n">
        <v>168.471</v>
      </c>
      <c r="O51" s="19" t="n">
        <v>422.125</v>
      </c>
      <c r="P51" s="20" t="n">
        <v>434.585</v>
      </c>
      <c r="Q51" s="20" t="n">
        <v>511.306</v>
      </c>
      <c r="R51" s="20" t="n">
        <v>421.74</v>
      </c>
      <c r="S51" s="20" t="n">
        <v>525.471</v>
      </c>
      <c r="T51" s="20" t="n">
        <v>472.945</v>
      </c>
      <c r="U51" s="20" t="n">
        <v>436.238</v>
      </c>
      <c r="V51" s="20" t="n">
        <v>427.551</v>
      </c>
      <c r="W51" s="20" t="n">
        <v>560.891</v>
      </c>
      <c r="X51" s="20" t="n">
        <v>555.003</v>
      </c>
      <c r="Y51" s="19">
        <f>IF(OR(Y4="",Y52=""),"",IFERROR(Y4*Y52,""))</f>
        <v/>
      </c>
      <c r="Z51" s="20">
        <f>IF(OR(Z4="",Z52=""),"",IFERROR(Z4*Z52,""))</f>
        <v/>
      </c>
      <c r="AA51" s="20">
        <f>IF(OR(AA4="",AA52=""),"",IFERROR(AA4*AA52,""))</f>
        <v/>
      </c>
      <c r="AB51" s="20">
        <f>IF(OR(AB4="",AB52=""),"",IFERROR(AB4*AB52,""))</f>
        <v/>
      </c>
      <c r="AC51" s="20">
        <f>IF(OR(AC4="",AC52=""),"",IFERROR(AC4*AC52,""))</f>
        <v/>
      </c>
    </row>
    <row r="52">
      <c r="A52" s="13" t="inlineStr">
        <is>
          <t>% of Sales</t>
        </is>
      </c>
      <c r="B52" s="10" t="n"/>
      <c r="C52" s="14">
        <f>IF(OR(C51="",C4=""),"",IFERROR(C51/C4,""))</f>
        <v/>
      </c>
      <c r="D52" s="15">
        <f>IF(OR(D51="",D4=""),"",IFERROR(D51/D4,""))</f>
        <v/>
      </c>
      <c r="E52" s="15">
        <f>IF(OR(E51="",E4=""),"",IFERROR(E51/E4,""))</f>
        <v/>
      </c>
      <c r="F52" s="15">
        <f>IF(OR(F51="",F4=""),"",IFERROR(F51/F4,""))</f>
        <v/>
      </c>
      <c r="G52" s="15">
        <f>IF(OR(G51="",G4=""),"",IFERROR(G51/G4,""))</f>
        <v/>
      </c>
      <c r="H52" s="15">
        <f>IF(OR(H51="",H4=""),"",IFERROR(H51/H4,""))</f>
        <v/>
      </c>
      <c r="I52" s="15">
        <f>IF(OR(I51="",I4=""),"",IFERROR(I51/I4,""))</f>
        <v/>
      </c>
      <c r="J52" s="15">
        <f>IF(OR(J51="",J4=""),"",IFERROR(J51/J4,""))</f>
        <v/>
      </c>
      <c r="K52" s="15">
        <f>IF(OR(K51="",K4=""),"",IFERROR(K51/K4,""))</f>
        <v/>
      </c>
      <c r="L52" s="15">
        <f>IF(OR(L51="",L4=""),"",IFERROR(L51/L4,""))</f>
        <v/>
      </c>
      <c r="M52" s="15">
        <f>IF(OR(M51="",M4=""),"",IFERROR(M51/M4,""))</f>
        <v/>
      </c>
      <c r="N52" s="15">
        <f>IF(OR(N51="",N4=""),"",IFERROR(N51/N4,""))</f>
        <v/>
      </c>
      <c r="O52" s="14">
        <f>IF(OR(O51="",O4=""),"",IFERROR(O51/O4,""))</f>
        <v/>
      </c>
      <c r="P52" s="15">
        <f>IF(OR(P51="",P4=""),"",IFERROR(P51/P4,""))</f>
        <v/>
      </c>
      <c r="Q52" s="15">
        <f>IF(OR(Q51="",Q4=""),"",IFERROR(Q51/Q4,""))</f>
        <v/>
      </c>
      <c r="R52" s="15">
        <f>IF(OR(R51="",R4=""),"",IFERROR(R51/R4,""))</f>
        <v/>
      </c>
      <c r="S52" s="15">
        <f>IF(OR(S51="",S4=""),"",IFERROR(S51/S4,""))</f>
        <v/>
      </c>
      <c r="T52" s="15">
        <f>IF(OR(T51="",T4=""),"",IFERROR(T51/T4,""))</f>
        <v/>
      </c>
      <c r="U52" s="15">
        <f>IF(OR(U51="",U4=""),"",IFERROR(U51/U4,""))</f>
        <v/>
      </c>
      <c r="V52" s="15">
        <f>IF(OR(V51="",V4=""),"",IFERROR(V51/V4,""))</f>
        <v/>
      </c>
      <c r="W52" s="15">
        <f>IF(OR(W51="",W4=""),"",IFERROR(W51/W4,""))</f>
        <v/>
      </c>
      <c r="X52" s="15">
        <f>IF(OR(X51="",X4=""),"",IFERROR(X51/X4,""))</f>
        <v/>
      </c>
      <c r="Y52" s="25">
        <f>IFERROR(AVERAGE(V52,W52,X52),"")</f>
        <v/>
      </c>
      <c r="Z52" s="26">
        <f>Y52</f>
        <v/>
      </c>
      <c r="AA52" s="26">
        <f>Z52</f>
        <v/>
      </c>
      <c r="AB52" s="26">
        <f>AA52</f>
        <v/>
      </c>
      <c r="AC52" s="26">
        <f>AB52</f>
        <v/>
      </c>
    </row>
    <row r="53">
      <c r="A53" s="18" t="inlineStr">
        <is>
          <t>영업외비용</t>
        </is>
      </c>
      <c r="B53" s="10" t="n"/>
      <c r="C53" s="19" t="n">
        <v>0.022</v>
      </c>
      <c r="D53" s="20" t="n">
        <v>-0.252</v>
      </c>
      <c r="E53" s="20" t="n">
        <v>4.715</v>
      </c>
      <c r="F53" s="20" t="n">
        <v>8.881</v>
      </c>
      <c r="G53" s="20" t="n">
        <v>10.148</v>
      </c>
      <c r="H53" s="20" t="n">
        <v>26.33</v>
      </c>
      <c r="I53" s="20" t="n">
        <v>15.555</v>
      </c>
      <c r="J53" s="20" t="n">
        <v>12.599</v>
      </c>
      <c r="K53" s="20" t="n">
        <v>17.999</v>
      </c>
      <c r="L53" s="20" t="n">
        <v>5.975</v>
      </c>
      <c r="M53" s="20" t="n">
        <v>6.687</v>
      </c>
      <c r="N53" s="20" t="n">
        <v>7.958</v>
      </c>
      <c r="O53" s="19" t="n">
        <v>69.446</v>
      </c>
      <c r="P53" s="20" t="n">
        <v>73.42</v>
      </c>
      <c r="Q53" s="20" t="n">
        <v>84.923</v>
      </c>
      <c r="R53" s="20" t="n">
        <v>84.36799999999999</v>
      </c>
      <c r="S53" s="20" t="n">
        <v>72.55800000000001</v>
      </c>
      <c r="T53" s="20" t="n">
        <v>9.65</v>
      </c>
      <c r="U53" s="20" t="n">
        <v>3.162</v>
      </c>
      <c r="V53" s="20" t="n">
        <v>1.217</v>
      </c>
      <c r="W53" s="20" t="n">
        <v>50.074</v>
      </c>
      <c r="X53" s="20" t="n">
        <v>52.128</v>
      </c>
      <c r="Y53" s="19">
        <f>IF(OR(Y4="",Y54=""),"",IFERROR(Y4*Y54,""))</f>
        <v/>
      </c>
      <c r="Z53" s="20">
        <f>IF(OR(Z4="",Z54=""),"",IFERROR(Z4*Z54,""))</f>
        <v/>
      </c>
      <c r="AA53" s="20">
        <f>IF(OR(AA4="",AA54=""),"",IFERROR(AA4*AA54,""))</f>
        <v/>
      </c>
      <c r="AB53" s="20">
        <f>IF(OR(AB4="",AB54=""),"",IFERROR(AB4*AB54,""))</f>
        <v/>
      </c>
      <c r="AC53" s="20">
        <f>IF(OR(AC4="",AC54=""),"",IFERROR(AC4*AC54,""))</f>
        <v/>
      </c>
    </row>
    <row r="54">
      <c r="A54" s="13" t="inlineStr">
        <is>
          <t>% of Sales</t>
        </is>
      </c>
      <c r="B54" s="10" t="n"/>
      <c r="C54" s="14">
        <f>IF(OR(C53="",C4=""),"",IFERROR(C53/C4,""))</f>
        <v/>
      </c>
      <c r="D54" s="15">
        <f>IF(OR(D53="",D4=""),"",IFERROR(D53/D4,""))</f>
        <v/>
      </c>
      <c r="E54" s="15">
        <f>IF(OR(E53="",E4=""),"",IFERROR(E53/E4,""))</f>
        <v/>
      </c>
      <c r="F54" s="15">
        <f>IF(OR(F53="",F4=""),"",IFERROR(F53/F4,""))</f>
        <v/>
      </c>
      <c r="G54" s="15">
        <f>IF(OR(G53="",G4=""),"",IFERROR(G53/G4,""))</f>
        <v/>
      </c>
      <c r="H54" s="15">
        <f>IF(OR(H53="",H4=""),"",IFERROR(H53/H4,""))</f>
        <v/>
      </c>
      <c r="I54" s="15">
        <f>IF(OR(I53="",I4=""),"",IFERROR(I53/I4,""))</f>
        <v/>
      </c>
      <c r="J54" s="15">
        <f>IF(OR(J53="",J4=""),"",IFERROR(J53/J4,""))</f>
        <v/>
      </c>
      <c r="K54" s="15">
        <f>IF(OR(K53="",K4=""),"",IFERROR(K53/K4,""))</f>
        <v/>
      </c>
      <c r="L54" s="15">
        <f>IF(OR(L53="",L4=""),"",IFERROR(L53/L4,""))</f>
        <v/>
      </c>
      <c r="M54" s="15">
        <f>IF(OR(M53="",M4=""),"",IFERROR(M53/M4,""))</f>
        <v/>
      </c>
      <c r="N54" s="15">
        <f>IF(OR(N53="",N4=""),"",IFERROR(N53/N4,""))</f>
        <v/>
      </c>
      <c r="O54" s="14">
        <f>IF(OR(O53="",O4=""),"",IFERROR(O53/O4,""))</f>
        <v/>
      </c>
      <c r="P54" s="15">
        <f>IF(OR(P53="",P4=""),"",IFERROR(P53/P4,""))</f>
        <v/>
      </c>
      <c r="Q54" s="15">
        <f>IF(OR(Q53="",Q4=""),"",IFERROR(Q53/Q4,""))</f>
        <v/>
      </c>
      <c r="R54" s="15">
        <f>IF(OR(R53="",R4=""),"",IFERROR(R53/R4,""))</f>
        <v/>
      </c>
      <c r="S54" s="15">
        <f>IF(OR(S53="",S4=""),"",IFERROR(S53/S4,""))</f>
        <v/>
      </c>
      <c r="T54" s="15">
        <f>IF(OR(T53="",T4=""),"",IFERROR(T53/T4,""))</f>
        <v/>
      </c>
      <c r="U54" s="15">
        <f>IF(OR(U53="",U4=""),"",IFERROR(U53/U4,""))</f>
        <v/>
      </c>
      <c r="V54" s="15">
        <f>IF(OR(V53="",V4=""),"",IFERROR(V53/V4,""))</f>
        <v/>
      </c>
      <c r="W54" s="15">
        <f>IF(OR(W53="",W4=""),"",IFERROR(W53/W4,""))</f>
        <v/>
      </c>
      <c r="X54" s="15">
        <f>IF(OR(X53="",X4=""),"",IFERROR(X53/X4,""))</f>
        <v/>
      </c>
      <c r="Y54" s="25">
        <f>IFERROR(AVERAGE(V54,W54,X54),"")</f>
        <v/>
      </c>
      <c r="Z54" s="26">
        <f>Y54</f>
        <v/>
      </c>
      <c r="AA54" s="26">
        <f>Z54</f>
        <v/>
      </c>
      <c r="AB54" s="26">
        <f>AA54</f>
        <v/>
      </c>
      <c r="AC54" s="26">
        <f>AB54</f>
        <v/>
      </c>
    </row>
    <row r="55">
      <c r="A55" s="9" t="inlineStr">
        <is>
          <t>법인세비용차감전순이익(손실)</t>
        </is>
      </c>
      <c r="B55" s="10" t="n"/>
      <c r="C55" s="11" t="n">
        <v>1090.013</v>
      </c>
      <c r="D55" s="12" t="n">
        <v>-157.918</v>
      </c>
      <c r="E55" s="12" t="n">
        <v>480.187</v>
      </c>
      <c r="F55" s="12" t="n">
        <v>656.752</v>
      </c>
      <c r="G55" s="12" t="n">
        <v>1266.422</v>
      </c>
      <c r="H55" s="12" t="n">
        <v>460.666</v>
      </c>
      <c r="I55" s="12" t="n">
        <v>393.561</v>
      </c>
      <c r="J55" s="12" t="n">
        <v>621.004</v>
      </c>
      <c r="K55" s="12" t="n">
        <v>1058.872</v>
      </c>
      <c r="L55" s="12" t="n">
        <v>1008.615</v>
      </c>
      <c r="M55" s="12" t="n">
        <v>615.548</v>
      </c>
      <c r="N55" s="12" t="n">
        <v>696.556</v>
      </c>
      <c r="O55" s="11" t="n">
        <v>1961.428</v>
      </c>
      <c r="P55" s="12" t="n">
        <v>2477.37</v>
      </c>
      <c r="Q55" s="12" t="n">
        <v>3305.463</v>
      </c>
      <c r="R55" s="12" t="n">
        <v>2386.688</v>
      </c>
      <c r="S55" s="12" t="n">
        <v>2521.343</v>
      </c>
      <c r="T55" s="12" t="n">
        <v>2533.282</v>
      </c>
      <c r="U55" s="12" t="n">
        <v>2369.217</v>
      </c>
      <c r="V55" s="12" t="n">
        <v>2121.509</v>
      </c>
      <c r="W55" s="12" t="n">
        <v>2864.027</v>
      </c>
      <c r="X55" s="12" t="n">
        <v>3082.052</v>
      </c>
      <c r="Y55" s="11">
        <f>IF(OR(Y31=""),"",IFERROR(Y31+N(Y47)-N(Y49)+N(Y51)-N(Y53),""))</f>
        <v/>
      </c>
      <c r="Z55" s="12">
        <f>IF(OR(Z31=""),"",IFERROR(Z31+N(Z47)-N(Z49)+N(Z51)-N(Z53),""))</f>
        <v/>
      </c>
      <c r="AA55" s="12">
        <f>IF(OR(AA31=""),"",IFERROR(AA31+N(AA47)-N(AA49)+N(AA51)-N(AA53),""))</f>
        <v/>
      </c>
      <c r="AB55" s="12">
        <f>IF(OR(AB31=""),"",IFERROR(AB31+N(AB47)-N(AB49)+N(AB51)-N(AB53),""))</f>
        <v/>
      </c>
      <c r="AC55" s="12">
        <f>IF(OR(AC31=""),"",IFERROR(AC31+N(AC47)-N(AC49)+N(AC51)-N(AC53),""))</f>
        <v/>
      </c>
    </row>
    <row r="56">
      <c r="A56" s="13" t="inlineStr">
        <is>
          <t>YoY</t>
        </is>
      </c>
      <c r="B56" s="10" t="n"/>
      <c r="C56" s="14" t="n"/>
      <c r="D56" s="15" t="n"/>
      <c r="E56" s="15" t="n"/>
      <c r="F56" s="15" t="n"/>
      <c r="G56" s="15">
        <f>IF(OR(G55="",C55=""),"",IF(C55&lt;=0,"",IFERROR(G55/C55-1,"")))</f>
        <v/>
      </c>
      <c r="H56" s="15">
        <f>IF(OR(H55="",D55=""),"",IF(D55&lt;=0,"",IFERROR(H55/D55-1,"")))</f>
        <v/>
      </c>
      <c r="I56" s="15">
        <f>IF(OR(I55="",E55=""),"",IF(E55&lt;=0,"",IFERROR(I55/E55-1,"")))</f>
        <v/>
      </c>
      <c r="J56" s="15">
        <f>IF(OR(J55="",F55=""),"",IF(F55&lt;=0,"",IFERROR(J55/F55-1,"")))</f>
        <v/>
      </c>
      <c r="K56" s="15">
        <f>IF(OR(K55="",G55=""),"",IF(G55&lt;=0,"",IFERROR(K55/G55-1,"")))</f>
        <v/>
      </c>
      <c r="L56" s="15">
        <f>IF(OR(L55="",H55=""),"",IF(H55&lt;=0,"",IFERROR(L55/H55-1,"")))</f>
        <v/>
      </c>
      <c r="M56" s="15">
        <f>IF(OR(M55="",I55=""),"",IF(I55&lt;=0,"",IFERROR(M55/I55-1,"")))</f>
        <v/>
      </c>
      <c r="N56" s="15">
        <f>IF(OR(N55="",J55=""),"",IF(J55&lt;=0,"",IFERROR(N55/J55-1,"")))</f>
        <v/>
      </c>
      <c r="O56" s="14" t="n"/>
      <c r="P56" s="15">
        <f>IF(OR(P55="",O55=""),"",IF(O55&lt;=0,"",IFERROR(P55/O55-1,"")))</f>
        <v/>
      </c>
      <c r="Q56" s="15">
        <f>IF(OR(Q55="",P55=""),"",IF(P55&lt;=0,"",IFERROR(Q55/P55-1,"")))</f>
        <v/>
      </c>
      <c r="R56" s="15">
        <f>IF(OR(R55="",Q55=""),"",IF(Q55&lt;=0,"",IFERROR(R55/Q55-1,"")))</f>
        <v/>
      </c>
      <c r="S56" s="15">
        <f>IF(OR(S55="",R55=""),"",IF(R55&lt;=0,"",IFERROR(S55/R55-1,"")))</f>
        <v/>
      </c>
      <c r="T56" s="15">
        <f>IF(OR(T55="",S55=""),"",IF(S55&lt;=0,"",IFERROR(T55/S55-1,"")))</f>
        <v/>
      </c>
      <c r="U56" s="15">
        <f>IF(OR(U55="",T55=""),"",IF(T55&lt;=0,"",IFERROR(U55/T55-1,"")))</f>
        <v/>
      </c>
      <c r="V56" s="15">
        <f>IF(OR(V55="",U55=""),"",IF(U55&lt;=0,"",IFERROR(V55/U55-1,"")))</f>
        <v/>
      </c>
      <c r="W56" s="15">
        <f>IF(OR(W55="",V55=""),"",IF(V55&lt;=0,"",IFERROR(W55/V55-1,"")))</f>
        <v/>
      </c>
      <c r="X56" s="15">
        <f>IF(OR(X55="",W55=""),"",IF(W55&lt;=0,"",IFERROR(X55/W55-1,"")))</f>
        <v/>
      </c>
      <c r="Y56" s="14">
        <f>IF(OR(Y55="",X55=""),"",IF(X55&lt;=0,"",IFERROR(Y55/X55-1,"")))</f>
        <v/>
      </c>
      <c r="Z56" s="15">
        <f>IF(OR(Z55="",Y55=""),"",IF(Y55&lt;=0,"",IFERROR(Z55/Y55-1,"")))</f>
        <v/>
      </c>
      <c r="AA56" s="15">
        <f>IF(OR(AA55="",Z55=""),"",IF(Z55&lt;=0,"",IFERROR(AA55/Z55-1,"")))</f>
        <v/>
      </c>
      <c r="AB56" s="15">
        <f>IF(OR(AB55="",AA55=""),"",IF(AA55&lt;=0,"",IFERROR(AB55/AA55-1,"")))</f>
        <v/>
      </c>
      <c r="AC56" s="15">
        <f>IF(OR(AC55="",AB55=""),"",IF(AB55&lt;=0,"",IFERROR(AC55/AB55-1,"")))</f>
        <v/>
      </c>
    </row>
    <row r="57">
      <c r="A57" s="18" t="inlineStr">
        <is>
          <t>법인세비용(수익)</t>
        </is>
      </c>
      <c r="B57" s="10" t="n"/>
      <c r="C57" s="19" t="n">
        <v>368.448</v>
      </c>
      <c r="D57" s="20" t="n">
        <v>-55.027</v>
      </c>
      <c r="E57" s="20" t="n">
        <v>165.275</v>
      </c>
      <c r="F57" s="20" t="n">
        <v>224.923</v>
      </c>
      <c r="G57" s="20" t="n">
        <v>411.789</v>
      </c>
      <c r="H57" s="20" t="n">
        <v>144.806</v>
      </c>
      <c r="I57" s="20" t="n">
        <v>163.084</v>
      </c>
      <c r="J57" s="20" t="n">
        <v>192.696</v>
      </c>
      <c r="K57" s="20" t="n">
        <v>348.249</v>
      </c>
      <c r="L57" s="20" t="n">
        <v>265.419</v>
      </c>
      <c r="M57" s="20" t="n">
        <v>231.357</v>
      </c>
      <c r="N57" s="20" t="n">
        <v>239.847</v>
      </c>
      <c r="O57" s="19" t="n">
        <v>659.446</v>
      </c>
      <c r="P57" s="20" t="n">
        <v>829.748</v>
      </c>
      <c r="Q57" s="20" t="n">
        <v>1077.677</v>
      </c>
      <c r="R57" s="20" t="n">
        <v>822.079</v>
      </c>
      <c r="S57" s="20" t="n">
        <v>799.457</v>
      </c>
      <c r="T57" s="20" t="n">
        <v>898.404</v>
      </c>
      <c r="U57" s="20" t="n">
        <v>644.505</v>
      </c>
      <c r="V57" s="20" t="n">
        <v>727.3</v>
      </c>
      <c r="W57" s="20" t="n">
        <v>946.793</v>
      </c>
      <c r="X57" s="20" t="n">
        <v>969.448</v>
      </c>
      <c r="Y57" s="19">
        <f>IF(OR(Y55="",Y58=""),"",IFERROR(MAX(Y55,0)*Y58,""))</f>
        <v/>
      </c>
      <c r="Z57" s="20">
        <f>IF(OR(Z55="",Z58=""),"",IFERROR(MAX(Z55,0)*Z58,""))</f>
        <v/>
      </c>
      <c r="AA57" s="20">
        <f>IF(OR(AA55="",AA58=""),"",IFERROR(MAX(AA55,0)*AA58,""))</f>
        <v/>
      </c>
      <c r="AB57" s="20">
        <f>IF(OR(AB55="",AB58=""),"",IFERROR(MAX(AB55,0)*AB58,""))</f>
        <v/>
      </c>
      <c r="AC57" s="20">
        <f>IF(OR(AC55="",AC58=""),"",IFERROR(MAX(AC55,0)*AC58,""))</f>
        <v/>
      </c>
    </row>
    <row r="58">
      <c r="A58" s="13" t="inlineStr">
        <is>
          <t>법인세율</t>
        </is>
      </c>
      <c r="B58" s="10" t="inlineStr">
        <is>
          <t>MW 기본 30%</t>
        </is>
      </c>
      <c r="C58" s="14">
        <f>IF(OR(C57="",C55=""),"",IFERROR(C57/C55,""))</f>
        <v/>
      </c>
      <c r="D58" s="15">
        <f>IF(OR(D57="",D55=""),"",IFERROR(D57/D55,""))</f>
        <v/>
      </c>
      <c r="E58" s="15">
        <f>IF(OR(E57="",E55=""),"",IFERROR(E57/E55,""))</f>
        <v/>
      </c>
      <c r="F58" s="15">
        <f>IF(OR(F57="",F55=""),"",IFERROR(F57/F55,""))</f>
        <v/>
      </c>
      <c r="G58" s="15">
        <f>IF(OR(G57="",G55=""),"",IFERROR(G57/G55,""))</f>
        <v/>
      </c>
      <c r="H58" s="15">
        <f>IF(OR(H57="",H55=""),"",IFERROR(H57/H55,""))</f>
        <v/>
      </c>
      <c r="I58" s="15">
        <f>IF(OR(I57="",I55=""),"",IFERROR(I57/I55,""))</f>
        <v/>
      </c>
      <c r="J58" s="15">
        <f>IF(OR(J57="",J55=""),"",IFERROR(J57/J55,""))</f>
        <v/>
      </c>
      <c r="K58" s="15">
        <f>IF(OR(K57="",K55=""),"",IFERROR(K57/K55,""))</f>
        <v/>
      </c>
      <c r="L58" s="15">
        <f>IF(OR(L57="",L55=""),"",IFERROR(L57/L55,""))</f>
        <v/>
      </c>
      <c r="M58" s="15">
        <f>IF(OR(M57="",M55=""),"",IFERROR(M57/M55,""))</f>
        <v/>
      </c>
      <c r="N58" s="15">
        <f>IF(OR(N57="",N55=""),"",IFERROR(N57/N55,""))</f>
        <v/>
      </c>
      <c r="O58" s="14">
        <f>IF(OR(O57="",O55=""),"",IFERROR(O57/O55,""))</f>
        <v/>
      </c>
      <c r="P58" s="15">
        <f>IF(OR(P57="",P55=""),"",IFERROR(P57/P55,""))</f>
        <v/>
      </c>
      <c r="Q58" s="15">
        <f>IF(OR(Q57="",Q55=""),"",IFERROR(Q57/Q55,""))</f>
        <v/>
      </c>
      <c r="R58" s="15">
        <f>IF(OR(R57="",R55=""),"",IFERROR(R57/R55,""))</f>
        <v/>
      </c>
      <c r="S58" s="15">
        <f>IF(OR(S57="",S55=""),"",IFERROR(S57/S55,""))</f>
        <v/>
      </c>
      <c r="T58" s="15">
        <f>IF(OR(T57="",T55=""),"",IFERROR(T57/T55,""))</f>
        <v/>
      </c>
      <c r="U58" s="15">
        <f>IF(OR(U57="",U55=""),"",IFERROR(U57/U55,""))</f>
        <v/>
      </c>
      <c r="V58" s="15">
        <f>IF(OR(V57="",V55=""),"",IFERROR(V57/V55,""))</f>
        <v/>
      </c>
      <c r="W58" s="15">
        <f>IF(OR(W57="",W55=""),"",IFERROR(W57/W55,""))</f>
        <v/>
      </c>
      <c r="X58" s="15">
        <f>IF(OR(X57="",X55=""),"",IFERROR(X57/X55,""))</f>
        <v/>
      </c>
      <c r="Y58" s="25" t="n">
        <v>0.3</v>
      </c>
      <c r="Z58" s="26" t="n">
        <v>0.3</v>
      </c>
      <c r="AA58" s="26" t="n">
        <v>0.3</v>
      </c>
      <c r="AB58" s="26" t="n">
        <v>0.3</v>
      </c>
      <c r="AC58" s="26" t="n">
        <v>0.3</v>
      </c>
    </row>
    <row r="59">
      <c r="A59" s="9" t="inlineStr">
        <is>
          <t>당기순이익(손실)</t>
        </is>
      </c>
      <c r="B59" s="10" t="n"/>
      <c r="C59" s="11" t="n">
        <v>721.564</v>
      </c>
      <c r="D59" s="12" t="n">
        <v>-102.89</v>
      </c>
      <c r="E59" s="12" t="n">
        <v>314.912</v>
      </c>
      <c r="F59" s="12" t="n">
        <v>431.828</v>
      </c>
      <c r="G59" s="12" t="n">
        <v>854.633</v>
      </c>
      <c r="H59" s="12" t="n">
        <v>315.861</v>
      </c>
      <c r="I59" s="12" t="n">
        <v>230.477</v>
      </c>
      <c r="J59" s="12" t="n">
        <v>428.307</v>
      </c>
      <c r="K59" s="12" t="n">
        <v>710.623</v>
      </c>
      <c r="L59" s="12" t="n">
        <v>743.197</v>
      </c>
      <c r="M59" s="12" t="n">
        <v>384.191</v>
      </c>
      <c r="N59" s="12" t="n">
        <v>456.709</v>
      </c>
      <c r="O59" s="11" t="n">
        <v>1301.982</v>
      </c>
      <c r="P59" s="12" t="n">
        <v>1647.621</v>
      </c>
      <c r="Q59" s="12" t="n">
        <v>2227.786</v>
      </c>
      <c r="R59" s="12" t="n">
        <v>1564.608</v>
      </c>
      <c r="S59" s="12" t="n">
        <v>1721.885</v>
      </c>
      <c r="T59" s="12" t="n">
        <v>1634.878</v>
      </c>
      <c r="U59" s="12" t="n">
        <v>1724.712</v>
      </c>
      <c r="V59" s="12" t="n">
        <v>1394.209</v>
      </c>
      <c r="W59" s="12" t="n">
        <v>1917.234</v>
      </c>
      <c r="X59" s="12" t="n">
        <v>2112.604</v>
      </c>
      <c r="Y59" s="11">
        <f>IF(OR(Y55=""),"",IFERROR(Y55-Y57,""))</f>
        <v/>
      </c>
      <c r="Z59" s="12">
        <f>IF(OR(Z55=""),"",IFERROR(Z55-Z57,""))</f>
        <v/>
      </c>
      <c r="AA59" s="12">
        <f>IF(OR(AA55=""),"",IFERROR(AA55-AA57,""))</f>
        <v/>
      </c>
      <c r="AB59" s="12">
        <f>IF(OR(AB55=""),"",IFERROR(AB55-AB57,""))</f>
        <v/>
      </c>
      <c r="AC59" s="12">
        <f>IF(OR(AC55=""),"",IFERROR(AC55-AC57,""))</f>
        <v/>
      </c>
    </row>
    <row r="60">
      <c r="A60" s="13" t="inlineStr">
        <is>
          <t>YoY</t>
        </is>
      </c>
      <c r="B60" s="10" t="n"/>
      <c r="C60" s="14" t="n"/>
      <c r="D60" s="15" t="n"/>
      <c r="E60" s="15" t="n"/>
      <c r="F60" s="15" t="n"/>
      <c r="G60" s="15">
        <f>IF(OR(G59="",C59=""),"",IF(C59&lt;=0,"",IFERROR(G59/C59-1,"")))</f>
        <v/>
      </c>
      <c r="H60" s="15">
        <f>IF(OR(H59="",D59=""),"",IF(D59&lt;=0,"",IFERROR(H59/D59-1,"")))</f>
        <v/>
      </c>
      <c r="I60" s="15">
        <f>IF(OR(I59="",E59=""),"",IF(E59&lt;=0,"",IFERROR(I59/E59-1,"")))</f>
        <v/>
      </c>
      <c r="J60" s="15">
        <f>IF(OR(J59="",F59=""),"",IF(F59&lt;=0,"",IFERROR(J59/F59-1,"")))</f>
        <v/>
      </c>
      <c r="K60" s="15">
        <f>IF(OR(K59="",G59=""),"",IF(G59&lt;=0,"",IFERROR(K59/G59-1,"")))</f>
        <v/>
      </c>
      <c r="L60" s="15">
        <f>IF(OR(L59="",H59=""),"",IF(H59&lt;=0,"",IFERROR(L59/H59-1,"")))</f>
        <v/>
      </c>
      <c r="M60" s="15">
        <f>IF(OR(M59="",I59=""),"",IF(I59&lt;=0,"",IFERROR(M59/I59-1,"")))</f>
        <v/>
      </c>
      <c r="N60" s="15">
        <f>IF(OR(N59="",J59=""),"",IF(J59&lt;=0,"",IFERROR(N59/J59-1,"")))</f>
        <v/>
      </c>
      <c r="O60" s="14" t="n"/>
      <c r="P60" s="15">
        <f>IF(OR(P59="",O59=""),"",IF(O59&lt;=0,"",IFERROR(P59/O59-1,"")))</f>
        <v/>
      </c>
      <c r="Q60" s="15">
        <f>IF(OR(Q59="",P59=""),"",IF(P59&lt;=0,"",IFERROR(Q59/P59-1,"")))</f>
        <v/>
      </c>
      <c r="R60" s="15">
        <f>IF(OR(R59="",Q59=""),"",IF(Q59&lt;=0,"",IFERROR(R59/Q59-1,"")))</f>
        <v/>
      </c>
      <c r="S60" s="15">
        <f>IF(OR(S59="",R59=""),"",IF(R59&lt;=0,"",IFERROR(S59/R59-1,"")))</f>
        <v/>
      </c>
      <c r="T60" s="15">
        <f>IF(OR(T59="",S59=""),"",IF(S59&lt;=0,"",IFERROR(T59/S59-1,"")))</f>
        <v/>
      </c>
      <c r="U60" s="15">
        <f>IF(OR(U59="",T59=""),"",IF(T59&lt;=0,"",IFERROR(U59/T59-1,"")))</f>
        <v/>
      </c>
      <c r="V60" s="15">
        <f>IF(OR(V59="",U59=""),"",IF(U59&lt;=0,"",IFERROR(V59/U59-1,"")))</f>
        <v/>
      </c>
      <c r="W60" s="15">
        <f>IF(OR(W59="",V59=""),"",IF(V59&lt;=0,"",IFERROR(W59/V59-1,"")))</f>
        <v/>
      </c>
      <c r="X60" s="15">
        <f>IF(OR(X59="",W59=""),"",IF(W59&lt;=0,"",IFERROR(X59/W59-1,"")))</f>
        <v/>
      </c>
      <c r="Y60" s="14">
        <f>IF(OR(Y59="",X59=""),"",IF(X59&lt;=0,"",IFERROR(Y59/X59-1,"")))</f>
        <v/>
      </c>
      <c r="Z60" s="15">
        <f>IF(OR(Z59="",Y59=""),"",IF(Y59&lt;=0,"",IFERROR(Z59/Y59-1,"")))</f>
        <v/>
      </c>
      <c r="AA60" s="15">
        <f>IF(OR(AA59="",Z59=""),"",IF(Z59&lt;=0,"",IFERROR(AA59/Z59-1,"")))</f>
        <v/>
      </c>
      <c r="AB60" s="15">
        <f>IF(OR(AB59="",AA59=""),"",IF(AA59&lt;=0,"",IFERROR(AB59/AA59-1,"")))</f>
        <v/>
      </c>
      <c r="AC60" s="15">
        <f>IF(OR(AC59="",AB59=""),"",IF(AB59&lt;=0,"",IFERROR(AC59/AB59-1,"")))</f>
        <v/>
      </c>
    </row>
    <row r="61">
      <c r="A61" s="9" t="inlineStr">
        <is>
          <t>지배주주 순이익</t>
        </is>
      </c>
      <c r="B61" s="10" t="n"/>
      <c r="C61" s="11" t="n">
        <v>721.564</v>
      </c>
      <c r="D61" s="12" t="n">
        <v>379.623</v>
      </c>
      <c r="E61" s="12" t="n">
        <v>314.912</v>
      </c>
      <c r="F61" s="12" t="n">
        <v>431.828</v>
      </c>
      <c r="G61" s="12" t="n">
        <v>854.633</v>
      </c>
      <c r="H61" s="12" t="n">
        <v>315.861</v>
      </c>
      <c r="I61" s="12" t="n">
        <v>230.477</v>
      </c>
      <c r="J61" s="12" t="n">
        <v>428.307</v>
      </c>
      <c r="K61" s="12" t="n">
        <v>710.623</v>
      </c>
      <c r="L61" s="12" t="n">
        <v>743.197</v>
      </c>
      <c r="M61" s="12" t="n">
        <v>384.191</v>
      </c>
      <c r="N61" s="12" t="n">
        <v>456.709</v>
      </c>
      <c r="O61" s="11" t="n">
        <v>1648.368</v>
      </c>
      <c r="P61" s="12" t="n">
        <v>1913.709</v>
      </c>
      <c r="Q61" s="12" t="n">
        <v>2227.786</v>
      </c>
      <c r="R61" s="12" t="n">
        <v>1894.705</v>
      </c>
      <c r="S61" s="12" t="n">
        <v>1721.885</v>
      </c>
      <c r="T61" s="12" t="n">
        <v>1634.878</v>
      </c>
      <c r="U61" s="12" t="n">
        <v>2101.552</v>
      </c>
      <c r="V61" s="12" t="n">
        <v>1876.722</v>
      </c>
      <c r="W61" s="12" t="n">
        <v>1917.234</v>
      </c>
      <c r="X61" s="12" t="n">
        <v>2112.604</v>
      </c>
      <c r="Y61" s="11">
        <f>IF(OR(Y59="",Y62=""),"",IFERROR(Y59*Y62,""))</f>
        <v/>
      </c>
      <c r="Z61" s="12">
        <f>IF(OR(Z59="",Z62=""),"",IFERROR(Z59*Z62,""))</f>
        <v/>
      </c>
      <c r="AA61" s="12">
        <f>IF(OR(AA59="",AA62=""),"",IFERROR(AA59*AA62,""))</f>
        <v/>
      </c>
      <c r="AB61" s="12">
        <f>IF(OR(AB59="",AB62=""),"",IFERROR(AB59*AB62,""))</f>
        <v/>
      </c>
      <c r="AC61" s="12">
        <f>IF(OR(AC59="",AC62=""),"",IFERROR(AC59*AC62,""))</f>
        <v/>
      </c>
    </row>
    <row r="62">
      <c r="A62" s="13" t="inlineStr">
        <is>
          <t>지배주주 순이익률</t>
        </is>
      </c>
      <c r="B62" s="10" t="inlineStr">
        <is>
          <t>MW 기본 100%</t>
        </is>
      </c>
      <c r="C62" s="14">
        <f>IF(OR(C61="",C59=""),"",IFERROR(C61/C59,""))</f>
        <v/>
      </c>
      <c r="D62" s="15">
        <f>IF(OR(D61="",D59=""),"",IFERROR(D61/D59,""))</f>
        <v/>
      </c>
      <c r="E62" s="15">
        <f>IF(OR(E61="",E59=""),"",IFERROR(E61/E59,""))</f>
        <v/>
      </c>
      <c r="F62" s="15">
        <f>IF(OR(F61="",F59=""),"",IFERROR(F61/F59,""))</f>
        <v/>
      </c>
      <c r="G62" s="15">
        <f>IF(OR(G61="",G59=""),"",IFERROR(G61/G59,""))</f>
        <v/>
      </c>
      <c r="H62" s="15">
        <f>IF(OR(H61="",H59=""),"",IFERROR(H61/H59,""))</f>
        <v/>
      </c>
      <c r="I62" s="15">
        <f>IF(OR(I61="",I59=""),"",IFERROR(I61/I59,""))</f>
        <v/>
      </c>
      <c r="J62" s="15">
        <f>IF(OR(J61="",J59=""),"",IFERROR(J61/J59,""))</f>
        <v/>
      </c>
      <c r="K62" s="15">
        <f>IF(OR(K61="",K59=""),"",IFERROR(K61/K59,""))</f>
        <v/>
      </c>
      <c r="L62" s="15">
        <f>IF(OR(L61="",L59=""),"",IFERROR(L61/L59,""))</f>
        <v/>
      </c>
      <c r="M62" s="15">
        <f>IF(OR(M61="",M59=""),"",IFERROR(M61/M59,""))</f>
        <v/>
      </c>
      <c r="N62" s="15">
        <f>IF(OR(N61="",N59=""),"",IFERROR(N61/N59,""))</f>
        <v/>
      </c>
      <c r="O62" s="14">
        <f>IF(OR(O61="",O59=""),"",IFERROR(O61/O59,""))</f>
        <v/>
      </c>
      <c r="P62" s="15">
        <f>IF(OR(P61="",P59=""),"",IFERROR(P61/P59,""))</f>
        <v/>
      </c>
      <c r="Q62" s="15">
        <f>IF(OR(Q61="",Q59=""),"",IFERROR(Q61/Q59,""))</f>
        <v/>
      </c>
      <c r="R62" s="15">
        <f>IF(OR(R61="",R59=""),"",IFERROR(R61/R59,""))</f>
        <v/>
      </c>
      <c r="S62" s="15">
        <f>IF(OR(S61="",S59=""),"",IFERROR(S61/S59,""))</f>
        <v/>
      </c>
      <c r="T62" s="15">
        <f>IF(OR(T61="",T59=""),"",IFERROR(T61/T59,""))</f>
        <v/>
      </c>
      <c r="U62" s="15">
        <f>IF(OR(U61="",U59=""),"",IFERROR(U61/U59,""))</f>
        <v/>
      </c>
      <c r="V62" s="15">
        <f>IF(OR(V61="",V59=""),"",IFERROR(V61/V59,""))</f>
        <v/>
      </c>
      <c r="W62" s="15">
        <f>IF(OR(W61="",W59=""),"",IFERROR(W61/W59,""))</f>
        <v/>
      </c>
      <c r="X62" s="15">
        <f>IF(OR(X61="",X59=""),"",IFERROR(X61/X59,""))</f>
        <v/>
      </c>
      <c r="Y62" s="25" t="n">
        <v>1</v>
      </c>
      <c r="Z62" s="26" t="n">
        <v>1</v>
      </c>
      <c r="AA62" s="26" t="n">
        <v>1</v>
      </c>
      <c r="AB62" s="26" t="n">
        <v>1</v>
      </c>
      <c r="AC62" s="26" t="n">
        <v>1</v>
      </c>
    </row>
    <row r="63">
      <c r="A63" s="13" t="inlineStr">
        <is>
          <t>지배주주 순이익 YoY</t>
        </is>
      </c>
      <c r="B63" s="10" t="n"/>
      <c r="C63" s="14" t="n"/>
      <c r="D63" s="15" t="n"/>
      <c r="E63" s="15" t="n"/>
      <c r="F63" s="15" t="n"/>
      <c r="G63" s="15">
        <f>IF(OR(G61="",C61=""),"",IF(C61&lt;=0,"",IFERROR(G61/C61-1,"")))</f>
        <v/>
      </c>
      <c r="H63" s="15">
        <f>IF(OR(H61="",D61=""),"",IF(D61&lt;=0,"",IFERROR(H61/D61-1,"")))</f>
        <v/>
      </c>
      <c r="I63" s="15">
        <f>IF(OR(I61="",E61=""),"",IF(E61&lt;=0,"",IFERROR(I61/E61-1,"")))</f>
        <v/>
      </c>
      <c r="J63" s="15">
        <f>IF(OR(J61="",F61=""),"",IF(F61&lt;=0,"",IFERROR(J61/F61-1,"")))</f>
        <v/>
      </c>
      <c r="K63" s="15">
        <f>IF(OR(K61="",G61=""),"",IF(G61&lt;=0,"",IFERROR(K61/G61-1,"")))</f>
        <v/>
      </c>
      <c r="L63" s="15">
        <f>IF(OR(L61="",H61=""),"",IF(H61&lt;=0,"",IFERROR(L61/H61-1,"")))</f>
        <v/>
      </c>
      <c r="M63" s="15">
        <f>IF(OR(M61="",I61=""),"",IF(I61&lt;=0,"",IFERROR(M61/I61-1,"")))</f>
        <v/>
      </c>
      <c r="N63" s="15">
        <f>IF(OR(N61="",J61=""),"",IF(J61&lt;=0,"",IFERROR(N61/J61-1,"")))</f>
        <v/>
      </c>
      <c r="O63" s="14" t="n"/>
      <c r="P63" s="15">
        <f>IF(OR(P61="",O61=""),"",IF(O61&lt;=0,"",IFERROR(P61/O61-1,"")))</f>
        <v/>
      </c>
      <c r="Q63" s="15">
        <f>IF(OR(Q61="",P61=""),"",IF(P61&lt;=0,"",IFERROR(Q61/P61-1,"")))</f>
        <v/>
      </c>
      <c r="R63" s="15">
        <f>IF(OR(R61="",Q61=""),"",IF(Q61&lt;=0,"",IFERROR(R61/Q61-1,"")))</f>
        <v/>
      </c>
      <c r="S63" s="15">
        <f>IF(OR(S61="",R61=""),"",IF(R61&lt;=0,"",IFERROR(S61/R61-1,"")))</f>
        <v/>
      </c>
      <c r="T63" s="15">
        <f>IF(OR(T61="",S61=""),"",IF(S61&lt;=0,"",IFERROR(T61/S61-1,"")))</f>
        <v/>
      </c>
      <c r="U63" s="15">
        <f>IF(OR(U61="",T61=""),"",IF(T61&lt;=0,"",IFERROR(U61/T61-1,"")))</f>
        <v/>
      </c>
      <c r="V63" s="15">
        <f>IF(OR(V61="",U61=""),"",IF(U61&lt;=0,"",IFERROR(V61/U61-1,"")))</f>
        <v/>
      </c>
      <c r="W63" s="15">
        <f>IF(OR(W61="",V61=""),"",IF(V61&lt;=0,"",IFERROR(W61/V61-1,"")))</f>
        <v/>
      </c>
      <c r="X63" s="15">
        <f>IF(OR(X61="",W61=""),"",IF(W61&lt;=0,"",IFERROR(X61/W61-1,"")))</f>
        <v/>
      </c>
      <c r="Y63" s="14">
        <f>IF(OR(Y61="",X61=""),"",IF(X61&lt;=0,"",IFERROR(Y61/X61-1,"")))</f>
        <v/>
      </c>
      <c r="Z63" s="15">
        <f>IF(OR(Z61="",Y61=""),"",IF(Y61&lt;=0,"",IFERROR(Z61/Y61-1,"")))</f>
        <v/>
      </c>
      <c r="AA63" s="15">
        <f>IF(OR(AA61="",Z61=""),"",IF(Z61&lt;=0,"",IFERROR(AA61/Z61-1,"")))</f>
        <v/>
      </c>
      <c r="AB63" s="15">
        <f>IF(OR(AB61="",AA61=""),"",IF(AA61&lt;=0,"",IFERROR(AB61/AA61-1,"")))</f>
        <v/>
      </c>
      <c r="AC63" s="15">
        <f>IF(OR(AC61="",AB61=""),"",IF(AB61&lt;=0,"",IFERROR(AC61/AB61-1,"")))</f>
        <v/>
      </c>
    </row>
    <row r="64">
      <c r="A64" s="16" t="inlineStr">
        <is>
          <t>목표주가 산출</t>
        </is>
      </c>
      <c r="B64" s="16" t="n"/>
      <c r="C64" s="17" t="n"/>
      <c r="D64" s="16" t="n"/>
      <c r="E64" s="16" t="n"/>
      <c r="F64" s="16" t="n"/>
      <c r="G64" s="16" t="n"/>
      <c r="H64" s="16" t="n"/>
      <c r="I64" s="16" t="n"/>
      <c r="J64" s="16" t="n"/>
      <c r="K64" s="16" t="n"/>
      <c r="L64" s="16" t="n"/>
      <c r="M64" s="16" t="n"/>
      <c r="N64" s="16" t="n"/>
      <c r="O64" s="17" t="n"/>
      <c r="P64" s="16" t="n"/>
      <c r="Q64" s="16" t="n"/>
      <c r="R64" s="16" t="n"/>
      <c r="S64" s="16" t="n"/>
      <c r="T64" s="16" t="n"/>
      <c r="U64" s="16" t="n"/>
      <c r="V64" s="16" t="n"/>
      <c r="W64" s="16" t="n"/>
      <c r="X64" s="16" t="n"/>
      <c r="Y64" s="17" t="n"/>
      <c r="Z64" s="16" t="n"/>
      <c r="AA64" s="16" t="n"/>
      <c r="AB64" s="16" t="n"/>
      <c r="AC64" s="16" t="n"/>
    </row>
    <row r="65">
      <c r="A65" s="18" t="inlineStr">
        <is>
          <t>현재 주가 (2026.10.28)</t>
        </is>
      </c>
      <c r="B65" s="27" t="n">
        <v>1262</v>
      </c>
      <c r="C65" s="28" t="n"/>
      <c r="D65" s="29" t="n"/>
      <c r="E65" s="29" t="n"/>
      <c r="F65" s="29" t="n"/>
      <c r="G65" s="29" t="n"/>
      <c r="H65" s="29" t="n"/>
      <c r="I65" s="29" t="n"/>
      <c r="J65" s="29" t="n"/>
      <c r="K65" s="29" t="n"/>
      <c r="L65" s="29" t="n"/>
      <c r="M65" s="29" t="n"/>
      <c r="N65" s="29" t="n"/>
      <c r="O65" s="28" t="n"/>
      <c r="P65" s="29" t="n"/>
      <c r="Q65" s="29" t="n"/>
      <c r="R65" s="29" t="n"/>
      <c r="S65" s="29" t="n"/>
      <c r="T65" s="29" t="n"/>
      <c r="U65" s="29" t="n"/>
      <c r="V65" s="29" t="n"/>
      <c r="W65" s="29" t="n"/>
      <c r="X65" s="29" t="n"/>
      <c r="Y65" s="28" t="n"/>
      <c r="Z65" s="29" t="n"/>
      <c r="AA65" s="29" t="n"/>
      <c r="AB65" s="29" t="n"/>
      <c r="AC65" s="29" t="n"/>
    </row>
    <row r="66">
      <c r="A66" s="18" t="inlineStr">
        <is>
          <t>발행주식수 (보통주)</t>
        </is>
      </c>
      <c r="B66" s="27" t="n">
        <v>18398174</v>
      </c>
      <c r="C66" s="28" t="n"/>
      <c r="D66" s="29" t="n"/>
      <c r="E66" s="29" t="n"/>
      <c r="F66" s="29" t="n"/>
      <c r="G66" s="29" t="n"/>
      <c r="H66" s="29" t="n"/>
      <c r="I66" s="29" t="n"/>
      <c r="J66" s="29" t="n"/>
      <c r="K66" s="29" t="n"/>
      <c r="L66" s="29" t="n"/>
      <c r="M66" s="29" t="n"/>
      <c r="N66" s="29" t="n"/>
      <c r="O66" s="28" t="n"/>
      <c r="P66" s="29" t="n"/>
      <c r="Q66" s="29" t="n"/>
      <c r="R66" s="29" t="n"/>
      <c r="S66" s="29" t="n"/>
      <c r="T66" s="29" t="n"/>
      <c r="U66" s="29" t="n"/>
      <c r="V66" s="29" t="n"/>
      <c r="W66" s="29" t="n"/>
      <c r="X66" s="29" t="n"/>
      <c r="Y66" s="28" t="n"/>
      <c r="Z66" s="29" t="n"/>
      <c r="AA66" s="29" t="n"/>
      <c r="AB66" s="29" t="n"/>
      <c r="AC66" s="29" t="n"/>
    </row>
    <row r="67">
      <c r="A67" s="18" t="inlineStr">
        <is>
          <t>시가총액 (백만엔)</t>
        </is>
      </c>
      <c r="B67" s="12">
        <f>IF(OR(B65="",B66=""),"",B65*B66/1000000.0)</f>
        <v/>
      </c>
      <c r="C67" s="19" t="n"/>
      <c r="D67" s="20" t="n"/>
      <c r="E67" s="20" t="n"/>
      <c r="F67" s="20" t="n"/>
      <c r="G67" s="20" t="n"/>
      <c r="H67" s="20" t="n"/>
      <c r="I67" s="20" t="n"/>
      <c r="J67" s="20" t="n"/>
      <c r="K67" s="20" t="n"/>
      <c r="L67" s="20" t="n"/>
      <c r="M67" s="20" t="n"/>
      <c r="N67" s="20" t="n"/>
      <c r="O67" s="19" t="n"/>
      <c r="P67" s="20" t="n"/>
      <c r="Q67" s="20" t="n"/>
      <c r="R67" s="20" t="n"/>
      <c r="S67" s="20" t="n"/>
      <c r="T67" s="20" t="n"/>
      <c r="U67" s="20" t="n"/>
      <c r="V67" s="20" t="n"/>
      <c r="W67" s="20" t="n"/>
      <c r="X67" s="20" t="n"/>
      <c r="Y67" s="19" t="n"/>
      <c r="Z67" s="20" t="n"/>
      <c r="AA67" s="20" t="n"/>
      <c r="AB67" s="20" t="n"/>
      <c r="AC67" s="20" t="n"/>
    </row>
    <row r="68">
      <c r="A68" s="13" t="inlineStr">
        <is>
          <t>OPM</t>
        </is>
      </c>
      <c r="B68" s="10" t="n"/>
      <c r="C68" s="14" t="n"/>
      <c r="D68" s="15" t="n"/>
      <c r="E68" s="15" t="n"/>
      <c r="F68" s="15" t="n"/>
      <c r="G68" s="15" t="n"/>
      <c r="H68" s="15" t="n"/>
      <c r="I68" s="15" t="n"/>
      <c r="J68" s="15" t="n"/>
      <c r="K68" s="15" t="n"/>
      <c r="L68" s="15" t="n"/>
      <c r="M68" s="15" t="n"/>
      <c r="N68" s="15" t="n"/>
      <c r="O68" s="14">
        <f>IF(O32="","",O32)</f>
        <v/>
      </c>
      <c r="P68" s="15">
        <f>IF(P32="","",P32)</f>
        <v/>
      </c>
      <c r="Q68" s="15">
        <f>IF(Q32="","",Q32)</f>
        <v/>
      </c>
      <c r="R68" s="15">
        <f>IF(R32="","",R32)</f>
        <v/>
      </c>
      <c r="S68" s="15">
        <f>IF(S32="","",S32)</f>
        <v/>
      </c>
      <c r="T68" s="15">
        <f>IF(T32="","",T32)</f>
        <v/>
      </c>
      <c r="U68" s="15">
        <f>IF(U32="","",U32)</f>
        <v/>
      </c>
      <c r="V68" s="15">
        <f>IF(V32="","",V32)</f>
        <v/>
      </c>
      <c r="W68" s="15">
        <f>IF(W32="","",W32)</f>
        <v/>
      </c>
      <c r="X68" s="15">
        <f>IF(X32="","",X32)</f>
        <v/>
      </c>
      <c r="Y68" s="14">
        <f>IF(Y32="","",Y32)</f>
        <v/>
      </c>
      <c r="Z68" s="15">
        <f>IF(Z32="","",Z32)</f>
        <v/>
      </c>
      <c r="AA68" s="15">
        <f>IF(AA32="","",AA32)</f>
        <v/>
      </c>
      <c r="AB68" s="15">
        <f>IF(AB32="","",AB32)</f>
        <v/>
      </c>
      <c r="AC68" s="15">
        <f>IF(AC32="","",AC32)</f>
        <v/>
      </c>
    </row>
    <row r="69">
      <c r="A69" s="13" t="inlineStr">
        <is>
          <t>지배주주 순이익 증가율</t>
        </is>
      </c>
      <c r="B69" s="10" t="n"/>
      <c r="C69" s="14" t="n"/>
      <c r="D69" s="15" t="n"/>
      <c r="E69" s="15" t="n"/>
      <c r="F69" s="15" t="n"/>
      <c r="G69" s="15" t="n"/>
      <c r="H69" s="15" t="n"/>
      <c r="I69" s="15" t="n"/>
      <c r="J69" s="15" t="n"/>
      <c r="K69" s="15" t="n"/>
      <c r="L69" s="15" t="n"/>
      <c r="M69" s="15" t="n"/>
      <c r="N69" s="15" t="n"/>
      <c r="O69" s="14" t="n"/>
      <c r="P69" s="15">
        <f>IF(OR(P61="",O61=""),"",IFERROR(P61/O61-1,""))</f>
        <v/>
      </c>
      <c r="Q69" s="15">
        <f>IF(OR(Q61="",P61=""),"",IFERROR(Q61/P61-1,""))</f>
        <v/>
      </c>
      <c r="R69" s="15">
        <f>IF(OR(R61="",Q61=""),"",IFERROR(R61/Q61-1,""))</f>
        <v/>
      </c>
      <c r="S69" s="15">
        <f>IF(OR(S61="",R61=""),"",IFERROR(S61/R61-1,""))</f>
        <v/>
      </c>
      <c r="T69" s="15">
        <f>IF(OR(T61="",S61=""),"",IFERROR(T61/S61-1,""))</f>
        <v/>
      </c>
      <c r="U69" s="15">
        <f>IF(OR(U61="",T61=""),"",IFERROR(U61/T61-1,""))</f>
        <v/>
      </c>
      <c r="V69" s="15">
        <f>IF(OR(V61="",U61=""),"",IFERROR(V61/U61-1,""))</f>
        <v/>
      </c>
      <c r="W69" s="15">
        <f>IF(OR(W61="",V61=""),"",IFERROR(W61/V61-1,""))</f>
        <v/>
      </c>
      <c r="X69" s="15">
        <f>IF(OR(X61="",W61=""),"",IFERROR(X61/W61-1,""))</f>
        <v/>
      </c>
      <c r="Y69" s="14">
        <f>IF(OR(Y61="",X61=""),"",IFERROR(Y61/X61-1,""))</f>
        <v/>
      </c>
      <c r="Z69" s="15">
        <f>IF(OR(Z61="",Y61=""),"",IFERROR(Z61/Y61-1,""))</f>
        <v/>
      </c>
      <c r="AA69" s="15">
        <f>IF(OR(AA61="",Z61=""),"",IFERROR(AA61/Z61-1,""))</f>
        <v/>
      </c>
      <c r="AB69" s="15">
        <f>IF(OR(AB61="",AA61=""),"",IFERROR(AB61/AA61-1,""))</f>
        <v/>
      </c>
      <c r="AC69" s="15">
        <f>IF(OR(AC61="",AB61=""),"",IFERROR(AC61/AB61-1,""))</f>
        <v/>
      </c>
    </row>
    <row r="70">
      <c r="A70" s="18" t="inlineStr">
        <is>
          <t>P/E (현재 주가)</t>
        </is>
      </c>
      <c r="B70" s="10" t="inlineStr">
        <is>
          <t>시총 ÷ 지배순이익</t>
        </is>
      </c>
      <c r="C70" s="30" t="n"/>
      <c r="D70" s="31" t="n"/>
      <c r="E70" s="31" t="n"/>
      <c r="F70" s="31" t="n"/>
      <c r="G70" s="31" t="n"/>
      <c r="H70" s="31" t="n"/>
      <c r="I70" s="31" t="n"/>
      <c r="J70" s="31" t="n"/>
      <c r="K70" s="31" t="n"/>
      <c r="L70" s="31" t="n"/>
      <c r="M70" s="31" t="n"/>
      <c r="N70" s="31" t="n"/>
      <c r="O70" s="30" t="n"/>
      <c r="P70" s="31" t="n"/>
      <c r="Q70" s="31" t="n"/>
      <c r="R70" s="31" t="n"/>
      <c r="S70" s="31" t="n"/>
      <c r="T70" s="31" t="n"/>
      <c r="U70" s="31" t="n"/>
      <c r="V70" s="31" t="n"/>
      <c r="W70" s="31" t="n"/>
      <c r="X70" s="31">
        <f>IF(OR($B$67="",X61=""),"",IFERROR($B$67/X61,""))</f>
        <v/>
      </c>
      <c r="Y70" s="30">
        <f>IF(OR($B$67="",Y61=""),"",IFERROR($B$67/Y61,""))</f>
        <v/>
      </c>
      <c r="Z70" s="31">
        <f>IF(OR($B$67="",Z61=""),"",IFERROR($B$67/Z61,""))</f>
        <v/>
      </c>
      <c r="AA70" s="31">
        <f>IF(OR($B$67="",AA61=""),"",IFERROR($B$67/AA61,""))</f>
        <v/>
      </c>
      <c r="AB70" s="31">
        <f>IF(OR($B$67="",AB61=""),"",IFERROR($B$67/AB61,""))</f>
        <v/>
      </c>
      <c r="AC70" s="31">
        <f>IF(OR($B$67="",AC61=""),"",IFERROR($B$67/AC61,""))</f>
        <v/>
      </c>
    </row>
    <row r="71">
      <c r="A71" s="18" t="inlineStr">
        <is>
          <t>Target P/E</t>
        </is>
      </c>
      <c r="B71" s="10" t="inlineStr">
        <is>
          <t>직접 입력</t>
        </is>
      </c>
      <c r="C71" s="30" t="n"/>
      <c r="D71" s="31" t="n"/>
      <c r="E71" s="31" t="n"/>
      <c r="F71" s="31" t="n"/>
      <c r="G71" s="31" t="n"/>
      <c r="H71" s="31" t="n"/>
      <c r="I71" s="31" t="n"/>
      <c r="J71" s="31" t="n"/>
      <c r="K71" s="31" t="n"/>
      <c r="L71" s="31" t="n"/>
      <c r="M71" s="31" t="n"/>
      <c r="N71" s="31" t="n"/>
      <c r="O71" s="30" t="n"/>
      <c r="P71" s="31" t="n"/>
      <c r="Q71" s="31" t="n"/>
      <c r="R71" s="31" t="n"/>
      <c r="S71" s="31" t="n"/>
      <c r="T71" s="31" t="n"/>
      <c r="U71" s="31" t="n"/>
      <c r="V71" s="31" t="n"/>
      <c r="W71" s="31" t="n"/>
      <c r="X71" s="31" t="n"/>
      <c r="Y71" s="32" t="n"/>
      <c r="Z71" s="33" t="n"/>
      <c r="AA71" s="33" t="n"/>
      <c r="AB71" s="33" t="n"/>
      <c r="AC71" s="33" t="n"/>
    </row>
    <row r="72">
      <c r="A72" s="18" t="inlineStr">
        <is>
          <t>EPS</t>
        </is>
      </c>
      <c r="B72" s="10" t="inlineStr">
        <is>
          <t>지배순이익 ÷ 주식수</t>
        </is>
      </c>
      <c r="C72" s="28" t="n"/>
      <c r="D72" s="29" t="n"/>
      <c r="E72" s="29" t="n"/>
      <c r="F72" s="29" t="n"/>
      <c r="G72" s="29" t="n"/>
      <c r="H72" s="29" t="n"/>
      <c r="I72" s="29" t="n"/>
      <c r="J72" s="29" t="n"/>
      <c r="K72" s="29" t="n"/>
      <c r="L72" s="29" t="n"/>
      <c r="M72" s="29" t="n"/>
      <c r="N72" s="29" t="n"/>
      <c r="O72" s="28">
        <f>IF(OR(O61="",$B$66=""),"",IFERROR(O61*1000000.0/$B$66,""))</f>
        <v/>
      </c>
      <c r="P72" s="29">
        <f>IF(OR(P61="",$B$66=""),"",IFERROR(P61*1000000.0/$B$66,""))</f>
        <v/>
      </c>
      <c r="Q72" s="29">
        <f>IF(OR(Q61="",$B$66=""),"",IFERROR(Q61*1000000.0/$B$66,""))</f>
        <v/>
      </c>
      <c r="R72" s="29">
        <f>IF(OR(R61="",$B$66=""),"",IFERROR(R61*1000000.0/$B$66,""))</f>
        <v/>
      </c>
      <c r="S72" s="29">
        <f>IF(OR(S61="",$B$66=""),"",IFERROR(S61*1000000.0/$B$66,""))</f>
        <v/>
      </c>
      <c r="T72" s="29">
        <f>IF(OR(T61="",$B$66=""),"",IFERROR(T61*1000000.0/$B$66,""))</f>
        <v/>
      </c>
      <c r="U72" s="29">
        <f>IF(OR(U61="",$B$66=""),"",IFERROR(U61*1000000.0/$B$66,""))</f>
        <v/>
      </c>
      <c r="V72" s="29">
        <f>IF(OR(V61="",$B$66=""),"",IFERROR(V61*1000000.0/$B$66,""))</f>
        <v/>
      </c>
      <c r="W72" s="29">
        <f>IF(OR(W61="",$B$66=""),"",IFERROR(W61*1000000.0/$B$66,""))</f>
        <v/>
      </c>
      <c r="X72" s="29">
        <f>IF(OR(X61="",$B$66=""),"",IFERROR(X61*1000000.0/$B$66,""))</f>
        <v/>
      </c>
      <c r="Y72" s="28">
        <f>IF(OR(Y61="",$B$66=""),"",IFERROR(Y61*1000000.0/$B$66,""))</f>
        <v/>
      </c>
      <c r="Z72" s="29">
        <f>IF(OR(Z61="",$B$66=""),"",IFERROR(Z61*1000000.0/$B$66,""))</f>
        <v/>
      </c>
      <c r="AA72" s="29">
        <f>IF(OR(AA61="",$B$66=""),"",IFERROR(AA61*1000000.0/$B$66,""))</f>
        <v/>
      </c>
      <c r="AB72" s="29">
        <f>IF(OR(AB61="",$B$66=""),"",IFERROR(AB61*1000000.0/$B$66,""))</f>
        <v/>
      </c>
      <c r="AC72" s="29">
        <f>IF(OR(AC61="",$B$66=""),"",IFERROR(AC61*1000000.0/$B$66,""))</f>
        <v/>
      </c>
    </row>
    <row r="73">
      <c r="A73" s="9" t="inlineStr">
        <is>
          <t>목표주가</t>
        </is>
      </c>
      <c r="B73" s="10" t="n"/>
      <c r="C73" s="34" t="n"/>
      <c r="D73" s="27" t="n"/>
      <c r="E73" s="27" t="n"/>
      <c r="F73" s="27" t="n"/>
      <c r="G73" s="27" t="n"/>
      <c r="H73" s="27" t="n"/>
      <c r="I73" s="27" t="n"/>
      <c r="J73" s="27" t="n"/>
      <c r="K73" s="27" t="n"/>
      <c r="L73" s="27" t="n"/>
      <c r="M73" s="27" t="n"/>
      <c r="N73" s="27" t="n"/>
      <c r="O73" s="34" t="n"/>
      <c r="P73" s="27" t="n"/>
      <c r="Q73" s="27" t="n"/>
      <c r="R73" s="27" t="n"/>
      <c r="S73" s="27" t="n"/>
      <c r="T73" s="27" t="n"/>
      <c r="U73" s="27" t="n"/>
      <c r="V73" s="27" t="n"/>
      <c r="W73" s="27" t="n"/>
      <c r="X73" s="27" t="n"/>
      <c r="Y73" s="34">
        <f>IF(OR(Y72="",Y71=""),"",IFERROR(Y72*Y71,""))</f>
        <v/>
      </c>
      <c r="Z73" s="27">
        <f>IF(OR(Z72="",Z71=""),"",IFERROR(Z72*Z71,""))</f>
        <v/>
      </c>
      <c r="AA73" s="27">
        <f>IF(OR(AA72="",AA71=""),"",IFERROR(AA72*AA71,""))</f>
        <v/>
      </c>
      <c r="AB73" s="27">
        <f>IF(OR(AB72="",AB71=""),"",IFERROR(AB72*AB71,""))</f>
        <v/>
      </c>
      <c r="AC73" s="27">
        <f>IF(OR(AC72="",AC71=""),"",IFERROR(AC72*AC71,""))</f>
        <v/>
      </c>
    </row>
    <row r="74">
      <c r="A74" s="18" t="inlineStr">
        <is>
          <t>상승여력</t>
        </is>
      </c>
      <c r="B74" s="10" t="n"/>
      <c r="C74" s="35" t="n"/>
      <c r="D74" s="36" t="n"/>
      <c r="E74" s="36" t="n"/>
      <c r="F74" s="36" t="n"/>
      <c r="G74" s="36" t="n"/>
      <c r="H74" s="36" t="n"/>
      <c r="I74" s="36" t="n"/>
      <c r="J74" s="36" t="n"/>
      <c r="K74" s="36" t="n"/>
      <c r="L74" s="36" t="n"/>
      <c r="M74" s="36" t="n"/>
      <c r="N74" s="36" t="n"/>
      <c r="O74" s="35" t="n"/>
      <c r="P74" s="36" t="n"/>
      <c r="Q74" s="36" t="n"/>
      <c r="R74" s="36" t="n"/>
      <c r="S74" s="36" t="n"/>
      <c r="T74" s="36" t="n"/>
      <c r="U74" s="36" t="n"/>
      <c r="V74" s="36" t="n"/>
      <c r="W74" s="36" t="n"/>
      <c r="X74" s="36" t="n"/>
      <c r="Y74" s="37">
        <f>IF(OR(Y73="",$B$65=""),"",IFERROR(Y73/$B$65-1,""))</f>
        <v/>
      </c>
      <c r="Z74" s="38">
        <f>IF(OR(Z73="",$B$65=""),"",IFERROR(Z73/$B$65-1,""))</f>
        <v/>
      </c>
      <c r="AA74" s="38">
        <f>IF(OR(AA73="",$B$65=""),"",IFERROR(AA73/$B$65-1,""))</f>
        <v/>
      </c>
      <c r="AB74" s="38">
        <f>IF(OR(AB73="",$B$65=""),"",IFERROR(AB73/$B$65-1,""))</f>
        <v/>
      </c>
      <c r="AC74" s="38">
        <f>IF(OR(AC73="",$B$65=""),"",IFERROR(AC73/$B$65-1,""))</f>
        <v/>
      </c>
    </row>
    <row r="75">
      <c r="A75" s="16" t="inlineStr">
        <is>
          <t>자산가치 산출</t>
        </is>
      </c>
      <c r="B75" s="16" t="inlineStr">
        <is>
          <t>최신 분기 BS</t>
        </is>
      </c>
      <c r="C75" s="17" t="n"/>
      <c r="D75" s="16" t="n"/>
      <c r="E75" s="16" t="n"/>
      <c r="F75" s="16" t="n"/>
      <c r="G75" s="16" t="n"/>
      <c r="H75" s="16" t="n"/>
      <c r="I75" s="16" t="n"/>
      <c r="J75" s="16" t="n"/>
      <c r="K75" s="16" t="n"/>
      <c r="L75" s="16" t="n"/>
      <c r="M75" s="16" t="n"/>
      <c r="N75" s="16" t="n"/>
      <c r="O75" s="17" t="n"/>
      <c r="P75" s="16" t="n"/>
      <c r="Q75" s="16" t="n"/>
      <c r="R75" s="16" t="n"/>
      <c r="S75" s="16" t="n"/>
      <c r="T75" s="16" t="n"/>
      <c r="U75" s="16" t="n"/>
      <c r="V75" s="16" t="n"/>
      <c r="W75" s="16" t="n"/>
      <c r="X75" s="16" t="n"/>
      <c r="Y75" s="17" t="n"/>
      <c r="Z75" s="16" t="n"/>
      <c r="AA75" s="16" t="n"/>
      <c r="AB75" s="16" t="n"/>
      <c r="AC75" s="16" t="n"/>
    </row>
    <row r="76">
      <c r="A76" s="18" t="inlineStr">
        <is>
          <t>현금및현금성자산</t>
        </is>
      </c>
      <c r="B76" s="10" t="n"/>
      <c r="C76" s="19" t="n"/>
      <c r="D76" s="20" t="n"/>
      <c r="E76" s="20" t="n"/>
      <c r="F76" s="20" t="n"/>
      <c r="G76" s="20" t="n"/>
      <c r="H76" s="20" t="n"/>
      <c r="I76" s="20" t="n"/>
      <c r="J76" s="20" t="n"/>
      <c r="K76" s="20" t="n"/>
      <c r="L76" s="20" t="n"/>
      <c r="M76" s="20" t="n"/>
      <c r="N76" s="20" t="n"/>
      <c r="O76" s="19" t="n"/>
      <c r="P76" s="20" t="n"/>
      <c r="Q76" s="20" t="n"/>
      <c r="R76" s="20" t="n"/>
      <c r="S76" s="20" t="n"/>
      <c r="T76" s="20" t="n"/>
      <c r="U76" s="20" t="n"/>
      <c r="V76" s="20" t="n"/>
      <c r="W76" s="20" t="n"/>
      <c r="X76" s="20">
        <f>'재무상태표'!G6</f>
        <v/>
      </c>
      <c r="Y76" s="19">
        <f>'재무상태표'!G6</f>
        <v/>
      </c>
      <c r="Z76" s="20">
        <f>'재무상태표'!G6</f>
        <v/>
      </c>
      <c r="AA76" s="20">
        <f>'재무상태표'!G6</f>
        <v/>
      </c>
      <c r="AB76" s="20">
        <f>'재무상태표'!G6</f>
        <v/>
      </c>
      <c r="AC76" s="20">
        <f>'재무상태표'!G6</f>
        <v/>
      </c>
    </row>
    <row r="77">
      <c r="A77" s="18" t="inlineStr">
        <is>
          <t>단기금융상품</t>
        </is>
      </c>
      <c r="B77" s="10" t="n"/>
      <c r="C77" s="19" t="n"/>
      <c r="D77" s="20" t="n"/>
      <c r="E77" s="20" t="n"/>
      <c r="F77" s="20" t="n"/>
      <c r="G77" s="20" t="n"/>
      <c r="H77" s="20" t="n"/>
      <c r="I77" s="20" t="n"/>
      <c r="J77" s="20" t="n"/>
      <c r="K77" s="20" t="n"/>
      <c r="L77" s="20" t="n"/>
      <c r="M77" s="20" t="n"/>
      <c r="N77" s="20" t="n"/>
      <c r="O77" s="19" t="n"/>
      <c r="P77" s="20" t="n"/>
      <c r="Q77" s="20" t="n"/>
      <c r="R77" s="20" t="n"/>
      <c r="S77" s="20" t="n"/>
      <c r="T77" s="20" t="n"/>
      <c r="U77" s="20" t="n"/>
      <c r="V77" s="20" t="n"/>
      <c r="W77" s="20" t="n"/>
      <c r="X77" s="20">
        <f>'재무상태표'!G7</f>
        <v/>
      </c>
      <c r="Y77" s="19">
        <f>'재무상태표'!G7</f>
        <v/>
      </c>
      <c r="Z77" s="20">
        <f>'재무상태표'!G7</f>
        <v/>
      </c>
      <c r="AA77" s="20">
        <f>'재무상태표'!G7</f>
        <v/>
      </c>
      <c r="AB77" s="20">
        <f>'재무상태표'!G7</f>
        <v/>
      </c>
      <c r="AC77" s="20">
        <f>'재무상태표'!G7</f>
        <v/>
      </c>
    </row>
    <row r="78">
      <c r="A78" s="18" t="inlineStr">
        <is>
          <t>투자부동산</t>
        </is>
      </c>
      <c r="B78" s="10" t="n"/>
      <c r="C78" s="19" t="n"/>
      <c r="D78" s="20" t="n"/>
      <c r="E78" s="20" t="n"/>
      <c r="F78" s="20" t="n"/>
      <c r="G78" s="20" t="n"/>
      <c r="H78" s="20" t="n"/>
      <c r="I78" s="20" t="n"/>
      <c r="J78" s="20" t="n"/>
      <c r="K78" s="20" t="n"/>
      <c r="L78" s="20" t="n"/>
      <c r="M78" s="20" t="n"/>
      <c r="N78" s="20" t="n"/>
      <c r="O78" s="19" t="n"/>
      <c r="P78" s="20" t="n"/>
      <c r="Q78" s="20" t="n"/>
      <c r="R78" s="20" t="n"/>
      <c r="S78" s="20" t="n"/>
      <c r="T78" s="20" t="n"/>
      <c r="U78" s="20" t="n"/>
      <c r="V78" s="20" t="n"/>
      <c r="W78" s="20" t="n"/>
      <c r="X78" s="20">
        <f>'재무상태표'!G14</f>
        <v/>
      </c>
      <c r="Y78" s="19">
        <f>'재무상태표'!G14</f>
        <v/>
      </c>
      <c r="Z78" s="20">
        <f>'재무상태표'!G14</f>
        <v/>
      </c>
      <c r="AA78" s="20">
        <f>'재무상태표'!G14</f>
        <v/>
      </c>
      <c r="AB78" s="20">
        <f>'재무상태표'!G14</f>
        <v/>
      </c>
      <c r="AC78" s="20">
        <f>'재무상태표'!G14</f>
        <v/>
      </c>
    </row>
    <row r="79">
      <c r="A79" s="18" t="inlineStr">
        <is>
          <t>지배자본</t>
        </is>
      </c>
      <c r="B79" s="10" t="n"/>
      <c r="C79" s="19" t="n"/>
      <c r="D79" s="20" t="n"/>
      <c r="E79" s="20" t="n"/>
      <c r="F79" s="20" t="n"/>
      <c r="G79" s="20" t="n"/>
      <c r="H79" s="20" t="n"/>
      <c r="I79" s="20" t="n"/>
      <c r="J79" s="20" t="n"/>
      <c r="K79" s="20" t="n"/>
      <c r="L79" s="20" t="n"/>
      <c r="M79" s="20" t="n"/>
      <c r="N79" s="20" t="n"/>
      <c r="O79" s="19" t="n"/>
      <c r="P79" s="20" t="n"/>
      <c r="Q79" s="20" t="n"/>
      <c r="R79" s="20" t="n"/>
      <c r="S79" s="20" t="n"/>
      <c r="T79" s="20" t="n"/>
      <c r="U79" s="20" t="n"/>
      <c r="V79" s="20" t="n"/>
      <c r="W79" s="20" t="n"/>
      <c r="X79" s="20">
        <f>'재무상태표'!G31</f>
        <v/>
      </c>
      <c r="Y79" s="19">
        <f>'재무상태표'!G31</f>
        <v/>
      </c>
      <c r="Z79" s="20">
        <f>'재무상태표'!G31</f>
        <v/>
      </c>
      <c r="AA79" s="20">
        <f>'재무상태표'!G31</f>
        <v/>
      </c>
      <c r="AB79" s="20">
        <f>'재무상태표'!G31</f>
        <v/>
      </c>
      <c r="AC79" s="20">
        <f>'재무상태표'!G31</f>
        <v/>
      </c>
    </row>
    <row r="80">
      <c r="A80" s="18" t="inlineStr">
        <is>
          <t>부채</t>
        </is>
      </c>
      <c r="B80" s="10" t="n"/>
      <c r="C80" s="19" t="n"/>
      <c r="D80" s="20" t="n"/>
      <c r="E80" s="20" t="n"/>
      <c r="F80" s="20" t="n"/>
      <c r="G80" s="20" t="n"/>
      <c r="H80" s="20" t="n"/>
      <c r="I80" s="20" t="n"/>
      <c r="J80" s="20" t="n"/>
      <c r="K80" s="20" t="n"/>
      <c r="L80" s="20" t="n"/>
      <c r="M80" s="20" t="n"/>
      <c r="N80" s="20" t="n"/>
      <c r="O80" s="19" t="n"/>
      <c r="P80" s="20" t="n"/>
      <c r="Q80" s="20" t="n"/>
      <c r="R80" s="20" t="n"/>
      <c r="S80" s="20" t="n"/>
      <c r="T80" s="20" t="n"/>
      <c r="U80" s="20" t="n"/>
      <c r="V80" s="20" t="n"/>
      <c r="W80" s="20" t="n"/>
      <c r="X80" s="20">
        <f>'재무상태표'!G27</f>
        <v/>
      </c>
      <c r="Y80" s="19">
        <f>'재무상태표'!G27</f>
        <v/>
      </c>
      <c r="Z80" s="20">
        <f>'재무상태표'!G27</f>
        <v/>
      </c>
      <c r="AA80" s="20">
        <f>'재무상태표'!G27</f>
        <v/>
      </c>
      <c r="AB80" s="20">
        <f>'재무상태표'!G27</f>
        <v/>
      </c>
      <c r="AC80" s="20">
        <f>'재무상태표'!G27</f>
        <v/>
      </c>
    </row>
    <row r="81">
      <c r="A81" s="13" t="inlineStr">
        <is>
          <t>부채비율</t>
        </is>
      </c>
      <c r="B81" s="10" t="n"/>
      <c r="C81" s="14" t="n"/>
      <c r="D81" s="15" t="n"/>
      <c r="E81" s="15" t="n"/>
      <c r="F81" s="15" t="n"/>
      <c r="G81" s="15" t="n"/>
      <c r="H81" s="15" t="n"/>
      <c r="I81" s="15" t="n"/>
      <c r="J81" s="15" t="n"/>
      <c r="K81" s="15" t="n"/>
      <c r="L81" s="15" t="n"/>
      <c r="M81" s="15" t="n"/>
      <c r="N81" s="15" t="n"/>
      <c r="O81" s="14" t="n"/>
      <c r="P81" s="15" t="n"/>
      <c r="Q81" s="15" t="n"/>
      <c r="R81" s="15" t="n"/>
      <c r="S81" s="15" t="n"/>
      <c r="T81" s="15" t="n"/>
      <c r="U81" s="15" t="n"/>
      <c r="V81" s="15" t="n"/>
      <c r="W81" s="15" t="n"/>
      <c r="X81" s="15">
        <f>IF(OR(X80="",X79=""),"",IFERROR(X80/X79,""))</f>
        <v/>
      </c>
      <c r="Y81" s="14">
        <f>IF(OR(Y80="",Y79=""),"",IFERROR(Y80/Y79,""))</f>
        <v/>
      </c>
      <c r="Z81" s="15">
        <f>IF(OR(Z80="",Z79=""),"",IFERROR(Z80/Z79,""))</f>
        <v/>
      </c>
      <c r="AA81" s="15">
        <f>IF(OR(AA80="",AA79=""),"",IFERROR(AA80/AA79,""))</f>
        <v/>
      </c>
      <c r="AB81" s="15">
        <f>IF(OR(AB80="",AB79=""),"",IFERROR(AB80/AB79,""))</f>
        <v/>
      </c>
      <c r="AC81" s="15">
        <f>IF(OR(AC80="",AC79=""),"",IFERROR(AC80/AC79,""))</f>
        <v/>
      </c>
    </row>
    <row r="82">
      <c r="A82" s="9" t="inlineStr">
        <is>
          <t>자산가치</t>
        </is>
      </c>
      <c r="B82" s="10" t="inlineStr">
        <is>
          <t>현금+단기금융+투자부동산</t>
        </is>
      </c>
      <c r="C82" s="11" t="n"/>
      <c r="D82" s="12" t="n"/>
      <c r="E82" s="12" t="n"/>
      <c r="F82" s="12" t="n"/>
      <c r="G82" s="12" t="n"/>
      <c r="H82" s="12" t="n"/>
      <c r="I82" s="12" t="n"/>
      <c r="J82" s="12" t="n"/>
      <c r="K82" s="12" t="n"/>
      <c r="L82" s="12" t="n"/>
      <c r="M82" s="12" t="n"/>
      <c r="N82" s="12" t="n"/>
      <c r="O82" s="11" t="n"/>
      <c r="P82" s="12" t="n"/>
      <c r="Q82" s="12" t="n"/>
      <c r="R82" s="12" t="n"/>
      <c r="S82" s="12" t="n"/>
      <c r="T82" s="12" t="n"/>
      <c r="U82" s="12" t="n"/>
      <c r="V82" s="12" t="n"/>
      <c r="W82" s="12" t="n"/>
      <c r="X82" s="12">
        <f>SUM(X76,X77,X78)</f>
        <v/>
      </c>
      <c r="Y82" s="11">
        <f>SUM(Y76,Y77,Y78)</f>
        <v/>
      </c>
      <c r="Z82" s="12">
        <f>SUM(Z76,Z77,Z78)</f>
        <v/>
      </c>
      <c r="AA82" s="12">
        <f>SUM(AA76,AA77,AA78)</f>
        <v/>
      </c>
      <c r="AB82" s="12">
        <f>SUM(AB76,AB77,AB78)</f>
        <v/>
      </c>
      <c r="AC82" s="12">
        <f>SUM(AC76,AC77,AC78)</f>
        <v/>
      </c>
    </row>
    <row r="83">
      <c r="A83" s="16" t="inlineStr">
        <is>
          <t>기업가치 산출</t>
        </is>
      </c>
      <c r="B83" s="16" t="n"/>
      <c r="C83" s="17" t="n"/>
      <c r="D83" s="16" t="n"/>
      <c r="E83" s="16" t="n"/>
      <c r="F83" s="16" t="n"/>
      <c r="G83" s="16" t="n"/>
      <c r="H83" s="16" t="n"/>
      <c r="I83" s="16" t="n"/>
      <c r="J83" s="16" t="n"/>
      <c r="K83" s="16" t="n"/>
      <c r="L83" s="16" t="n"/>
      <c r="M83" s="16" t="n"/>
      <c r="N83" s="16" t="n"/>
      <c r="O83" s="17" t="n"/>
      <c r="P83" s="16" t="n"/>
      <c r="Q83" s="16" t="n"/>
      <c r="R83" s="16" t="n"/>
      <c r="S83" s="16" t="n"/>
      <c r="T83" s="16" t="n"/>
      <c r="U83" s="16" t="n"/>
      <c r="V83" s="16" t="n"/>
      <c r="W83" s="16" t="n"/>
      <c r="X83" s="16" t="n"/>
      <c r="Y83" s="17" t="n"/>
      <c r="Z83" s="16" t="n"/>
      <c r="AA83" s="16" t="n"/>
      <c r="AB83" s="16" t="n"/>
      <c r="AC83" s="16" t="n"/>
    </row>
    <row r="84">
      <c r="A84" s="18" t="inlineStr">
        <is>
          <t>목표 시가총액 (P/E)</t>
        </is>
      </c>
      <c r="B84" s="10" t="inlineStr">
        <is>
          <t>지배순이익 × Target P/E</t>
        </is>
      </c>
      <c r="C84" s="19" t="n"/>
      <c r="D84" s="20" t="n"/>
      <c r="E84" s="20" t="n"/>
      <c r="F84" s="20" t="n"/>
      <c r="G84" s="20" t="n"/>
      <c r="H84" s="20" t="n"/>
      <c r="I84" s="20" t="n"/>
      <c r="J84" s="20" t="n"/>
      <c r="K84" s="20" t="n"/>
      <c r="L84" s="20" t="n"/>
      <c r="M84" s="20" t="n"/>
      <c r="N84" s="20" t="n"/>
      <c r="O84" s="19" t="n"/>
      <c r="P84" s="20" t="n"/>
      <c r="Q84" s="20" t="n"/>
      <c r="R84" s="20" t="n"/>
      <c r="S84" s="20" t="n"/>
      <c r="T84" s="20" t="n"/>
      <c r="U84" s="20" t="n"/>
      <c r="V84" s="20" t="n"/>
      <c r="W84" s="20" t="n"/>
      <c r="X84" s="20" t="n"/>
      <c r="Y84" s="19">
        <f>IF(OR(Y61="",Y71=""),"",IFERROR(Y61*Y71,""))</f>
        <v/>
      </c>
      <c r="Z84" s="20">
        <f>IF(OR(Z61="",Z71=""),"",IFERROR(Z61*Z71,""))</f>
        <v/>
      </c>
      <c r="AA84" s="20">
        <f>IF(OR(AA61="",AA71=""),"",IFERROR(AA61*AA71,""))</f>
        <v/>
      </c>
      <c r="AB84" s="20">
        <f>IF(OR(AB61="",AB71=""),"",IFERROR(AB61*AB71,""))</f>
        <v/>
      </c>
      <c r="AC84" s="20">
        <f>IF(OR(AC61="",AC71=""),"",IFERROR(AC61*AC71,""))</f>
        <v/>
      </c>
    </row>
    <row r="85">
      <c r="A85" s="9" t="inlineStr">
        <is>
          <t>기업가치</t>
        </is>
      </c>
      <c r="B85" s="10" t="inlineStr">
        <is>
          <t>목표시총 + 자산가치</t>
        </is>
      </c>
      <c r="C85" s="11" t="n"/>
      <c r="D85" s="12" t="n"/>
      <c r="E85" s="12" t="n"/>
      <c r="F85" s="12" t="n"/>
      <c r="G85" s="12" t="n"/>
      <c r="H85" s="12" t="n"/>
      <c r="I85" s="12" t="n"/>
      <c r="J85" s="12" t="n"/>
      <c r="K85" s="12" t="n"/>
      <c r="L85" s="12" t="n"/>
      <c r="M85" s="12" t="n"/>
      <c r="N85" s="12" t="n"/>
      <c r="O85" s="11" t="n"/>
      <c r="P85" s="12" t="n"/>
      <c r="Q85" s="12" t="n"/>
      <c r="R85" s="12" t="n"/>
      <c r="S85" s="12" t="n"/>
      <c r="T85" s="12" t="n"/>
      <c r="U85" s="12" t="n"/>
      <c r="V85" s="12" t="n"/>
      <c r="W85" s="12" t="n"/>
      <c r="X85" s="12" t="n"/>
      <c r="Y85" s="11">
        <f>IF(OR(Y84=""),"",IFERROR(Y84+Y82,""))</f>
        <v/>
      </c>
      <c r="Z85" s="12">
        <f>IF(OR(Z84=""),"",IFERROR(Z84+Z82,""))</f>
        <v/>
      </c>
      <c r="AA85" s="12">
        <f>IF(OR(AA84=""),"",IFERROR(AA84+AA82,""))</f>
        <v/>
      </c>
      <c r="AB85" s="12">
        <f>IF(OR(AB84=""),"",IFERROR(AB84+AB82,""))</f>
        <v/>
      </c>
      <c r="AC85" s="12">
        <f>IF(OR(AC84=""),"",IFERROR(AC84+AC82,""))</f>
        <v/>
      </c>
    </row>
    <row r="86">
      <c r="A86" s="18" t="inlineStr">
        <is>
          <t>현재 시가총액</t>
        </is>
      </c>
      <c r="B86" s="10" t="n"/>
      <c r="C86" s="19" t="n"/>
      <c r="D86" s="20" t="n"/>
      <c r="E86" s="20" t="n"/>
      <c r="F86" s="20" t="n"/>
      <c r="G86" s="20" t="n"/>
      <c r="H86" s="20" t="n"/>
      <c r="I86" s="20" t="n"/>
      <c r="J86" s="20" t="n"/>
      <c r="K86" s="20" t="n"/>
      <c r="L86" s="20" t="n"/>
      <c r="M86" s="20" t="n"/>
      <c r="N86" s="20" t="n"/>
      <c r="O86" s="19" t="n"/>
      <c r="P86" s="20" t="n"/>
      <c r="Q86" s="20" t="n"/>
      <c r="R86" s="20" t="n"/>
      <c r="S86" s="20" t="n"/>
      <c r="T86" s="20" t="n"/>
      <c r="U86" s="20" t="n"/>
      <c r="V86" s="20" t="n"/>
      <c r="W86" s="20" t="n"/>
      <c r="X86" s="20" t="n"/>
      <c r="Y86" s="19">
        <f>$B$67</f>
        <v/>
      </c>
      <c r="Z86" s="20">
        <f>$B$67</f>
        <v/>
      </c>
      <c r="AA86" s="20">
        <f>$B$67</f>
        <v/>
      </c>
      <c r="AB86" s="20">
        <f>$B$67</f>
        <v/>
      </c>
      <c r="AC86" s="20">
        <f>$B$67</f>
        <v/>
      </c>
    </row>
    <row r="87">
      <c r="A87" s="18" t="inlineStr">
        <is>
          <t>상승여력</t>
        </is>
      </c>
      <c r="B87" s="10" t="n"/>
      <c r="C87" s="35" t="n"/>
      <c r="D87" s="36" t="n"/>
      <c r="E87" s="36" t="n"/>
      <c r="F87" s="36" t="n"/>
      <c r="G87" s="36" t="n"/>
      <c r="H87" s="36" t="n"/>
      <c r="I87" s="36" t="n"/>
      <c r="J87" s="36" t="n"/>
      <c r="K87" s="36" t="n"/>
      <c r="L87" s="36" t="n"/>
      <c r="M87" s="36" t="n"/>
      <c r="N87" s="36" t="n"/>
      <c r="O87" s="35" t="n"/>
      <c r="P87" s="36" t="n"/>
      <c r="Q87" s="36" t="n"/>
      <c r="R87" s="36" t="n"/>
      <c r="S87" s="36" t="n"/>
      <c r="T87" s="36" t="n"/>
      <c r="U87" s="36" t="n"/>
      <c r="V87" s="36" t="n"/>
      <c r="W87" s="36" t="n"/>
      <c r="X87" s="36" t="n"/>
      <c r="Y87" s="37">
        <f>IF(OR(Y85="",Y86=""),"",IFERROR(Y85/Y86-1,""))</f>
        <v/>
      </c>
      <c r="Z87" s="38">
        <f>IF(OR(Z85="",Z86=""),"",IFERROR(Z85/Z86-1,""))</f>
        <v/>
      </c>
      <c r="AA87" s="38">
        <f>IF(OR(AA85="",AA86=""),"",IFERROR(AA85/AA86-1,""))</f>
        <v/>
      </c>
      <c r="AB87" s="38">
        <f>IF(OR(AB85="",AB86=""),"",IFERROR(AB85/AB86-1,""))</f>
        <v/>
      </c>
      <c r="AC87" s="38">
        <f>IF(OR(AC85="",AC86=""),"",IFERROR(AC85/AC86-1,""))</f>
        <v/>
      </c>
    </row>
    <row r="88">
      <c r="C88" s="39" t="n"/>
      <c r="O88" s="39" t="n"/>
      <c r="Y88" s="39" t="n"/>
    </row>
    <row r="89">
      <c r="A89" s="40" t="inlineStr">
        <is>
          <t>출처</t>
        </is>
      </c>
      <c r="C89" s="39" t="n"/>
      <c r="O89" s="39" t="n"/>
      <c r="Y89" s="39" t="n"/>
    </row>
    <row r="90">
      <c r="A90" s="41" t="inlineStr">
        <is>
          <t>결산단신 XBRL(TDnet·JPX 보관소) — 쓴 문서는 '출처' 시트</t>
        </is>
      </c>
      <c r="C90" s="39" t="n"/>
      <c r="O90" s="39" t="n"/>
      <c r="Y90" s="39" t="n"/>
    </row>
    <row r="91">
      <c r="A91" s="41" t="inlineStr">
        <is>
          <t>분기 = 누계에서 앞 분기를 뺀 3개월 값</t>
        </is>
      </c>
      <c r="C91" s="39" t="n"/>
      <c r="O91" s="39" t="n"/>
      <c r="Y91" s="39" t="n"/>
    </row>
    <row r="92">
      <c r="A92" s="41" t="inlineStr">
        <is>
          <t>주가: 야후 파이낸스 일봉 2026.10.28</t>
        </is>
      </c>
      <c r="C92" s="39" t="n"/>
      <c r="O92" s="39" t="n"/>
      <c r="Y92" s="39" t="n"/>
    </row>
    <row r="94">
      <c r="A94" s="16" t="inlineStr">
        <is>
          <t>손익계산서 · 전 항목</t>
        </is>
      </c>
      <c r="B94" s="42" t="inlineStr">
        <is>
          <t>분기 = 3개월 단독</t>
        </is>
      </c>
      <c r="C94" s="16" t="n"/>
      <c r="D94" s="16" t="n"/>
      <c r="E94" s="16" t="n"/>
      <c r="F94" s="16" t="n"/>
      <c r="G94" s="16" t="n"/>
      <c r="H94" s="16" t="n"/>
      <c r="I94" s="16" t="n"/>
      <c r="J94" s="16" t="n"/>
      <c r="K94" s="16" t="n"/>
      <c r="L94" s="16" t="n"/>
      <c r="M94" s="16" t="n"/>
      <c r="N94" s="16" t="n"/>
      <c r="O94" s="16" t="n"/>
      <c r="P94" s="16" t="n"/>
      <c r="Q94" s="16" t="n"/>
      <c r="R94" s="16" t="n"/>
      <c r="S94" s="16" t="n"/>
      <c r="T94" s="16" t="n"/>
      <c r="U94" s="16" t="n"/>
      <c r="V94" s="16" t="n"/>
      <c r="W94" s="16" t="n"/>
      <c r="X94" s="16" t="n"/>
      <c r="Y94" s="16" t="n"/>
      <c r="Z94" s="16" t="n"/>
      <c r="AA94" s="16" t="n"/>
      <c r="AB94" s="16" t="n"/>
      <c r="AC94" s="16" t="n"/>
    </row>
    <row r="95">
      <c r="A95" s="5" t="inlineStr">
        <is>
          <t>항목</t>
        </is>
      </c>
      <c r="B95" s="5" t="inlineStr">
        <is>
          <t>참고</t>
        </is>
      </c>
      <c r="C95" s="5" t="inlineStr">
        <is>
          <t>2024.3Q</t>
        </is>
      </c>
      <c r="D95" s="5" t="inlineStr">
        <is>
          <t>2024.4Q</t>
        </is>
      </c>
      <c r="E95" s="5" t="inlineStr">
        <is>
          <t>2025.1Q</t>
        </is>
      </c>
      <c r="F95" s="5" t="inlineStr">
        <is>
          <t>2025.2Q</t>
        </is>
      </c>
      <c r="G95" s="5" t="inlineStr">
        <is>
          <t>2025.3Q</t>
        </is>
      </c>
      <c r="H95" s="5" t="inlineStr">
        <is>
          <t>2025.4Q</t>
        </is>
      </c>
      <c r="I95" s="5" t="inlineStr">
        <is>
          <t>2026.1Q</t>
        </is>
      </c>
      <c r="J95" s="5" t="inlineStr">
        <is>
          <t>2026.2Q</t>
        </is>
      </c>
      <c r="K95" s="5" t="inlineStr">
        <is>
          <t>2026.3Q</t>
        </is>
      </c>
      <c r="L95" s="5" t="inlineStr">
        <is>
          <t>2026.4Q</t>
        </is>
      </c>
      <c r="M95" s="5" t="inlineStr">
        <is>
          <t>2027.1Q</t>
        </is>
      </c>
      <c r="N95" s="5" t="inlineStr">
        <is>
          <t>2027.2Q</t>
        </is>
      </c>
      <c r="O95" s="5" t="inlineStr">
        <is>
          <t>2017</t>
        </is>
      </c>
      <c r="P95" s="5" t="inlineStr">
        <is>
          <t>2018</t>
        </is>
      </c>
      <c r="Q95" s="5" t="inlineStr">
        <is>
          <t>2019</t>
        </is>
      </c>
      <c r="R95" s="5" t="inlineStr">
        <is>
          <t>2020</t>
        </is>
      </c>
      <c r="S95" s="5" t="inlineStr">
        <is>
          <t>2021</t>
        </is>
      </c>
      <c r="T95" s="5" t="inlineStr">
        <is>
          <t>2022</t>
        </is>
      </c>
      <c r="U95" s="5" t="inlineStr">
        <is>
          <t>2023</t>
        </is>
      </c>
      <c r="V95" s="5" t="inlineStr">
        <is>
          <t>2024</t>
        </is>
      </c>
      <c r="W95" s="5" t="inlineStr">
        <is>
          <t>2025</t>
        </is>
      </c>
      <c r="X95" s="5" t="inlineStr">
        <is>
          <t>2026</t>
        </is>
      </c>
      <c r="Y95" s="5" t="inlineStr">
        <is>
          <t>2027(MW)</t>
        </is>
      </c>
      <c r="Z95" s="5" t="inlineStr">
        <is>
          <t>2028(MW)</t>
        </is>
      </c>
      <c r="AA95" s="5" t="inlineStr">
        <is>
          <t>2029(MW)</t>
        </is>
      </c>
      <c r="AB95" s="5" t="inlineStr">
        <is>
          <t>2030(MW)</t>
        </is>
      </c>
      <c r="AC95" s="5" t="inlineStr">
        <is>
          <t>2031(MW)</t>
        </is>
      </c>
    </row>
    <row r="96">
      <c r="A96" s="9" t="inlineStr">
        <is>
          <t>매출액</t>
        </is>
      </c>
      <c r="C96" s="12" t="n">
        <v>13306.798</v>
      </c>
      <c r="D96" s="12" t="n">
        <v>4870.407</v>
      </c>
      <c r="E96" s="12" t="n">
        <v>10976.4</v>
      </c>
      <c r="F96" s="12" t="n">
        <v>12198.763</v>
      </c>
      <c r="G96" s="12" t="n">
        <v>13943.097</v>
      </c>
      <c r="H96" s="12" t="n">
        <v>12346.856</v>
      </c>
      <c r="I96" s="12" t="n">
        <v>11170.441</v>
      </c>
      <c r="J96" s="12" t="n">
        <v>11603.944</v>
      </c>
      <c r="K96" s="12" t="n">
        <v>13502.794</v>
      </c>
      <c r="L96" s="12" t="n">
        <v>12334.442</v>
      </c>
      <c r="M96" s="12" t="n">
        <v>12132.436</v>
      </c>
      <c r="N96" s="12" t="n">
        <v>12858.24</v>
      </c>
      <c r="T96" s="12" t="n">
        <v>10605.804</v>
      </c>
      <c r="U96" s="12" t="n">
        <v>5243.521</v>
      </c>
      <c r="V96" s="12" t="n">
        <v>4870.407</v>
      </c>
      <c r="W96" s="12" t="n">
        <v>12346.856</v>
      </c>
      <c r="X96" s="12" t="n">
        <v>12334.442</v>
      </c>
    </row>
    <row r="97">
      <c r="A97" s="43" t="inlineStr">
        <is>
          <t>YoY</t>
        </is>
      </c>
      <c r="B97" s="3" t="inlineStr">
        <is>
          <t>전년 같은 분기·전년 대비</t>
        </is>
      </c>
      <c r="G97" s="15">
        <f>IF(OR(G96="",C96=""),"",IF(C96&lt;=0,"",IFERROR(G96/C96-1,"")))</f>
        <v/>
      </c>
      <c r="H97" s="15">
        <f>IF(OR(H96="",D96=""),"",IF(D96&lt;=0,"",IFERROR(H96/D96-1,"")))</f>
        <v/>
      </c>
      <c r="I97" s="15">
        <f>IF(OR(I96="",E96=""),"",IF(E96&lt;=0,"",IFERROR(I96/E96-1,"")))</f>
        <v/>
      </c>
      <c r="J97" s="15">
        <f>IF(OR(J96="",F96=""),"",IF(F96&lt;=0,"",IFERROR(J96/F96-1,"")))</f>
        <v/>
      </c>
      <c r="K97" s="15">
        <f>IF(OR(K96="",G96=""),"",IF(G96&lt;=0,"",IFERROR(K96/G96-1,"")))</f>
        <v/>
      </c>
      <c r="L97" s="15">
        <f>IF(OR(L96="",H96=""),"",IF(H96&lt;=0,"",IFERROR(L96/H96-1,"")))</f>
        <v/>
      </c>
      <c r="M97" s="15">
        <f>IF(OR(M96="",I96=""),"",IF(I96&lt;=0,"",IFERROR(M96/I96-1,"")))</f>
        <v/>
      </c>
      <c r="N97" s="15">
        <f>IF(OR(N96="",J96=""),"",IF(J96&lt;=0,"",IFERROR(N96/J96-1,"")))</f>
        <v/>
      </c>
      <c r="T97" s="15">
        <f>IF(OR(T96="",S96=""),"",IF(S96&lt;=0,"",IFERROR(T96/S96-1,"")))</f>
        <v/>
      </c>
      <c r="U97" s="15">
        <f>IF(OR(U96="",T96=""),"",IF(T96&lt;=0,"",IFERROR(U96/T96-1,"")))</f>
        <v/>
      </c>
      <c r="V97" s="15">
        <f>IF(OR(V96="",U96=""),"",IF(U96&lt;=0,"",IFERROR(V96/U96-1,"")))</f>
        <v/>
      </c>
      <c r="W97" s="15">
        <f>IF(OR(W96="",V96=""),"",IF(V96&lt;=0,"",IFERROR(W96/V96-1,"")))</f>
        <v/>
      </c>
      <c r="X97" s="15">
        <f>IF(OR(X96="",W96=""),"",IF(W96&lt;=0,"",IFERROR(X96/W96-1,"")))</f>
        <v/>
      </c>
    </row>
    <row r="98">
      <c r="A98" s="18" t="inlineStr">
        <is>
          <t>매출원가</t>
        </is>
      </c>
      <c r="C98" s="20" t="n">
        <v>10582.043</v>
      </c>
      <c r="D98" s="20" t="n">
        <v>4206.655</v>
      </c>
      <c r="E98" s="20" t="n">
        <v>8862.356</v>
      </c>
      <c r="F98" s="20" t="n">
        <v>9824.968999999999</v>
      </c>
      <c r="G98" s="20" t="n">
        <v>11038.413</v>
      </c>
      <c r="H98" s="20" t="n">
        <v>9949.373</v>
      </c>
      <c r="I98" s="20" t="n">
        <v>8997.276</v>
      </c>
      <c r="J98" s="20" t="n">
        <v>9333.35</v>
      </c>
      <c r="K98" s="20" t="n">
        <v>10652.95</v>
      </c>
      <c r="L98" s="20" t="n">
        <v>9926.538</v>
      </c>
      <c r="M98" s="20" t="n">
        <v>9804.666999999999</v>
      </c>
      <c r="N98" s="20" t="n">
        <v>10361.894</v>
      </c>
      <c r="T98" s="20" t="n">
        <v>8557.124</v>
      </c>
      <c r="U98" s="20" t="n">
        <v>4453.439</v>
      </c>
      <c r="V98" s="20" t="n">
        <v>4206.655</v>
      </c>
      <c r="W98" s="20" t="n">
        <v>9949.373</v>
      </c>
      <c r="X98" s="20" t="n">
        <v>9926.538</v>
      </c>
    </row>
    <row r="99">
      <c r="A99" s="43" t="inlineStr">
        <is>
          <t>YoY</t>
        </is>
      </c>
      <c r="B99" s="3" t="inlineStr">
        <is>
          <t>전년 같은 분기·전년 대비</t>
        </is>
      </c>
      <c r="G99" s="15">
        <f>IF(OR(G98="",C98=""),"",IF(G98*C98&lt;=0,"",IFERROR(G98/C98-1,"")))</f>
        <v/>
      </c>
      <c r="H99" s="15">
        <f>IF(OR(H98="",D98=""),"",IF(H98*D98&lt;=0,"",IFERROR(H98/D98-1,"")))</f>
        <v/>
      </c>
      <c r="I99" s="15">
        <f>IF(OR(I98="",E98=""),"",IF(I98*E98&lt;=0,"",IFERROR(I98/E98-1,"")))</f>
        <v/>
      </c>
      <c r="J99" s="15">
        <f>IF(OR(J98="",F98=""),"",IF(J98*F98&lt;=0,"",IFERROR(J98/F98-1,"")))</f>
        <v/>
      </c>
      <c r="K99" s="15">
        <f>IF(OR(K98="",G98=""),"",IF(K98*G98&lt;=0,"",IFERROR(K98/G98-1,"")))</f>
        <v/>
      </c>
      <c r="L99" s="15">
        <f>IF(OR(L98="",H98=""),"",IF(L98*H98&lt;=0,"",IFERROR(L98/H98-1,"")))</f>
        <v/>
      </c>
      <c r="M99" s="15">
        <f>IF(OR(M98="",I98=""),"",IF(M98*I98&lt;=0,"",IFERROR(M98/I98-1,"")))</f>
        <v/>
      </c>
      <c r="N99" s="15">
        <f>IF(OR(N98="",J98=""),"",IF(N98*J98&lt;=0,"",IFERROR(N98/J98-1,"")))</f>
        <v/>
      </c>
      <c r="T99" s="15">
        <f>IF(OR(T98="",S98=""),"",IF(T98*S98&lt;=0,"",IFERROR(T98/S98-1,"")))</f>
        <v/>
      </c>
      <c r="U99" s="15">
        <f>IF(OR(U98="",T98=""),"",IF(U98*T98&lt;=0,"",IFERROR(U98/T98-1,"")))</f>
        <v/>
      </c>
      <c r="V99" s="15">
        <f>IF(OR(V98="",U98=""),"",IF(V98*U98&lt;=0,"",IFERROR(V98/U98-1,"")))</f>
        <v/>
      </c>
      <c r="W99" s="15">
        <f>IF(OR(W98="",V98=""),"",IF(W98*V98&lt;=0,"",IFERROR(W98/V98-1,"")))</f>
        <v/>
      </c>
      <c r="X99" s="15">
        <f>IF(OR(X98="",W98=""),"",IF(X98*W98&lt;=0,"",IFERROR(X98/W98-1,"")))</f>
        <v/>
      </c>
    </row>
    <row r="100">
      <c r="A100" s="9" t="inlineStr">
        <is>
          <t>매출총이익</t>
        </is>
      </c>
      <c r="C100" s="12" t="n">
        <v>2724.755</v>
      </c>
      <c r="D100" s="12" t="n">
        <v>663.753</v>
      </c>
      <c r="E100" s="12" t="n">
        <v>2114.043</v>
      </c>
      <c r="F100" s="12" t="n">
        <v>2373.795</v>
      </c>
      <c r="G100" s="12" t="n">
        <v>2904.683</v>
      </c>
      <c r="H100" s="12" t="n">
        <v>2397.483</v>
      </c>
      <c r="I100" s="12" t="n">
        <v>2173.165</v>
      </c>
      <c r="J100" s="12" t="n">
        <v>2270.594</v>
      </c>
      <c r="K100" s="12" t="n">
        <v>2849.843</v>
      </c>
      <c r="L100" s="12" t="n">
        <v>2407.904</v>
      </c>
      <c r="M100" s="12" t="n">
        <v>2327.768</v>
      </c>
      <c r="N100" s="12" t="n">
        <v>2496.347</v>
      </c>
      <c r="T100" s="12" t="n">
        <v>2048.68</v>
      </c>
      <c r="U100" s="12" t="n">
        <v>790.081</v>
      </c>
      <c r="V100" s="12" t="n">
        <v>663.753</v>
      </c>
      <c r="W100" s="12" t="n">
        <v>2397.483</v>
      </c>
      <c r="X100" s="12" t="n">
        <v>2407.904</v>
      </c>
    </row>
    <row r="101">
      <c r="A101" s="43" t="inlineStr">
        <is>
          <t>YoY</t>
        </is>
      </c>
      <c r="B101" s="3" t="inlineStr">
        <is>
          <t>전년 같은 분기·전년 대비</t>
        </is>
      </c>
      <c r="G101" s="15">
        <f>IF(OR(G100="",C100=""),"",IF(C100&lt;=0,"",IFERROR(G100/C100-1,"")))</f>
        <v/>
      </c>
      <c r="H101" s="15">
        <f>IF(OR(H100="",D100=""),"",IF(D100&lt;=0,"",IFERROR(H100/D100-1,"")))</f>
        <v/>
      </c>
      <c r="I101" s="15">
        <f>IF(OR(I100="",E100=""),"",IF(E100&lt;=0,"",IFERROR(I100/E100-1,"")))</f>
        <v/>
      </c>
      <c r="J101" s="15">
        <f>IF(OR(J100="",F100=""),"",IF(F100&lt;=0,"",IFERROR(J100/F100-1,"")))</f>
        <v/>
      </c>
      <c r="K101" s="15">
        <f>IF(OR(K100="",G100=""),"",IF(G100&lt;=0,"",IFERROR(K100/G100-1,"")))</f>
        <v/>
      </c>
      <c r="L101" s="15">
        <f>IF(OR(L100="",H100=""),"",IF(H100&lt;=0,"",IFERROR(L100/H100-1,"")))</f>
        <v/>
      </c>
      <c r="M101" s="15">
        <f>IF(OR(M100="",I100=""),"",IF(I100&lt;=0,"",IFERROR(M100/I100-1,"")))</f>
        <v/>
      </c>
      <c r="N101" s="15">
        <f>IF(OR(N100="",J100=""),"",IF(J100&lt;=0,"",IFERROR(N100/J100-1,"")))</f>
        <v/>
      </c>
      <c r="T101" s="15">
        <f>IF(OR(T100="",S100=""),"",IF(S100&lt;=0,"",IFERROR(T100/S100-1,"")))</f>
        <v/>
      </c>
      <c r="U101" s="15">
        <f>IF(OR(U100="",T100=""),"",IF(T100&lt;=0,"",IFERROR(U100/T100-1,"")))</f>
        <v/>
      </c>
      <c r="V101" s="15">
        <f>IF(OR(V100="",U100=""),"",IF(U100&lt;=0,"",IFERROR(V100/U100-1,"")))</f>
        <v/>
      </c>
      <c r="W101" s="15">
        <f>IF(OR(W100="",V100=""),"",IF(V100&lt;=0,"",IFERROR(W100/V100-1,"")))</f>
        <v/>
      </c>
      <c r="X101" s="15">
        <f>IF(OR(X100="",W100=""),"",IF(W100&lt;=0,"",IFERROR(X100/W100-1,"")))</f>
        <v/>
      </c>
    </row>
    <row r="102">
      <c r="A102" s="18" t="inlineStr">
        <is>
          <t>판매비와 관리비</t>
        </is>
      </c>
      <c r="C102" s="20" t="n">
        <v>1748.996</v>
      </c>
      <c r="D102" s="20" t="n">
        <v>846.645</v>
      </c>
      <c r="E102" s="20" t="n">
        <v>1738.8</v>
      </c>
      <c r="F102" s="20" t="n">
        <v>1844.162</v>
      </c>
      <c r="G102" s="20" t="n">
        <v>1743.316</v>
      </c>
      <c r="H102" s="20" t="n">
        <v>2067.964</v>
      </c>
      <c r="I102" s="20" t="n">
        <v>1896.179</v>
      </c>
      <c r="J102" s="20" t="n">
        <v>1895.583</v>
      </c>
      <c r="K102" s="20" t="n">
        <v>1900.035</v>
      </c>
      <c r="L102" s="20" t="n">
        <v>1961.937</v>
      </c>
      <c r="M102" s="20" t="n">
        <v>1840.711</v>
      </c>
      <c r="N102" s="20" t="n">
        <v>1960.305</v>
      </c>
      <c r="T102" s="20" t="n">
        <v>1597.519</v>
      </c>
      <c r="U102" s="20" t="n">
        <v>785.623</v>
      </c>
      <c r="V102" s="20" t="n">
        <v>846.645</v>
      </c>
      <c r="W102" s="20" t="n">
        <v>2067.964</v>
      </c>
      <c r="X102" s="20" t="n">
        <v>1961.937</v>
      </c>
    </row>
    <row r="103">
      <c r="A103" s="43" t="inlineStr">
        <is>
          <t>YoY</t>
        </is>
      </c>
      <c r="B103" s="3" t="inlineStr">
        <is>
          <t>전년 같은 분기·전년 대비</t>
        </is>
      </c>
      <c r="G103" s="15">
        <f>IF(OR(G102="",C102=""),"",IF(G102*C102&lt;=0,"",IFERROR(G102/C102-1,"")))</f>
        <v/>
      </c>
      <c r="H103" s="15">
        <f>IF(OR(H102="",D102=""),"",IF(H102*D102&lt;=0,"",IFERROR(H102/D102-1,"")))</f>
        <v/>
      </c>
      <c r="I103" s="15">
        <f>IF(OR(I102="",E102=""),"",IF(I102*E102&lt;=0,"",IFERROR(I102/E102-1,"")))</f>
        <v/>
      </c>
      <c r="J103" s="15">
        <f>IF(OR(J102="",F102=""),"",IF(J102*F102&lt;=0,"",IFERROR(J102/F102-1,"")))</f>
        <v/>
      </c>
      <c r="K103" s="15">
        <f>IF(OR(K102="",G102=""),"",IF(K102*G102&lt;=0,"",IFERROR(K102/G102-1,"")))</f>
        <v/>
      </c>
      <c r="L103" s="15">
        <f>IF(OR(L102="",H102=""),"",IF(L102*H102&lt;=0,"",IFERROR(L102/H102-1,"")))</f>
        <v/>
      </c>
      <c r="M103" s="15">
        <f>IF(OR(M102="",I102=""),"",IF(M102*I102&lt;=0,"",IFERROR(M102/I102-1,"")))</f>
        <v/>
      </c>
      <c r="N103" s="15">
        <f>IF(OR(N102="",J102=""),"",IF(N102*J102&lt;=0,"",IFERROR(N102/J102-1,"")))</f>
        <v/>
      </c>
      <c r="T103" s="15">
        <f>IF(OR(T102="",S102=""),"",IF(T102*S102&lt;=0,"",IFERROR(T102/S102-1,"")))</f>
        <v/>
      </c>
      <c r="U103" s="15">
        <f>IF(OR(U102="",T102=""),"",IF(U102*T102&lt;=0,"",IFERROR(U102/T102-1,"")))</f>
        <v/>
      </c>
      <c r="V103" s="15">
        <f>IF(OR(V102="",U102=""),"",IF(V102*U102&lt;=0,"",IFERROR(V102/U102-1,"")))</f>
        <v/>
      </c>
      <c r="W103" s="15">
        <f>IF(OR(W102="",V102=""),"",IF(W102*V102&lt;=0,"",IFERROR(W102/V102-1,"")))</f>
        <v/>
      </c>
      <c r="X103" s="15">
        <f>IF(OR(X102="",W102=""),"",IF(X102*W102&lt;=0,"",IFERROR(X102/W102-1,"")))</f>
        <v/>
      </c>
    </row>
    <row r="104">
      <c r="A104" s="9" t="inlineStr">
        <is>
          <t>영업이익</t>
        </is>
      </c>
      <c r="C104" s="12" t="n">
        <v>975.76</v>
      </c>
      <c r="D104" s="12" t="n">
        <v>-182.892</v>
      </c>
      <c r="E104" s="12" t="n">
        <v>375.243</v>
      </c>
      <c r="F104" s="12" t="n">
        <v>529.633</v>
      </c>
      <c r="G104" s="12" t="n">
        <v>1161.367</v>
      </c>
      <c r="H104" s="12" t="n">
        <v>329.519</v>
      </c>
      <c r="I104" s="12" t="n">
        <v>276.986</v>
      </c>
      <c r="J104" s="12" t="n">
        <v>375.01</v>
      </c>
      <c r="K104" s="12" t="n">
        <v>949.809</v>
      </c>
      <c r="L104" s="12" t="n">
        <v>445.967</v>
      </c>
      <c r="M104" s="12" t="n">
        <v>487.057</v>
      </c>
      <c r="N104" s="12" t="n">
        <v>536.042</v>
      </c>
      <c r="T104" s="12" t="n">
        <v>451.161</v>
      </c>
      <c r="U104" s="12" t="n">
        <v>4.458</v>
      </c>
      <c r="V104" s="12" t="n">
        <v>-182.892</v>
      </c>
      <c r="W104" s="12" t="n">
        <v>329.519</v>
      </c>
      <c r="X104" s="12" t="n">
        <v>445.967</v>
      </c>
    </row>
    <row r="105">
      <c r="A105" s="43" t="inlineStr">
        <is>
          <t>OPM</t>
        </is>
      </c>
      <c r="B105" s="3" t="inlineStr">
        <is>
          <t>영업이익 ÷ 매출</t>
        </is>
      </c>
      <c r="C105" s="15">
        <f>IF(OR(C104="",C96=""),"",IF(C96&lt;=0,"",IFERROR(C104/C96,"")))</f>
        <v/>
      </c>
      <c r="D105" s="15">
        <f>IF(OR(D104="",D96=""),"",IF(D96&lt;=0,"",IFERROR(D104/D96,"")))</f>
        <v/>
      </c>
      <c r="E105" s="15">
        <f>IF(OR(E104="",E96=""),"",IF(E96&lt;=0,"",IFERROR(E104/E96,"")))</f>
        <v/>
      </c>
      <c r="F105" s="15">
        <f>IF(OR(F104="",F96=""),"",IF(F96&lt;=0,"",IFERROR(F104/F96,"")))</f>
        <v/>
      </c>
      <c r="G105" s="15">
        <f>IF(OR(G104="",G96=""),"",IF(G96&lt;=0,"",IFERROR(G104/G96,"")))</f>
        <v/>
      </c>
      <c r="H105" s="15">
        <f>IF(OR(H104="",H96=""),"",IF(H96&lt;=0,"",IFERROR(H104/H96,"")))</f>
        <v/>
      </c>
      <c r="I105" s="15">
        <f>IF(OR(I104="",I96=""),"",IF(I96&lt;=0,"",IFERROR(I104/I96,"")))</f>
        <v/>
      </c>
      <c r="J105" s="15">
        <f>IF(OR(J104="",J96=""),"",IF(J96&lt;=0,"",IFERROR(J104/J96,"")))</f>
        <v/>
      </c>
      <c r="K105" s="15">
        <f>IF(OR(K104="",K96=""),"",IF(K96&lt;=0,"",IFERROR(K104/K96,"")))</f>
        <v/>
      </c>
      <c r="L105" s="15">
        <f>IF(OR(L104="",L96=""),"",IF(L96&lt;=0,"",IFERROR(L104/L96,"")))</f>
        <v/>
      </c>
      <c r="M105" s="15">
        <f>IF(OR(M104="",M96=""),"",IF(M96&lt;=0,"",IFERROR(M104/M96,"")))</f>
        <v/>
      </c>
      <c r="N105" s="15">
        <f>IF(OR(N104="",N96=""),"",IF(N96&lt;=0,"",IFERROR(N104/N96,"")))</f>
        <v/>
      </c>
      <c r="T105" s="15">
        <f>IF(OR(T104="",T96=""),"",IF(T96&lt;=0,"",IFERROR(T104/T96,"")))</f>
        <v/>
      </c>
      <c r="U105" s="15">
        <f>IF(OR(U104="",U96=""),"",IF(U96&lt;=0,"",IFERROR(U104/U96,"")))</f>
        <v/>
      </c>
      <c r="V105" s="15">
        <f>IF(OR(V104="",V96=""),"",IF(V96&lt;=0,"",IFERROR(V104/V96,"")))</f>
        <v/>
      </c>
      <c r="W105" s="15">
        <f>IF(OR(W104="",W96=""),"",IF(W96&lt;=0,"",IFERROR(W104/W96,"")))</f>
        <v/>
      </c>
      <c r="X105" s="15">
        <f>IF(OR(X104="",X96=""),"",IF(X96&lt;=0,"",IFERROR(X104/X96,"")))</f>
        <v/>
      </c>
    </row>
    <row r="106">
      <c r="A106" s="43" t="inlineStr">
        <is>
          <t>YoY</t>
        </is>
      </c>
      <c r="B106" s="3" t="inlineStr">
        <is>
          <t>전년 같은 분기·전년 대비</t>
        </is>
      </c>
      <c r="G106" s="15">
        <f>IF(OR(G104="",C104=""),"",IF(C104&lt;=0,"",IFERROR(G104/C104-1,"")))</f>
        <v/>
      </c>
      <c r="H106" s="15">
        <f>IF(OR(H104="",D104=""),"",IF(D104&lt;=0,"",IFERROR(H104/D104-1,"")))</f>
        <v/>
      </c>
      <c r="I106" s="15">
        <f>IF(OR(I104="",E104=""),"",IF(E104&lt;=0,"",IFERROR(I104/E104-1,"")))</f>
        <v/>
      </c>
      <c r="J106" s="15">
        <f>IF(OR(J104="",F104=""),"",IF(F104&lt;=0,"",IFERROR(J104/F104-1,"")))</f>
        <v/>
      </c>
      <c r="K106" s="15">
        <f>IF(OR(K104="",G104=""),"",IF(G104&lt;=0,"",IFERROR(K104/G104-1,"")))</f>
        <v/>
      </c>
      <c r="L106" s="15">
        <f>IF(OR(L104="",H104=""),"",IF(H104&lt;=0,"",IFERROR(L104/H104-1,"")))</f>
        <v/>
      </c>
      <c r="M106" s="15">
        <f>IF(OR(M104="",I104=""),"",IF(I104&lt;=0,"",IFERROR(M104/I104-1,"")))</f>
        <v/>
      </c>
      <c r="N106" s="15">
        <f>IF(OR(N104="",J104=""),"",IF(J104&lt;=0,"",IFERROR(N104/J104-1,"")))</f>
        <v/>
      </c>
      <c r="T106" s="15">
        <f>IF(OR(T104="",S104=""),"",IF(S104&lt;=0,"",IFERROR(T104/S104-1,"")))</f>
        <v/>
      </c>
      <c r="U106" s="15">
        <f>IF(OR(U104="",T104=""),"",IF(T104&lt;=0,"",IFERROR(U104/T104-1,"")))</f>
        <v/>
      </c>
      <c r="V106" s="15">
        <f>IF(OR(V104="",U104=""),"",IF(U104&lt;=0,"",IFERROR(V104/U104-1,"")))</f>
        <v/>
      </c>
      <c r="W106" s="15">
        <f>IF(OR(W104="",V104=""),"",IF(V104&lt;=0,"",IFERROR(W104/V104-1,"")))</f>
        <v/>
      </c>
      <c r="X106" s="15">
        <f>IF(OR(X104="",W104=""),"",IF(W104&lt;=0,"",IFERROR(X104/W104-1,"")))</f>
        <v/>
      </c>
    </row>
    <row r="107">
      <c r="A107" s="18" t="inlineStr">
        <is>
          <t>이자수익</t>
        </is>
      </c>
      <c r="C107" s="20" t="n">
        <v>0.124</v>
      </c>
      <c r="D107" s="20" t="n">
        <v>0.224</v>
      </c>
      <c r="E107" s="20" t="n">
        <v>0.228</v>
      </c>
      <c r="F107" s="20" t="n">
        <v>0.346</v>
      </c>
      <c r="G107" s="20" t="n">
        <v>0.551</v>
      </c>
      <c r="H107" s="20" t="n">
        <v>0.776</v>
      </c>
      <c r="I107" s="20" t="n">
        <v>0.886</v>
      </c>
      <c r="J107" s="20" t="n">
        <v>1.375</v>
      </c>
      <c r="K107" s="20" t="n">
        <v>1.491</v>
      </c>
      <c r="L107" s="20" t="n">
        <v>1.326</v>
      </c>
      <c r="M107" s="20" t="n">
        <v>1.695</v>
      </c>
      <c r="N107" s="20" t="n">
        <v>1.947</v>
      </c>
      <c r="T107" s="20" t="n">
        <v>0.184</v>
      </c>
      <c r="U107" s="20" t="n">
        <v>0.191</v>
      </c>
      <c r="V107" s="20" t="n">
        <v>0.224</v>
      </c>
      <c r="W107" s="20" t="n">
        <v>0.776</v>
      </c>
      <c r="X107" s="20" t="n">
        <v>1.326</v>
      </c>
    </row>
    <row r="108">
      <c r="A108" s="18" t="inlineStr">
        <is>
          <t>배당금수익</t>
        </is>
      </c>
      <c r="C108" s="20" t="n">
        <v>8.234999999999999</v>
      </c>
      <c r="D108" s="20" t="n">
        <v>18.222</v>
      </c>
      <c r="E108" s="20" t="n">
        <v>7.635</v>
      </c>
      <c r="F108" s="20" t="n">
        <v>38.16</v>
      </c>
      <c r="G108" s="20" t="n">
        <v>9.050000000000001</v>
      </c>
      <c r="H108" s="20" t="n">
        <v>40.162</v>
      </c>
      <c r="I108" s="20" t="n">
        <v>11.911</v>
      </c>
      <c r="J108" s="20" t="n">
        <v>47.705</v>
      </c>
      <c r="K108" s="20" t="n">
        <v>8.387</v>
      </c>
      <c r="L108" s="20" t="n">
        <v>39.977</v>
      </c>
      <c r="M108" s="20" t="n">
        <v>16.316</v>
      </c>
      <c r="N108" s="20" t="n">
        <v>52.321</v>
      </c>
      <c r="T108" s="20" t="n">
        <v>25.1</v>
      </c>
      <c r="U108" s="20" t="n">
        <v>18.733</v>
      </c>
      <c r="V108" s="20" t="n">
        <v>18.222</v>
      </c>
      <c r="W108" s="20" t="n">
        <v>40.162</v>
      </c>
      <c r="X108" s="20" t="n">
        <v>39.977</v>
      </c>
    </row>
    <row r="109">
      <c r="A109" s="18" t="inlineStr">
        <is>
          <t>매입할인</t>
        </is>
      </c>
      <c r="C109" s="20" t="n">
        <v>70.533</v>
      </c>
      <c r="D109" s="20" t="n">
        <v>24.024</v>
      </c>
      <c r="E109" s="20" t="n">
        <v>69.63</v>
      </c>
      <c r="F109" s="20" t="n">
        <v>70.27200000000001</v>
      </c>
      <c r="G109" s="20" t="n">
        <v>72.979</v>
      </c>
      <c r="H109" s="20" t="n">
        <v>77.238</v>
      </c>
      <c r="I109" s="20" t="n">
        <v>71.26900000000001</v>
      </c>
      <c r="J109" s="20" t="n">
        <v>65.23399999999999</v>
      </c>
      <c r="K109" s="20" t="n">
        <v>67.01300000000001</v>
      </c>
      <c r="L109" s="20" t="n">
        <v>75.816</v>
      </c>
      <c r="M109" s="20" t="n">
        <v>72.12</v>
      </c>
      <c r="N109" s="20" t="n">
        <v>72.919</v>
      </c>
      <c r="T109" s="20" t="n">
        <v>72.523</v>
      </c>
      <c r="U109" s="20" t="n">
        <v>26.88</v>
      </c>
      <c r="V109" s="20" t="n">
        <v>24.024</v>
      </c>
      <c r="W109" s="20" t="n">
        <v>77.238</v>
      </c>
      <c r="X109" s="20" t="n">
        <v>75.816</v>
      </c>
    </row>
    <row r="110">
      <c r="A110" s="18" t="inlineStr">
        <is>
          <t>부동산 임대료</t>
        </is>
      </c>
      <c r="C110" s="20" t="n">
        <v>27.118</v>
      </c>
      <c r="D110" s="20" t="n">
        <v>27.305</v>
      </c>
      <c r="E110" s="20" t="n">
        <v>29.287</v>
      </c>
      <c r="F110" s="20" t="n">
        <v>30.567</v>
      </c>
      <c r="G110" s="20" t="n">
        <v>28.901</v>
      </c>
      <c r="H110" s="20" t="n">
        <v>29.168</v>
      </c>
      <c r="I110" s="20" t="n">
        <v>32.091</v>
      </c>
      <c r="J110" s="20" t="n">
        <v>37.826</v>
      </c>
      <c r="K110" s="20" t="n">
        <v>34.613</v>
      </c>
      <c r="L110" s="20" t="n">
        <v>33.494</v>
      </c>
      <c r="M110" s="20" t="n">
        <v>37.422</v>
      </c>
      <c r="N110" s="20" t="n">
        <v>38.091</v>
      </c>
      <c r="T110" s="20" t="n">
        <v>24.396</v>
      </c>
      <c r="U110" s="20" t="n">
        <v>25.739</v>
      </c>
      <c r="V110" s="20" t="n">
        <v>27.305</v>
      </c>
      <c r="W110" s="20" t="n">
        <v>29.168</v>
      </c>
      <c r="X110" s="20" t="n">
        <v>33.494</v>
      </c>
    </row>
    <row r="111">
      <c r="A111" s="18" t="inlineStr">
        <is>
          <t>보험 해약환급금</t>
        </is>
      </c>
      <c r="E111" s="20" t="n">
        <v>0</v>
      </c>
    </row>
    <row r="112">
      <c r="A112" s="18" t="inlineStr">
        <is>
          <t>기타</t>
        </is>
      </c>
      <c r="C112" s="20" t="n">
        <v>6.659</v>
      </c>
      <c r="D112" s="20" t="n">
        <v>-46.19</v>
      </c>
      <c r="E112" s="20" t="n">
        <v>2.877</v>
      </c>
      <c r="F112" s="20" t="n">
        <v>4.368</v>
      </c>
      <c r="G112" s="20" t="n">
        <v>5.3</v>
      </c>
      <c r="H112" s="20" t="n">
        <v>43.394</v>
      </c>
      <c r="I112" s="20" t="n">
        <v>11.284</v>
      </c>
      <c r="J112" s="20" t="n">
        <v>1.886</v>
      </c>
      <c r="K112" s="20" t="n">
        <v>2.583</v>
      </c>
      <c r="L112" s="20" t="n">
        <v>8.834</v>
      </c>
      <c r="M112" s="20" t="n">
        <v>6.671</v>
      </c>
      <c r="N112" s="20" t="n">
        <v>3.193</v>
      </c>
      <c r="T112" s="20" t="n">
        <v>13.062</v>
      </c>
      <c r="U112" s="20" t="n">
        <v>5.535</v>
      </c>
      <c r="V112" s="20" t="n">
        <v>-46.19</v>
      </c>
      <c r="W112" s="20" t="n">
        <v>43.394</v>
      </c>
      <c r="X112" s="20" t="n">
        <v>8.834</v>
      </c>
    </row>
    <row r="113">
      <c r="A113" s="18" t="inlineStr">
        <is>
          <t>영업외수익 합계</t>
        </is>
      </c>
      <c r="C113" s="20" t="n">
        <v>112.669</v>
      </c>
      <c r="D113" s="20" t="n">
        <v>23.584</v>
      </c>
      <c r="E113" s="20" t="n">
        <v>109.66</v>
      </c>
      <c r="F113" s="20" t="n">
        <v>143.712</v>
      </c>
      <c r="G113" s="20" t="n">
        <v>116.781</v>
      </c>
      <c r="H113" s="20" t="n">
        <v>190.738</v>
      </c>
      <c r="I113" s="20" t="n">
        <v>127.443</v>
      </c>
      <c r="J113" s="20" t="n">
        <v>154.025</v>
      </c>
      <c r="K113" s="20" t="n">
        <v>114.089</v>
      </c>
      <c r="L113" s="20" t="n">
        <v>159.446</v>
      </c>
      <c r="M113" s="20" t="n">
        <v>134.226</v>
      </c>
      <c r="N113" s="20" t="n">
        <v>168.471</v>
      </c>
      <c r="T113" s="20" t="n">
        <v>135.266</v>
      </c>
      <c r="U113" s="20" t="n">
        <v>77.077</v>
      </c>
      <c r="V113" s="20" t="n">
        <v>23.584</v>
      </c>
      <c r="W113" s="20" t="n">
        <v>190.738</v>
      </c>
      <c r="X113" s="20" t="n">
        <v>159.446</v>
      </c>
    </row>
    <row r="114">
      <c r="A114" s="43" t="inlineStr">
        <is>
          <t>YoY</t>
        </is>
      </c>
      <c r="B114" s="3" t="inlineStr">
        <is>
          <t>전년 같은 분기·전년 대비</t>
        </is>
      </c>
      <c r="G114" s="15">
        <f>IF(OR(G113="",C113=""),"",IF(G113*C113&lt;=0,"",IFERROR(G113/C113-1,"")))</f>
        <v/>
      </c>
      <c r="H114" s="15">
        <f>IF(OR(H113="",D113=""),"",IF(H113*D113&lt;=0,"",IFERROR(H113/D113-1,"")))</f>
        <v/>
      </c>
      <c r="I114" s="15">
        <f>IF(OR(I113="",E113=""),"",IF(I113*E113&lt;=0,"",IFERROR(I113/E113-1,"")))</f>
        <v/>
      </c>
      <c r="J114" s="15">
        <f>IF(OR(J113="",F113=""),"",IF(J113*F113&lt;=0,"",IFERROR(J113/F113-1,"")))</f>
        <v/>
      </c>
      <c r="K114" s="15">
        <f>IF(OR(K113="",G113=""),"",IF(K113*G113&lt;=0,"",IFERROR(K113/G113-1,"")))</f>
        <v/>
      </c>
      <c r="L114" s="15">
        <f>IF(OR(L113="",H113=""),"",IF(L113*H113&lt;=0,"",IFERROR(L113/H113-1,"")))</f>
        <v/>
      </c>
      <c r="M114" s="15">
        <f>IF(OR(M113="",I113=""),"",IF(M113*I113&lt;=0,"",IFERROR(M113/I113-1,"")))</f>
        <v/>
      </c>
      <c r="N114" s="15">
        <f>IF(OR(N113="",J113=""),"",IF(N113*J113&lt;=0,"",IFERROR(N113/J113-1,"")))</f>
        <v/>
      </c>
      <c r="T114" s="15">
        <f>IF(OR(T113="",S113=""),"",IF(T113*S113&lt;=0,"",IFERROR(T113/S113-1,"")))</f>
        <v/>
      </c>
      <c r="U114" s="15">
        <f>IF(OR(U113="",T113=""),"",IF(U113*T113&lt;=0,"",IFERROR(U113/T113-1,"")))</f>
        <v/>
      </c>
      <c r="V114" s="15">
        <f>IF(OR(V113="",U113=""),"",IF(V113*U113&lt;=0,"",IFERROR(V113/U113-1,"")))</f>
        <v/>
      </c>
      <c r="W114" s="15">
        <f>IF(OR(W113="",V113=""),"",IF(W113*V113&lt;=0,"",IFERROR(W113/V113-1,"")))</f>
        <v/>
      </c>
      <c r="X114" s="15">
        <f>IF(OR(X113="",W113=""),"",IF(X113*W113&lt;=0,"",IFERROR(X113/W113-1,"")))</f>
        <v/>
      </c>
    </row>
    <row r="115">
      <c r="A115" s="18" t="inlineStr">
        <is>
          <t>이자비용</t>
        </is>
      </c>
      <c r="C115" s="20" t="n">
        <v>0.26</v>
      </c>
      <c r="D115" s="20" t="n">
        <v>0.251</v>
      </c>
      <c r="E115" s="20" t="n">
        <v>0.231</v>
      </c>
      <c r="F115" s="20" t="n">
        <v>0.228</v>
      </c>
      <c r="G115" s="20" t="n">
        <v>0.248</v>
      </c>
      <c r="H115" s="20" t="n">
        <v>1.272</v>
      </c>
      <c r="I115" s="20" t="n">
        <v>2.016</v>
      </c>
      <c r="J115" s="20" t="n">
        <v>4.449</v>
      </c>
      <c r="K115" s="20" t="n">
        <v>4.6</v>
      </c>
      <c r="L115" s="20" t="n">
        <v>6.647</v>
      </c>
      <c r="M115" s="20" t="n">
        <v>6.265</v>
      </c>
      <c r="N115" s="20" t="n">
        <v>7.895</v>
      </c>
      <c r="T115" s="20" t="n">
        <v>0.394</v>
      </c>
      <c r="U115" s="20" t="n">
        <v>0.414</v>
      </c>
      <c r="V115" s="20" t="n">
        <v>0.251</v>
      </c>
      <c r="W115" s="20" t="n">
        <v>1.272</v>
      </c>
      <c r="X115" s="20" t="n">
        <v>6.647</v>
      </c>
    </row>
    <row r="116">
      <c r="A116" s="18" t="inlineStr">
        <is>
          <t>자기주식 취득비용</t>
        </is>
      </c>
      <c r="C116" s="20" t="n">
        <v>0</v>
      </c>
      <c r="D116" s="20" t="n">
        <v>0</v>
      </c>
      <c r="E116" s="20" t="n">
        <v>2.33</v>
      </c>
      <c r="F116" s="20" t="n">
        <v>8.484</v>
      </c>
      <c r="G116" s="20" t="n">
        <v>3.022</v>
      </c>
      <c r="H116" s="20" t="n">
        <v>0</v>
      </c>
      <c r="I116" s="20" t="n">
        <v>10.475</v>
      </c>
      <c r="J116" s="20" t="n">
        <v>10.472</v>
      </c>
      <c r="K116" s="20" t="n">
        <v>6.051</v>
      </c>
      <c r="L116" s="20" t="n">
        <v>0</v>
      </c>
      <c r="M116" s="20" t="n">
        <v>0</v>
      </c>
      <c r="N116" s="20" t="n">
        <v>0</v>
      </c>
      <c r="T116" s="20" t="n">
        <v>0</v>
      </c>
      <c r="U116" s="20" t="n">
        <v>0</v>
      </c>
      <c r="V116" s="20" t="n">
        <v>0</v>
      </c>
      <c r="W116" s="20" t="n">
        <v>0</v>
      </c>
      <c r="X116" s="20" t="n">
        <v>0</v>
      </c>
    </row>
    <row r="117">
      <c r="A117" s="18" t="inlineStr">
        <is>
          <t>기타</t>
        </is>
      </c>
      <c r="C117" s="20" t="n">
        <v>-0.238</v>
      </c>
      <c r="D117" s="20" t="n">
        <v>-0.502</v>
      </c>
      <c r="E117" s="20" t="n">
        <v>2.153</v>
      </c>
      <c r="F117" s="20" t="n">
        <v>0.169</v>
      </c>
      <c r="G117" s="20" t="n">
        <v>6.878</v>
      </c>
      <c r="H117" s="20" t="n">
        <v>25.059</v>
      </c>
      <c r="I117" s="20" t="n">
        <v>3.063</v>
      </c>
      <c r="J117" s="20" t="n">
        <v>-2.322</v>
      </c>
      <c r="K117" s="20" t="n">
        <v>7.347</v>
      </c>
      <c r="L117" s="20" t="n">
        <v>-0.672</v>
      </c>
      <c r="M117" s="20" t="n">
        <v>0.421</v>
      </c>
      <c r="N117" s="20" t="n">
        <v>0.064</v>
      </c>
      <c r="T117" s="20" t="n">
        <v>2.051</v>
      </c>
      <c r="U117" s="20" t="n">
        <v>-1.68</v>
      </c>
      <c r="V117" s="20" t="n">
        <v>-0.502</v>
      </c>
      <c r="W117" s="20" t="n">
        <v>25.059</v>
      </c>
      <c r="X117" s="20" t="n">
        <v>-0.672</v>
      </c>
    </row>
    <row r="118">
      <c r="A118" s="18" t="inlineStr">
        <is>
          <t>영업외비용 합계</t>
        </is>
      </c>
      <c r="C118" s="20" t="n">
        <v>0.022</v>
      </c>
      <c r="D118" s="20" t="n">
        <v>-0.252</v>
      </c>
      <c r="E118" s="20" t="n">
        <v>4.715</v>
      </c>
      <c r="F118" s="20" t="n">
        <v>8.881</v>
      </c>
      <c r="G118" s="20" t="n">
        <v>10.148</v>
      </c>
      <c r="H118" s="20" t="n">
        <v>26.33</v>
      </c>
      <c r="I118" s="20" t="n">
        <v>15.555</v>
      </c>
      <c r="J118" s="20" t="n">
        <v>12.599</v>
      </c>
      <c r="K118" s="20" t="n">
        <v>17.999</v>
      </c>
      <c r="L118" s="20" t="n">
        <v>5.975</v>
      </c>
      <c r="M118" s="20" t="n">
        <v>6.687</v>
      </c>
      <c r="N118" s="20" t="n">
        <v>7.958</v>
      </c>
      <c r="T118" s="20" t="n">
        <v>2.445</v>
      </c>
      <c r="U118" s="20" t="n">
        <v>-1.265</v>
      </c>
      <c r="V118" s="20" t="n">
        <v>-0.252</v>
      </c>
      <c r="W118" s="20" t="n">
        <v>26.33</v>
      </c>
      <c r="X118" s="20" t="n">
        <v>5.975</v>
      </c>
    </row>
    <row r="119">
      <c r="A119" s="43" t="inlineStr">
        <is>
          <t>YoY</t>
        </is>
      </c>
      <c r="B119" s="3" t="inlineStr">
        <is>
          <t>전년 같은 분기·전년 대비</t>
        </is>
      </c>
      <c r="G119" s="15">
        <f>IF(OR(G118="",C118=""),"",IF(G118*C118&lt;=0,"",IFERROR(G118/C118-1,"")))</f>
        <v/>
      </c>
      <c r="H119" s="15">
        <f>IF(OR(H118="",D118=""),"",IF(H118*D118&lt;=0,"",IFERROR(H118/D118-1,"")))</f>
        <v/>
      </c>
      <c r="I119" s="15">
        <f>IF(OR(I118="",E118=""),"",IF(I118*E118&lt;=0,"",IFERROR(I118/E118-1,"")))</f>
        <v/>
      </c>
      <c r="J119" s="15">
        <f>IF(OR(J118="",F118=""),"",IF(J118*F118&lt;=0,"",IFERROR(J118/F118-1,"")))</f>
        <v/>
      </c>
      <c r="K119" s="15">
        <f>IF(OR(K118="",G118=""),"",IF(K118*G118&lt;=0,"",IFERROR(K118/G118-1,"")))</f>
        <v/>
      </c>
      <c r="L119" s="15">
        <f>IF(OR(L118="",H118=""),"",IF(L118*H118&lt;=0,"",IFERROR(L118/H118-1,"")))</f>
        <v/>
      </c>
      <c r="M119" s="15">
        <f>IF(OR(M118="",I118=""),"",IF(M118*I118&lt;=0,"",IFERROR(M118/I118-1,"")))</f>
        <v/>
      </c>
      <c r="N119" s="15">
        <f>IF(OR(N118="",J118=""),"",IF(N118*J118&lt;=0,"",IFERROR(N118/J118-1,"")))</f>
        <v/>
      </c>
      <c r="T119" s="15">
        <f>IF(OR(T118="",S118=""),"",IF(T118*S118&lt;=0,"",IFERROR(T118/S118-1,"")))</f>
        <v/>
      </c>
      <c r="U119" s="15">
        <f>IF(OR(U118="",T118=""),"",IF(U118*T118&lt;=0,"",IFERROR(U118/T118-1,"")))</f>
        <v/>
      </c>
      <c r="V119" s="15">
        <f>IF(OR(V118="",U118=""),"",IF(V118*U118&lt;=0,"",IFERROR(V118/U118-1,"")))</f>
        <v/>
      </c>
      <c r="W119" s="15">
        <f>IF(OR(W118="",V118=""),"",IF(W118*V118&lt;=0,"",IFERROR(W118/V118-1,"")))</f>
        <v/>
      </c>
      <c r="X119" s="15">
        <f>IF(OR(X118="",W118=""),"",IF(X118*W118&lt;=0,"",IFERROR(X118/W118-1,"")))</f>
        <v/>
      </c>
    </row>
    <row r="120">
      <c r="A120" s="9" t="inlineStr">
        <is>
          <t>경상이익</t>
        </is>
      </c>
      <c r="C120" s="12" t="n">
        <v>1088.406</v>
      </c>
      <c r="D120" s="12" t="n">
        <v>-159.056</v>
      </c>
      <c r="E120" s="12" t="n">
        <v>480.187</v>
      </c>
      <c r="F120" s="12" t="n">
        <v>664.466</v>
      </c>
      <c r="G120" s="12" t="n">
        <v>1267.999</v>
      </c>
      <c r="H120" s="12" t="n">
        <v>493.926</v>
      </c>
      <c r="I120" s="12" t="n">
        <v>388.873</v>
      </c>
      <c r="J120" s="12" t="n">
        <v>516.438</v>
      </c>
      <c r="K120" s="12" t="n">
        <v>1045.898</v>
      </c>
      <c r="L120" s="12" t="n">
        <v>599.438</v>
      </c>
      <c r="M120" s="12" t="n">
        <v>614.595</v>
      </c>
      <c r="N120" s="12" t="n">
        <v>696.556</v>
      </c>
      <c r="T120" s="12" t="n">
        <v>583.981</v>
      </c>
      <c r="U120" s="12" t="n">
        <v>82.801</v>
      </c>
      <c r="V120" s="12" t="n">
        <v>-159.056</v>
      </c>
      <c r="W120" s="12" t="n">
        <v>493.926</v>
      </c>
      <c r="X120" s="12" t="n">
        <v>599.438</v>
      </c>
    </row>
    <row r="121">
      <c r="A121" s="43" t="inlineStr">
        <is>
          <t>YoY</t>
        </is>
      </c>
      <c r="B121" s="3" t="inlineStr">
        <is>
          <t>전년 같은 분기·전년 대비</t>
        </is>
      </c>
      <c r="G121" s="15">
        <f>IF(OR(G120="",C120=""),"",IF(C120&lt;=0,"",IFERROR(G120/C120-1,"")))</f>
        <v/>
      </c>
      <c r="H121" s="15">
        <f>IF(OR(H120="",D120=""),"",IF(D120&lt;=0,"",IFERROR(H120/D120-1,"")))</f>
        <v/>
      </c>
      <c r="I121" s="15">
        <f>IF(OR(I120="",E120=""),"",IF(E120&lt;=0,"",IFERROR(I120/E120-1,"")))</f>
        <v/>
      </c>
      <c r="J121" s="15">
        <f>IF(OR(J120="",F120=""),"",IF(F120&lt;=0,"",IFERROR(J120/F120-1,"")))</f>
        <v/>
      </c>
      <c r="K121" s="15">
        <f>IF(OR(K120="",G120=""),"",IF(G120&lt;=0,"",IFERROR(K120/G120-1,"")))</f>
        <v/>
      </c>
      <c r="L121" s="15">
        <f>IF(OR(L120="",H120=""),"",IF(H120&lt;=0,"",IFERROR(L120/H120-1,"")))</f>
        <v/>
      </c>
      <c r="M121" s="15">
        <f>IF(OR(M120="",I120=""),"",IF(I120&lt;=0,"",IFERROR(M120/I120-1,"")))</f>
        <v/>
      </c>
      <c r="N121" s="15">
        <f>IF(OR(N120="",J120=""),"",IF(J120&lt;=0,"",IFERROR(N120/J120-1,"")))</f>
        <v/>
      </c>
      <c r="T121" s="15">
        <f>IF(OR(T120="",S120=""),"",IF(S120&lt;=0,"",IFERROR(T120/S120-1,"")))</f>
        <v/>
      </c>
      <c r="U121" s="15">
        <f>IF(OR(U120="",T120=""),"",IF(T120&lt;=0,"",IFERROR(U120/T120-1,"")))</f>
        <v/>
      </c>
      <c r="V121" s="15">
        <f>IF(OR(V120="",U120=""),"",IF(U120&lt;=0,"",IFERROR(V120/U120-1,"")))</f>
        <v/>
      </c>
      <c r="W121" s="15">
        <f>IF(OR(W120="",V120=""),"",IF(V120&lt;=0,"",IFERROR(W120/V120-1,"")))</f>
        <v/>
      </c>
      <c r="X121" s="15">
        <f>IF(OR(X120="",W120=""),"",IF(W120&lt;=0,"",IFERROR(X120/W120-1,"")))</f>
        <v/>
      </c>
    </row>
    <row r="122">
      <c r="A122" s="18" t="inlineStr">
        <is>
          <t>투자유가증권 매각이익</t>
        </is>
      </c>
      <c r="D122" s="20" t="n">
        <v>0</v>
      </c>
      <c r="E122" s="20" t="n">
        <v>0</v>
      </c>
      <c r="F122" s="20" t="n">
        <v>0</v>
      </c>
      <c r="G122" s="20" t="n">
        <v>0</v>
      </c>
      <c r="H122" s="20" t="n">
        <v>0</v>
      </c>
      <c r="I122" s="20" t="n">
        <v>4.695</v>
      </c>
      <c r="J122" s="20" t="n">
        <v>104.569</v>
      </c>
      <c r="K122" s="20" t="n">
        <v>0</v>
      </c>
      <c r="L122" s="20" t="n">
        <v>423.873</v>
      </c>
      <c r="M122" s="20" t="n">
        <v>0</v>
      </c>
      <c r="N122" s="20" t="n">
        <v>0</v>
      </c>
      <c r="T122" s="20" t="n">
        <v>0</v>
      </c>
      <c r="U122" s="20" t="n">
        <v>0</v>
      </c>
      <c r="V122" s="20" t="n">
        <v>0</v>
      </c>
      <c r="W122" s="20" t="n">
        <v>0</v>
      </c>
      <c r="X122" s="20" t="n">
        <v>423.873</v>
      </c>
    </row>
    <row r="123">
      <c r="A123" s="18" t="inlineStr">
        <is>
          <t>고정자산 매각이익</t>
        </is>
      </c>
      <c r="C123" s="20" t="n">
        <v>0.048</v>
      </c>
      <c r="D123" s="20" t="n">
        <v>0.02</v>
      </c>
      <c r="E123" s="20" t="n">
        <v>0</v>
      </c>
      <c r="F123" s="20" t="n">
        <v>0</v>
      </c>
      <c r="G123" s="20" t="n">
        <v>2.129</v>
      </c>
      <c r="H123" s="20" t="n">
        <v>0</v>
      </c>
      <c r="I123" s="20" t="n">
        <v>0</v>
      </c>
      <c r="J123" s="20" t="n">
        <v>0</v>
      </c>
      <c r="K123" s="20" t="n">
        <v>12.974</v>
      </c>
      <c r="L123" s="20" t="n">
        <v>0</v>
      </c>
      <c r="M123" s="20" t="n">
        <v>1.227</v>
      </c>
      <c r="N123" s="20" t="n">
        <v>0</v>
      </c>
      <c r="T123" s="20" t="n">
        <v>0.006</v>
      </c>
      <c r="U123" s="20" t="n">
        <v>0.986</v>
      </c>
      <c r="V123" s="20" t="n">
        <v>0.02</v>
      </c>
      <c r="W123" s="20" t="n">
        <v>0</v>
      </c>
      <c r="X123" s="20" t="n">
        <v>0</v>
      </c>
    </row>
    <row r="124">
      <c r="A124" s="18" t="inlineStr">
        <is>
          <t>특별이익 합계</t>
        </is>
      </c>
      <c r="C124" s="20" t="n">
        <v>0.048</v>
      </c>
      <c r="D124" s="20" t="n">
        <v>0.02</v>
      </c>
      <c r="E124" s="20" t="n">
        <v>0</v>
      </c>
      <c r="F124" s="20" t="n">
        <v>0</v>
      </c>
      <c r="G124" s="20" t="n">
        <v>2.129</v>
      </c>
      <c r="H124" s="20" t="n">
        <v>0</v>
      </c>
      <c r="I124" s="20" t="n">
        <v>4.695</v>
      </c>
      <c r="J124" s="20" t="n">
        <v>104.569</v>
      </c>
      <c r="K124" s="20" t="n">
        <v>12.974</v>
      </c>
      <c r="L124" s="20" t="n">
        <v>423.873</v>
      </c>
      <c r="M124" s="20" t="n">
        <v>1.227</v>
      </c>
      <c r="N124" s="20" t="n">
        <v>0</v>
      </c>
      <c r="T124" s="20" t="n">
        <v>0.006</v>
      </c>
      <c r="U124" s="20" t="n">
        <v>0.985</v>
      </c>
      <c r="V124" s="20" t="n">
        <v>0.02</v>
      </c>
      <c r="W124" s="20" t="n">
        <v>0</v>
      </c>
      <c r="X124" s="20" t="n">
        <v>423.873</v>
      </c>
    </row>
    <row r="125">
      <c r="A125" s="43" t="inlineStr">
        <is>
          <t>YoY</t>
        </is>
      </c>
      <c r="B125" s="3" t="inlineStr">
        <is>
          <t>전년 같은 분기·전년 대비</t>
        </is>
      </c>
      <c r="G125" s="15">
        <f>IF(OR(G124="",C124=""),"",IF(G124*C124&lt;=0,"",IFERROR(G124/C124-1,"")))</f>
        <v/>
      </c>
      <c r="H125" s="15">
        <f>IF(OR(H124="",D124=""),"",IF(H124*D124&lt;=0,"",IFERROR(H124/D124-1,"")))</f>
        <v/>
      </c>
      <c r="I125" s="15">
        <f>IF(OR(I124="",E124=""),"",IF(I124*E124&lt;=0,"",IFERROR(I124/E124-1,"")))</f>
        <v/>
      </c>
      <c r="J125" s="15">
        <f>IF(OR(J124="",F124=""),"",IF(J124*F124&lt;=0,"",IFERROR(J124/F124-1,"")))</f>
        <v/>
      </c>
      <c r="K125" s="15">
        <f>IF(OR(K124="",G124=""),"",IF(K124*G124&lt;=0,"",IFERROR(K124/G124-1,"")))</f>
        <v/>
      </c>
      <c r="L125" s="15">
        <f>IF(OR(L124="",H124=""),"",IF(L124*H124&lt;=0,"",IFERROR(L124/H124-1,"")))</f>
        <v/>
      </c>
      <c r="M125" s="15">
        <f>IF(OR(M124="",I124=""),"",IF(M124*I124&lt;=0,"",IFERROR(M124/I124-1,"")))</f>
        <v/>
      </c>
      <c r="N125" s="15">
        <f>IF(OR(N124="",J124=""),"",IF(N124*J124&lt;=0,"",IFERROR(N124/J124-1,"")))</f>
        <v/>
      </c>
      <c r="T125" s="15">
        <f>IF(OR(T124="",S124=""),"",IF(T124*S124&lt;=0,"",IFERROR(T124/S124-1,"")))</f>
        <v/>
      </c>
      <c r="U125" s="15">
        <f>IF(OR(U124="",T124=""),"",IF(U124*T124&lt;=0,"",IFERROR(U124/T124-1,"")))</f>
        <v/>
      </c>
      <c r="V125" s="15">
        <f>IF(OR(V124="",U124=""),"",IF(V124*U124&lt;=0,"",IFERROR(V124/U124-1,"")))</f>
        <v/>
      </c>
      <c r="W125" s="15">
        <f>IF(OR(W124="",V124=""),"",IF(W124*V124&lt;=0,"",IFERROR(W124/V124-1,"")))</f>
        <v/>
      </c>
      <c r="X125" s="15">
        <f>IF(OR(X124="",W124=""),"",IF(X124*W124&lt;=0,"",IFERROR(X124/W124-1,"")))</f>
        <v/>
      </c>
    </row>
    <row r="126">
      <c r="A126" s="18" t="inlineStr">
        <is>
          <t>고정자산 제각·매각손실</t>
        </is>
      </c>
      <c r="C126" s="20" t="n">
        <v>0</v>
      </c>
      <c r="D126" s="20" t="n">
        <v>0.113</v>
      </c>
      <c r="E126" s="20" t="n">
        <v>0</v>
      </c>
      <c r="F126" s="20" t="n">
        <v>7.713</v>
      </c>
      <c r="G126" s="20" t="n">
        <v>3.707</v>
      </c>
      <c r="H126" s="20" t="n">
        <v>0</v>
      </c>
      <c r="I126" s="20" t="n">
        <v>0.008</v>
      </c>
      <c r="J126" s="20" t="n">
        <v>0.002</v>
      </c>
      <c r="K126" s="20" t="n">
        <v>0</v>
      </c>
      <c r="L126" s="20" t="n">
        <v>0</v>
      </c>
      <c r="M126" s="20" t="n">
        <v>0.273</v>
      </c>
      <c r="N126" s="20" t="n">
        <v>0</v>
      </c>
      <c r="T126" s="20" t="n">
        <v>0.08500000000000001</v>
      </c>
      <c r="U126" s="20" t="n">
        <v>0.045</v>
      </c>
      <c r="V126" s="20" t="n">
        <v>0.113</v>
      </c>
      <c r="W126" s="20" t="n">
        <v>0</v>
      </c>
      <c r="X126" s="20" t="n">
        <v>0</v>
      </c>
    </row>
    <row r="127">
      <c r="A127" s="18" t="inlineStr">
        <is>
          <t>투자유가증권 평가손실</t>
        </is>
      </c>
      <c r="T127" s="20" t="n">
        <v>0.152</v>
      </c>
      <c r="U127" s="20" t="n">
        <v>0</v>
      </c>
    </row>
    <row r="128">
      <c r="A128" s="18" t="inlineStr">
        <is>
          <t>관계회사 청산손실</t>
        </is>
      </c>
      <c r="C128" s="20" t="n">
        <v>0.004</v>
      </c>
      <c r="D128" s="20" t="n">
        <v>0</v>
      </c>
      <c r="G128" s="20" t="n">
        <v>0</v>
      </c>
      <c r="H128" s="20" t="n">
        <v>0</v>
      </c>
      <c r="U128" s="20" t="n">
        <v>0</v>
      </c>
      <c r="V128" s="20" t="n">
        <v>0</v>
      </c>
      <c r="W128" s="20" t="n">
        <v>0</v>
      </c>
    </row>
    <row r="129">
      <c r="A129" s="18" t="inlineStr">
        <is>
          <t>손상차손</t>
        </is>
      </c>
      <c r="D129" s="20" t="n">
        <v>0</v>
      </c>
      <c r="T129" s="20" t="n">
        <v>0</v>
      </c>
      <c r="U129" s="20" t="n">
        <v>0</v>
      </c>
      <c r="V129" s="20" t="n">
        <v>0</v>
      </c>
    </row>
    <row r="130">
      <c r="A130" s="18" t="inlineStr">
        <is>
          <t>특별손실 합계</t>
        </is>
      </c>
      <c r="C130" s="20" t="n">
        <v>-1.559</v>
      </c>
      <c r="D130" s="20" t="n">
        <v>-1.119</v>
      </c>
      <c r="E130" s="20" t="n">
        <v>0</v>
      </c>
      <c r="F130" s="20" t="n">
        <v>7.713</v>
      </c>
      <c r="G130" s="20" t="n">
        <v>3.707</v>
      </c>
      <c r="H130" s="20" t="n">
        <v>33.26</v>
      </c>
      <c r="I130" s="20" t="n">
        <v>0.008</v>
      </c>
      <c r="J130" s="20" t="n">
        <v>0.002</v>
      </c>
      <c r="K130" s="20" t="n">
        <v>0</v>
      </c>
      <c r="L130" s="20" t="n">
        <v>14.696</v>
      </c>
      <c r="M130" s="20" t="n">
        <v>0.273</v>
      </c>
      <c r="N130" s="20" t="n">
        <v>0</v>
      </c>
      <c r="T130" s="20" t="n">
        <v>0.238</v>
      </c>
      <c r="U130" s="20" t="n">
        <v>0.546</v>
      </c>
      <c r="V130" s="20" t="n">
        <v>-1.119</v>
      </c>
      <c r="W130" s="20" t="n">
        <v>33.26</v>
      </c>
      <c r="X130" s="20" t="n">
        <v>14.696</v>
      </c>
    </row>
    <row r="131">
      <c r="A131" s="43" t="inlineStr">
        <is>
          <t>YoY</t>
        </is>
      </c>
      <c r="B131" s="3" t="inlineStr">
        <is>
          <t>전년 같은 분기·전년 대비</t>
        </is>
      </c>
      <c r="G131" s="15">
        <f>IF(OR(G130="",C130=""),"",IF(G130*C130&lt;=0,"",IFERROR(G130/C130-1,"")))</f>
        <v/>
      </c>
      <c r="H131" s="15">
        <f>IF(OR(H130="",D130=""),"",IF(H130*D130&lt;=0,"",IFERROR(H130/D130-1,"")))</f>
        <v/>
      </c>
      <c r="I131" s="15">
        <f>IF(OR(I130="",E130=""),"",IF(I130*E130&lt;=0,"",IFERROR(I130/E130-1,"")))</f>
        <v/>
      </c>
      <c r="J131" s="15">
        <f>IF(OR(J130="",F130=""),"",IF(J130*F130&lt;=0,"",IFERROR(J130/F130-1,"")))</f>
        <v/>
      </c>
      <c r="K131" s="15">
        <f>IF(OR(K130="",G130=""),"",IF(K130*G130&lt;=0,"",IFERROR(K130/G130-1,"")))</f>
        <v/>
      </c>
      <c r="L131" s="15">
        <f>IF(OR(L130="",H130=""),"",IF(L130*H130&lt;=0,"",IFERROR(L130/H130-1,"")))</f>
        <v/>
      </c>
      <c r="M131" s="15">
        <f>IF(OR(M130="",I130=""),"",IF(M130*I130&lt;=0,"",IFERROR(M130/I130-1,"")))</f>
        <v/>
      </c>
      <c r="N131" s="15">
        <f>IF(OR(N130="",J130=""),"",IF(N130*J130&lt;=0,"",IFERROR(N130/J130-1,"")))</f>
        <v/>
      </c>
      <c r="T131" s="15">
        <f>IF(OR(T130="",S130=""),"",IF(T130*S130&lt;=0,"",IFERROR(T130/S130-1,"")))</f>
        <v/>
      </c>
      <c r="U131" s="15">
        <f>IF(OR(U130="",T130=""),"",IF(U130*T130&lt;=0,"",IFERROR(U130/T130-1,"")))</f>
        <v/>
      </c>
      <c r="V131" s="15">
        <f>IF(OR(V130="",U130=""),"",IF(V130*U130&lt;=0,"",IFERROR(V130/U130-1,"")))</f>
        <v/>
      </c>
      <c r="W131" s="15">
        <f>IF(OR(W130="",V130=""),"",IF(W130*V130&lt;=0,"",IFERROR(W130/V130-1,"")))</f>
        <v/>
      </c>
      <c r="X131" s="15">
        <f>IF(OR(X130="",W130=""),"",IF(X130*W130&lt;=0,"",IFERROR(X130/W130-1,"")))</f>
        <v/>
      </c>
    </row>
    <row r="132">
      <c r="A132" s="9" t="inlineStr">
        <is>
          <t>법인세차감전 순이익</t>
        </is>
      </c>
      <c r="C132" s="12" t="n">
        <v>1090.013</v>
      </c>
      <c r="D132" s="12" t="n">
        <v>-157.918</v>
      </c>
      <c r="E132" s="12" t="n">
        <v>480.187</v>
      </c>
      <c r="F132" s="12" t="n">
        <v>656.752</v>
      </c>
      <c r="G132" s="12" t="n">
        <v>1266.422</v>
      </c>
      <c r="H132" s="12" t="n">
        <v>460.666</v>
      </c>
      <c r="I132" s="12" t="n">
        <v>393.561</v>
      </c>
      <c r="J132" s="12" t="n">
        <v>621.004</v>
      </c>
      <c r="K132" s="12" t="n">
        <v>1058.872</v>
      </c>
      <c r="L132" s="12" t="n">
        <v>1008.615</v>
      </c>
      <c r="M132" s="12" t="n">
        <v>615.548</v>
      </c>
      <c r="N132" s="12" t="n">
        <v>696.556</v>
      </c>
      <c r="T132" s="12" t="n">
        <v>583.75</v>
      </c>
      <c r="U132" s="12" t="n">
        <v>83.242</v>
      </c>
      <c r="V132" s="12" t="n">
        <v>-157.918</v>
      </c>
      <c r="W132" s="12" t="n">
        <v>460.666</v>
      </c>
      <c r="X132" s="12" t="n">
        <v>1008.615</v>
      </c>
    </row>
    <row r="133">
      <c r="A133" s="43" t="inlineStr">
        <is>
          <t>YoY</t>
        </is>
      </c>
      <c r="B133" s="3" t="inlineStr">
        <is>
          <t>전년 같은 분기·전년 대비</t>
        </is>
      </c>
      <c r="G133" s="15">
        <f>IF(OR(G132="",C132=""),"",IF(C132&lt;=0,"",IFERROR(G132/C132-1,"")))</f>
        <v/>
      </c>
      <c r="H133" s="15">
        <f>IF(OR(H132="",D132=""),"",IF(D132&lt;=0,"",IFERROR(H132/D132-1,"")))</f>
        <v/>
      </c>
      <c r="I133" s="15">
        <f>IF(OR(I132="",E132=""),"",IF(E132&lt;=0,"",IFERROR(I132/E132-1,"")))</f>
        <v/>
      </c>
      <c r="J133" s="15">
        <f>IF(OR(J132="",F132=""),"",IF(F132&lt;=0,"",IFERROR(J132/F132-1,"")))</f>
        <v/>
      </c>
      <c r="K133" s="15">
        <f>IF(OR(K132="",G132=""),"",IF(G132&lt;=0,"",IFERROR(K132/G132-1,"")))</f>
        <v/>
      </c>
      <c r="L133" s="15">
        <f>IF(OR(L132="",H132=""),"",IF(H132&lt;=0,"",IFERROR(L132/H132-1,"")))</f>
        <v/>
      </c>
      <c r="M133" s="15">
        <f>IF(OR(M132="",I132=""),"",IF(I132&lt;=0,"",IFERROR(M132/I132-1,"")))</f>
        <v/>
      </c>
      <c r="N133" s="15">
        <f>IF(OR(N132="",J132=""),"",IF(J132&lt;=0,"",IFERROR(N132/J132-1,"")))</f>
        <v/>
      </c>
      <c r="T133" s="15">
        <f>IF(OR(T132="",S132=""),"",IF(S132&lt;=0,"",IFERROR(T132/S132-1,"")))</f>
        <v/>
      </c>
      <c r="U133" s="15">
        <f>IF(OR(U132="",T132=""),"",IF(T132&lt;=0,"",IFERROR(U132/T132-1,"")))</f>
        <v/>
      </c>
      <c r="V133" s="15">
        <f>IF(OR(V132="",U132=""),"",IF(U132&lt;=0,"",IFERROR(V132/U132-1,"")))</f>
        <v/>
      </c>
      <c r="W133" s="15">
        <f>IF(OR(W132="",V132=""),"",IF(V132&lt;=0,"",IFERROR(W132/V132-1,"")))</f>
        <v/>
      </c>
      <c r="X133" s="15">
        <f>IF(OR(X132="",W132=""),"",IF(W132&lt;=0,"",IFERROR(X132/W132-1,"")))</f>
        <v/>
      </c>
    </row>
    <row r="134">
      <c r="A134" s="18" t="inlineStr">
        <is>
          <t>법인세·주민세·사업세</t>
        </is>
      </c>
      <c r="C134" s="20" t="n">
        <v>266.081</v>
      </c>
      <c r="D134" s="20" t="n">
        <v>68.26900000000001</v>
      </c>
      <c r="E134" s="20" t="n">
        <v>52.718</v>
      </c>
      <c r="F134" s="20" t="n">
        <v>336.539</v>
      </c>
      <c r="G134" s="20" t="n">
        <v>303.297</v>
      </c>
      <c r="H134" s="20" t="n">
        <v>249.978</v>
      </c>
      <c r="I134" s="20" t="n">
        <v>44.055</v>
      </c>
      <c r="J134" s="20" t="n">
        <v>293.844</v>
      </c>
      <c r="K134" s="20" t="n">
        <v>244.369</v>
      </c>
      <c r="L134" s="20" t="n">
        <v>380.729</v>
      </c>
      <c r="M134" s="20" t="n">
        <v>97.04000000000001</v>
      </c>
      <c r="N134" s="20" t="n">
        <v>352.606</v>
      </c>
      <c r="T134" s="20" t="n">
        <v>320.669</v>
      </c>
      <c r="U134" s="20" t="n">
        <v>44.679</v>
      </c>
      <c r="V134" s="20" t="n">
        <v>68.26900000000001</v>
      </c>
      <c r="W134" s="20" t="n">
        <v>249.978</v>
      </c>
      <c r="X134" s="20" t="n">
        <v>380.729</v>
      </c>
    </row>
    <row r="135">
      <c r="A135" s="18" t="inlineStr">
        <is>
          <t>법인세 조정액</t>
        </is>
      </c>
      <c r="C135" s="20" t="n">
        <v>102.367</v>
      </c>
      <c r="D135" s="20" t="n">
        <v>-123.296</v>
      </c>
      <c r="E135" s="20" t="n">
        <v>112.556</v>
      </c>
      <c r="F135" s="20" t="n">
        <v>-111.616</v>
      </c>
      <c r="G135" s="20" t="n">
        <v>108.493</v>
      </c>
      <c r="H135" s="20" t="n">
        <v>-105.173</v>
      </c>
      <c r="I135" s="20" t="n">
        <v>119.028</v>
      </c>
      <c r="J135" s="20" t="n">
        <v>-101.147</v>
      </c>
      <c r="K135" s="20" t="n">
        <v>103.879</v>
      </c>
      <c r="L135" s="20" t="n">
        <v>-115.309</v>
      </c>
      <c r="M135" s="20" t="n">
        <v>134.316</v>
      </c>
      <c r="N135" s="20" t="n">
        <v>-112.758</v>
      </c>
      <c r="T135" s="20" t="n">
        <v>-88.074</v>
      </c>
      <c r="U135" s="20" t="n">
        <v>-82.001</v>
      </c>
      <c r="V135" s="20" t="n">
        <v>-123.296</v>
      </c>
      <c r="W135" s="20" t="n">
        <v>-105.173</v>
      </c>
      <c r="X135" s="20" t="n">
        <v>-115.309</v>
      </c>
    </row>
    <row r="136">
      <c r="A136" s="18" t="inlineStr">
        <is>
          <t>법인세 등 합계</t>
        </is>
      </c>
      <c r="C136" s="20" t="n">
        <v>368.448</v>
      </c>
      <c r="D136" s="20" t="n">
        <v>-55.027</v>
      </c>
      <c r="E136" s="20" t="n">
        <v>165.275</v>
      </c>
      <c r="F136" s="20" t="n">
        <v>224.923</v>
      </c>
      <c r="G136" s="20" t="n">
        <v>411.789</v>
      </c>
      <c r="H136" s="20" t="n">
        <v>144.806</v>
      </c>
      <c r="I136" s="20" t="n">
        <v>163.084</v>
      </c>
      <c r="J136" s="20" t="n">
        <v>192.696</v>
      </c>
      <c r="K136" s="20" t="n">
        <v>348.249</v>
      </c>
      <c r="L136" s="20" t="n">
        <v>265.419</v>
      </c>
      <c r="M136" s="20" t="n">
        <v>231.357</v>
      </c>
      <c r="N136" s="20" t="n">
        <v>239.847</v>
      </c>
      <c r="T136" s="20" t="n">
        <v>232.596</v>
      </c>
      <c r="U136" s="20" t="n">
        <v>-37.322</v>
      </c>
      <c r="V136" s="20" t="n">
        <v>-55.027</v>
      </c>
      <c r="W136" s="20" t="n">
        <v>144.806</v>
      </c>
      <c r="X136" s="20" t="n">
        <v>265.419</v>
      </c>
    </row>
    <row r="137">
      <c r="A137" s="43" t="inlineStr">
        <is>
          <t>YoY</t>
        </is>
      </c>
      <c r="B137" s="3" t="inlineStr">
        <is>
          <t>전년 같은 분기·전년 대비</t>
        </is>
      </c>
      <c r="G137" s="15">
        <f>IF(OR(G136="",C136=""),"",IF(G136*C136&lt;=0,"",IFERROR(G136/C136-1,"")))</f>
        <v/>
      </c>
      <c r="H137" s="15">
        <f>IF(OR(H136="",D136=""),"",IF(H136*D136&lt;=0,"",IFERROR(H136/D136-1,"")))</f>
        <v/>
      </c>
      <c r="I137" s="15">
        <f>IF(OR(I136="",E136=""),"",IF(I136*E136&lt;=0,"",IFERROR(I136/E136-1,"")))</f>
        <v/>
      </c>
      <c r="J137" s="15">
        <f>IF(OR(J136="",F136=""),"",IF(J136*F136&lt;=0,"",IFERROR(J136/F136-1,"")))</f>
        <v/>
      </c>
      <c r="K137" s="15">
        <f>IF(OR(K136="",G136=""),"",IF(K136*G136&lt;=0,"",IFERROR(K136/G136-1,"")))</f>
        <v/>
      </c>
      <c r="L137" s="15">
        <f>IF(OR(L136="",H136=""),"",IF(L136*H136&lt;=0,"",IFERROR(L136/H136-1,"")))</f>
        <v/>
      </c>
      <c r="M137" s="15">
        <f>IF(OR(M136="",I136=""),"",IF(M136*I136&lt;=0,"",IFERROR(M136/I136-1,"")))</f>
        <v/>
      </c>
      <c r="N137" s="15">
        <f>IF(OR(N136="",J136=""),"",IF(N136*J136&lt;=0,"",IFERROR(N136/J136-1,"")))</f>
        <v/>
      </c>
      <c r="T137" s="15">
        <f>IF(OR(T136="",S136=""),"",IF(T136*S136&lt;=0,"",IFERROR(T136/S136-1,"")))</f>
        <v/>
      </c>
      <c r="U137" s="15">
        <f>IF(OR(U136="",T136=""),"",IF(U136*T136&lt;=0,"",IFERROR(U136/T136-1,"")))</f>
        <v/>
      </c>
      <c r="V137" s="15">
        <f>IF(OR(V136="",U136=""),"",IF(V136*U136&lt;=0,"",IFERROR(V136/U136-1,"")))</f>
        <v/>
      </c>
      <c r="W137" s="15">
        <f>IF(OR(W136="",V136=""),"",IF(W136*V136&lt;=0,"",IFERROR(W136/V136-1,"")))</f>
        <v/>
      </c>
      <c r="X137" s="15">
        <f>IF(OR(X136="",W136=""),"",IF(X136*W136&lt;=0,"",IFERROR(X136/W136-1,"")))</f>
        <v/>
      </c>
    </row>
    <row r="138">
      <c r="A138" s="9" t="inlineStr">
        <is>
          <t>순이익</t>
        </is>
      </c>
      <c r="C138" s="12" t="n">
        <v>721.564</v>
      </c>
      <c r="D138" s="12" t="n">
        <v>-102.89</v>
      </c>
      <c r="E138" s="12" t="n">
        <v>314.912</v>
      </c>
      <c r="F138" s="12" t="n">
        <v>431.828</v>
      </c>
      <c r="G138" s="12" t="n">
        <v>854.633</v>
      </c>
      <c r="H138" s="12" t="n">
        <v>315.861</v>
      </c>
      <c r="I138" s="12" t="n">
        <v>230.477</v>
      </c>
      <c r="J138" s="12" t="n">
        <v>428.307</v>
      </c>
      <c r="K138" s="12" t="n">
        <v>710.623</v>
      </c>
      <c r="L138" s="12" t="n">
        <v>743.197</v>
      </c>
      <c r="M138" s="12" t="n">
        <v>384.191</v>
      </c>
      <c r="N138" s="12" t="n">
        <v>456.709</v>
      </c>
      <c r="T138" s="12" t="n">
        <v>351.155</v>
      </c>
      <c r="U138" s="12" t="n">
        <v>120.564</v>
      </c>
      <c r="V138" s="12" t="n">
        <v>-102.89</v>
      </c>
      <c r="W138" s="12" t="n">
        <v>315.861</v>
      </c>
      <c r="X138" s="12" t="n">
        <v>743.197</v>
      </c>
    </row>
    <row r="139">
      <c r="A139" s="43" t="inlineStr">
        <is>
          <t>YoY</t>
        </is>
      </c>
      <c r="B139" s="3" t="inlineStr">
        <is>
          <t>전년 같은 분기·전년 대비</t>
        </is>
      </c>
      <c r="G139" s="15">
        <f>IF(OR(G138="",C138=""),"",IF(C138&lt;=0,"",IFERROR(G138/C138-1,"")))</f>
        <v/>
      </c>
      <c r="H139" s="15">
        <f>IF(OR(H138="",D138=""),"",IF(D138&lt;=0,"",IFERROR(H138/D138-1,"")))</f>
        <v/>
      </c>
      <c r="I139" s="15">
        <f>IF(OR(I138="",E138=""),"",IF(E138&lt;=0,"",IFERROR(I138/E138-1,"")))</f>
        <v/>
      </c>
      <c r="J139" s="15">
        <f>IF(OR(J138="",F138=""),"",IF(F138&lt;=0,"",IFERROR(J138/F138-1,"")))</f>
        <v/>
      </c>
      <c r="K139" s="15">
        <f>IF(OR(K138="",G138=""),"",IF(G138&lt;=0,"",IFERROR(K138/G138-1,"")))</f>
        <v/>
      </c>
      <c r="L139" s="15">
        <f>IF(OR(L138="",H138=""),"",IF(H138&lt;=0,"",IFERROR(L138/H138-1,"")))</f>
        <v/>
      </c>
      <c r="M139" s="15">
        <f>IF(OR(M138="",I138=""),"",IF(I138&lt;=0,"",IFERROR(M138/I138-1,"")))</f>
        <v/>
      </c>
      <c r="N139" s="15">
        <f>IF(OR(N138="",J138=""),"",IF(J138&lt;=0,"",IFERROR(N138/J138-1,"")))</f>
        <v/>
      </c>
      <c r="T139" s="15">
        <f>IF(OR(T138="",S138=""),"",IF(S138&lt;=0,"",IFERROR(T138/S138-1,"")))</f>
        <v/>
      </c>
      <c r="U139" s="15">
        <f>IF(OR(U138="",T138=""),"",IF(T138&lt;=0,"",IFERROR(U138/T138-1,"")))</f>
        <v/>
      </c>
      <c r="V139" s="15">
        <f>IF(OR(V138="",U138=""),"",IF(U138&lt;=0,"",IFERROR(V138/U138-1,"")))</f>
        <v/>
      </c>
      <c r="W139" s="15">
        <f>IF(OR(W138="",V138=""),"",IF(V138&lt;=0,"",IFERROR(W138/V138-1,"")))</f>
        <v/>
      </c>
      <c r="X139" s="15">
        <f>IF(OR(X138="",W138=""),"",IF(W138&lt;=0,"",IFERROR(X138/W138-1,"")))</f>
        <v/>
      </c>
    </row>
    <row r="140">
      <c r="A140" s="9" t="inlineStr">
        <is>
          <t>비지배주주 순이익</t>
        </is>
      </c>
      <c r="C140" s="12" t="n">
        <v>0</v>
      </c>
      <c r="D140" s="12" t="n">
        <v>0</v>
      </c>
      <c r="E140" s="12" t="n">
        <v>0</v>
      </c>
      <c r="F140" s="12" t="n">
        <v>0</v>
      </c>
      <c r="G140" s="12" t="n">
        <v>0</v>
      </c>
      <c r="H140" s="12" t="n">
        <v>0</v>
      </c>
      <c r="I140" s="12" t="n">
        <v>0</v>
      </c>
      <c r="J140" s="12" t="n">
        <v>0</v>
      </c>
      <c r="K140" s="12" t="n">
        <v>0</v>
      </c>
      <c r="L140" s="12" t="n">
        <v>0</v>
      </c>
      <c r="M140" s="12" t="n">
        <v>0</v>
      </c>
      <c r="N140" s="12" t="n">
        <v>0</v>
      </c>
      <c r="T140" s="12" t="n">
        <v>0</v>
      </c>
      <c r="U140" s="12" t="n">
        <v>0</v>
      </c>
      <c r="V140" s="12" t="n">
        <v>0</v>
      </c>
      <c r="W140" s="12" t="n">
        <v>0</v>
      </c>
      <c r="X140" s="12" t="n">
        <v>0</v>
      </c>
    </row>
    <row r="141">
      <c r="A141" s="9" t="inlineStr">
        <is>
          <t>지배주주 순이익</t>
        </is>
      </c>
      <c r="C141" s="12" t="n">
        <v>721.564</v>
      </c>
      <c r="D141" s="12" t="n">
        <v>379.623</v>
      </c>
      <c r="E141" s="12" t="n">
        <v>314.912</v>
      </c>
      <c r="F141" s="12" t="n">
        <v>431.828</v>
      </c>
      <c r="G141" s="12" t="n">
        <v>854.633</v>
      </c>
      <c r="H141" s="12" t="n">
        <v>315.861</v>
      </c>
      <c r="I141" s="12" t="n">
        <v>230.477</v>
      </c>
      <c r="J141" s="12" t="n">
        <v>428.307</v>
      </c>
      <c r="K141" s="12" t="n">
        <v>710.623</v>
      </c>
      <c r="L141" s="12" t="n">
        <v>743.197</v>
      </c>
      <c r="M141" s="12" t="n">
        <v>384.191</v>
      </c>
      <c r="N141" s="12" t="n">
        <v>456.709</v>
      </c>
      <c r="T141" s="12" t="n">
        <v>351.155</v>
      </c>
      <c r="U141" s="12" t="n">
        <v>497.404</v>
      </c>
      <c r="V141" s="12" t="n">
        <v>379.623</v>
      </c>
      <c r="W141" s="12" t="n">
        <v>315.861</v>
      </c>
      <c r="X141" s="12" t="n">
        <v>743.197</v>
      </c>
    </row>
    <row r="142">
      <c r="A142" s="43" t="inlineStr">
        <is>
          <t>YoY</t>
        </is>
      </c>
      <c r="B142" s="3" t="inlineStr">
        <is>
          <t>전년 같은 분기·전년 대비</t>
        </is>
      </c>
      <c r="G142" s="15">
        <f>IF(OR(G141="",C141=""),"",IF(C141&lt;=0,"",IFERROR(G141/C141-1,"")))</f>
        <v/>
      </c>
      <c r="H142" s="15">
        <f>IF(OR(H141="",D141=""),"",IF(D141&lt;=0,"",IFERROR(H141/D141-1,"")))</f>
        <v/>
      </c>
      <c r="I142" s="15">
        <f>IF(OR(I141="",E141=""),"",IF(E141&lt;=0,"",IFERROR(I141/E141-1,"")))</f>
        <v/>
      </c>
      <c r="J142" s="15">
        <f>IF(OR(J141="",F141=""),"",IF(F141&lt;=0,"",IFERROR(J141/F141-1,"")))</f>
        <v/>
      </c>
      <c r="K142" s="15">
        <f>IF(OR(K141="",G141=""),"",IF(G141&lt;=0,"",IFERROR(K141/G141-1,"")))</f>
        <v/>
      </c>
      <c r="L142" s="15">
        <f>IF(OR(L141="",H141=""),"",IF(H141&lt;=0,"",IFERROR(L141/H141-1,"")))</f>
        <v/>
      </c>
      <c r="M142" s="15">
        <f>IF(OR(M141="",I141=""),"",IF(I141&lt;=0,"",IFERROR(M141/I141-1,"")))</f>
        <v/>
      </c>
      <c r="N142" s="15">
        <f>IF(OR(N141="",J141=""),"",IF(J141&lt;=0,"",IFERROR(N141/J141-1,"")))</f>
        <v/>
      </c>
      <c r="T142" s="15">
        <f>IF(OR(T141="",S141=""),"",IF(S141&lt;=0,"",IFERROR(T141/S141-1,"")))</f>
        <v/>
      </c>
      <c r="U142" s="15">
        <f>IF(OR(U141="",T141=""),"",IF(T141&lt;=0,"",IFERROR(U141/T141-1,"")))</f>
        <v/>
      </c>
      <c r="V142" s="15">
        <f>IF(OR(V141="",U141=""),"",IF(U141&lt;=0,"",IFERROR(V141/U141-1,"")))</f>
        <v/>
      </c>
      <c r="W142" s="15">
        <f>IF(OR(W141="",V141=""),"",IF(V141&lt;=0,"",IFERROR(W141/V141-1,"")))</f>
        <v/>
      </c>
      <c r="X142" s="15">
        <f>IF(OR(X141="",W141=""),"",IF(W141&lt;=0,"",IFERROR(X141/W141-1,"")))</f>
        <v/>
      </c>
    </row>
    <row r="144">
      <c r="A144" s="16" t="inlineStr">
        <is>
          <t>포괄손익 · 전 항목</t>
        </is>
      </c>
      <c r="B144" s="42" t="inlineStr">
        <is>
          <t>분기 = 3개월 단독</t>
        </is>
      </c>
      <c r="C144" s="16" t="n"/>
      <c r="D144" s="16" t="n"/>
      <c r="E144" s="16" t="n"/>
      <c r="F144" s="16" t="n"/>
      <c r="G144" s="16" t="n"/>
      <c r="H144" s="16" t="n"/>
      <c r="I144" s="16" t="n"/>
      <c r="J144" s="16" t="n"/>
      <c r="K144" s="16" t="n"/>
      <c r="L144" s="16" t="n"/>
      <c r="M144" s="16" t="n"/>
      <c r="N144" s="16" t="n"/>
      <c r="O144" s="16" t="n"/>
      <c r="P144" s="16" t="n"/>
      <c r="Q144" s="16" t="n"/>
      <c r="R144" s="16" t="n"/>
      <c r="S144" s="16" t="n"/>
      <c r="T144" s="16" t="n"/>
      <c r="U144" s="16" t="n"/>
      <c r="V144" s="16" t="n"/>
      <c r="W144" s="16" t="n"/>
      <c r="X144" s="16" t="n"/>
      <c r="Y144" s="16" t="n"/>
      <c r="Z144" s="16" t="n"/>
      <c r="AA144" s="16" t="n"/>
      <c r="AB144" s="16" t="n"/>
      <c r="AC144" s="16" t="n"/>
    </row>
    <row r="145">
      <c r="A145" s="5" t="inlineStr">
        <is>
          <t>항목</t>
        </is>
      </c>
      <c r="B145" s="5" t="inlineStr">
        <is>
          <t>참고</t>
        </is>
      </c>
      <c r="C145" s="5" t="inlineStr">
        <is>
          <t>2024.3Q</t>
        </is>
      </c>
      <c r="D145" s="5" t="inlineStr">
        <is>
          <t>2024.4Q</t>
        </is>
      </c>
      <c r="E145" s="5" t="inlineStr">
        <is>
          <t>2025.1Q</t>
        </is>
      </c>
      <c r="F145" s="5" t="inlineStr">
        <is>
          <t>2025.2Q</t>
        </is>
      </c>
      <c r="G145" s="5" t="inlineStr">
        <is>
          <t>2025.3Q</t>
        </is>
      </c>
      <c r="H145" s="5" t="inlineStr">
        <is>
          <t>2025.4Q</t>
        </is>
      </c>
      <c r="I145" s="5" t="inlineStr">
        <is>
          <t>2026.1Q</t>
        </is>
      </c>
      <c r="J145" s="5" t="inlineStr">
        <is>
          <t>2026.2Q</t>
        </is>
      </c>
      <c r="K145" s="5" t="inlineStr">
        <is>
          <t>2026.3Q</t>
        </is>
      </c>
      <c r="L145" s="5" t="inlineStr">
        <is>
          <t>2026.4Q</t>
        </is>
      </c>
      <c r="M145" s="5" t="inlineStr">
        <is>
          <t>2027.1Q</t>
        </is>
      </c>
      <c r="N145" s="5" t="inlineStr">
        <is>
          <t>2027.2Q</t>
        </is>
      </c>
      <c r="O145" s="5" t="inlineStr">
        <is>
          <t>2017</t>
        </is>
      </c>
      <c r="P145" s="5" t="inlineStr">
        <is>
          <t>2018</t>
        </is>
      </c>
      <c r="Q145" s="5" t="inlineStr">
        <is>
          <t>2019</t>
        </is>
      </c>
      <c r="R145" s="5" t="inlineStr">
        <is>
          <t>2020</t>
        </is>
      </c>
      <c r="S145" s="5" t="inlineStr">
        <is>
          <t>2021</t>
        </is>
      </c>
      <c r="T145" s="5" t="inlineStr">
        <is>
          <t>2022</t>
        </is>
      </c>
      <c r="U145" s="5" t="inlineStr">
        <is>
          <t>2023</t>
        </is>
      </c>
      <c r="V145" s="5" t="inlineStr">
        <is>
          <t>2024</t>
        </is>
      </c>
      <c r="W145" s="5" t="inlineStr">
        <is>
          <t>2025</t>
        </is>
      </c>
      <c r="X145" s="5" t="inlineStr">
        <is>
          <t>2026</t>
        </is>
      </c>
      <c r="Y145" s="5" t="inlineStr">
        <is>
          <t>2027(MW)</t>
        </is>
      </c>
      <c r="Z145" s="5" t="inlineStr">
        <is>
          <t>2028(MW)</t>
        </is>
      </c>
      <c r="AA145" s="5" t="inlineStr">
        <is>
          <t>2029(MW)</t>
        </is>
      </c>
      <c r="AB145" s="5" t="inlineStr">
        <is>
          <t>2030(MW)</t>
        </is>
      </c>
      <c r="AC145" s="5" t="inlineStr">
        <is>
          <t>2031(MW)</t>
        </is>
      </c>
    </row>
    <row r="146">
      <c r="A146" s="9" t="inlineStr">
        <is>
          <t>순이익</t>
        </is>
      </c>
      <c r="C146" s="12" t="n">
        <v>721.564</v>
      </c>
      <c r="D146" s="12" t="n">
        <v>379.623</v>
      </c>
      <c r="E146" s="12" t="n">
        <v>314.912</v>
      </c>
      <c r="F146" s="12" t="n">
        <v>431.828</v>
      </c>
      <c r="G146" s="12" t="n">
        <v>854.633</v>
      </c>
      <c r="H146" s="12" t="n">
        <v>315.861</v>
      </c>
      <c r="I146" s="12" t="n">
        <v>230.477</v>
      </c>
      <c r="J146" s="12" t="n">
        <v>428.307</v>
      </c>
      <c r="K146" s="12" t="n">
        <v>710.623</v>
      </c>
      <c r="L146" s="12" t="n">
        <v>743.197</v>
      </c>
      <c r="M146" s="12" t="n">
        <v>384.191</v>
      </c>
      <c r="N146" s="12" t="n">
        <v>456.709</v>
      </c>
      <c r="T146" s="12" t="n">
        <v>351.155</v>
      </c>
      <c r="U146" s="12" t="n">
        <v>497.404</v>
      </c>
      <c r="V146" s="12" t="n">
        <v>379.623</v>
      </c>
      <c r="W146" s="12" t="n">
        <v>315.861</v>
      </c>
      <c r="X146" s="12" t="n">
        <v>743.197</v>
      </c>
    </row>
    <row r="147">
      <c r="A147" s="18" t="inlineStr">
        <is>
          <t>기타유가증권 평가차액</t>
        </is>
      </c>
      <c r="C147" s="20" t="n">
        <v>184.834</v>
      </c>
      <c r="D147" s="20" t="n">
        <v>256.174</v>
      </c>
      <c r="E147" s="20" t="n">
        <v>88.562</v>
      </c>
      <c r="F147" s="20" t="n">
        <v>-378.777</v>
      </c>
      <c r="G147" s="20" t="n">
        <v>203.875</v>
      </c>
      <c r="H147" s="20" t="n">
        <v>-244.395</v>
      </c>
      <c r="I147" s="20" t="n">
        <v>110.456</v>
      </c>
      <c r="J147" s="20" t="n">
        <v>224.498</v>
      </c>
      <c r="K147" s="20" t="n">
        <v>232.841</v>
      </c>
      <c r="L147" s="20" t="n">
        <v>-169.027</v>
      </c>
      <c r="M147" s="20" t="n">
        <v>1027.17</v>
      </c>
      <c r="N147" s="20" t="n">
        <v>36.917</v>
      </c>
      <c r="T147" s="20" t="n">
        <v>-172.162</v>
      </c>
      <c r="U147" s="20" t="n">
        <v>263.726</v>
      </c>
      <c r="V147" s="20" t="n">
        <v>256.174</v>
      </c>
      <c r="W147" s="20" t="n">
        <v>-244.395</v>
      </c>
      <c r="X147" s="20" t="n">
        <v>-169.027</v>
      </c>
    </row>
    <row r="148">
      <c r="A148" s="18" t="inlineStr">
        <is>
          <t>퇴직급여 조정액</t>
        </is>
      </c>
      <c r="C148" s="20" t="n">
        <v>-0.714</v>
      </c>
      <c r="D148" s="20" t="n">
        <v>126.923</v>
      </c>
      <c r="E148" s="20" t="n">
        <v>-7.782</v>
      </c>
      <c r="F148" s="20" t="n">
        <v>-7.783</v>
      </c>
      <c r="G148" s="20" t="n">
        <v>-7.783</v>
      </c>
      <c r="H148" s="20" t="n">
        <v>39.497</v>
      </c>
      <c r="I148" s="20" t="n">
        <v>-9.818</v>
      </c>
      <c r="J148" s="20" t="n">
        <v>-7.851</v>
      </c>
      <c r="K148" s="20" t="n">
        <v>-7.85</v>
      </c>
      <c r="L148" s="20" t="n">
        <v>35.575</v>
      </c>
      <c r="M148" s="20" t="n">
        <v>-9.266999999999999</v>
      </c>
      <c r="N148" s="20" t="n">
        <v>-9.266999999999999</v>
      </c>
      <c r="T148" s="20" t="n">
        <v>-26.422</v>
      </c>
      <c r="U148" s="20" t="n">
        <v>-19.875</v>
      </c>
      <c r="V148" s="20" t="n">
        <v>126.923</v>
      </c>
      <c r="W148" s="20" t="n">
        <v>39.497</v>
      </c>
      <c r="X148" s="20" t="n">
        <v>35.575</v>
      </c>
    </row>
    <row r="149">
      <c r="A149" s="18" t="inlineStr">
        <is>
          <t>기타포괄손익 합계</t>
        </is>
      </c>
      <c r="C149" s="20" t="n">
        <v>184.119</v>
      </c>
      <c r="D149" s="20" t="n">
        <v>383.098</v>
      </c>
      <c r="E149" s="20" t="n">
        <v>80.78</v>
      </c>
      <c r="F149" s="20" t="n">
        <v>-386.561</v>
      </c>
      <c r="G149" s="20" t="n">
        <v>196.093</v>
      </c>
      <c r="H149" s="20" t="n">
        <v>-204.897</v>
      </c>
      <c r="I149" s="20" t="n">
        <v>100.637</v>
      </c>
      <c r="J149" s="20" t="n">
        <v>216.648</v>
      </c>
      <c r="K149" s="20" t="n">
        <v>224.99</v>
      </c>
      <c r="L149" s="20" t="n">
        <v>-133.45</v>
      </c>
      <c r="M149" s="20" t="n">
        <v>1017.903</v>
      </c>
      <c r="N149" s="20" t="n">
        <v>27.65</v>
      </c>
      <c r="T149" s="20" t="n">
        <v>-198.584</v>
      </c>
      <c r="U149" s="20" t="n">
        <v>243.851</v>
      </c>
      <c r="V149" s="20" t="n">
        <v>383.098</v>
      </c>
      <c r="W149" s="20" t="n">
        <v>-204.897</v>
      </c>
      <c r="X149" s="20" t="n">
        <v>-133.45</v>
      </c>
    </row>
    <row r="150">
      <c r="A150" s="9" t="inlineStr">
        <is>
          <t>포괄이익</t>
        </is>
      </c>
      <c r="C150" s="12" t="n">
        <v>905.683</v>
      </c>
      <c r="D150" s="12" t="n">
        <v>762.721</v>
      </c>
      <c r="E150" s="12" t="n">
        <v>395.692</v>
      </c>
      <c r="F150" s="12" t="n">
        <v>45.267</v>
      </c>
      <c r="G150" s="12" t="n">
        <v>1050.726</v>
      </c>
      <c r="H150" s="12" t="n">
        <v>110.963</v>
      </c>
      <c r="I150" s="12" t="n">
        <v>331.114</v>
      </c>
      <c r="J150" s="12" t="n">
        <v>644.956</v>
      </c>
      <c r="K150" s="12" t="n">
        <v>935.6130000000001</v>
      </c>
      <c r="L150" s="12" t="n">
        <v>609.746</v>
      </c>
      <c r="M150" s="12" t="n">
        <v>1402.095</v>
      </c>
      <c r="N150" s="12" t="n">
        <v>484.358</v>
      </c>
      <c r="T150" s="12" t="n">
        <v>152.57</v>
      </c>
      <c r="U150" s="12" t="n">
        <v>741.2569999999999</v>
      </c>
      <c r="V150" s="12" t="n">
        <v>762.721</v>
      </c>
      <c r="W150" s="12" t="n">
        <v>110.963</v>
      </c>
      <c r="X150" s="12" t="n">
        <v>609.746</v>
      </c>
    </row>
    <row r="151">
      <c r="A151" s="9" t="inlineStr">
        <is>
          <t>지배주주 포괄이익</t>
        </is>
      </c>
      <c r="C151" s="12" t="n">
        <v>905.683</v>
      </c>
      <c r="D151" s="12" t="n">
        <v>762.721</v>
      </c>
      <c r="E151" s="12" t="n">
        <v>395.692</v>
      </c>
      <c r="F151" s="12" t="n">
        <v>45.267</v>
      </c>
      <c r="G151" s="12" t="n">
        <v>1050.726</v>
      </c>
      <c r="H151" s="12" t="n">
        <v>110.963</v>
      </c>
      <c r="I151" s="12" t="n">
        <v>331.114</v>
      </c>
      <c r="J151" s="12" t="n">
        <v>644.956</v>
      </c>
      <c r="K151" s="12" t="n">
        <v>935.6130000000001</v>
      </c>
      <c r="L151" s="12" t="n">
        <v>609.746</v>
      </c>
      <c r="M151" s="12" t="n">
        <v>1402.095</v>
      </c>
      <c r="N151" s="12" t="n">
        <v>484.358</v>
      </c>
      <c r="T151" s="12" t="n">
        <v>152.57</v>
      </c>
      <c r="U151" s="12" t="n">
        <v>741.2569999999999</v>
      </c>
      <c r="V151" s="12" t="n">
        <v>762.721</v>
      </c>
      <c r="W151" s="12" t="n">
        <v>110.963</v>
      </c>
      <c r="X151" s="12" t="n">
        <v>609.746</v>
      </c>
    </row>
    <row r="152">
      <c r="A152" s="9" t="inlineStr">
        <is>
          <t>비지배주주 포괄이익</t>
        </is>
      </c>
      <c r="C152" s="12" t="n">
        <v>0</v>
      </c>
      <c r="D152" s="12" t="n">
        <v>0</v>
      </c>
      <c r="E152" s="12" t="n">
        <v>0</v>
      </c>
      <c r="F152" s="12" t="n">
        <v>0</v>
      </c>
      <c r="G152" s="12" t="n">
        <v>0</v>
      </c>
      <c r="H152" s="12" t="n">
        <v>0</v>
      </c>
      <c r="I152" s="12" t="n">
        <v>0</v>
      </c>
      <c r="J152" s="12" t="n">
        <v>0</v>
      </c>
      <c r="K152" s="12" t="n">
        <v>0</v>
      </c>
      <c r="L152" s="12" t="n">
        <v>0</v>
      </c>
      <c r="M152" s="12" t="n">
        <v>0</v>
      </c>
      <c r="N152" s="12" t="n">
        <v>0</v>
      </c>
      <c r="T152" s="12" t="n">
        <v>0</v>
      </c>
      <c r="U152" s="12" t="n">
        <v>0</v>
      </c>
      <c r="V152" s="12" t="n">
        <v>0</v>
      </c>
      <c r="W152" s="12" t="n">
        <v>0</v>
      </c>
      <c r="X152" s="12" t="n">
        <v>0</v>
      </c>
    </row>
    <row r="154">
      <c r="A154" s="16" t="inlineStr">
        <is>
          <t>부문 · 전 항목</t>
        </is>
      </c>
      <c r="B154" s="42" t="inlineStr">
        <is>
          <t>부문 · 항목</t>
        </is>
      </c>
      <c r="C154" s="16" t="n"/>
      <c r="D154" s="16" t="n"/>
      <c r="E154" s="16" t="n"/>
      <c r="F154" s="16" t="n"/>
      <c r="G154" s="16" t="n"/>
      <c r="H154" s="16" t="n"/>
      <c r="I154" s="16" t="n"/>
      <c r="J154" s="16" t="n"/>
      <c r="K154" s="16" t="n"/>
      <c r="L154" s="16" t="n"/>
      <c r="M154" s="16" t="n"/>
      <c r="N154" s="16" t="n"/>
      <c r="O154" s="16" t="n"/>
      <c r="P154" s="16" t="n"/>
      <c r="Q154" s="16" t="n"/>
      <c r="R154" s="16" t="n"/>
      <c r="S154" s="16" t="n"/>
      <c r="T154" s="16" t="n"/>
      <c r="U154" s="16" t="n"/>
      <c r="V154" s="16" t="n"/>
      <c r="W154" s="16" t="n"/>
      <c r="X154" s="16" t="n"/>
      <c r="Y154" s="16" t="n"/>
      <c r="Z154" s="16" t="n"/>
      <c r="AA154" s="16" t="n"/>
      <c r="AB154" s="16" t="n"/>
      <c r="AC154" s="16" t="n"/>
    </row>
    <row r="155">
      <c r="A155" s="5" t="inlineStr">
        <is>
          <t>항목</t>
        </is>
      </c>
      <c r="B155" s="5" t="inlineStr">
        <is>
          <t>참고</t>
        </is>
      </c>
      <c r="C155" s="5" t="inlineStr">
        <is>
          <t>2024.3Q</t>
        </is>
      </c>
      <c r="D155" s="5" t="inlineStr">
        <is>
          <t>2024.4Q</t>
        </is>
      </c>
      <c r="E155" s="5" t="inlineStr">
        <is>
          <t>2025.1Q</t>
        </is>
      </c>
      <c r="F155" s="5" t="inlineStr">
        <is>
          <t>2025.2Q</t>
        </is>
      </c>
      <c r="G155" s="5" t="inlineStr">
        <is>
          <t>2025.3Q</t>
        </is>
      </c>
      <c r="H155" s="5" t="inlineStr">
        <is>
          <t>2025.4Q</t>
        </is>
      </c>
      <c r="I155" s="5" t="inlineStr">
        <is>
          <t>2026.1Q</t>
        </is>
      </c>
      <c r="J155" s="5" t="inlineStr">
        <is>
          <t>2026.2Q</t>
        </is>
      </c>
      <c r="K155" s="5" t="inlineStr">
        <is>
          <t>2026.3Q</t>
        </is>
      </c>
      <c r="L155" s="5" t="inlineStr">
        <is>
          <t>2026.4Q</t>
        </is>
      </c>
      <c r="M155" s="5" t="inlineStr">
        <is>
          <t>2027.1Q</t>
        </is>
      </c>
      <c r="N155" s="5" t="inlineStr">
        <is>
          <t>2027.2Q</t>
        </is>
      </c>
      <c r="O155" s="5" t="inlineStr">
        <is>
          <t>2017</t>
        </is>
      </c>
      <c r="P155" s="5" t="inlineStr">
        <is>
          <t>2018</t>
        </is>
      </c>
      <c r="Q155" s="5" t="inlineStr">
        <is>
          <t>2019</t>
        </is>
      </c>
      <c r="R155" s="5" t="inlineStr">
        <is>
          <t>2020</t>
        </is>
      </c>
      <c r="S155" s="5" t="inlineStr">
        <is>
          <t>2021</t>
        </is>
      </c>
      <c r="T155" s="5" t="inlineStr">
        <is>
          <t>2022</t>
        </is>
      </c>
      <c r="U155" s="5" t="inlineStr">
        <is>
          <t>2023</t>
        </is>
      </c>
      <c r="V155" s="5" t="inlineStr">
        <is>
          <t>2024</t>
        </is>
      </c>
      <c r="W155" s="5" t="inlineStr">
        <is>
          <t>2025</t>
        </is>
      </c>
      <c r="X155" s="5" t="inlineStr">
        <is>
          <t>2026</t>
        </is>
      </c>
      <c r="Y155" s="5" t="inlineStr">
        <is>
          <t>2027(MW)</t>
        </is>
      </c>
      <c r="Z155" s="5" t="inlineStr">
        <is>
          <t>2028(MW)</t>
        </is>
      </c>
      <c r="AA155" s="5" t="inlineStr">
        <is>
          <t>2029(MW)</t>
        </is>
      </c>
      <c r="AB155" s="5" t="inlineStr">
        <is>
          <t>2030(MW)</t>
        </is>
      </c>
      <c r="AC155" s="5" t="inlineStr">
        <is>
          <t>2031(MW)</t>
        </is>
      </c>
    </row>
    <row r="156">
      <c r="A156" s="18" t="inlineStr">
        <is>
          <t>EastReportableSegmentsMember · 외부 고객 매출</t>
        </is>
      </c>
      <c r="C156" s="20" t="n">
        <v>3312.389</v>
      </c>
      <c r="D156" s="20" t="n">
        <v>2678.798</v>
      </c>
      <c r="E156" s="20" t="n">
        <v>2684.847</v>
      </c>
      <c r="F156" s="20" t="n">
        <v>2928.239</v>
      </c>
      <c r="G156" s="20" t="n">
        <v>3358.389</v>
      </c>
      <c r="H156" s="20" t="n">
        <v>2779.274</v>
      </c>
      <c r="I156" s="20" t="n">
        <v>2647.548</v>
      </c>
      <c r="J156" s="20" t="n">
        <v>2732.592</v>
      </c>
      <c r="K156" s="20" t="n">
        <v>3128.084</v>
      </c>
      <c r="L156" s="20" t="n">
        <v>2884.363</v>
      </c>
      <c r="M156" s="20" t="n">
        <v>2917.935</v>
      </c>
      <c r="N156" s="20" t="n">
        <v>3048.399</v>
      </c>
      <c r="V156" s="20" t="n">
        <v>2678.798</v>
      </c>
      <c r="W156" s="20" t="n">
        <v>2779.274</v>
      </c>
      <c r="X156" s="20" t="n">
        <v>2884.363</v>
      </c>
    </row>
    <row r="157">
      <c r="A157" s="43" t="inlineStr">
        <is>
          <t>YoY</t>
        </is>
      </c>
      <c r="B157" s="3" t="inlineStr">
        <is>
          <t>전년 같은 분기·전년 대비</t>
        </is>
      </c>
      <c r="G157" s="15">
        <f>IF(OR(G156="",C156=""),"",IF(C156&lt;=0,"",IFERROR(G156/C156-1,"")))</f>
        <v/>
      </c>
      <c r="H157" s="15">
        <f>IF(OR(H156="",D156=""),"",IF(D156&lt;=0,"",IFERROR(H156/D156-1,"")))</f>
        <v/>
      </c>
      <c r="I157" s="15">
        <f>IF(OR(I156="",E156=""),"",IF(E156&lt;=0,"",IFERROR(I156/E156-1,"")))</f>
        <v/>
      </c>
      <c r="J157" s="15">
        <f>IF(OR(J156="",F156=""),"",IF(F156&lt;=0,"",IFERROR(J156/F156-1,"")))</f>
        <v/>
      </c>
      <c r="K157" s="15">
        <f>IF(OR(K156="",G156=""),"",IF(G156&lt;=0,"",IFERROR(K156/G156-1,"")))</f>
        <v/>
      </c>
      <c r="L157" s="15">
        <f>IF(OR(L156="",H156=""),"",IF(H156&lt;=0,"",IFERROR(L156/H156-1,"")))</f>
        <v/>
      </c>
      <c r="M157" s="15">
        <f>IF(OR(M156="",I156=""),"",IF(I156&lt;=0,"",IFERROR(M156/I156-1,"")))</f>
        <v/>
      </c>
      <c r="N157" s="15">
        <f>IF(OR(N156="",J156=""),"",IF(J156&lt;=0,"",IFERROR(N156/J156-1,"")))</f>
        <v/>
      </c>
      <c r="V157" s="15">
        <f>IF(OR(V156="",U156=""),"",IF(U156&lt;=0,"",IFERROR(V156/U156-1,"")))</f>
        <v/>
      </c>
      <c r="W157" s="15">
        <f>IF(OR(W156="",V156=""),"",IF(V156&lt;=0,"",IFERROR(W156/V156-1,"")))</f>
        <v/>
      </c>
      <c r="X157" s="15">
        <f>IF(OR(X156="",W156=""),"",IF(W156&lt;=0,"",IFERROR(X156/W156-1,"")))</f>
        <v/>
      </c>
    </row>
    <row r="158">
      <c r="A158" s="18" t="inlineStr">
        <is>
          <t>CentralReportableSegmentsMember · 외부 고객 매출</t>
        </is>
      </c>
      <c r="C158" s="20" t="n">
        <v>3585.745</v>
      </c>
      <c r="D158" s="20" t="n">
        <v>3129.582</v>
      </c>
      <c r="E158" s="20" t="n">
        <v>3084.093</v>
      </c>
      <c r="F158" s="20" t="n">
        <v>3458.425</v>
      </c>
      <c r="G158" s="20" t="n">
        <v>3956.585</v>
      </c>
      <c r="H158" s="20" t="n">
        <v>4116.88</v>
      </c>
      <c r="I158" s="20" t="n">
        <v>3183.722</v>
      </c>
      <c r="J158" s="20" t="n">
        <v>3270.574</v>
      </c>
      <c r="K158" s="20" t="n">
        <v>3896.478</v>
      </c>
      <c r="L158" s="20" t="n">
        <v>3690.494</v>
      </c>
      <c r="M158" s="20" t="n">
        <v>3310.076</v>
      </c>
      <c r="N158" s="20" t="n">
        <v>3743.416</v>
      </c>
      <c r="V158" s="20" t="n">
        <v>3129.582</v>
      </c>
      <c r="W158" s="20" t="n">
        <v>4116.88</v>
      </c>
      <c r="X158" s="20" t="n">
        <v>3690.494</v>
      </c>
    </row>
    <row r="159">
      <c r="A159" s="43" t="inlineStr">
        <is>
          <t>YoY</t>
        </is>
      </c>
      <c r="B159" s="3" t="inlineStr">
        <is>
          <t>전년 같은 분기·전년 대비</t>
        </is>
      </c>
      <c r="G159" s="15">
        <f>IF(OR(G158="",C158=""),"",IF(C158&lt;=0,"",IFERROR(G158/C158-1,"")))</f>
        <v/>
      </c>
      <c r="H159" s="15">
        <f>IF(OR(H158="",D158=""),"",IF(D158&lt;=0,"",IFERROR(H158/D158-1,"")))</f>
        <v/>
      </c>
      <c r="I159" s="15">
        <f>IF(OR(I158="",E158=""),"",IF(E158&lt;=0,"",IFERROR(I158/E158-1,"")))</f>
        <v/>
      </c>
      <c r="J159" s="15">
        <f>IF(OR(J158="",F158=""),"",IF(F158&lt;=0,"",IFERROR(J158/F158-1,"")))</f>
        <v/>
      </c>
      <c r="K159" s="15">
        <f>IF(OR(K158="",G158=""),"",IF(G158&lt;=0,"",IFERROR(K158/G158-1,"")))</f>
        <v/>
      </c>
      <c r="L159" s="15">
        <f>IF(OR(L158="",H158=""),"",IF(H158&lt;=0,"",IFERROR(L158/H158-1,"")))</f>
        <v/>
      </c>
      <c r="M159" s="15">
        <f>IF(OR(M158="",I158=""),"",IF(I158&lt;=0,"",IFERROR(M158/I158-1,"")))</f>
        <v/>
      </c>
      <c r="N159" s="15">
        <f>IF(OR(N158="",J158=""),"",IF(J158&lt;=0,"",IFERROR(N158/J158-1,"")))</f>
        <v/>
      </c>
      <c r="V159" s="15">
        <f>IF(OR(V158="",U158=""),"",IF(U158&lt;=0,"",IFERROR(V158/U158-1,"")))</f>
        <v/>
      </c>
      <c r="W159" s="15">
        <f>IF(OR(W158="",V158=""),"",IF(V158&lt;=0,"",IFERROR(W158/V158-1,"")))</f>
        <v/>
      </c>
      <c r="X159" s="15">
        <f>IF(OR(X158="",W158=""),"",IF(W158&lt;=0,"",IFERROR(X158/W158-1,"")))</f>
        <v/>
      </c>
    </row>
    <row r="160">
      <c r="A160" s="18" t="inlineStr">
        <is>
          <t>WestReportableSegmentsMember · 외부 고객 매출</t>
        </is>
      </c>
      <c r="C160" s="20" t="n">
        <v>5915.309</v>
      </c>
      <c r="D160" s="20" t="n">
        <v>5098.7</v>
      </c>
      <c r="E160" s="20" t="n">
        <v>4796.757</v>
      </c>
      <c r="F160" s="20" t="n">
        <v>5407.302</v>
      </c>
      <c r="G160" s="20" t="n">
        <v>6113.664</v>
      </c>
      <c r="H160" s="20" t="n">
        <v>5050.996</v>
      </c>
      <c r="I160" s="20" t="n">
        <v>4910.096</v>
      </c>
      <c r="J160" s="20" t="n">
        <v>5172.266</v>
      </c>
      <c r="K160" s="20" t="n">
        <v>5899.57</v>
      </c>
      <c r="L160" s="20" t="n">
        <v>5280.148</v>
      </c>
      <c r="M160" s="20" t="n">
        <v>5340.753</v>
      </c>
      <c r="N160" s="20" t="n">
        <v>5490.304</v>
      </c>
      <c r="V160" s="20" t="n">
        <v>5098.7</v>
      </c>
      <c r="W160" s="20" t="n">
        <v>5050.996</v>
      </c>
      <c r="X160" s="20" t="n">
        <v>5280.148</v>
      </c>
    </row>
    <row r="161">
      <c r="A161" s="43" t="inlineStr">
        <is>
          <t>YoY</t>
        </is>
      </c>
      <c r="B161" s="3" t="inlineStr">
        <is>
          <t>전년 같은 분기·전년 대비</t>
        </is>
      </c>
      <c r="G161" s="15">
        <f>IF(OR(G160="",C160=""),"",IF(C160&lt;=0,"",IFERROR(G160/C160-1,"")))</f>
        <v/>
      </c>
      <c r="H161" s="15">
        <f>IF(OR(H160="",D160=""),"",IF(D160&lt;=0,"",IFERROR(H160/D160-1,"")))</f>
        <v/>
      </c>
      <c r="I161" s="15">
        <f>IF(OR(I160="",E160=""),"",IF(E160&lt;=0,"",IFERROR(I160/E160-1,"")))</f>
        <v/>
      </c>
      <c r="J161" s="15">
        <f>IF(OR(J160="",F160=""),"",IF(F160&lt;=0,"",IFERROR(J160/F160-1,"")))</f>
        <v/>
      </c>
      <c r="K161" s="15">
        <f>IF(OR(K160="",G160=""),"",IF(G160&lt;=0,"",IFERROR(K160/G160-1,"")))</f>
        <v/>
      </c>
      <c r="L161" s="15">
        <f>IF(OR(L160="",H160=""),"",IF(H160&lt;=0,"",IFERROR(L160/H160-1,"")))</f>
        <v/>
      </c>
      <c r="M161" s="15">
        <f>IF(OR(M160="",I160=""),"",IF(I160&lt;=0,"",IFERROR(M160/I160-1,"")))</f>
        <v/>
      </c>
      <c r="N161" s="15">
        <f>IF(OR(N160="",J160=""),"",IF(J160&lt;=0,"",IFERROR(N160/J160-1,"")))</f>
        <v/>
      </c>
      <c r="V161" s="15">
        <f>IF(OR(V160="",U160=""),"",IF(U160&lt;=0,"",IFERROR(V160/U160-1,"")))</f>
        <v/>
      </c>
      <c r="W161" s="15">
        <f>IF(OR(W160="",V160=""),"",IF(V160&lt;=0,"",IFERROR(W160/V160-1,"")))</f>
        <v/>
      </c>
      <c r="X161" s="15">
        <f>IF(OR(X160="",W160=""),"",IF(W160&lt;=0,"",IFERROR(X160/W160-1,"")))</f>
        <v/>
      </c>
    </row>
    <row r="162">
      <c r="A162" s="18" t="inlineStr">
        <is>
          <t>OverseasReportableSegmentsMember · 외부 고객 매출</t>
        </is>
      </c>
      <c r="C162" s="20" t="n">
        <v>493.355</v>
      </c>
      <c r="D162" s="20" t="n">
        <v>364.682</v>
      </c>
      <c r="E162" s="20" t="n">
        <v>410.701</v>
      </c>
      <c r="F162" s="20" t="n">
        <v>404.797</v>
      </c>
      <c r="G162" s="20" t="n">
        <v>514.4589999999999</v>
      </c>
      <c r="H162" s="20" t="n">
        <v>399.707</v>
      </c>
      <c r="I162" s="20" t="n">
        <v>429.074</v>
      </c>
      <c r="J162" s="20" t="n">
        <v>428.511</v>
      </c>
      <c r="K162" s="20" t="n">
        <v>578.663</v>
      </c>
      <c r="L162" s="20" t="n">
        <v>479.437</v>
      </c>
      <c r="M162" s="20" t="n">
        <v>563.67</v>
      </c>
      <c r="N162" s="20" t="n">
        <v>576.122</v>
      </c>
      <c r="V162" s="20" t="n">
        <v>364.682</v>
      </c>
      <c r="W162" s="20" t="n">
        <v>399.707</v>
      </c>
      <c r="X162" s="20" t="n">
        <v>479.437</v>
      </c>
    </row>
    <row r="163">
      <c r="A163" s="43" t="inlineStr">
        <is>
          <t>YoY</t>
        </is>
      </c>
      <c r="B163" s="3" t="inlineStr">
        <is>
          <t>전년 같은 분기·전년 대비</t>
        </is>
      </c>
      <c r="G163" s="15">
        <f>IF(OR(G162="",C162=""),"",IF(C162&lt;=0,"",IFERROR(G162/C162-1,"")))</f>
        <v/>
      </c>
      <c r="H163" s="15">
        <f>IF(OR(H162="",D162=""),"",IF(D162&lt;=0,"",IFERROR(H162/D162-1,"")))</f>
        <v/>
      </c>
      <c r="I163" s="15">
        <f>IF(OR(I162="",E162=""),"",IF(E162&lt;=0,"",IFERROR(I162/E162-1,"")))</f>
        <v/>
      </c>
      <c r="J163" s="15">
        <f>IF(OR(J162="",F162=""),"",IF(F162&lt;=0,"",IFERROR(J162/F162-1,"")))</f>
        <v/>
      </c>
      <c r="K163" s="15">
        <f>IF(OR(K162="",G162=""),"",IF(G162&lt;=0,"",IFERROR(K162/G162-1,"")))</f>
        <v/>
      </c>
      <c r="L163" s="15">
        <f>IF(OR(L162="",H162=""),"",IF(H162&lt;=0,"",IFERROR(L162/H162-1,"")))</f>
        <v/>
      </c>
      <c r="M163" s="15">
        <f>IF(OR(M162="",I162=""),"",IF(I162&lt;=0,"",IFERROR(M162/I162-1,"")))</f>
        <v/>
      </c>
      <c r="N163" s="15">
        <f>IF(OR(N162="",J162=""),"",IF(J162&lt;=0,"",IFERROR(N162/J162-1,"")))</f>
        <v/>
      </c>
      <c r="V163" s="15">
        <f>IF(OR(V162="",U162=""),"",IF(U162&lt;=0,"",IFERROR(V162/U162-1,"")))</f>
        <v/>
      </c>
      <c r="W163" s="15">
        <f>IF(OR(W162="",V162=""),"",IF(V162&lt;=0,"",IFERROR(W162/V162-1,"")))</f>
        <v/>
      </c>
      <c r="X163" s="15">
        <f>IF(OR(X162="",W162=""),"",IF(W162&lt;=0,"",IFERROR(X162/W162-1,"")))</f>
        <v/>
      </c>
    </row>
    <row r="164">
      <c r="A164" s="18" t="inlineStr">
        <is>
          <t>EntityTotalMember · 외부 고객 매출</t>
        </is>
      </c>
      <c r="E164" s="20" t="n">
        <v>10976.4</v>
      </c>
      <c r="I164" s="20" t="n">
        <v>11170.441</v>
      </c>
      <c r="M164" s="20" t="n">
        <v>12132.436</v>
      </c>
    </row>
    <row r="165">
      <c r="A165" s="9" t="inlineStr">
        <is>
          <t>외부 고객 매출</t>
        </is>
      </c>
      <c r="C165" s="12" t="n">
        <v>13306.798</v>
      </c>
      <c r="D165" s="12" t="n">
        <v>11271.761</v>
      </c>
      <c r="E165" s="12" t="n">
        <v>10976.4</v>
      </c>
      <c r="F165" s="12" t="n">
        <v>12198.763</v>
      </c>
      <c r="G165" s="12" t="n">
        <v>13943.097</v>
      </c>
      <c r="H165" s="12" t="n">
        <v>12346.856</v>
      </c>
      <c r="V165" s="12" t="n">
        <v>11271.761</v>
      </c>
      <c r="W165" s="12" t="n">
        <v>12346.856</v>
      </c>
    </row>
    <row r="166">
      <c r="A166" s="43" t="inlineStr">
        <is>
          <t>YoY</t>
        </is>
      </c>
      <c r="B166" s="3" t="inlineStr">
        <is>
          <t>전년 같은 분기·전년 대비</t>
        </is>
      </c>
      <c r="G166" s="15">
        <f>IF(OR(G165="",C165=""),"",IF(C165&lt;=0,"",IFERROR(G165/C165-1,"")))</f>
        <v/>
      </c>
      <c r="H166" s="15">
        <f>IF(OR(H165="",D165=""),"",IF(D165&lt;=0,"",IFERROR(H165/D165-1,"")))</f>
        <v/>
      </c>
      <c r="V166" s="15">
        <f>IF(OR(V165="",U165=""),"",IF(U165&lt;=0,"",IFERROR(V165/U165-1,"")))</f>
        <v/>
      </c>
      <c r="W166" s="15">
        <f>IF(OR(W165="",V165=""),"",IF(V165&lt;=0,"",IFERROR(W165/V165-1,"")))</f>
        <v/>
      </c>
    </row>
    <row r="167">
      <c r="A167" s="18" t="inlineStr">
        <is>
          <t>EastReportableSegmentsMember · 부문 이익</t>
        </is>
      </c>
      <c r="C167" s="20" t="n">
        <v>257.642</v>
      </c>
      <c r="D167" s="20" t="n">
        <v>89.56999999999999</v>
      </c>
      <c r="E167" s="20" t="n">
        <v>92.72</v>
      </c>
      <c r="F167" s="20" t="n">
        <v>130.127</v>
      </c>
      <c r="G167" s="20" t="n">
        <v>268.251</v>
      </c>
      <c r="H167" s="20" t="n">
        <v>36.612</v>
      </c>
      <c r="I167" s="20" t="n">
        <v>42.513</v>
      </c>
      <c r="J167" s="20" t="n">
        <v>62.8</v>
      </c>
      <c r="K167" s="20" t="n">
        <v>186.409</v>
      </c>
      <c r="L167" s="20" t="n">
        <v>88.53400000000001</v>
      </c>
      <c r="M167" s="20" t="n">
        <v>77.73099999999999</v>
      </c>
      <c r="N167" s="20" t="n">
        <v>80.831</v>
      </c>
      <c r="V167" s="20" t="n">
        <v>89.56999999999999</v>
      </c>
      <c r="W167" s="20" t="n">
        <v>36.612</v>
      </c>
      <c r="X167" s="20" t="n">
        <v>88.53400000000001</v>
      </c>
    </row>
    <row r="168">
      <c r="A168" s="43" t="inlineStr">
        <is>
          <t>OPM</t>
        </is>
      </c>
      <c r="B168" s="3" t="inlineStr">
        <is>
          <t>영업이익 ÷ 매출</t>
        </is>
      </c>
      <c r="C168" s="15">
        <f>IF(OR(C167="",C156=""),"",IF(C156&lt;=0,"",IFERROR(C167/C156,"")))</f>
        <v/>
      </c>
      <c r="D168" s="15">
        <f>IF(OR(D167="",D156=""),"",IF(D156&lt;=0,"",IFERROR(D167/D156,"")))</f>
        <v/>
      </c>
      <c r="E168" s="15">
        <f>IF(OR(E167="",E156=""),"",IF(E156&lt;=0,"",IFERROR(E167/E156,"")))</f>
        <v/>
      </c>
      <c r="F168" s="15">
        <f>IF(OR(F167="",F156=""),"",IF(F156&lt;=0,"",IFERROR(F167/F156,"")))</f>
        <v/>
      </c>
      <c r="G168" s="15">
        <f>IF(OR(G167="",G156=""),"",IF(G156&lt;=0,"",IFERROR(G167/G156,"")))</f>
        <v/>
      </c>
      <c r="H168" s="15">
        <f>IF(OR(H167="",H156=""),"",IF(H156&lt;=0,"",IFERROR(H167/H156,"")))</f>
        <v/>
      </c>
      <c r="I168" s="15">
        <f>IF(OR(I167="",I156=""),"",IF(I156&lt;=0,"",IFERROR(I167/I156,"")))</f>
        <v/>
      </c>
      <c r="J168" s="15">
        <f>IF(OR(J167="",J156=""),"",IF(J156&lt;=0,"",IFERROR(J167/J156,"")))</f>
        <v/>
      </c>
      <c r="K168" s="15">
        <f>IF(OR(K167="",K156=""),"",IF(K156&lt;=0,"",IFERROR(K167/K156,"")))</f>
        <v/>
      </c>
      <c r="L168" s="15">
        <f>IF(OR(L167="",L156=""),"",IF(L156&lt;=0,"",IFERROR(L167/L156,"")))</f>
        <v/>
      </c>
      <c r="M168" s="15">
        <f>IF(OR(M167="",M156=""),"",IF(M156&lt;=0,"",IFERROR(M167/M156,"")))</f>
        <v/>
      </c>
      <c r="N168" s="15">
        <f>IF(OR(N167="",N156=""),"",IF(N156&lt;=0,"",IFERROR(N167/N156,"")))</f>
        <v/>
      </c>
      <c r="V168" s="15">
        <f>IF(OR(V167="",V156=""),"",IF(V156&lt;=0,"",IFERROR(V167/V156,"")))</f>
        <v/>
      </c>
      <c r="W168" s="15">
        <f>IF(OR(W167="",W156=""),"",IF(W156&lt;=0,"",IFERROR(W167/W156,"")))</f>
        <v/>
      </c>
      <c r="X168" s="15">
        <f>IF(OR(X167="",X156=""),"",IF(X156&lt;=0,"",IFERROR(X167/X156,"")))</f>
        <v/>
      </c>
    </row>
    <row r="169">
      <c r="A169" s="43" t="inlineStr">
        <is>
          <t>YoY</t>
        </is>
      </c>
      <c r="B169" s="3" t="inlineStr">
        <is>
          <t>전년 같은 분기·전년 대비</t>
        </is>
      </c>
      <c r="G169" s="15">
        <f>IF(OR(G167="",C167=""),"",IF(C167&lt;=0,"",IFERROR(G167/C167-1,"")))</f>
        <v/>
      </c>
      <c r="H169" s="15">
        <f>IF(OR(H167="",D167=""),"",IF(D167&lt;=0,"",IFERROR(H167/D167-1,"")))</f>
        <v/>
      </c>
      <c r="I169" s="15">
        <f>IF(OR(I167="",E167=""),"",IF(E167&lt;=0,"",IFERROR(I167/E167-1,"")))</f>
        <v/>
      </c>
      <c r="J169" s="15">
        <f>IF(OR(J167="",F167=""),"",IF(F167&lt;=0,"",IFERROR(J167/F167-1,"")))</f>
        <v/>
      </c>
      <c r="K169" s="15">
        <f>IF(OR(K167="",G167=""),"",IF(G167&lt;=0,"",IFERROR(K167/G167-1,"")))</f>
        <v/>
      </c>
      <c r="L169" s="15">
        <f>IF(OR(L167="",H167=""),"",IF(H167&lt;=0,"",IFERROR(L167/H167-1,"")))</f>
        <v/>
      </c>
      <c r="M169" s="15">
        <f>IF(OR(M167="",I167=""),"",IF(I167&lt;=0,"",IFERROR(M167/I167-1,"")))</f>
        <v/>
      </c>
      <c r="N169" s="15">
        <f>IF(OR(N167="",J167=""),"",IF(J167&lt;=0,"",IFERROR(N167/J167-1,"")))</f>
        <v/>
      </c>
      <c r="V169" s="15">
        <f>IF(OR(V167="",U167=""),"",IF(U167&lt;=0,"",IFERROR(V167/U167-1,"")))</f>
        <v/>
      </c>
      <c r="W169" s="15">
        <f>IF(OR(W167="",V167=""),"",IF(V167&lt;=0,"",IFERROR(W167/V167-1,"")))</f>
        <v/>
      </c>
      <c r="X169" s="15">
        <f>IF(OR(X167="",W167=""),"",IF(W167&lt;=0,"",IFERROR(X167/W167-1,"")))</f>
        <v/>
      </c>
    </row>
    <row r="170">
      <c r="A170" s="18" t="inlineStr">
        <is>
          <t>CentralReportableSegmentsMember · 부문 이익</t>
        </is>
      </c>
      <c r="C170" s="20" t="n">
        <v>224.205</v>
      </c>
      <c r="D170" s="20" t="n">
        <v>84.462</v>
      </c>
      <c r="E170" s="20" t="n">
        <v>82.874</v>
      </c>
      <c r="F170" s="20" t="n">
        <v>140.157</v>
      </c>
      <c r="G170" s="20" t="n">
        <v>320.031</v>
      </c>
      <c r="H170" s="20" t="n">
        <v>202.369</v>
      </c>
      <c r="I170" s="20" t="n">
        <v>57.537</v>
      </c>
      <c r="J170" s="20" t="n">
        <v>72.012</v>
      </c>
      <c r="K170" s="20" t="n">
        <v>249.486</v>
      </c>
      <c r="L170" s="20" t="n">
        <v>166.944</v>
      </c>
      <c r="M170" s="20" t="n">
        <v>124.648</v>
      </c>
      <c r="N170" s="20" t="n">
        <v>168.404</v>
      </c>
      <c r="V170" s="20" t="n">
        <v>84.462</v>
      </c>
      <c r="W170" s="20" t="n">
        <v>202.369</v>
      </c>
      <c r="X170" s="20" t="n">
        <v>166.944</v>
      </c>
    </row>
    <row r="171">
      <c r="A171" s="43" t="inlineStr">
        <is>
          <t>OPM</t>
        </is>
      </c>
      <c r="B171" s="3" t="inlineStr">
        <is>
          <t>영업이익 ÷ 매출</t>
        </is>
      </c>
      <c r="C171" s="15">
        <f>IF(OR(C170="",C158=""),"",IF(C158&lt;=0,"",IFERROR(C170/C158,"")))</f>
        <v/>
      </c>
      <c r="D171" s="15">
        <f>IF(OR(D170="",D158=""),"",IF(D158&lt;=0,"",IFERROR(D170/D158,"")))</f>
        <v/>
      </c>
      <c r="E171" s="15">
        <f>IF(OR(E170="",E158=""),"",IF(E158&lt;=0,"",IFERROR(E170/E158,"")))</f>
        <v/>
      </c>
      <c r="F171" s="15">
        <f>IF(OR(F170="",F158=""),"",IF(F158&lt;=0,"",IFERROR(F170/F158,"")))</f>
        <v/>
      </c>
      <c r="G171" s="15">
        <f>IF(OR(G170="",G158=""),"",IF(G158&lt;=0,"",IFERROR(G170/G158,"")))</f>
        <v/>
      </c>
      <c r="H171" s="15">
        <f>IF(OR(H170="",H158=""),"",IF(H158&lt;=0,"",IFERROR(H170/H158,"")))</f>
        <v/>
      </c>
      <c r="I171" s="15">
        <f>IF(OR(I170="",I158=""),"",IF(I158&lt;=0,"",IFERROR(I170/I158,"")))</f>
        <v/>
      </c>
      <c r="J171" s="15">
        <f>IF(OR(J170="",J158=""),"",IF(J158&lt;=0,"",IFERROR(J170/J158,"")))</f>
        <v/>
      </c>
      <c r="K171" s="15">
        <f>IF(OR(K170="",K158=""),"",IF(K158&lt;=0,"",IFERROR(K170/K158,"")))</f>
        <v/>
      </c>
      <c r="L171" s="15">
        <f>IF(OR(L170="",L158=""),"",IF(L158&lt;=0,"",IFERROR(L170/L158,"")))</f>
        <v/>
      </c>
      <c r="M171" s="15">
        <f>IF(OR(M170="",M158=""),"",IF(M158&lt;=0,"",IFERROR(M170/M158,"")))</f>
        <v/>
      </c>
      <c r="N171" s="15">
        <f>IF(OR(N170="",N158=""),"",IF(N158&lt;=0,"",IFERROR(N170/N158,"")))</f>
        <v/>
      </c>
      <c r="V171" s="15">
        <f>IF(OR(V170="",V158=""),"",IF(V158&lt;=0,"",IFERROR(V170/V158,"")))</f>
        <v/>
      </c>
      <c r="W171" s="15">
        <f>IF(OR(W170="",W158=""),"",IF(W158&lt;=0,"",IFERROR(W170/W158,"")))</f>
        <v/>
      </c>
      <c r="X171" s="15">
        <f>IF(OR(X170="",X158=""),"",IF(X158&lt;=0,"",IFERROR(X170/X158,"")))</f>
        <v/>
      </c>
    </row>
    <row r="172">
      <c r="A172" s="43" t="inlineStr">
        <is>
          <t>YoY</t>
        </is>
      </c>
      <c r="B172" s="3" t="inlineStr">
        <is>
          <t>전년 같은 분기·전년 대비</t>
        </is>
      </c>
      <c r="G172" s="15">
        <f>IF(OR(G170="",C170=""),"",IF(C170&lt;=0,"",IFERROR(G170/C170-1,"")))</f>
        <v/>
      </c>
      <c r="H172" s="15">
        <f>IF(OR(H170="",D170=""),"",IF(D170&lt;=0,"",IFERROR(H170/D170-1,"")))</f>
        <v/>
      </c>
      <c r="I172" s="15">
        <f>IF(OR(I170="",E170=""),"",IF(E170&lt;=0,"",IFERROR(I170/E170-1,"")))</f>
        <v/>
      </c>
      <c r="J172" s="15">
        <f>IF(OR(J170="",F170=""),"",IF(F170&lt;=0,"",IFERROR(J170/F170-1,"")))</f>
        <v/>
      </c>
      <c r="K172" s="15">
        <f>IF(OR(K170="",G170=""),"",IF(G170&lt;=0,"",IFERROR(K170/G170-1,"")))</f>
        <v/>
      </c>
      <c r="L172" s="15">
        <f>IF(OR(L170="",H170=""),"",IF(H170&lt;=0,"",IFERROR(L170/H170-1,"")))</f>
        <v/>
      </c>
      <c r="M172" s="15">
        <f>IF(OR(M170="",I170=""),"",IF(I170&lt;=0,"",IFERROR(M170/I170-1,"")))</f>
        <v/>
      </c>
      <c r="N172" s="15">
        <f>IF(OR(N170="",J170=""),"",IF(J170&lt;=0,"",IFERROR(N170/J170-1,"")))</f>
        <v/>
      </c>
      <c r="V172" s="15">
        <f>IF(OR(V170="",U170=""),"",IF(U170&lt;=0,"",IFERROR(V170/U170-1,"")))</f>
        <v/>
      </c>
      <c r="W172" s="15">
        <f>IF(OR(W170="",V170=""),"",IF(V170&lt;=0,"",IFERROR(W170/V170-1,"")))</f>
        <v/>
      </c>
      <c r="X172" s="15">
        <f>IF(OR(X170="",W170=""),"",IF(W170&lt;=0,"",IFERROR(X170/W170-1,"")))</f>
        <v/>
      </c>
    </row>
    <row r="173">
      <c r="A173" s="18" t="inlineStr">
        <is>
          <t>WestReportableSegmentsMember · 부문 이익</t>
        </is>
      </c>
      <c r="C173" s="20" t="n">
        <v>444.433</v>
      </c>
      <c r="D173" s="20" t="n">
        <v>196.588</v>
      </c>
      <c r="E173" s="20" t="n">
        <v>165.708</v>
      </c>
      <c r="F173" s="20" t="n">
        <v>229.486</v>
      </c>
      <c r="G173" s="20" t="n">
        <v>517.027</v>
      </c>
      <c r="H173" s="20" t="n">
        <v>62.898</v>
      </c>
      <c r="I173" s="20" t="n">
        <v>147.468</v>
      </c>
      <c r="J173" s="20" t="n">
        <v>211.363</v>
      </c>
      <c r="K173" s="20" t="n">
        <v>463.148</v>
      </c>
      <c r="L173" s="20" t="n">
        <v>165.553</v>
      </c>
      <c r="M173" s="20" t="n">
        <v>256.474</v>
      </c>
      <c r="N173" s="20" t="n">
        <v>257.608</v>
      </c>
      <c r="V173" s="20" t="n">
        <v>196.588</v>
      </c>
      <c r="W173" s="20" t="n">
        <v>62.898</v>
      </c>
      <c r="X173" s="20" t="n">
        <v>165.553</v>
      </c>
    </row>
    <row r="174">
      <c r="A174" s="43" t="inlineStr">
        <is>
          <t>OPM</t>
        </is>
      </c>
      <c r="B174" s="3" t="inlineStr">
        <is>
          <t>영업이익 ÷ 매출</t>
        </is>
      </c>
      <c r="C174" s="15">
        <f>IF(OR(C173="",C160=""),"",IF(C160&lt;=0,"",IFERROR(C173/C160,"")))</f>
        <v/>
      </c>
      <c r="D174" s="15">
        <f>IF(OR(D173="",D160=""),"",IF(D160&lt;=0,"",IFERROR(D173/D160,"")))</f>
        <v/>
      </c>
      <c r="E174" s="15">
        <f>IF(OR(E173="",E160=""),"",IF(E160&lt;=0,"",IFERROR(E173/E160,"")))</f>
        <v/>
      </c>
      <c r="F174" s="15">
        <f>IF(OR(F173="",F160=""),"",IF(F160&lt;=0,"",IFERROR(F173/F160,"")))</f>
        <v/>
      </c>
      <c r="G174" s="15">
        <f>IF(OR(G173="",G160=""),"",IF(G160&lt;=0,"",IFERROR(G173/G160,"")))</f>
        <v/>
      </c>
      <c r="H174" s="15">
        <f>IF(OR(H173="",H160=""),"",IF(H160&lt;=0,"",IFERROR(H173/H160,"")))</f>
        <v/>
      </c>
      <c r="I174" s="15">
        <f>IF(OR(I173="",I160=""),"",IF(I160&lt;=0,"",IFERROR(I173/I160,"")))</f>
        <v/>
      </c>
      <c r="J174" s="15">
        <f>IF(OR(J173="",J160=""),"",IF(J160&lt;=0,"",IFERROR(J173/J160,"")))</f>
        <v/>
      </c>
      <c r="K174" s="15">
        <f>IF(OR(K173="",K160=""),"",IF(K160&lt;=0,"",IFERROR(K173/K160,"")))</f>
        <v/>
      </c>
      <c r="L174" s="15">
        <f>IF(OR(L173="",L160=""),"",IF(L160&lt;=0,"",IFERROR(L173/L160,"")))</f>
        <v/>
      </c>
      <c r="M174" s="15">
        <f>IF(OR(M173="",M160=""),"",IF(M160&lt;=0,"",IFERROR(M173/M160,"")))</f>
        <v/>
      </c>
      <c r="N174" s="15">
        <f>IF(OR(N173="",N160=""),"",IF(N160&lt;=0,"",IFERROR(N173/N160,"")))</f>
        <v/>
      </c>
      <c r="V174" s="15">
        <f>IF(OR(V173="",V160=""),"",IF(V160&lt;=0,"",IFERROR(V173/V160,"")))</f>
        <v/>
      </c>
      <c r="W174" s="15">
        <f>IF(OR(W173="",W160=""),"",IF(W160&lt;=0,"",IFERROR(W173/W160,"")))</f>
        <v/>
      </c>
      <c r="X174" s="15">
        <f>IF(OR(X173="",X160=""),"",IF(X160&lt;=0,"",IFERROR(X173/X160,"")))</f>
        <v/>
      </c>
    </row>
    <row r="175">
      <c r="A175" s="43" t="inlineStr">
        <is>
          <t>YoY</t>
        </is>
      </c>
      <c r="B175" s="3" t="inlineStr">
        <is>
          <t>전년 같은 분기·전년 대비</t>
        </is>
      </c>
      <c r="G175" s="15">
        <f>IF(OR(G173="",C173=""),"",IF(C173&lt;=0,"",IFERROR(G173/C173-1,"")))</f>
        <v/>
      </c>
      <c r="H175" s="15">
        <f>IF(OR(H173="",D173=""),"",IF(D173&lt;=0,"",IFERROR(H173/D173-1,"")))</f>
        <v/>
      </c>
      <c r="I175" s="15">
        <f>IF(OR(I173="",E173=""),"",IF(E173&lt;=0,"",IFERROR(I173/E173-1,"")))</f>
        <v/>
      </c>
      <c r="J175" s="15">
        <f>IF(OR(J173="",F173=""),"",IF(F173&lt;=0,"",IFERROR(J173/F173-1,"")))</f>
        <v/>
      </c>
      <c r="K175" s="15">
        <f>IF(OR(K173="",G173=""),"",IF(G173&lt;=0,"",IFERROR(K173/G173-1,"")))</f>
        <v/>
      </c>
      <c r="L175" s="15">
        <f>IF(OR(L173="",H173=""),"",IF(H173&lt;=0,"",IFERROR(L173/H173-1,"")))</f>
        <v/>
      </c>
      <c r="M175" s="15">
        <f>IF(OR(M173="",I173=""),"",IF(I173&lt;=0,"",IFERROR(M173/I173-1,"")))</f>
        <v/>
      </c>
      <c r="N175" s="15">
        <f>IF(OR(N173="",J173=""),"",IF(J173&lt;=0,"",IFERROR(N173/J173-1,"")))</f>
        <v/>
      </c>
      <c r="V175" s="15">
        <f>IF(OR(V173="",U173=""),"",IF(U173&lt;=0,"",IFERROR(V173/U173-1,"")))</f>
        <v/>
      </c>
      <c r="W175" s="15">
        <f>IF(OR(W173="",V173=""),"",IF(V173&lt;=0,"",IFERROR(W173/V173-1,"")))</f>
        <v/>
      </c>
      <c r="X175" s="15">
        <f>IF(OR(X173="",W173=""),"",IF(W173&lt;=0,"",IFERROR(X173/W173-1,"")))</f>
        <v/>
      </c>
    </row>
    <row r="176">
      <c r="A176" s="18" t="inlineStr">
        <is>
          <t>OverseasReportableSegmentsMember · 부문 이익</t>
        </is>
      </c>
      <c r="C176" s="20" t="n">
        <v>49.481</v>
      </c>
      <c r="D176" s="20" t="n">
        <v>27.844</v>
      </c>
      <c r="E176" s="20" t="n">
        <v>33.939</v>
      </c>
      <c r="F176" s="20" t="n">
        <v>29.863</v>
      </c>
      <c r="G176" s="20" t="n">
        <v>56.058</v>
      </c>
      <c r="H176" s="20" t="n">
        <v>27.641</v>
      </c>
      <c r="I176" s="20" t="n">
        <v>29.466</v>
      </c>
      <c r="J176" s="20" t="n">
        <v>28.836</v>
      </c>
      <c r="K176" s="20" t="n">
        <v>50.766</v>
      </c>
      <c r="L176" s="20" t="n">
        <v>24.936</v>
      </c>
      <c r="M176" s="20" t="n">
        <v>28.202</v>
      </c>
      <c r="N176" s="20" t="n">
        <v>29.2</v>
      </c>
      <c r="V176" s="20" t="n">
        <v>27.844</v>
      </c>
      <c r="W176" s="20" t="n">
        <v>27.641</v>
      </c>
      <c r="X176" s="20" t="n">
        <v>24.936</v>
      </c>
    </row>
    <row r="177">
      <c r="A177" s="43" t="inlineStr">
        <is>
          <t>OPM</t>
        </is>
      </c>
      <c r="B177" s="3" t="inlineStr">
        <is>
          <t>영업이익 ÷ 매출</t>
        </is>
      </c>
      <c r="C177" s="15">
        <f>IF(OR(C176="",C162=""),"",IF(C162&lt;=0,"",IFERROR(C176/C162,"")))</f>
        <v/>
      </c>
      <c r="D177" s="15">
        <f>IF(OR(D176="",D162=""),"",IF(D162&lt;=0,"",IFERROR(D176/D162,"")))</f>
        <v/>
      </c>
      <c r="E177" s="15">
        <f>IF(OR(E176="",E162=""),"",IF(E162&lt;=0,"",IFERROR(E176/E162,"")))</f>
        <v/>
      </c>
      <c r="F177" s="15">
        <f>IF(OR(F176="",F162=""),"",IF(F162&lt;=0,"",IFERROR(F176/F162,"")))</f>
        <v/>
      </c>
      <c r="G177" s="15">
        <f>IF(OR(G176="",G162=""),"",IF(G162&lt;=0,"",IFERROR(G176/G162,"")))</f>
        <v/>
      </c>
      <c r="H177" s="15">
        <f>IF(OR(H176="",H162=""),"",IF(H162&lt;=0,"",IFERROR(H176/H162,"")))</f>
        <v/>
      </c>
      <c r="I177" s="15">
        <f>IF(OR(I176="",I162=""),"",IF(I162&lt;=0,"",IFERROR(I176/I162,"")))</f>
        <v/>
      </c>
      <c r="J177" s="15">
        <f>IF(OR(J176="",J162=""),"",IF(J162&lt;=0,"",IFERROR(J176/J162,"")))</f>
        <v/>
      </c>
      <c r="K177" s="15">
        <f>IF(OR(K176="",K162=""),"",IF(K162&lt;=0,"",IFERROR(K176/K162,"")))</f>
        <v/>
      </c>
      <c r="L177" s="15">
        <f>IF(OR(L176="",L162=""),"",IF(L162&lt;=0,"",IFERROR(L176/L162,"")))</f>
        <v/>
      </c>
      <c r="M177" s="15">
        <f>IF(OR(M176="",M162=""),"",IF(M162&lt;=0,"",IFERROR(M176/M162,"")))</f>
        <v/>
      </c>
      <c r="N177" s="15">
        <f>IF(OR(N176="",N162=""),"",IF(N162&lt;=0,"",IFERROR(N176/N162,"")))</f>
        <v/>
      </c>
      <c r="V177" s="15">
        <f>IF(OR(V176="",V162=""),"",IF(V162&lt;=0,"",IFERROR(V176/V162,"")))</f>
        <v/>
      </c>
      <c r="W177" s="15">
        <f>IF(OR(W176="",W162=""),"",IF(W162&lt;=0,"",IFERROR(W176/W162,"")))</f>
        <v/>
      </c>
      <c r="X177" s="15">
        <f>IF(OR(X176="",X162=""),"",IF(X162&lt;=0,"",IFERROR(X176/X162,"")))</f>
        <v/>
      </c>
    </row>
    <row r="178">
      <c r="A178" s="43" t="inlineStr">
        <is>
          <t>YoY</t>
        </is>
      </c>
      <c r="B178" s="3" t="inlineStr">
        <is>
          <t>전년 같은 분기·전년 대비</t>
        </is>
      </c>
      <c r="G178" s="15">
        <f>IF(OR(G176="",C176=""),"",IF(C176&lt;=0,"",IFERROR(G176/C176-1,"")))</f>
        <v/>
      </c>
      <c r="H178" s="15">
        <f>IF(OR(H176="",D176=""),"",IF(D176&lt;=0,"",IFERROR(H176/D176-1,"")))</f>
        <v/>
      </c>
      <c r="I178" s="15">
        <f>IF(OR(I176="",E176=""),"",IF(E176&lt;=0,"",IFERROR(I176/E176-1,"")))</f>
        <v/>
      </c>
      <c r="J178" s="15">
        <f>IF(OR(J176="",F176=""),"",IF(F176&lt;=0,"",IFERROR(J176/F176-1,"")))</f>
        <v/>
      </c>
      <c r="K178" s="15">
        <f>IF(OR(K176="",G176=""),"",IF(G176&lt;=0,"",IFERROR(K176/G176-1,"")))</f>
        <v/>
      </c>
      <c r="L178" s="15">
        <f>IF(OR(L176="",H176=""),"",IF(H176&lt;=0,"",IFERROR(L176/H176-1,"")))</f>
        <v/>
      </c>
      <c r="M178" s="15">
        <f>IF(OR(M176="",I176=""),"",IF(I176&lt;=0,"",IFERROR(M176/I176-1,"")))</f>
        <v/>
      </c>
      <c r="N178" s="15">
        <f>IF(OR(N176="",J176=""),"",IF(J176&lt;=0,"",IFERROR(N176/J176-1,"")))</f>
        <v/>
      </c>
      <c r="V178" s="15">
        <f>IF(OR(V176="",U176=""),"",IF(U176&lt;=0,"",IFERROR(V176/U176-1,"")))</f>
        <v/>
      </c>
      <c r="W178" s="15">
        <f>IF(OR(W176="",V176=""),"",IF(V176&lt;=0,"",IFERROR(W176/V176-1,"")))</f>
        <v/>
      </c>
      <c r="X178" s="15">
        <f>IF(OR(X176="",W176=""),"",IF(W176&lt;=0,"",IFERROR(X176/W176-1,"")))</f>
        <v/>
      </c>
    </row>
    <row r="179">
      <c r="A179" s="18" t="inlineStr">
        <is>
          <t>EntityTotalMember · 부문 이익</t>
        </is>
      </c>
      <c r="E179" s="20" t="n">
        <v>375.243</v>
      </c>
      <c r="I179" s="20" t="n">
        <v>276.986</v>
      </c>
      <c r="M179" s="20" t="n">
        <v>487.057</v>
      </c>
    </row>
    <row r="180">
      <c r="A180" s="9" t="inlineStr">
        <is>
          <t>부문 이익</t>
        </is>
      </c>
      <c r="C180" s="12" t="n">
        <v>975.76</v>
      </c>
      <c r="D180" s="12" t="n">
        <v>398.464</v>
      </c>
      <c r="E180" s="12" t="n">
        <v>375.243</v>
      </c>
      <c r="F180" s="12" t="n">
        <v>529.633</v>
      </c>
      <c r="G180" s="12" t="n">
        <v>1161.367</v>
      </c>
      <c r="H180" s="12" t="n">
        <v>329.519</v>
      </c>
      <c r="V180" s="12" t="n">
        <v>398.464</v>
      </c>
      <c r="W180" s="12" t="n">
        <v>329.519</v>
      </c>
    </row>
    <row r="181">
      <c r="A181" s="43" t="inlineStr">
        <is>
          <t>OPM</t>
        </is>
      </c>
      <c r="B181" s="3" t="inlineStr">
        <is>
          <t>영업이익 ÷ 매출</t>
        </is>
      </c>
      <c r="C181" s="15">
        <f>IF(OR(C180="",C165=""),"",IF(C165&lt;=0,"",IFERROR(C180/C165,"")))</f>
        <v/>
      </c>
      <c r="D181" s="15">
        <f>IF(OR(D180="",D165=""),"",IF(D165&lt;=0,"",IFERROR(D180/D165,"")))</f>
        <v/>
      </c>
      <c r="E181" s="15">
        <f>IF(OR(E180="",E165=""),"",IF(E165&lt;=0,"",IFERROR(E180/E165,"")))</f>
        <v/>
      </c>
      <c r="F181" s="15">
        <f>IF(OR(F180="",F165=""),"",IF(F165&lt;=0,"",IFERROR(F180/F165,"")))</f>
        <v/>
      </c>
      <c r="G181" s="15">
        <f>IF(OR(G180="",G165=""),"",IF(G165&lt;=0,"",IFERROR(G180/G165,"")))</f>
        <v/>
      </c>
      <c r="H181" s="15">
        <f>IF(OR(H180="",H165=""),"",IF(H165&lt;=0,"",IFERROR(H180/H165,"")))</f>
        <v/>
      </c>
      <c r="V181" s="15">
        <f>IF(OR(V180="",V165=""),"",IF(V165&lt;=0,"",IFERROR(V180/V165,"")))</f>
        <v/>
      </c>
      <c r="W181" s="15">
        <f>IF(OR(W180="",W165=""),"",IF(W165&lt;=0,"",IFERROR(W180/W165,"")))</f>
        <v/>
      </c>
    </row>
    <row r="182">
      <c r="A182" s="43" t="inlineStr">
        <is>
          <t>YoY</t>
        </is>
      </c>
      <c r="B182" s="3" t="inlineStr">
        <is>
          <t>전년 같은 분기·전년 대비</t>
        </is>
      </c>
      <c r="G182" s="15">
        <f>IF(OR(G180="",C180=""),"",IF(C180&lt;=0,"",IFERROR(G180/C180-1,"")))</f>
        <v/>
      </c>
      <c r="H182" s="15">
        <f>IF(OR(H180="",D180=""),"",IF(D180&lt;=0,"",IFERROR(H180/D180-1,"")))</f>
        <v/>
      </c>
      <c r="V182" s="15">
        <f>IF(OR(V180="",U180=""),"",IF(U180&lt;=0,"",IFERROR(V180/U180-1,"")))</f>
        <v/>
      </c>
      <c r="W182" s="15">
        <f>IF(OR(W180="",V180=""),"",IF(V180&lt;=0,"",IFERROR(W180/V180-1,"")))</f>
        <v/>
      </c>
    </row>
    <row r="184">
      <c r="A184" s="16" t="inlineStr">
        <is>
          <t>현금흐름표 · 전 항목</t>
        </is>
      </c>
      <c r="B184" s="42" t="inlineStr">
        <is>
          <t>분기 = 결산기 첫날부터 누계(공시 그대로)</t>
        </is>
      </c>
      <c r="C184" s="16" t="n"/>
      <c r="D184" s="16" t="n"/>
      <c r="E184" s="16" t="n"/>
      <c r="F184" s="16" t="n"/>
      <c r="G184" s="16" t="n"/>
      <c r="H184" s="16" t="n"/>
      <c r="I184" s="16" t="n"/>
      <c r="J184" s="16" t="n"/>
      <c r="K184" s="16" t="n"/>
      <c r="L184" s="16" t="n"/>
      <c r="M184" s="16" t="n"/>
      <c r="N184" s="16" t="n"/>
      <c r="O184" s="16" t="n"/>
      <c r="P184" s="16" t="n"/>
      <c r="Q184" s="16" t="n"/>
      <c r="R184" s="16" t="n"/>
      <c r="S184" s="16" t="n"/>
      <c r="T184" s="16" t="n"/>
      <c r="U184" s="16" t="n"/>
      <c r="V184" s="16" t="n"/>
      <c r="W184" s="16" t="n"/>
      <c r="X184" s="16" t="n"/>
      <c r="Y184" s="16" t="n"/>
      <c r="Z184" s="16" t="n"/>
      <c r="AA184" s="16" t="n"/>
      <c r="AB184" s="16" t="n"/>
      <c r="AC184" s="16" t="n"/>
    </row>
    <row r="185">
      <c r="A185" s="5" t="inlineStr">
        <is>
          <t>항목</t>
        </is>
      </c>
      <c r="B185" s="5" t="inlineStr">
        <is>
          <t>참고</t>
        </is>
      </c>
      <c r="C185" s="5" t="inlineStr">
        <is>
          <t>2024.3Q</t>
        </is>
      </c>
      <c r="D185" s="5" t="inlineStr">
        <is>
          <t>2024.4Q</t>
        </is>
      </c>
      <c r="E185" s="5" t="inlineStr">
        <is>
          <t>2025.1Q</t>
        </is>
      </c>
      <c r="F185" s="5" t="inlineStr">
        <is>
          <t>2025.2Q</t>
        </is>
      </c>
      <c r="G185" s="5" t="inlineStr">
        <is>
          <t>2025.3Q</t>
        </is>
      </c>
      <c r="H185" s="5" t="inlineStr">
        <is>
          <t>2025.4Q</t>
        </is>
      </c>
      <c r="I185" s="5" t="inlineStr">
        <is>
          <t>2026.1Q</t>
        </is>
      </c>
      <c r="J185" s="5" t="inlineStr">
        <is>
          <t>2026.2Q</t>
        </is>
      </c>
      <c r="K185" s="5" t="inlineStr">
        <is>
          <t>2026.3Q</t>
        </is>
      </c>
      <c r="L185" s="5" t="inlineStr">
        <is>
          <t>2026.4Q</t>
        </is>
      </c>
      <c r="M185" s="5" t="inlineStr">
        <is>
          <t>2027.1Q</t>
        </is>
      </c>
      <c r="N185" s="5" t="inlineStr">
        <is>
          <t>2027.2Q</t>
        </is>
      </c>
      <c r="O185" s="5" t="inlineStr">
        <is>
          <t>2017</t>
        </is>
      </c>
      <c r="P185" s="5" t="inlineStr">
        <is>
          <t>2018</t>
        </is>
      </c>
      <c r="Q185" s="5" t="inlineStr">
        <is>
          <t>2019</t>
        </is>
      </c>
      <c r="R185" s="5" t="inlineStr">
        <is>
          <t>2020</t>
        </is>
      </c>
      <c r="S185" s="5" t="inlineStr">
        <is>
          <t>2021</t>
        </is>
      </c>
      <c r="T185" s="5" t="inlineStr">
        <is>
          <t>2022</t>
        </is>
      </c>
      <c r="U185" s="5" t="inlineStr">
        <is>
          <t>2023</t>
        </is>
      </c>
      <c r="V185" s="5" t="inlineStr">
        <is>
          <t>2024</t>
        </is>
      </c>
      <c r="W185" s="5" t="inlineStr">
        <is>
          <t>2025</t>
        </is>
      </c>
      <c r="X185" s="5" t="inlineStr">
        <is>
          <t>2026</t>
        </is>
      </c>
      <c r="Y185" s="5" t="inlineStr">
        <is>
          <t>2027(MW)</t>
        </is>
      </c>
      <c r="Z185" s="5" t="inlineStr">
        <is>
          <t>2028(MW)</t>
        </is>
      </c>
      <c r="AA185" s="5" t="inlineStr">
        <is>
          <t>2029(MW)</t>
        </is>
      </c>
      <c r="AB185" s="5" t="inlineStr">
        <is>
          <t>2030(MW)</t>
        </is>
      </c>
      <c r="AC185" s="5" t="inlineStr">
        <is>
          <t>2031(MW)</t>
        </is>
      </c>
    </row>
    <row r="186">
      <c r="A186" s="9" t="inlineStr">
        <is>
          <t>법인세차감전 순이익</t>
        </is>
      </c>
      <c r="D186" s="12" t="n">
        <v>2818.102</v>
      </c>
      <c r="F186" s="12" t="n">
        <v>1136.939</v>
      </c>
      <c r="H186" s="12" t="n">
        <v>2864.027</v>
      </c>
      <c r="J186" s="12" t="n">
        <v>1014.565</v>
      </c>
      <c r="L186" s="12" t="n">
        <v>3082.052</v>
      </c>
      <c r="N186" s="12" t="n">
        <v>1312.104</v>
      </c>
      <c r="O186" s="12" t="n">
        <v>2433.123</v>
      </c>
      <c r="P186" s="12" t="n">
        <v>2874.761</v>
      </c>
      <c r="Q186" s="12" t="n">
        <v>3305.463</v>
      </c>
      <c r="R186" s="12" t="n">
        <v>2880.294</v>
      </c>
      <c r="S186" s="12" t="n">
        <v>2521.343</v>
      </c>
      <c r="T186" s="12" t="n">
        <v>2533.282</v>
      </c>
      <c r="U186" s="12" t="n">
        <v>2869.052</v>
      </c>
      <c r="V186" s="12" t="n">
        <v>2818.102</v>
      </c>
      <c r="W186" s="12" t="n">
        <v>2864.027</v>
      </c>
      <c r="X186" s="12" t="n">
        <v>3082.052</v>
      </c>
    </row>
    <row r="187">
      <c r="A187" s="18" t="inlineStr">
        <is>
          <t>감가상각비</t>
        </is>
      </c>
      <c r="D187" s="20" t="n">
        <v>270.663</v>
      </c>
      <c r="F187" s="20" t="n">
        <v>137.89</v>
      </c>
      <c r="H187" s="20" t="n">
        <v>341.632</v>
      </c>
      <c r="J187" s="20" t="n">
        <v>268.513</v>
      </c>
      <c r="L187" s="20" t="n">
        <v>540.635</v>
      </c>
      <c r="N187" s="20" t="n">
        <v>246.311</v>
      </c>
      <c r="O187" s="20" t="n">
        <v>329.75</v>
      </c>
      <c r="P187" s="20" t="n">
        <v>346.184</v>
      </c>
      <c r="Q187" s="20" t="n">
        <v>332.923</v>
      </c>
      <c r="R187" s="20" t="n">
        <v>368.264</v>
      </c>
      <c r="S187" s="20" t="n">
        <v>352.346</v>
      </c>
      <c r="T187" s="20" t="n">
        <v>343.997</v>
      </c>
      <c r="U187" s="20" t="n">
        <v>321.784</v>
      </c>
      <c r="V187" s="20" t="n">
        <v>270.663</v>
      </c>
      <c r="W187" s="20" t="n">
        <v>341.632</v>
      </c>
      <c r="X187" s="20" t="n">
        <v>540.635</v>
      </c>
    </row>
    <row r="188">
      <c r="A188" s="18" t="inlineStr">
        <is>
          <t>영업권 상각</t>
        </is>
      </c>
      <c r="D188" s="20" t="n">
        <v>57.604</v>
      </c>
      <c r="F188" s="20" t="n">
        <v>28.802</v>
      </c>
      <c r="H188" s="20" t="n">
        <v>57.604</v>
      </c>
      <c r="J188" s="20" t="n">
        <v>28.802</v>
      </c>
      <c r="L188" s="20" t="n">
        <v>57.604</v>
      </c>
      <c r="N188" s="20" t="n">
        <v>28.802</v>
      </c>
      <c r="Q188" s="20" t="n">
        <v>0</v>
      </c>
      <c r="R188" s="20" t="n">
        <v>48.004</v>
      </c>
      <c r="S188" s="20" t="n">
        <v>57.604</v>
      </c>
      <c r="T188" s="20" t="n">
        <v>57.604</v>
      </c>
      <c r="U188" s="20" t="n">
        <v>57.604</v>
      </c>
      <c r="V188" s="20" t="n">
        <v>57.604</v>
      </c>
      <c r="W188" s="20" t="n">
        <v>57.604</v>
      </c>
      <c r="X188" s="20" t="n">
        <v>57.604</v>
      </c>
    </row>
    <row r="189">
      <c r="A189" s="18" t="inlineStr">
        <is>
          <t>손상차손</t>
        </is>
      </c>
      <c r="D189" s="20" t="n">
        <v>0</v>
      </c>
      <c r="H189" s="20" t="n">
        <v>33.26</v>
      </c>
      <c r="L189" s="20" t="n">
        <v>14.696</v>
      </c>
      <c r="O189" s="20" t="n">
        <v>5.488</v>
      </c>
      <c r="P189" s="20" t="n">
        <v>35.601</v>
      </c>
      <c r="Q189" s="20" t="n">
        <v>33.115</v>
      </c>
      <c r="R189" s="20" t="n">
        <v>19.868</v>
      </c>
      <c r="S189" s="20" t="n">
        <v>0.003</v>
      </c>
      <c r="T189" s="20" t="n">
        <v>0</v>
      </c>
      <c r="U189" s="20" t="n">
        <v>48.603</v>
      </c>
      <c r="V189" s="20" t="n">
        <v>0</v>
      </c>
      <c r="W189" s="20" t="n">
        <v>33.26</v>
      </c>
      <c r="X189" s="20" t="n">
        <v>14.696</v>
      </c>
    </row>
    <row r="190">
      <c r="A190" s="18" t="inlineStr">
        <is>
          <t>관계회사 주식 평가손실</t>
        </is>
      </c>
      <c r="D190" s="20" t="n">
        <v>1.231</v>
      </c>
      <c r="H190" s="20" t="n">
        <v>0</v>
      </c>
      <c r="T190" s="20" t="n">
        <v>0</v>
      </c>
      <c r="U190" s="20" t="n">
        <v>31.118</v>
      </c>
      <c r="V190" s="20" t="n">
        <v>1.231</v>
      </c>
      <c r="W190" s="20" t="n">
        <v>0</v>
      </c>
    </row>
    <row r="191">
      <c r="A191" s="18" t="inlineStr">
        <is>
          <t>퇴직급여부채 증감</t>
        </is>
      </c>
      <c r="D191" s="20" t="n">
        <v>-4.07</v>
      </c>
      <c r="F191" s="20" t="n">
        <v>0.771</v>
      </c>
      <c r="H191" s="20" t="n">
        <v>-0.79</v>
      </c>
      <c r="J191" s="20" t="n">
        <v>-0.272</v>
      </c>
      <c r="L191" s="20" t="n">
        <v>0.259</v>
      </c>
      <c r="N191" s="20" t="n">
        <v>2.038</v>
      </c>
      <c r="O191" s="20" t="n">
        <v>8.645</v>
      </c>
      <c r="P191" s="20" t="n">
        <v>8.754</v>
      </c>
      <c r="Q191" s="20" t="n">
        <v>6.95</v>
      </c>
      <c r="R191" s="20" t="n">
        <v>4.703</v>
      </c>
      <c r="S191" s="20" t="n">
        <v>2.655</v>
      </c>
      <c r="T191" s="20" t="n">
        <v>-1.572</v>
      </c>
      <c r="U191" s="20" t="n">
        <v>0.11</v>
      </c>
      <c r="V191" s="20" t="n">
        <v>-4.07</v>
      </c>
      <c r="W191" s="20" t="n">
        <v>-0.79</v>
      </c>
      <c r="X191" s="20" t="n">
        <v>0.259</v>
      </c>
    </row>
    <row r="192">
      <c r="A192" s="18" t="inlineStr">
        <is>
          <t>퇴직급여자산 증감</t>
        </is>
      </c>
      <c r="D192" s="20" t="n">
        <v>-76.774</v>
      </c>
      <c r="F192" s="20" t="n">
        <v>-33.565</v>
      </c>
      <c r="H192" s="20" t="n">
        <v>-74.33199999999999</v>
      </c>
      <c r="J192" s="20" t="n">
        <v>-31.096</v>
      </c>
      <c r="L192" s="20" t="n">
        <v>-97.167</v>
      </c>
      <c r="N192" s="20" t="n">
        <v>-41.176</v>
      </c>
      <c r="O192" s="20" t="n">
        <v>-18.986</v>
      </c>
      <c r="P192" s="20" t="n">
        <v>-21.313</v>
      </c>
      <c r="Q192" s="20" t="n">
        <v>1.422</v>
      </c>
      <c r="R192" s="20" t="n">
        <v>4.034</v>
      </c>
      <c r="S192" s="20" t="n">
        <v>-55.159</v>
      </c>
      <c r="T192" s="20" t="n">
        <v>-36.785</v>
      </c>
      <c r="U192" s="20" t="n">
        <v>-8.617000000000001</v>
      </c>
      <c r="V192" s="20" t="n">
        <v>-76.774</v>
      </c>
      <c r="W192" s="20" t="n">
        <v>-74.33199999999999</v>
      </c>
      <c r="X192" s="20" t="n">
        <v>-97.167</v>
      </c>
    </row>
    <row r="193">
      <c r="A193" s="18" t="inlineStr">
        <is>
          <t>이자·배당금 수익</t>
        </is>
      </c>
      <c r="D193" s="20" t="n">
        <v>-85.428</v>
      </c>
      <c r="F193" s="20" t="n">
        <v>-46.37</v>
      </c>
      <c r="H193" s="20" t="n">
        <v>-96.908</v>
      </c>
      <c r="J193" s="20" t="n">
        <v>-61.877</v>
      </c>
      <c r="L193" s="20" t="n">
        <v>-113.059</v>
      </c>
      <c r="N193" s="20" t="n">
        <v>-72.28</v>
      </c>
      <c r="O193" s="20" t="n">
        <v>-145.306</v>
      </c>
      <c r="P193" s="20" t="n">
        <v>-46.471</v>
      </c>
      <c r="Q193" s="20" t="n">
        <v>-52.31</v>
      </c>
      <c r="R193" s="20" t="n">
        <v>-55.565</v>
      </c>
      <c r="S193" s="20" t="n">
        <v>-144.536</v>
      </c>
      <c r="T193" s="20" t="n">
        <v>-60.464</v>
      </c>
      <c r="U193" s="20" t="n">
        <v>-81.97499999999999</v>
      </c>
      <c r="V193" s="20" t="n">
        <v>-85.428</v>
      </c>
      <c r="W193" s="20" t="n">
        <v>-96.908</v>
      </c>
      <c r="X193" s="20" t="n">
        <v>-113.059</v>
      </c>
    </row>
    <row r="194">
      <c r="A194" s="18" t="inlineStr">
        <is>
          <t>이자비용</t>
        </is>
      </c>
      <c r="D194" s="20" t="n">
        <v>1.018</v>
      </c>
      <c r="F194" s="20" t="n">
        <v>0.459</v>
      </c>
      <c r="H194" s="20" t="n">
        <v>1.979</v>
      </c>
      <c r="J194" s="20" t="n">
        <v>6.465</v>
      </c>
      <c r="L194" s="20" t="n">
        <v>17.712</v>
      </c>
      <c r="N194" s="20" t="n">
        <v>14.16</v>
      </c>
      <c r="O194" s="20" t="n">
        <v>2.994</v>
      </c>
      <c r="P194" s="20" t="n">
        <v>1.849</v>
      </c>
      <c r="Q194" s="20" t="n">
        <v>1.287</v>
      </c>
      <c r="R194" s="20" t="n">
        <v>1.419</v>
      </c>
      <c r="S194" s="20" t="n">
        <v>1.316</v>
      </c>
      <c r="T194" s="20" t="n">
        <v>1.333</v>
      </c>
      <c r="U194" s="20" t="n">
        <v>1.343</v>
      </c>
      <c r="V194" s="20" t="n">
        <v>1.018</v>
      </c>
      <c r="W194" s="20" t="n">
        <v>1.979</v>
      </c>
      <c r="X194" s="20" t="n">
        <v>17.712</v>
      </c>
    </row>
    <row r="195">
      <c r="A195" s="18" t="inlineStr">
        <is>
          <t>투자유가증권 평가손익</t>
        </is>
      </c>
      <c r="P195" s="20" t="n">
        <v>0</v>
      </c>
      <c r="Q195" s="20" t="n">
        <v>36.535</v>
      </c>
      <c r="R195" s="20" t="n">
        <v>1.272</v>
      </c>
      <c r="S195" s="20" t="n">
        <v>0</v>
      </c>
      <c r="T195" s="20" t="n">
        <v>1.88</v>
      </c>
      <c r="U195" s="20" t="n">
        <v>0</v>
      </c>
    </row>
    <row r="196">
      <c r="A196" s="18" t="inlineStr">
        <is>
          <t>유형자산 제각·매각손익</t>
        </is>
      </c>
      <c r="D196" s="20" t="n">
        <v>4.732</v>
      </c>
      <c r="F196" s="20" t="n">
        <v>7.713</v>
      </c>
      <c r="H196" s="20" t="n">
        <v>9.291</v>
      </c>
      <c r="J196" s="20" t="n">
        <v>0.01</v>
      </c>
      <c r="L196" s="20" t="n">
        <v>-12.963</v>
      </c>
      <c r="N196" s="20" t="n">
        <v>-0.953</v>
      </c>
      <c r="O196" s="20" t="n">
        <v>22.785</v>
      </c>
      <c r="P196" s="20" t="n">
        <v>19.206</v>
      </c>
      <c r="Q196" s="20" t="n">
        <v>-41.369</v>
      </c>
      <c r="R196" s="20" t="n">
        <v>23.728</v>
      </c>
      <c r="S196" s="20" t="n">
        <v>1.707</v>
      </c>
      <c r="T196" s="20" t="n">
        <v>-0.429</v>
      </c>
      <c r="U196" s="20" t="n">
        <v>-122.991</v>
      </c>
      <c r="V196" s="20" t="n">
        <v>4.732</v>
      </c>
      <c r="W196" s="20" t="n">
        <v>9.291</v>
      </c>
      <c r="X196" s="20" t="n">
        <v>-12.963</v>
      </c>
    </row>
    <row r="197">
      <c r="A197" s="18" t="inlineStr">
        <is>
          <t>투자유가증권 매각손익</t>
        </is>
      </c>
      <c r="D197" s="20" t="n">
        <v>0</v>
      </c>
      <c r="F197" s="20" t="n">
        <v>0</v>
      </c>
      <c r="H197" s="20" t="n">
        <v>0</v>
      </c>
      <c r="J197" s="20" t="n">
        <v>-109.264</v>
      </c>
      <c r="L197" s="20" t="n">
        <v>-533.1369999999999</v>
      </c>
      <c r="N197" s="20" t="n">
        <v>0</v>
      </c>
      <c r="T197" s="20" t="n">
        <v>0</v>
      </c>
      <c r="U197" s="20" t="n">
        <v>-147.079</v>
      </c>
      <c r="V197" s="20" t="n">
        <v>0</v>
      </c>
      <c r="W197" s="20" t="n">
        <v>0</v>
      </c>
      <c r="X197" s="20" t="n">
        <v>-533.1369999999999</v>
      </c>
    </row>
    <row r="198">
      <c r="A198" s="18" t="inlineStr">
        <is>
          <t>매출채권 증감</t>
        </is>
      </c>
      <c r="D198" s="20" t="n">
        <v>-3.357</v>
      </c>
      <c r="F198" s="20" t="n">
        <v>1603.04</v>
      </c>
      <c r="H198" s="20" t="n">
        <v>-52.615</v>
      </c>
      <c r="J198" s="20" t="n">
        <v>2446.502</v>
      </c>
      <c r="L198" s="20" t="n">
        <v>1065.59</v>
      </c>
      <c r="N198" s="20" t="n">
        <v>753.853</v>
      </c>
      <c r="O198" s="20" t="n">
        <v>-635.501</v>
      </c>
      <c r="P198" s="20" t="n">
        <v>-1058.182</v>
      </c>
      <c r="Q198" s="20" t="n">
        <v>-262.671</v>
      </c>
      <c r="R198" s="20" t="n">
        <v>964.729</v>
      </c>
      <c r="S198" s="20" t="n">
        <v>677.71</v>
      </c>
      <c r="T198" s="20" t="n">
        <v>-962.366</v>
      </c>
      <c r="U198" s="20" t="n">
        <v>-1295.801</v>
      </c>
      <c r="V198" s="20" t="n">
        <v>-3.357</v>
      </c>
      <c r="W198" s="20" t="n">
        <v>-52.615</v>
      </c>
      <c r="X198" s="20" t="n">
        <v>1065.59</v>
      </c>
    </row>
    <row r="199">
      <c r="A199" s="18" t="inlineStr">
        <is>
          <t>재고자산 증감</t>
        </is>
      </c>
      <c r="D199" s="20" t="n">
        <v>79.57899999999999</v>
      </c>
      <c r="F199" s="20" t="n">
        <v>56.807</v>
      </c>
      <c r="H199" s="20" t="n">
        <v>82.92</v>
      </c>
      <c r="J199" s="20" t="n">
        <v>66.574</v>
      </c>
      <c r="L199" s="20" t="n">
        <v>-108.918</v>
      </c>
      <c r="N199" s="20" t="n">
        <v>132.617</v>
      </c>
      <c r="O199" s="20" t="n">
        <v>120.77</v>
      </c>
      <c r="P199" s="20" t="n">
        <v>-48.076</v>
      </c>
      <c r="Q199" s="20" t="n">
        <v>-33.463</v>
      </c>
      <c r="R199" s="20" t="n">
        <v>11.323</v>
      </c>
      <c r="S199" s="20" t="n">
        <v>277.805</v>
      </c>
      <c r="T199" s="20" t="n">
        <v>-32.382</v>
      </c>
      <c r="U199" s="20" t="n">
        <v>-252.111</v>
      </c>
      <c r="V199" s="20" t="n">
        <v>79.57899999999999</v>
      </c>
      <c r="W199" s="20" t="n">
        <v>82.92</v>
      </c>
      <c r="X199" s="20" t="n">
        <v>-108.918</v>
      </c>
    </row>
    <row r="200">
      <c r="A200" s="18" t="inlineStr">
        <is>
          <t>매입채무 증감</t>
        </is>
      </c>
      <c r="D200" s="20" t="n">
        <v>133.9</v>
      </c>
      <c r="F200" s="20" t="n">
        <v>-236.036</v>
      </c>
      <c r="H200" s="20" t="n">
        <v>398.525</v>
      </c>
      <c r="J200" s="20" t="n">
        <v>-898.328</v>
      </c>
      <c r="L200" s="20" t="n">
        <v>59.403</v>
      </c>
      <c r="N200" s="20" t="n">
        <v>-909.987</v>
      </c>
      <c r="O200" s="20" t="n">
        <v>247.728</v>
      </c>
      <c r="P200" s="20" t="n">
        <v>-13.178</v>
      </c>
      <c r="Q200" s="20" t="n">
        <v>-66.57599999999999</v>
      </c>
      <c r="R200" s="20" t="n">
        <v>-43.77</v>
      </c>
      <c r="S200" s="20" t="n">
        <v>67.152</v>
      </c>
      <c r="T200" s="20" t="n">
        <v>-51.574</v>
      </c>
      <c r="U200" s="20" t="n">
        <v>-25.327</v>
      </c>
      <c r="V200" s="20" t="n">
        <v>133.9</v>
      </c>
      <c r="W200" s="20" t="n">
        <v>398.525</v>
      </c>
      <c r="X200" s="20" t="n">
        <v>59.403</v>
      </c>
    </row>
    <row r="201">
      <c r="A201" s="18" t="inlineStr">
        <is>
          <t>기타</t>
        </is>
      </c>
      <c r="D201" s="20" t="n">
        <v>145.436</v>
      </c>
      <c r="F201" s="20" t="n">
        <v>-178.124</v>
      </c>
      <c r="H201" s="20" t="n">
        <v>-157.337</v>
      </c>
      <c r="J201" s="20" t="n">
        <v>158.847</v>
      </c>
      <c r="L201" s="20" t="n">
        <v>267.869</v>
      </c>
      <c r="N201" s="20" t="n">
        <v>-154.798</v>
      </c>
      <c r="O201" s="20" t="n">
        <v>127.244</v>
      </c>
      <c r="P201" s="20" t="n">
        <v>146.386</v>
      </c>
      <c r="Q201" s="20" t="n">
        <v>-168.627</v>
      </c>
      <c r="R201" s="20" t="n">
        <v>63.65</v>
      </c>
      <c r="S201" s="20" t="n">
        <v>250.774</v>
      </c>
      <c r="T201" s="20" t="n">
        <v>-131.843</v>
      </c>
      <c r="U201" s="20" t="n">
        <v>19.761</v>
      </c>
      <c r="V201" s="20" t="n">
        <v>145.436</v>
      </c>
      <c r="W201" s="20" t="n">
        <v>-157.337</v>
      </c>
      <c r="X201" s="20" t="n">
        <v>267.869</v>
      </c>
    </row>
    <row r="202">
      <c r="A202" s="18" t="inlineStr">
        <is>
          <t>소계</t>
        </is>
      </c>
      <c r="D202" s="20" t="n">
        <v>3342.639</v>
      </c>
      <c r="F202" s="20" t="n">
        <v>2478.327</v>
      </c>
      <c r="H202" s="20" t="n">
        <v>3407.256</v>
      </c>
      <c r="J202" s="20" t="n">
        <v>2889.441</v>
      </c>
      <c r="L202" s="20" t="n">
        <v>4240.579</v>
      </c>
      <c r="N202" s="20" t="n">
        <v>1310.692</v>
      </c>
      <c r="O202" s="20" t="n">
        <v>2498.737</v>
      </c>
      <c r="P202" s="20" t="n">
        <v>2245.52</v>
      </c>
      <c r="Q202" s="20" t="n">
        <v>3092.679</v>
      </c>
      <c r="R202" s="20" t="n">
        <v>4291.957</v>
      </c>
      <c r="S202" s="20" t="n">
        <v>4010.723</v>
      </c>
      <c r="T202" s="20" t="n">
        <v>1660.679</v>
      </c>
      <c r="U202" s="20" t="n">
        <v>1415.476</v>
      </c>
      <c r="V202" s="20" t="n">
        <v>3342.639</v>
      </c>
      <c r="W202" s="20" t="n">
        <v>3407.256</v>
      </c>
      <c r="X202" s="20" t="n">
        <v>4240.579</v>
      </c>
    </row>
    <row r="203">
      <c r="A203" s="18" t="inlineStr">
        <is>
          <t>이자·배당금 수취</t>
        </is>
      </c>
      <c r="D203" s="20" t="n">
        <v>84.363</v>
      </c>
      <c r="F203" s="20" t="n">
        <v>48.651</v>
      </c>
      <c r="H203" s="20" t="n">
        <v>92.498</v>
      </c>
      <c r="J203" s="20" t="n">
        <v>60.955</v>
      </c>
      <c r="L203" s="20" t="n">
        <v>113.461</v>
      </c>
      <c r="N203" s="20" t="n">
        <v>67.705</v>
      </c>
      <c r="O203" s="20" t="n">
        <v>145.449</v>
      </c>
      <c r="P203" s="20" t="n">
        <v>48.055</v>
      </c>
      <c r="Q203" s="20" t="n">
        <v>50.353</v>
      </c>
      <c r="R203" s="20" t="n">
        <v>55.148</v>
      </c>
      <c r="S203" s="20" t="n">
        <v>140.38</v>
      </c>
      <c r="T203" s="20" t="n">
        <v>50.48</v>
      </c>
      <c r="U203" s="20" t="n">
        <v>73.752</v>
      </c>
      <c r="V203" s="20" t="n">
        <v>84.363</v>
      </c>
      <c r="W203" s="20" t="n">
        <v>92.498</v>
      </c>
      <c r="X203" s="20" t="n">
        <v>113.461</v>
      </c>
    </row>
    <row r="204">
      <c r="A204" s="18" t="inlineStr">
        <is>
          <t>이자 지급</t>
        </is>
      </c>
      <c r="D204" s="20" t="n">
        <v>-1.305</v>
      </c>
      <c r="F204" s="20" t="n">
        <v>-0.83</v>
      </c>
      <c r="H204" s="20" t="n">
        <v>-1.961</v>
      </c>
      <c r="J204" s="20" t="n">
        <v>-6.331</v>
      </c>
      <c r="L204" s="20" t="n">
        <v>-16.811</v>
      </c>
      <c r="N204" s="20" t="n">
        <v>-13.96</v>
      </c>
      <c r="O204" s="20" t="n">
        <v>-2.994</v>
      </c>
      <c r="P204" s="20" t="n">
        <v>-1.481</v>
      </c>
      <c r="Q204" s="20" t="n">
        <v>-1.175</v>
      </c>
      <c r="R204" s="20" t="n">
        <v>-1.773</v>
      </c>
      <c r="S204" s="20" t="n">
        <v>-1.263</v>
      </c>
      <c r="T204" s="20" t="n">
        <v>-1.422</v>
      </c>
      <c r="U204" s="20" t="n">
        <v>-1.353</v>
      </c>
      <c r="V204" s="20" t="n">
        <v>-1.305</v>
      </c>
      <c r="W204" s="20" t="n">
        <v>-1.961</v>
      </c>
      <c r="X204" s="20" t="n">
        <v>-16.811</v>
      </c>
    </row>
    <row r="205">
      <c r="A205" s="18" t="inlineStr">
        <is>
          <t>법인세 납부</t>
        </is>
      </c>
      <c r="D205" s="20" t="n">
        <v>-901.748</v>
      </c>
      <c r="F205" s="20" t="n">
        <v>-403.236</v>
      </c>
      <c r="H205" s="20" t="n">
        <v>-828.6799999999999</v>
      </c>
      <c r="J205" s="20" t="n">
        <v>-522.1420000000001</v>
      </c>
      <c r="L205" s="20" t="n">
        <v>-990.95</v>
      </c>
      <c r="N205" s="20" t="n">
        <v>-498.345</v>
      </c>
      <c r="O205" s="20" t="n">
        <v>-812.7569999999999</v>
      </c>
      <c r="P205" s="20" t="n">
        <v>-750.931</v>
      </c>
      <c r="Q205" s="20" t="n">
        <v>-1105.482</v>
      </c>
      <c r="R205" s="20" t="n">
        <v>-1167.509</v>
      </c>
      <c r="S205" s="20" t="n">
        <v>-823.9640000000001</v>
      </c>
      <c r="T205" s="20" t="n">
        <v>-689.192</v>
      </c>
      <c r="U205" s="20" t="n">
        <v>-801.453</v>
      </c>
      <c r="V205" s="20" t="n">
        <v>-901.748</v>
      </c>
      <c r="W205" s="20" t="n">
        <v>-828.6799999999999</v>
      </c>
      <c r="X205" s="20" t="n">
        <v>-990.95</v>
      </c>
    </row>
    <row r="206">
      <c r="A206" s="18" t="inlineStr">
        <is>
          <t>기타</t>
        </is>
      </c>
      <c r="D206" s="20" t="n">
        <v>0</v>
      </c>
      <c r="H206" s="20" t="n">
        <v>68.94799999999999</v>
      </c>
      <c r="V206" s="20" t="n">
        <v>0</v>
      </c>
      <c r="W206" s="20" t="n">
        <v>68.94799999999999</v>
      </c>
    </row>
    <row r="207">
      <c r="A207" s="9" t="inlineStr">
        <is>
          <t>영업활동 현금흐름</t>
        </is>
      </c>
      <c r="D207" s="12" t="n">
        <v>2523.948</v>
      </c>
      <c r="F207" s="12" t="n">
        <v>2122.912</v>
      </c>
      <c r="H207" s="12" t="n">
        <v>2669.113</v>
      </c>
      <c r="J207" s="12" t="n">
        <v>2421.923</v>
      </c>
      <c r="L207" s="12" t="n">
        <v>3346.278</v>
      </c>
      <c r="N207" s="12" t="n">
        <v>866.092</v>
      </c>
      <c r="O207" s="12" t="n">
        <v>1828.433</v>
      </c>
      <c r="P207" s="12" t="n">
        <v>1541.163</v>
      </c>
      <c r="Q207" s="12" t="n">
        <v>2036.374</v>
      </c>
      <c r="R207" s="12" t="n">
        <v>3177.823</v>
      </c>
      <c r="S207" s="12" t="n">
        <v>3325.875</v>
      </c>
      <c r="T207" s="12" t="n">
        <v>1020.545</v>
      </c>
      <c r="U207" s="12" t="n">
        <v>686.421</v>
      </c>
      <c r="V207" s="12" t="n">
        <v>2523.948</v>
      </c>
      <c r="W207" s="12" t="n">
        <v>2669.113</v>
      </c>
      <c r="X207" s="12" t="n">
        <v>3346.278</v>
      </c>
    </row>
    <row r="208">
      <c r="A208" s="18" t="inlineStr">
        <is>
          <t>정기예금 예입</t>
        </is>
      </c>
      <c r="D208" s="20" t="n">
        <v>-68.191</v>
      </c>
      <c r="F208" s="20" t="n">
        <v>-49.2</v>
      </c>
      <c r="H208" s="20" t="n">
        <v>-110.591</v>
      </c>
      <c r="J208" s="20" t="n">
        <v>-49.2</v>
      </c>
      <c r="L208" s="20" t="n">
        <v>-122.804</v>
      </c>
      <c r="N208" s="20" t="n">
        <v>-49.2</v>
      </c>
      <c r="O208" s="20" t="n">
        <v>-167.807</v>
      </c>
      <c r="P208" s="20" t="n">
        <v>-167.811</v>
      </c>
      <c r="Q208" s="20" t="n">
        <v>-167.816</v>
      </c>
      <c r="R208" s="20" t="n">
        <v>-167.82</v>
      </c>
      <c r="S208" s="20" t="n">
        <v>-167.825</v>
      </c>
      <c r="T208" s="20" t="n">
        <v>-167.826</v>
      </c>
      <c r="U208" s="20" t="n">
        <v>-167.826</v>
      </c>
      <c r="V208" s="20" t="n">
        <v>-68.191</v>
      </c>
      <c r="W208" s="20" t="n">
        <v>-110.591</v>
      </c>
      <c r="X208" s="20" t="n">
        <v>-122.804</v>
      </c>
    </row>
    <row r="209">
      <c r="A209" s="18" t="inlineStr">
        <is>
          <t>정기예금 인출</t>
        </is>
      </c>
      <c r="D209" s="20" t="n">
        <v>112.226</v>
      </c>
      <c r="F209" s="20" t="n">
        <v>26.2</v>
      </c>
      <c r="H209" s="20" t="n">
        <v>111.591</v>
      </c>
      <c r="J209" s="20" t="n">
        <v>25.2</v>
      </c>
      <c r="L209" s="20" t="n">
        <v>122.791</v>
      </c>
      <c r="N209" s="20" t="n">
        <v>25.2</v>
      </c>
      <c r="O209" s="20" t="n">
        <v>170.796</v>
      </c>
      <c r="P209" s="20" t="n">
        <v>167.807</v>
      </c>
      <c r="Q209" s="20" t="n">
        <v>167.811</v>
      </c>
      <c r="R209" s="20" t="n">
        <v>167.816</v>
      </c>
      <c r="S209" s="20" t="n">
        <v>164.82</v>
      </c>
      <c r="T209" s="20" t="n">
        <v>167.825</v>
      </c>
      <c r="U209" s="20" t="n">
        <v>170.826</v>
      </c>
      <c r="V209" s="20" t="n">
        <v>112.226</v>
      </c>
      <c r="W209" s="20" t="n">
        <v>111.591</v>
      </c>
      <c r="X209" s="20" t="n">
        <v>122.791</v>
      </c>
    </row>
    <row r="210">
      <c r="A210" s="18" t="inlineStr">
        <is>
          <t>유형자산 취득(설비투자)</t>
        </is>
      </c>
      <c r="D210" s="20" t="n">
        <v>-1002.112</v>
      </c>
      <c r="F210" s="20" t="n">
        <v>-201.655</v>
      </c>
      <c r="H210" s="20" t="n">
        <v>-995.775</v>
      </c>
      <c r="J210" s="20" t="n">
        <v>-44.636</v>
      </c>
      <c r="L210" s="20" t="n">
        <v>-260.681</v>
      </c>
      <c r="N210" s="20" t="n">
        <v>-578.819</v>
      </c>
      <c r="O210" s="20" t="n">
        <v>-327.492</v>
      </c>
      <c r="P210" s="20" t="n">
        <v>-283.422</v>
      </c>
      <c r="Q210" s="20" t="n">
        <v>-278.554</v>
      </c>
      <c r="R210" s="20" t="n">
        <v>-320.574</v>
      </c>
      <c r="S210" s="20" t="n">
        <v>-154.296</v>
      </c>
      <c r="T210" s="20" t="n">
        <v>-684.942</v>
      </c>
      <c r="U210" s="20" t="n">
        <v>-598.002</v>
      </c>
      <c r="V210" s="20" t="n">
        <v>-1002.112</v>
      </c>
      <c r="W210" s="20" t="n">
        <v>-995.775</v>
      </c>
      <c r="X210" s="20" t="n">
        <v>-260.681</v>
      </c>
    </row>
    <row r="211">
      <c r="A211" s="18" t="inlineStr">
        <is>
          <t>유형자산 매각</t>
        </is>
      </c>
      <c r="D211" s="20" t="n">
        <v>66.496</v>
      </c>
      <c r="F211" s="20" t="n">
        <v>0</v>
      </c>
      <c r="H211" s="20" t="n">
        <v>3.479</v>
      </c>
      <c r="J211" s="20" t="n">
        <v>0</v>
      </c>
      <c r="L211" s="20" t="n">
        <v>25.362</v>
      </c>
      <c r="N211" s="20" t="n">
        <v>1.227</v>
      </c>
      <c r="O211" s="20" t="n">
        <v>41.877</v>
      </c>
      <c r="P211" s="20" t="n">
        <v>61.996</v>
      </c>
      <c r="Q211" s="20" t="n">
        <v>99.729</v>
      </c>
      <c r="R211" s="20" t="n">
        <v>43.517</v>
      </c>
      <c r="S211" s="20" t="n">
        <v>60.634</v>
      </c>
      <c r="T211" s="20" t="n">
        <v>12.874</v>
      </c>
      <c r="U211" s="20" t="n">
        <v>135.981</v>
      </c>
      <c r="V211" s="20" t="n">
        <v>66.496</v>
      </c>
      <c r="W211" s="20" t="n">
        <v>3.479</v>
      </c>
      <c r="X211" s="20" t="n">
        <v>25.362</v>
      </c>
    </row>
    <row r="212">
      <c r="A212" s="18" t="inlineStr">
        <is>
          <t>투자유가증권 취득</t>
        </is>
      </c>
      <c r="D212" s="20" t="n">
        <v>-22.716</v>
      </c>
      <c r="F212" s="20" t="n">
        <v>-13.191</v>
      </c>
      <c r="H212" s="20" t="n">
        <v>-24.358</v>
      </c>
      <c r="J212" s="20" t="n">
        <v>-1035.968</v>
      </c>
      <c r="L212" s="20" t="n">
        <v>-1047.049</v>
      </c>
      <c r="N212" s="20" t="n">
        <v>-17.493</v>
      </c>
      <c r="O212" s="20" t="n">
        <v>-181.289</v>
      </c>
      <c r="P212" s="20" t="n">
        <v>-13.627</v>
      </c>
      <c r="Q212" s="20" t="n">
        <v>-15.127</v>
      </c>
      <c r="R212" s="20" t="n">
        <v>-27.916</v>
      </c>
      <c r="S212" s="20" t="n">
        <v>-15.921</v>
      </c>
      <c r="T212" s="20" t="n">
        <v>-105.038</v>
      </c>
      <c r="U212" s="20" t="n">
        <v>-20.295</v>
      </c>
      <c r="V212" s="20" t="n">
        <v>-22.716</v>
      </c>
      <c r="W212" s="20" t="n">
        <v>-24.358</v>
      </c>
      <c r="X212" s="20" t="n">
        <v>-1047.049</v>
      </c>
    </row>
    <row r="213">
      <c r="A213" s="18" t="inlineStr">
        <is>
          <t>영업권 취득 지출</t>
        </is>
      </c>
      <c r="Q213" s="20" t="n">
        <v>0</v>
      </c>
      <c r="R213" s="20" t="n">
        <v>-829.803</v>
      </c>
      <c r="S213" s="20" t="n">
        <v>0</v>
      </c>
    </row>
    <row r="214">
      <c r="A214" s="18" t="inlineStr">
        <is>
          <t>관계회사 정리 수입</t>
        </is>
      </c>
      <c r="D214" s="20" t="n">
        <v>55.949</v>
      </c>
      <c r="H214" s="20" t="n">
        <v>0</v>
      </c>
      <c r="U214" s="20" t="n">
        <v>0</v>
      </c>
      <c r="V214" s="20" t="n">
        <v>55.949</v>
      </c>
      <c r="W214" s="20" t="n">
        <v>0</v>
      </c>
    </row>
    <row r="215">
      <c r="A215" s="18" t="inlineStr">
        <is>
          <t>투자유가증권 매각</t>
        </is>
      </c>
      <c r="D215" s="20" t="n">
        <v>0</v>
      </c>
      <c r="F215" s="20" t="n">
        <v>0</v>
      </c>
      <c r="H215" s="20" t="n">
        <v>0</v>
      </c>
      <c r="J215" s="20" t="n">
        <v>118.898</v>
      </c>
      <c r="L215" s="20" t="n">
        <v>683.385</v>
      </c>
      <c r="N215" s="20" t="n">
        <v>0</v>
      </c>
      <c r="O215" s="20" t="n">
        <v>1.63</v>
      </c>
      <c r="P215" s="20" t="n">
        <v>37.44</v>
      </c>
      <c r="Q215" s="20" t="n">
        <v>39.668</v>
      </c>
      <c r="R215" s="20" t="n">
        <v>0</v>
      </c>
      <c r="T215" s="20" t="n">
        <v>0</v>
      </c>
      <c r="U215" s="20" t="n">
        <v>178.842</v>
      </c>
      <c r="V215" s="20" t="n">
        <v>0</v>
      </c>
      <c r="W215" s="20" t="n">
        <v>0</v>
      </c>
      <c r="X215" s="20" t="n">
        <v>683.385</v>
      </c>
    </row>
    <row r="216">
      <c r="A216" s="18" t="inlineStr">
        <is>
          <t>기타</t>
        </is>
      </c>
      <c r="H216" s="20" t="n">
        <v>0</v>
      </c>
      <c r="L216" s="20" t="n">
        <v>8.031000000000001</v>
      </c>
      <c r="O216" s="20" t="n">
        <v>-10.87</v>
      </c>
      <c r="P216" s="20" t="n">
        <v>-0.851</v>
      </c>
      <c r="Q216" s="20" t="n">
        <v>-11.709</v>
      </c>
      <c r="R216" s="20" t="n">
        <v>-13.386</v>
      </c>
      <c r="S216" s="20" t="n">
        <v>0</v>
      </c>
      <c r="W216" s="20" t="n">
        <v>0</v>
      </c>
      <c r="X216" s="20" t="n">
        <v>8.031000000000001</v>
      </c>
    </row>
    <row r="217">
      <c r="A217" s="18" t="inlineStr">
        <is>
          <t>무형자산 취득</t>
        </is>
      </c>
      <c r="D217" s="20" t="n">
        <v>-254.216</v>
      </c>
      <c r="F217" s="20" t="n">
        <v>-453.718</v>
      </c>
      <c r="H217" s="20" t="n">
        <v>-738.7619999999999</v>
      </c>
      <c r="J217" s="20" t="n">
        <v>-9.997999999999999</v>
      </c>
      <c r="L217" s="20" t="n">
        <v>-9.997999999999999</v>
      </c>
      <c r="N217" s="20" t="n">
        <v>0</v>
      </c>
      <c r="O217" s="20" t="n">
        <v>-66.625</v>
      </c>
      <c r="P217" s="20" t="n">
        <v>-23.717</v>
      </c>
      <c r="Q217" s="20" t="n">
        <v>-58.416</v>
      </c>
      <c r="R217" s="20" t="n">
        <v>-4.718</v>
      </c>
      <c r="S217" s="20" t="n">
        <v>-112.953</v>
      </c>
      <c r="T217" s="20" t="n">
        <v>-103.857</v>
      </c>
      <c r="U217" s="20" t="n">
        <v>-145.09</v>
      </c>
      <c r="V217" s="20" t="n">
        <v>-254.216</v>
      </c>
      <c r="W217" s="20" t="n">
        <v>-738.7619999999999</v>
      </c>
      <c r="X217" s="20" t="n">
        <v>-9.997999999999999</v>
      </c>
    </row>
    <row r="218">
      <c r="A218" s="9" t="inlineStr">
        <is>
          <t>투자활동 현금흐름</t>
        </is>
      </c>
      <c r="D218" s="12" t="n">
        <v>-1112.564</v>
      </c>
      <c r="F218" s="12" t="n">
        <v>-691.564</v>
      </c>
      <c r="H218" s="12" t="n">
        <v>-1754.416</v>
      </c>
      <c r="J218" s="12" t="n">
        <v>-995.705</v>
      </c>
      <c r="L218" s="12" t="n">
        <v>-600.962</v>
      </c>
      <c r="N218" s="12" t="n">
        <v>-619.085</v>
      </c>
      <c r="O218" s="12" t="n">
        <v>-539.78</v>
      </c>
      <c r="P218" s="12" t="n">
        <v>-222.184</v>
      </c>
      <c r="Q218" s="12" t="n">
        <v>-224.415</v>
      </c>
      <c r="R218" s="12" t="n">
        <v>-1152.885</v>
      </c>
      <c r="S218" s="12" t="n">
        <v>-225.541</v>
      </c>
      <c r="T218" s="12" t="n">
        <v>-880.9640000000001</v>
      </c>
      <c r="U218" s="12" t="n">
        <v>-445.564</v>
      </c>
      <c r="V218" s="12" t="n">
        <v>-1112.564</v>
      </c>
      <c r="W218" s="12" t="n">
        <v>-1754.416</v>
      </c>
      <c r="X218" s="12" t="n">
        <v>-600.962</v>
      </c>
    </row>
    <row r="219">
      <c r="A219" s="18" t="inlineStr">
        <is>
          <t>장기차입금 상환</t>
        </is>
      </c>
      <c r="O219" s="20" t="n">
        <v>-139.16</v>
      </c>
      <c r="P219" s="20" t="n">
        <v>-139.223</v>
      </c>
      <c r="Q219" s="20" t="n">
        <v>0</v>
      </c>
    </row>
    <row r="220">
      <c r="A220" s="18" t="inlineStr">
        <is>
          <t>단기차입</t>
        </is>
      </c>
      <c r="F220" s="20" t="n">
        <v>0</v>
      </c>
      <c r="J220" s="20" t="n">
        <v>2300</v>
      </c>
    </row>
    <row r="221">
      <c r="A221" s="18" t="inlineStr">
        <is>
          <t>단기차입금 순증감</t>
        </is>
      </c>
      <c r="H221" s="20" t="n">
        <v>0</v>
      </c>
      <c r="J221" s="20" t="n">
        <v>2300</v>
      </c>
      <c r="L221" s="20" t="n">
        <v>2300</v>
      </c>
      <c r="N221" s="20" t="n">
        <v>0</v>
      </c>
      <c r="O221" s="20" t="n">
        <v>-250</v>
      </c>
      <c r="P221" s="20" t="n">
        <v>0</v>
      </c>
      <c r="W221" s="20" t="n">
        <v>0</v>
      </c>
      <c r="X221" s="20" t="n">
        <v>2300</v>
      </c>
    </row>
    <row r="222">
      <c r="A222" s="18" t="inlineStr">
        <is>
          <t>자기주식 취득</t>
        </is>
      </c>
      <c r="D222" s="20" t="n">
        <v>-0.106</v>
      </c>
      <c r="F222" s="20" t="n">
        <v>-1081.731</v>
      </c>
      <c r="H222" s="20" t="n">
        <v>-1383.906</v>
      </c>
      <c r="J222" s="20" t="n">
        <v>-2327.554</v>
      </c>
      <c r="L222" s="20" t="n">
        <v>-2999.948</v>
      </c>
      <c r="N222" s="20" t="n">
        <v>-0.058</v>
      </c>
      <c r="O222" s="20" t="n">
        <v>-250.127</v>
      </c>
      <c r="P222" s="20" t="n">
        <v>-0.153</v>
      </c>
      <c r="Q222" s="20" t="n">
        <v>-0.097</v>
      </c>
      <c r="R222" s="20" t="n">
        <v>-1017.114</v>
      </c>
      <c r="S222" s="20" t="n">
        <v>-719.742</v>
      </c>
      <c r="T222" s="20" t="n">
        <v>-428.96</v>
      </c>
      <c r="U222" s="20" t="n">
        <v>0</v>
      </c>
      <c r="V222" s="20" t="n">
        <v>-0.106</v>
      </c>
      <c r="W222" s="20" t="n">
        <v>-1383.906</v>
      </c>
      <c r="X222" s="20" t="n">
        <v>-2999.948</v>
      </c>
    </row>
    <row r="223">
      <c r="A223" s="18" t="inlineStr">
        <is>
          <t>배당금 지급</t>
        </is>
      </c>
      <c r="D223" s="20" t="n">
        <v>-706.415</v>
      </c>
      <c r="F223" s="20" t="n">
        <v>-352.872</v>
      </c>
      <c r="H223" s="20" t="n">
        <v>-691.809</v>
      </c>
      <c r="J223" s="20" t="n">
        <v>-514.6180000000001</v>
      </c>
      <c r="L223" s="20" t="n">
        <v>-998.703</v>
      </c>
      <c r="N223" s="20" t="n">
        <v>-468.517</v>
      </c>
      <c r="O223" s="20" t="n">
        <v>-561.739</v>
      </c>
      <c r="P223" s="20" t="n">
        <v>-553.777</v>
      </c>
      <c r="Q223" s="20" t="n">
        <v>-664.626</v>
      </c>
      <c r="R223" s="20" t="n">
        <v>-869.174</v>
      </c>
      <c r="S223" s="20" t="n">
        <v>-744.498</v>
      </c>
      <c r="T223" s="20" t="n">
        <v>-917.102</v>
      </c>
      <c r="U223" s="20" t="n">
        <v>-604.345</v>
      </c>
      <c r="V223" s="20" t="n">
        <v>-706.415</v>
      </c>
      <c r="W223" s="20" t="n">
        <v>-691.809</v>
      </c>
      <c r="X223" s="20" t="n">
        <v>-998.703</v>
      </c>
    </row>
    <row r="224">
      <c r="A224" s="9" t="inlineStr">
        <is>
          <t>재무활동 현금흐름</t>
        </is>
      </c>
      <c r="D224" s="12" t="n">
        <v>-706.522</v>
      </c>
      <c r="F224" s="12" t="n">
        <v>-1434.604</v>
      </c>
      <c r="H224" s="12" t="n">
        <v>-2075.716</v>
      </c>
      <c r="J224" s="12" t="n">
        <v>-542.173</v>
      </c>
      <c r="L224" s="12" t="n">
        <v>-1698.652</v>
      </c>
      <c r="N224" s="12" t="n">
        <v>-468.575</v>
      </c>
      <c r="O224" s="12" t="n">
        <v>-1201.027</v>
      </c>
      <c r="P224" s="12" t="n">
        <v>-693.154</v>
      </c>
      <c r="Q224" s="12" t="n">
        <v>-664.723</v>
      </c>
      <c r="R224" s="12" t="n">
        <v>-1886.288</v>
      </c>
      <c r="S224" s="12" t="n">
        <v>-1464.24</v>
      </c>
      <c r="T224" s="12" t="n">
        <v>-1346.062</v>
      </c>
      <c r="U224" s="12" t="n">
        <v>-604.345</v>
      </c>
      <c r="V224" s="12" t="n">
        <v>-706.522</v>
      </c>
      <c r="W224" s="12" t="n">
        <v>-2075.716</v>
      </c>
      <c r="X224" s="12" t="n">
        <v>-1698.652</v>
      </c>
    </row>
    <row r="225">
      <c r="A225" s="18" t="inlineStr">
        <is>
          <t>현금성자산 증감</t>
        </is>
      </c>
      <c r="D225" s="20" t="n">
        <v>704.861</v>
      </c>
      <c r="F225" s="20" t="n">
        <v>-3.256</v>
      </c>
      <c r="H225" s="20" t="n">
        <v>-1161.02</v>
      </c>
      <c r="J225" s="20" t="n">
        <v>884.044</v>
      </c>
      <c r="L225" s="20" t="n">
        <v>1046.663</v>
      </c>
      <c r="N225" s="20" t="n">
        <v>-221.568</v>
      </c>
      <c r="O225" s="20" t="n">
        <v>87.625</v>
      </c>
      <c r="P225" s="20" t="n">
        <v>625.823</v>
      </c>
      <c r="Q225" s="20" t="n">
        <v>1147.235</v>
      </c>
      <c r="R225" s="20" t="n">
        <v>138.649</v>
      </c>
      <c r="S225" s="20" t="n">
        <v>1636.094</v>
      </c>
      <c r="T225" s="20" t="n">
        <v>-1206.481</v>
      </c>
      <c r="U225" s="20" t="n">
        <v>-363.489</v>
      </c>
      <c r="V225" s="20" t="n">
        <v>704.861</v>
      </c>
      <c r="W225" s="20" t="n">
        <v>-1161.02</v>
      </c>
      <c r="X225" s="20" t="n">
        <v>1046.663</v>
      </c>
    </row>
  </sheetData>
  <pageMargins left="0.75" right="0.75" top="1" bottom="1" header="0.5" footer="0.5"/>
  <pageSetup orientation="landscape" paperSize="8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148"/>
  <sheetViews>
    <sheetView showGridLines="0" zoomScale="85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0" customWidth="1" min="2" max="2"/>
    <col outlineLevel="1" width="11" customWidth="1" min="3" max="3"/>
    <col outlineLevel="1" width="11" customWidth="1" min="4" max="4"/>
    <col outlineLevel="1" width="11" customWidth="1" min="5" max="5"/>
    <col outlineLevel="1" width="11" customWidth="1" min="6" max="6"/>
    <col outlineLevel="1"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30" customHeight="1">
      <c r="A1" s="1" t="inlineStr">
        <is>
          <t>9932 재무상태표</t>
        </is>
      </c>
    </row>
    <row r="2">
      <c r="A2" s="44" t="inlineStr">
        <is>
          <t>재무비율은 기말 잔액 기준 · 분기 손익은 최근 4분기 합산(TTM)</t>
        </is>
      </c>
      <c r="B2" s="3" t="inlineStr">
        <is>
          <t>(단위: 백만엔)</t>
        </is>
      </c>
    </row>
    <row r="3">
      <c r="A3" s="5" t="inlineStr">
        <is>
          <t>항목</t>
        </is>
      </c>
      <c r="B3" s="5" t="inlineStr">
        <is>
          <t>참고</t>
        </is>
      </c>
      <c r="C3" s="6" t="inlineStr">
        <is>
          <t>2026.2Q</t>
        </is>
      </c>
      <c r="D3" s="5" t="inlineStr">
        <is>
          <t>2026.3Q</t>
        </is>
      </c>
      <c r="E3" s="5" t="inlineStr">
        <is>
          <t>2026.4Q</t>
        </is>
      </c>
      <c r="F3" s="5" t="inlineStr">
        <is>
          <t>2027.1Q</t>
        </is>
      </c>
      <c r="G3" s="5" t="inlineStr">
        <is>
          <t>2027.2Q</t>
        </is>
      </c>
      <c r="H3" s="6" t="inlineStr">
        <is>
          <t>2022</t>
        </is>
      </c>
      <c r="I3" s="5" t="inlineStr">
        <is>
          <t>2023</t>
        </is>
      </c>
      <c r="J3" s="5" t="inlineStr">
        <is>
          <t>2024</t>
        </is>
      </c>
      <c r="K3" s="5" t="inlineStr">
        <is>
          <t>2025</t>
        </is>
      </c>
      <c r="L3" s="5" t="inlineStr">
        <is>
          <t>2026</t>
        </is>
      </c>
    </row>
    <row r="4">
      <c r="A4" s="16" t="inlineStr">
        <is>
          <t>자산</t>
        </is>
      </c>
      <c r="B4" s="16" t="n"/>
      <c r="C4" s="17" t="n"/>
      <c r="D4" s="16" t="n"/>
      <c r="E4" s="16" t="n"/>
      <c r="F4" s="16" t="n"/>
      <c r="G4" s="16" t="n"/>
      <c r="H4" s="17" t="n"/>
      <c r="I4" s="16" t="n"/>
      <c r="J4" s="16" t="n"/>
      <c r="K4" s="16" t="n"/>
      <c r="L4" s="16" t="n"/>
    </row>
    <row r="5">
      <c r="A5" s="9" t="inlineStr">
        <is>
          <t>유동자산</t>
        </is>
      </c>
      <c r="B5" s="10" t="n"/>
      <c r="C5" s="11" t="n">
        <v>23880.1</v>
      </c>
      <c r="D5" s="12" t="n">
        <v>25457.75</v>
      </c>
      <c r="E5" s="12" t="n">
        <v>25620.809</v>
      </c>
      <c r="F5" s="12" t="n">
        <v>24288.461</v>
      </c>
      <c r="G5" s="12" t="n">
        <v>24519.555</v>
      </c>
      <c r="H5" s="11" t="n">
        <v>21242.718</v>
      </c>
      <c r="I5" s="12" t="n">
        <v>22394.113</v>
      </c>
      <c r="J5" s="12" t="n">
        <v>26707.008</v>
      </c>
      <c r="K5" s="12" t="n">
        <v>21958.802</v>
      </c>
      <c r="L5" s="12" t="n">
        <v>25620.809</v>
      </c>
    </row>
    <row r="6">
      <c r="A6" s="18" t="inlineStr">
        <is>
          <t>현금및현금성자산</t>
        </is>
      </c>
      <c r="B6" s="10" t="n"/>
      <c r="C6" s="19" t="n">
        <v>8229.098</v>
      </c>
      <c r="D6" s="20" t="n">
        <v>6487.629</v>
      </c>
      <c r="E6" s="20" t="n">
        <v>8367.731</v>
      </c>
      <c r="F6" s="20" t="n">
        <v>7506.094</v>
      </c>
      <c r="G6" s="20" t="n">
        <v>8170.162</v>
      </c>
      <c r="H6" s="19" t="n">
        <v>6755.213</v>
      </c>
      <c r="I6" s="20" t="n">
        <v>6259.926</v>
      </c>
      <c r="J6" s="20" t="n">
        <v>8483.074000000001</v>
      </c>
      <c r="K6" s="20" t="n">
        <v>5794.055</v>
      </c>
      <c r="L6" s="20" t="n">
        <v>8367.731</v>
      </c>
    </row>
    <row r="7">
      <c r="A7" s="18" t="inlineStr">
        <is>
          <t>단기금융상품</t>
        </is>
      </c>
      <c r="B7" s="10" t="n"/>
      <c r="C7" s="19" t="n"/>
      <c r="D7" s="20" t="n"/>
      <c r="E7" s="20" t="n"/>
      <c r="F7" s="20" t="n"/>
      <c r="G7" s="20" t="n"/>
      <c r="H7" s="19" t="n"/>
      <c r="I7" s="20" t="n"/>
      <c r="J7" s="20" t="n"/>
      <c r="K7" s="20" t="n"/>
      <c r="L7" s="20" t="n"/>
    </row>
    <row r="8">
      <c r="A8" s="18" t="inlineStr">
        <is>
          <t>매출채권</t>
        </is>
      </c>
      <c r="B8" s="10" t="n"/>
      <c r="C8" s="19" t="n">
        <v>8968.284</v>
      </c>
      <c r="D8" s="20" t="n">
        <v>11408.59</v>
      </c>
      <c r="E8" s="20" t="n">
        <v>9784.325000000001</v>
      </c>
      <c r="F8" s="20" t="n">
        <v>8848.411</v>
      </c>
      <c r="G8" s="20" t="n">
        <v>8758.835999999999</v>
      </c>
      <c r="H8" s="19" t="n">
        <v>10404.962</v>
      </c>
      <c r="I8" s="20" t="n">
        <v>10736.994</v>
      </c>
      <c r="J8" s="20" t="n">
        <v>10500.456</v>
      </c>
      <c r="K8" s="20" t="n">
        <v>10922.46</v>
      </c>
      <c r="L8" s="20" t="n">
        <v>9784.325000000001</v>
      </c>
    </row>
    <row r="9">
      <c r="A9" s="18" t="inlineStr">
        <is>
          <t>재고자산</t>
        </is>
      </c>
      <c r="B9" s="10" t="n"/>
      <c r="C9" s="19" t="n">
        <v>1573.092</v>
      </c>
      <c r="D9" s="20" t="n">
        <v>2213.343</v>
      </c>
      <c r="E9" s="20" t="n">
        <v>1748.966</v>
      </c>
      <c r="F9" s="20" t="n">
        <v>2235.601</v>
      </c>
      <c r="G9" s="20" t="n">
        <v>1620.167</v>
      </c>
      <c r="H9" s="19" t="n">
        <v>1541.293</v>
      </c>
      <c r="I9" s="20" t="n">
        <v>1790.64</v>
      </c>
      <c r="J9" s="20" t="n">
        <v>1722.586</v>
      </c>
      <c r="K9" s="20" t="n">
        <v>1622.818</v>
      </c>
      <c r="L9" s="20" t="n">
        <v>1748.966</v>
      </c>
    </row>
    <row r="10">
      <c r="A10" s="18" t="inlineStr">
        <is>
          <t>기타유동자산</t>
        </is>
      </c>
      <c r="B10" s="10" t="inlineStr">
        <is>
          <t>총계 − 위 항목</t>
        </is>
      </c>
      <c r="C10" s="19">
        <f>IF(OR(C5=""),"",IFERROR(C5-SUM(C6,C7,C8,C9),""))</f>
        <v/>
      </c>
      <c r="D10" s="20">
        <f>IF(OR(D5=""),"",IFERROR(D5-SUM(D6,D7,D8,D9),""))</f>
        <v/>
      </c>
      <c r="E10" s="20">
        <f>IF(OR(E5=""),"",IFERROR(E5-SUM(E6,E7,E8,E9),""))</f>
        <v/>
      </c>
      <c r="F10" s="20">
        <f>IF(OR(F5=""),"",IFERROR(F5-SUM(F6,F7,F8,F9),""))</f>
        <v/>
      </c>
      <c r="G10" s="20">
        <f>IF(OR(G5=""),"",IFERROR(G5-SUM(G6,G7,G8,G9),""))</f>
        <v/>
      </c>
      <c r="H10" s="19">
        <f>IF(OR(H5=""),"",IFERROR(H5-SUM(H6,H7,H8,H9),""))</f>
        <v/>
      </c>
      <c r="I10" s="20">
        <f>IF(OR(I5=""),"",IFERROR(I5-SUM(I6,I7,I8,I9),""))</f>
        <v/>
      </c>
      <c r="J10" s="20">
        <f>IF(OR(J5=""),"",IFERROR(J5-SUM(J6,J7,J8,J9),""))</f>
        <v/>
      </c>
      <c r="K10" s="20">
        <f>IF(OR(K5=""),"",IFERROR(K5-SUM(K6,K7,K8,K9),""))</f>
        <v/>
      </c>
      <c r="L10" s="20">
        <f>IF(OR(L5=""),"",IFERROR(L5-SUM(L6,L7,L8,L9),""))</f>
        <v/>
      </c>
    </row>
    <row r="11">
      <c r="A11" s="9" t="inlineStr">
        <is>
          <t>비유동자산</t>
        </is>
      </c>
      <c r="B11" s="10" t="n"/>
      <c r="C11" s="11" t="n">
        <v>18016.872</v>
      </c>
      <c r="D11" s="12" t="n">
        <v>18342.173</v>
      </c>
      <c r="E11" s="12" t="n">
        <v>18009.912</v>
      </c>
      <c r="F11" s="12" t="n">
        <v>19937.42</v>
      </c>
      <c r="G11" s="12" t="n">
        <v>19906.741</v>
      </c>
      <c r="H11" s="11" t="n">
        <v>13360.252</v>
      </c>
      <c r="I11" s="12" t="n">
        <v>13401.397</v>
      </c>
      <c r="J11" s="12" t="n">
        <v>15892.639</v>
      </c>
      <c r="K11" s="12" t="n">
        <v>15964.241</v>
      </c>
      <c r="L11" s="12" t="n">
        <v>18009.912</v>
      </c>
    </row>
    <row r="12">
      <c r="A12" s="18" t="inlineStr">
        <is>
          <t>유형자산</t>
        </is>
      </c>
      <c r="B12" s="10" t="n"/>
      <c r="C12" s="19" t="n">
        <v>9978.505999999999</v>
      </c>
      <c r="D12" s="20" t="n">
        <v>10017.15</v>
      </c>
      <c r="E12" s="20" t="n">
        <v>10022.879</v>
      </c>
      <c r="F12" s="20" t="n">
        <v>10512.53</v>
      </c>
      <c r="G12" s="20" t="n">
        <v>10479.128</v>
      </c>
      <c r="H12" s="19" t="n">
        <v>7289.601</v>
      </c>
      <c r="I12" s="20" t="n">
        <v>7220.953</v>
      </c>
      <c r="J12" s="20" t="n">
        <v>9413.812</v>
      </c>
      <c r="K12" s="20" t="n">
        <v>8299.867</v>
      </c>
      <c r="L12" s="20" t="n">
        <v>10022.879</v>
      </c>
    </row>
    <row r="13">
      <c r="A13" s="18" t="inlineStr">
        <is>
          <t>무형자산</t>
        </is>
      </c>
      <c r="B13" s="10" t="n"/>
      <c r="C13" s="19" t="n">
        <v>1199.919</v>
      </c>
      <c r="D13" s="20" t="n">
        <v>1120.808</v>
      </c>
      <c r="E13" s="20" t="n">
        <v>1041.845</v>
      </c>
      <c r="F13" s="20" t="n">
        <v>963.913</v>
      </c>
      <c r="G13" s="20" t="n">
        <v>902.546</v>
      </c>
      <c r="H13" s="19" t="n">
        <v>650.2859999999999</v>
      </c>
      <c r="I13" s="20" t="n">
        <v>666.077</v>
      </c>
      <c r="J13" s="20" t="n">
        <v>822.682</v>
      </c>
      <c r="K13" s="20" t="n">
        <v>1340.013</v>
      </c>
      <c r="L13" s="20" t="n">
        <v>1041.845</v>
      </c>
    </row>
    <row r="14">
      <c r="A14" s="18" t="inlineStr">
        <is>
          <t>투자부동산</t>
        </is>
      </c>
      <c r="B14" s="10" t="n"/>
      <c r="C14" s="19" t="n"/>
      <c r="D14" s="20" t="n"/>
      <c r="E14" s="20" t="n"/>
      <c r="F14" s="20" t="n"/>
      <c r="G14" s="20" t="n"/>
      <c r="H14" s="19" t="n"/>
      <c r="I14" s="20" t="n"/>
      <c r="J14" s="20" t="n"/>
      <c r="K14" s="20" t="n"/>
      <c r="L14" s="20" t="n"/>
    </row>
    <row r="15">
      <c r="A15" s="18" t="inlineStr">
        <is>
          <t>기타비유동자산</t>
        </is>
      </c>
      <c r="B15" s="10" t="inlineStr">
        <is>
          <t>총계 − 위 항목</t>
        </is>
      </c>
      <c r="C15" s="19">
        <f>IF(OR(C11=""),"",IFERROR(C11-SUM(C12,C13,C14),""))</f>
        <v/>
      </c>
      <c r="D15" s="20">
        <f>IF(OR(D11=""),"",IFERROR(D11-SUM(D12,D13,D14),""))</f>
        <v/>
      </c>
      <c r="E15" s="20">
        <f>IF(OR(E11=""),"",IFERROR(E11-SUM(E12,E13,E14),""))</f>
        <v/>
      </c>
      <c r="F15" s="20">
        <f>IF(OR(F11=""),"",IFERROR(F11-SUM(F12,F13,F14),""))</f>
        <v/>
      </c>
      <c r="G15" s="20">
        <f>IF(OR(G11=""),"",IFERROR(G11-SUM(G12,G13,G14),""))</f>
        <v/>
      </c>
      <c r="H15" s="19">
        <f>IF(OR(H11=""),"",IFERROR(H11-SUM(H12,H13,H14),""))</f>
        <v/>
      </c>
      <c r="I15" s="20">
        <f>IF(OR(I11=""),"",IFERROR(I11-SUM(I12,I13,I14),""))</f>
        <v/>
      </c>
      <c r="J15" s="20">
        <f>IF(OR(J11=""),"",IFERROR(J11-SUM(J12,J13,J14),""))</f>
        <v/>
      </c>
      <c r="K15" s="20">
        <f>IF(OR(K11=""),"",IFERROR(K11-SUM(K12,K13,K14),""))</f>
        <v/>
      </c>
      <c r="L15" s="20">
        <f>IF(OR(L11=""),"",IFERROR(L11-SUM(L12,L13,L14),""))</f>
        <v/>
      </c>
    </row>
    <row r="16">
      <c r="A16" s="9" t="inlineStr">
        <is>
          <t>자산총계</t>
        </is>
      </c>
      <c r="B16" s="10" t="n"/>
      <c r="C16" s="11" t="n">
        <v>41896.972</v>
      </c>
      <c r="D16" s="12" t="n">
        <v>43799.924</v>
      </c>
      <c r="E16" s="12" t="n">
        <v>43630.722</v>
      </c>
      <c r="F16" s="12" t="n">
        <v>44225.882</v>
      </c>
      <c r="G16" s="12" t="n">
        <v>44426.297</v>
      </c>
      <c r="H16" s="11" t="n">
        <v>34602.97</v>
      </c>
      <c r="I16" s="12" t="n">
        <v>35795.511</v>
      </c>
      <c r="J16" s="12" t="n">
        <v>42599.648</v>
      </c>
      <c r="K16" s="12" t="n">
        <v>37923.044</v>
      </c>
      <c r="L16" s="12" t="n">
        <v>43630.722</v>
      </c>
    </row>
    <row r="17">
      <c r="A17" s="16" t="inlineStr">
        <is>
          <t>부채</t>
        </is>
      </c>
      <c r="B17" s="16" t="n"/>
      <c r="C17" s="17" t="n"/>
      <c r="D17" s="16" t="n"/>
      <c r="E17" s="16" t="n"/>
      <c r="F17" s="16" t="n"/>
      <c r="G17" s="16" t="n"/>
      <c r="H17" s="17" t="n"/>
      <c r="I17" s="16" t="n"/>
      <c r="J17" s="16" t="n"/>
      <c r="K17" s="16" t="n"/>
      <c r="L17" s="16" t="n"/>
    </row>
    <row r="18">
      <c r="A18" s="9" t="inlineStr">
        <is>
          <t>유동부채</t>
        </is>
      </c>
      <c r="B18" s="10" t="n"/>
      <c r="C18" s="11" t="n">
        <v>7028.97</v>
      </c>
      <c r="D18" s="12" t="n">
        <v>8937.796</v>
      </c>
      <c r="E18" s="12" t="n">
        <v>8292.648999999999</v>
      </c>
      <c r="F18" s="12" t="n">
        <v>7348.086</v>
      </c>
      <c r="G18" s="12" t="n">
        <v>7162.571</v>
      </c>
      <c r="H18" s="11" t="n">
        <v>4489.383</v>
      </c>
      <c r="I18" s="12" t="n">
        <v>4406.221</v>
      </c>
      <c r="J18" s="12" t="n">
        <v>5424.559</v>
      </c>
      <c r="K18" s="12" t="n">
        <v>5029.602</v>
      </c>
      <c r="L18" s="12" t="n">
        <v>8292.648999999999</v>
      </c>
    </row>
    <row r="19">
      <c r="A19" s="18" t="inlineStr">
        <is>
          <t>매입채무</t>
        </is>
      </c>
      <c r="B19" s="10" t="n"/>
      <c r="C19" s="19" t="n">
        <v>3204.154</v>
      </c>
      <c r="D19" s="20" t="n">
        <v>5488.524</v>
      </c>
      <c r="E19" s="20" t="n">
        <v>4161.335</v>
      </c>
      <c r="F19" s="20" t="n">
        <v>3944.022</v>
      </c>
      <c r="G19" s="20" t="n">
        <v>3251.348</v>
      </c>
      <c r="H19" s="19" t="n">
        <v>3092.761</v>
      </c>
      <c r="I19" s="20" t="n">
        <v>3134.508</v>
      </c>
      <c r="J19" s="20" t="n">
        <v>3702.001</v>
      </c>
      <c r="K19" s="20" t="n">
        <v>3662.333</v>
      </c>
      <c r="L19" s="20" t="n">
        <v>4161.335</v>
      </c>
    </row>
    <row r="20">
      <c r="A20" s="18" t="inlineStr">
        <is>
          <t>단기차입금</t>
        </is>
      </c>
      <c r="B20" s="10" t="n"/>
      <c r="C20" s="19" t="n">
        <v>2300</v>
      </c>
      <c r="D20" s="20" t="n">
        <v>2300</v>
      </c>
      <c r="E20" s="20" t="n">
        <v>2300</v>
      </c>
      <c r="F20" s="20" t="n">
        <v>2300</v>
      </c>
      <c r="G20" s="20" t="n">
        <v>2300</v>
      </c>
      <c r="H20" s="19" t="n"/>
      <c r="I20" s="20" t="n"/>
      <c r="J20" s="20" t="n"/>
      <c r="K20" s="20" t="n">
        <v>0</v>
      </c>
      <c r="L20" s="20" t="n">
        <v>2300</v>
      </c>
    </row>
    <row r="21">
      <c r="A21" s="18" t="inlineStr">
        <is>
          <t>유동성장기부채</t>
        </is>
      </c>
      <c r="B21" s="10" t="n"/>
      <c r="C21" s="19" t="n"/>
      <c r="D21" s="20" t="n"/>
      <c r="E21" s="20" t="n"/>
      <c r="F21" s="20" t="n"/>
      <c r="G21" s="20" t="n"/>
      <c r="H21" s="19" t="n"/>
      <c r="I21" s="20" t="n"/>
      <c r="J21" s="20" t="n"/>
      <c r="K21" s="20" t="n"/>
      <c r="L21" s="20" t="n"/>
    </row>
    <row r="22">
      <c r="A22" s="18" t="inlineStr">
        <is>
          <t>기타유동부채</t>
        </is>
      </c>
      <c r="B22" s="10" t="inlineStr">
        <is>
          <t>총계 − 위 항목</t>
        </is>
      </c>
      <c r="C22" s="19">
        <f>IF(OR(C18=""),"",IFERROR(C18-SUM(C19,C20,C21),""))</f>
        <v/>
      </c>
      <c r="D22" s="20">
        <f>IF(OR(D18=""),"",IFERROR(D18-SUM(D19,D20,D21),""))</f>
        <v/>
      </c>
      <c r="E22" s="20">
        <f>IF(OR(E18=""),"",IFERROR(E18-SUM(E19,E20,E21),""))</f>
        <v/>
      </c>
      <c r="F22" s="20">
        <f>IF(OR(F18=""),"",IFERROR(F18-SUM(F19,F20,F21),""))</f>
        <v/>
      </c>
      <c r="G22" s="20">
        <f>IF(OR(G18=""),"",IFERROR(G18-SUM(G19,G20,G21),""))</f>
        <v/>
      </c>
      <c r="H22" s="19">
        <f>IF(OR(H18=""),"",IFERROR(H18-SUM(H19,H20,H21),""))</f>
        <v/>
      </c>
      <c r="I22" s="20">
        <f>IF(OR(I18=""),"",IFERROR(I18-SUM(I19,I20,I21),""))</f>
        <v/>
      </c>
      <c r="J22" s="20">
        <f>IF(OR(J18=""),"",IFERROR(J18-SUM(J19,J20,J21),""))</f>
        <v/>
      </c>
      <c r="K22" s="20">
        <f>IF(OR(K18=""),"",IFERROR(K18-SUM(K19,K20,K21),""))</f>
        <v/>
      </c>
      <c r="L22" s="20">
        <f>IF(OR(L18=""),"",IFERROR(L18-SUM(L19,L20,L21),""))</f>
        <v/>
      </c>
    </row>
    <row r="23">
      <c r="A23" s="9" t="inlineStr">
        <is>
          <t>비유동부채</t>
        </is>
      </c>
      <c r="B23" s="10" t="n"/>
      <c r="C23" s="11" t="n">
        <v>1259.756</v>
      </c>
      <c r="D23" s="12" t="n">
        <v>1483.604</v>
      </c>
      <c r="E23" s="12" t="n">
        <v>1330.452</v>
      </c>
      <c r="F23" s="12" t="n">
        <v>1942.086</v>
      </c>
      <c r="G23" s="12" t="n">
        <v>1843.718</v>
      </c>
      <c r="H23" s="11" t="n">
        <v>567.514</v>
      </c>
      <c r="I23" s="12" t="n">
        <v>634.465</v>
      </c>
      <c r="J23" s="12" t="n">
        <v>1216.989</v>
      </c>
      <c r="K23" s="12" t="n">
        <v>919.976</v>
      </c>
      <c r="L23" s="12" t="n">
        <v>1330.452</v>
      </c>
    </row>
    <row r="24">
      <c r="A24" s="18" t="inlineStr">
        <is>
          <t>장기차입금</t>
        </is>
      </c>
      <c r="B24" s="10" t="n"/>
      <c r="C24" s="19" t="n"/>
      <c r="D24" s="20" t="n"/>
      <c r="E24" s="20" t="n"/>
      <c r="F24" s="20" t="n"/>
      <c r="G24" s="20" t="n"/>
      <c r="H24" s="19" t="n"/>
      <c r="I24" s="20" t="n"/>
      <c r="J24" s="20" t="n"/>
      <c r="K24" s="20" t="n"/>
      <c r="L24" s="20" t="n"/>
    </row>
    <row r="25">
      <c r="A25" s="18" t="inlineStr">
        <is>
          <t>사채</t>
        </is>
      </c>
      <c r="B25" s="10" t="n"/>
      <c r="C25" s="19" t="n"/>
      <c r="D25" s="20" t="n"/>
      <c r="E25" s="20" t="n"/>
      <c r="F25" s="20" t="n"/>
      <c r="G25" s="20" t="n"/>
      <c r="H25" s="19" t="n"/>
      <c r="I25" s="20" t="n"/>
      <c r="J25" s="20" t="n"/>
      <c r="K25" s="20" t="n"/>
      <c r="L25" s="20" t="n"/>
    </row>
    <row r="26">
      <c r="A26" s="18" t="inlineStr">
        <is>
          <t>기타비유동부채</t>
        </is>
      </c>
      <c r="B26" s="10" t="inlineStr">
        <is>
          <t>총계 − 위 항목</t>
        </is>
      </c>
      <c r="C26" s="19">
        <f>IF(OR(C23=""),"",IFERROR(C23-SUM(C24,C25),""))</f>
        <v/>
      </c>
      <c r="D26" s="20">
        <f>IF(OR(D23=""),"",IFERROR(D23-SUM(D24,D25),""))</f>
        <v/>
      </c>
      <c r="E26" s="20">
        <f>IF(OR(E23=""),"",IFERROR(E23-SUM(E24,E25),""))</f>
        <v/>
      </c>
      <c r="F26" s="20">
        <f>IF(OR(F23=""),"",IFERROR(F23-SUM(F24,F25),""))</f>
        <v/>
      </c>
      <c r="G26" s="20">
        <f>IF(OR(G23=""),"",IFERROR(G23-SUM(G24,G25),""))</f>
        <v/>
      </c>
      <c r="H26" s="19">
        <f>IF(OR(H23=""),"",IFERROR(H23-SUM(H24,H25),""))</f>
        <v/>
      </c>
      <c r="I26" s="20">
        <f>IF(OR(I23=""),"",IFERROR(I23-SUM(I24,I25),""))</f>
        <v/>
      </c>
      <c r="J26" s="20">
        <f>IF(OR(J23=""),"",IFERROR(J23-SUM(J24,J25),""))</f>
        <v/>
      </c>
      <c r="K26" s="20">
        <f>IF(OR(K23=""),"",IFERROR(K23-SUM(K24,K25),""))</f>
        <v/>
      </c>
      <c r="L26" s="20">
        <f>IF(OR(L23=""),"",IFERROR(L23-SUM(L24,L25),""))</f>
        <v/>
      </c>
    </row>
    <row r="27">
      <c r="A27" s="9" t="inlineStr">
        <is>
          <t>부채총계</t>
        </is>
      </c>
      <c r="B27" s="10" t="n"/>
      <c r="C27" s="11" t="n">
        <v>8288.726000000001</v>
      </c>
      <c r="D27" s="12" t="n">
        <v>10421.401</v>
      </c>
      <c r="E27" s="12" t="n">
        <v>9623.102000000001</v>
      </c>
      <c r="F27" s="12" t="n">
        <v>9290.173000000001</v>
      </c>
      <c r="G27" s="12" t="n">
        <v>9006.289000000001</v>
      </c>
      <c r="H27" s="11" t="n">
        <v>5056.898</v>
      </c>
      <c r="I27" s="12" t="n">
        <v>5040.687</v>
      </c>
      <c r="J27" s="12" t="n">
        <v>6641.548</v>
      </c>
      <c r="K27" s="12" t="n">
        <v>5949.578</v>
      </c>
      <c r="L27" s="12" t="n">
        <v>9623.102000000001</v>
      </c>
    </row>
    <row r="28">
      <c r="A28" s="18" t="inlineStr">
        <is>
          <t>총차입금</t>
        </is>
      </c>
      <c r="B28" s="10" t="inlineStr">
        <is>
          <t>단기+유동성장기+장기+사채</t>
        </is>
      </c>
      <c r="C28" s="19">
        <f>SUM(C20,C21,C24,C25)</f>
        <v/>
      </c>
      <c r="D28" s="20">
        <f>SUM(D20,D21,D24,D25)</f>
        <v/>
      </c>
      <c r="E28" s="20">
        <f>SUM(E20,E21,E24,E25)</f>
        <v/>
      </c>
      <c r="F28" s="20">
        <f>SUM(F20,F21,F24,F25)</f>
        <v/>
      </c>
      <c r="G28" s="20">
        <f>SUM(G20,G21,G24,G25)</f>
        <v/>
      </c>
      <c r="H28" s="19">
        <f>SUM(H20,H21,H24,H25)</f>
        <v/>
      </c>
      <c r="I28" s="20">
        <f>SUM(I20,I21,I24,I25)</f>
        <v/>
      </c>
      <c r="J28" s="20">
        <f>SUM(J20,J21,J24,J25)</f>
        <v/>
      </c>
      <c r="K28" s="20">
        <f>SUM(K20,K21,K24,K25)</f>
        <v/>
      </c>
      <c r="L28" s="20">
        <f>SUM(L20,L21,L24,L25)</f>
        <v/>
      </c>
    </row>
    <row r="29">
      <c r="A29" s="18" t="inlineStr">
        <is>
          <t>순차입금</t>
        </is>
      </c>
      <c r="B29" s="10" t="inlineStr">
        <is>
          <t>음수 = 순현금</t>
        </is>
      </c>
      <c r="C29" s="19">
        <f>C28-C6-N(C7)</f>
        <v/>
      </c>
      <c r="D29" s="20">
        <f>D28-D6-N(D7)</f>
        <v/>
      </c>
      <c r="E29" s="20">
        <f>E28-E6-N(E7)</f>
        <v/>
      </c>
      <c r="F29" s="20">
        <f>F28-F6-N(F7)</f>
        <v/>
      </c>
      <c r="G29" s="20">
        <f>G28-G6-N(G7)</f>
        <v/>
      </c>
      <c r="H29" s="19">
        <f>H28-H6-N(H7)</f>
        <v/>
      </c>
      <c r="I29" s="20">
        <f>I28-I6-N(I7)</f>
        <v/>
      </c>
      <c r="J29" s="20">
        <f>J28-J6-N(J7)</f>
        <v/>
      </c>
      <c r="K29" s="20">
        <f>K28-K6-N(K7)</f>
        <v/>
      </c>
      <c r="L29" s="20">
        <f>L28-L6-N(L7)</f>
        <v/>
      </c>
    </row>
    <row r="30">
      <c r="A30" s="16" t="inlineStr">
        <is>
          <t>자본</t>
        </is>
      </c>
      <c r="B30" s="16" t="n"/>
      <c r="C30" s="17" t="n"/>
      <c r="D30" s="16" t="n"/>
      <c r="E30" s="16" t="n"/>
      <c r="F30" s="16" t="n"/>
      <c r="G30" s="16" t="n"/>
      <c r="H30" s="17" t="n"/>
      <c r="I30" s="16" t="n"/>
      <c r="J30" s="16" t="n"/>
      <c r="K30" s="16" t="n"/>
      <c r="L30" s="16" t="n"/>
    </row>
    <row r="31">
      <c r="A31" s="9" t="inlineStr">
        <is>
          <t>지배주주지분</t>
        </is>
      </c>
      <c r="B31" s="10" t="n"/>
      <c r="C31" s="11" t="n">
        <v>33608.245</v>
      </c>
      <c r="D31" s="12" t="n">
        <v>33378.522</v>
      </c>
      <c r="E31" s="12" t="n">
        <v>34007.62</v>
      </c>
      <c r="F31" s="12" t="n">
        <v>34935.708</v>
      </c>
      <c r="G31" s="12" t="n">
        <v>35420.008</v>
      </c>
      <c r="H31" s="11" t="n">
        <v>29546.072</v>
      </c>
      <c r="I31" s="12" t="n">
        <v>30754.823</v>
      </c>
      <c r="J31" s="12" t="n">
        <v>35958.099</v>
      </c>
      <c r="K31" s="12" t="n">
        <v>31973.465</v>
      </c>
      <c r="L31" s="12" t="n">
        <v>34007.62</v>
      </c>
    </row>
    <row r="32">
      <c r="A32" s="18" t="inlineStr">
        <is>
          <t>자본금</t>
        </is>
      </c>
      <c r="B32" s="10" t="n"/>
      <c r="C32" s="19" t="n">
        <v>2597.406</v>
      </c>
      <c r="D32" s="20" t="n">
        <v>2597.406</v>
      </c>
      <c r="E32" s="20" t="n">
        <v>2597.406</v>
      </c>
      <c r="F32" s="20" t="n">
        <v>2597.406</v>
      </c>
      <c r="G32" s="20" t="n">
        <v>2597.406</v>
      </c>
      <c r="H32" s="19" t="n">
        <v>2597.406</v>
      </c>
      <c r="I32" s="20" t="n">
        <v>2597.406</v>
      </c>
      <c r="J32" s="20" t="n">
        <v>2597.406</v>
      </c>
      <c r="K32" s="20" t="n">
        <v>2597.406</v>
      </c>
      <c r="L32" s="20" t="n">
        <v>2597.406</v>
      </c>
    </row>
    <row r="33">
      <c r="A33" s="18" t="inlineStr">
        <is>
          <t>이익잉여금</t>
        </is>
      </c>
      <c r="B33" s="10" t="n"/>
      <c r="C33" s="19" t="n">
        <v>32441.136</v>
      </c>
      <c r="D33" s="20" t="n">
        <v>32658.816</v>
      </c>
      <c r="E33" s="20" t="n">
        <v>33421.364</v>
      </c>
      <c r="F33" s="20" t="n">
        <v>27612.092</v>
      </c>
      <c r="G33" s="20" t="n">
        <v>28068.8</v>
      </c>
      <c r="H33" s="19" t="n">
        <v>25930.091</v>
      </c>
      <c r="I33" s="20" t="n">
        <v>27050.107</v>
      </c>
      <c r="J33" s="20" t="n">
        <v>31082.228</v>
      </c>
      <c r="K33" s="20" t="n">
        <v>29196.201</v>
      </c>
      <c r="L33" s="20" t="n">
        <v>33421.364</v>
      </c>
    </row>
    <row r="34">
      <c r="A34" s="18" t="inlineStr">
        <is>
          <t>비지배지분</t>
        </is>
      </c>
      <c r="B34" s="10" t="n"/>
      <c r="C34" s="19" t="n"/>
      <c r="D34" s="20" t="n"/>
      <c r="E34" s="20" t="n"/>
      <c r="F34" s="20" t="n"/>
      <c r="G34" s="20" t="n"/>
      <c r="H34" s="19" t="n"/>
      <c r="I34" s="20" t="n"/>
      <c r="J34" s="20" t="n"/>
      <c r="K34" s="20" t="n"/>
      <c r="L34" s="20" t="n"/>
    </row>
    <row r="35">
      <c r="A35" s="9" t="inlineStr">
        <is>
          <t>자본총계</t>
        </is>
      </c>
      <c r="B35" s="10" t="n"/>
      <c r="C35" s="11" t="n">
        <v>33608.245</v>
      </c>
      <c r="D35" s="12" t="n">
        <v>33378.522</v>
      </c>
      <c r="E35" s="12" t="n">
        <v>34007.62</v>
      </c>
      <c r="F35" s="12" t="n">
        <v>34935.708</v>
      </c>
      <c r="G35" s="12" t="n">
        <v>35420.008</v>
      </c>
      <c r="H35" s="11" t="n">
        <v>29546.072</v>
      </c>
      <c r="I35" s="12" t="n">
        <v>30754.823</v>
      </c>
      <c r="J35" s="12" t="n">
        <v>35958.099</v>
      </c>
      <c r="K35" s="12" t="n">
        <v>31973.465</v>
      </c>
      <c r="L35" s="12" t="n">
        <v>34007.62</v>
      </c>
    </row>
    <row r="36">
      <c r="A36" s="16" t="inlineStr">
        <is>
          <t>현금흐름 요약</t>
        </is>
      </c>
      <c r="B36" s="16" t="inlineStr">
        <is>
          <t>분기 = TTM (있을 때만)</t>
        </is>
      </c>
      <c r="C36" s="17" t="n"/>
      <c r="D36" s="16" t="n"/>
      <c r="E36" s="16" t="n"/>
      <c r="F36" s="16" t="n"/>
      <c r="G36" s="16" t="n"/>
      <c r="H36" s="17" t="n"/>
      <c r="I36" s="16" t="n"/>
      <c r="J36" s="16" t="n"/>
      <c r="K36" s="16" t="n"/>
      <c r="L36" s="16" t="n"/>
    </row>
    <row r="37">
      <c r="A37" s="9" t="inlineStr">
        <is>
          <t>영업활동현금흐름</t>
        </is>
      </c>
      <c r="B37" s="10" t="n"/>
      <c r="C37" s="11" t="n">
        <v>2968.124</v>
      </c>
      <c r="D37" s="12" t="n"/>
      <c r="E37" s="12" t="n">
        <v>3346.278</v>
      </c>
      <c r="F37" s="12" t="n"/>
      <c r="G37" s="12" t="n">
        <v>1790.447</v>
      </c>
      <c r="H37" s="11" t="n">
        <v>1020.545</v>
      </c>
      <c r="I37" s="12" t="n">
        <v>686.421</v>
      </c>
      <c r="J37" s="12" t="n">
        <v>2523.948</v>
      </c>
      <c r="K37" s="12" t="n">
        <v>2669.113</v>
      </c>
      <c r="L37" s="12" t="n">
        <v>3346.278</v>
      </c>
    </row>
    <row r="38">
      <c r="A38" s="18" t="inlineStr">
        <is>
          <t>CAPEX (유·무형 취득)</t>
        </is>
      </c>
      <c r="B38" s="10" t="inlineStr">
        <is>
          <t>양수로 입력</t>
        </is>
      </c>
      <c r="C38" s="19" t="n">
        <v>1133.798</v>
      </c>
      <c r="D38" s="20" t="n"/>
      <c r="E38" s="20" t="n">
        <v>270.679</v>
      </c>
      <c r="F38" s="20" t="n"/>
      <c r="G38" s="20" t="n">
        <v>794.864</v>
      </c>
      <c r="H38" s="19" t="n">
        <v>788.799</v>
      </c>
      <c r="I38" s="20" t="n">
        <v>743.092</v>
      </c>
      <c r="J38" s="20" t="n">
        <v>1256.328</v>
      </c>
      <c r="K38" s="20" t="n">
        <v>1734.537</v>
      </c>
      <c r="L38" s="20" t="n">
        <v>270.679</v>
      </c>
    </row>
    <row r="39">
      <c r="A39" s="9" t="inlineStr">
        <is>
          <t>FCF</t>
        </is>
      </c>
      <c r="B39" s="10" t="n"/>
      <c r="C39" s="11">
        <f>IF(OR(C37="",C38=""),"",IFERROR(C37-C38,""))</f>
        <v/>
      </c>
      <c r="D39" s="12">
        <f>IF(OR(D37="",D38=""),"",IFERROR(D37-D38,""))</f>
        <v/>
      </c>
      <c r="E39" s="12">
        <f>IF(OR(E37="",E38=""),"",IFERROR(E37-E38,""))</f>
        <v/>
      </c>
      <c r="F39" s="12">
        <f>IF(OR(F37="",F38=""),"",IFERROR(F37-F38,""))</f>
        <v/>
      </c>
      <c r="G39" s="12">
        <f>IF(OR(G37="",G38=""),"",IFERROR(G37-G38,""))</f>
        <v/>
      </c>
      <c r="H39" s="11">
        <f>IF(OR(H37="",H38=""),"",IFERROR(H37-H38,""))</f>
        <v/>
      </c>
      <c r="I39" s="12">
        <f>IF(OR(I37="",I38=""),"",IFERROR(I37-I38,""))</f>
        <v/>
      </c>
      <c r="J39" s="12">
        <f>IF(OR(J37="",J38=""),"",IFERROR(J37-J38,""))</f>
        <v/>
      </c>
      <c r="K39" s="12">
        <f>IF(OR(K37="",K38=""),"",IFERROR(K37-K38,""))</f>
        <v/>
      </c>
      <c r="L39" s="12">
        <f>IF(OR(L37="",L38=""),"",IFERROR(L37-L38,""))</f>
        <v/>
      </c>
    </row>
    <row r="40">
      <c r="A40" s="18" t="inlineStr">
        <is>
          <t>배당금 지급</t>
        </is>
      </c>
      <c r="B40" s="10" t="inlineStr">
        <is>
          <t>양수로 입력</t>
        </is>
      </c>
      <c r="C40" s="19" t="n">
        <v>853.5549999999999</v>
      </c>
      <c r="D40" s="20" t="n"/>
      <c r="E40" s="20" t="n">
        <v>998.703</v>
      </c>
      <c r="F40" s="20" t="n"/>
      <c r="G40" s="20" t="n">
        <v>952.602</v>
      </c>
      <c r="H40" s="19" t="n">
        <v>917.102</v>
      </c>
      <c r="I40" s="20" t="n">
        <v>604.345</v>
      </c>
      <c r="J40" s="20" t="n">
        <v>706.415</v>
      </c>
      <c r="K40" s="20" t="n">
        <v>691.809</v>
      </c>
      <c r="L40" s="20" t="n">
        <v>998.703</v>
      </c>
    </row>
    <row r="41">
      <c r="A41" s="16" t="inlineStr">
        <is>
          <t>주요 재무 비율</t>
        </is>
      </c>
      <c r="B41" s="16" t="inlineStr">
        <is>
          <t>기준 (빨간 글씨 = 미달)</t>
        </is>
      </c>
      <c r="C41" s="17" t="n"/>
      <c r="D41" s="16" t="n"/>
      <c r="E41" s="16" t="n"/>
      <c r="F41" s="16" t="n"/>
      <c r="G41" s="16" t="n"/>
      <c r="H41" s="17" t="n"/>
      <c r="I41" s="16" t="n"/>
      <c r="J41" s="16" t="n"/>
      <c r="K41" s="16" t="n"/>
      <c r="L41" s="16" t="n"/>
    </row>
    <row r="42">
      <c r="A42" s="23" t="inlineStr">
        <is>
          <t>안정성</t>
        </is>
      </c>
      <c r="B42" s="23" t="n"/>
      <c r="C42" s="24" t="n"/>
      <c r="D42" s="23" t="n"/>
      <c r="E42" s="23" t="n"/>
      <c r="F42" s="23" t="n"/>
      <c r="G42" s="23" t="n"/>
      <c r="H42" s="24" t="n"/>
      <c r="I42" s="23" t="n"/>
      <c r="J42" s="23" t="n"/>
      <c r="K42" s="23" t="n"/>
      <c r="L42" s="23" t="n"/>
    </row>
    <row r="43">
      <c r="A43" s="45" t="inlineStr">
        <is>
          <t>부채비율</t>
        </is>
      </c>
      <c r="B43" s="10" t="inlineStr">
        <is>
          <t>100%↓</t>
        </is>
      </c>
      <c r="C43" s="35">
        <f>IF(OR(C27="",C35=""),"",IFERROR(C27/C35,""))</f>
        <v/>
      </c>
      <c r="D43" s="36">
        <f>IF(OR(D27="",D35=""),"",IFERROR(D27/D35,""))</f>
        <v/>
      </c>
      <c r="E43" s="36">
        <f>IF(OR(E27="",E35=""),"",IFERROR(E27/E35,""))</f>
        <v/>
      </c>
      <c r="F43" s="36">
        <f>IF(OR(F27="",F35=""),"",IFERROR(F27/F35,""))</f>
        <v/>
      </c>
      <c r="G43" s="36">
        <f>IF(OR(G27="",G35=""),"",IFERROR(G27/G35,""))</f>
        <v/>
      </c>
      <c r="H43" s="35">
        <f>IF(OR(H27="",H35=""),"",IFERROR(H27/H35,""))</f>
        <v/>
      </c>
      <c r="I43" s="36">
        <f>IF(OR(I27="",I35=""),"",IFERROR(I27/I35,""))</f>
        <v/>
      </c>
      <c r="J43" s="36">
        <f>IF(OR(J27="",J35=""),"",IFERROR(J27/J35,""))</f>
        <v/>
      </c>
      <c r="K43" s="36">
        <f>IF(OR(K27="",K35=""),"",IFERROR(K27/K35,""))</f>
        <v/>
      </c>
      <c r="L43" s="36">
        <f>IF(OR(L27="",L35=""),"",IFERROR(L27/L35,""))</f>
        <v/>
      </c>
    </row>
    <row r="44">
      <c r="A44" s="45" t="inlineStr">
        <is>
          <t>순차입금비율</t>
        </is>
      </c>
      <c r="B44" s="10" t="inlineStr">
        <is>
          <t>0%↓ 순현금</t>
        </is>
      </c>
      <c r="C44" s="35">
        <f>IF(OR(C29="",C35=""),"",IFERROR(C29/C35,""))</f>
        <v/>
      </c>
      <c r="D44" s="36">
        <f>IF(OR(D29="",D35=""),"",IFERROR(D29/D35,""))</f>
        <v/>
      </c>
      <c r="E44" s="36">
        <f>IF(OR(E29="",E35=""),"",IFERROR(E29/E35,""))</f>
        <v/>
      </c>
      <c r="F44" s="36">
        <f>IF(OR(F29="",F35=""),"",IFERROR(F29/F35,""))</f>
        <v/>
      </c>
      <c r="G44" s="36">
        <f>IF(OR(G29="",G35=""),"",IFERROR(G29/G35,""))</f>
        <v/>
      </c>
      <c r="H44" s="35">
        <f>IF(OR(H29="",H35=""),"",IFERROR(H29/H35,""))</f>
        <v/>
      </c>
      <c r="I44" s="36">
        <f>IF(OR(I29="",I35=""),"",IFERROR(I29/I35,""))</f>
        <v/>
      </c>
      <c r="J44" s="36">
        <f>IF(OR(J29="",J35=""),"",IFERROR(J29/J35,""))</f>
        <v/>
      </c>
      <c r="K44" s="36">
        <f>IF(OR(K29="",K35=""),"",IFERROR(K29/K35,""))</f>
        <v/>
      </c>
      <c r="L44" s="36">
        <f>IF(OR(L29="",L35=""),"",IFERROR(L29/L35,""))</f>
        <v/>
      </c>
    </row>
    <row r="45">
      <c r="A45" s="45" t="inlineStr">
        <is>
          <t>자기자본비율</t>
        </is>
      </c>
      <c r="B45" s="10" t="inlineStr">
        <is>
          <t>50%↑</t>
        </is>
      </c>
      <c r="C45" s="35">
        <f>IF(OR(C35="",C16=""),"",IFERROR(C35/C16,""))</f>
        <v/>
      </c>
      <c r="D45" s="36">
        <f>IF(OR(D35="",D16=""),"",IFERROR(D35/D16,""))</f>
        <v/>
      </c>
      <c r="E45" s="36">
        <f>IF(OR(E35="",E16=""),"",IFERROR(E35/E16,""))</f>
        <v/>
      </c>
      <c r="F45" s="36">
        <f>IF(OR(F35="",F16=""),"",IFERROR(F35/F16,""))</f>
        <v/>
      </c>
      <c r="G45" s="36">
        <f>IF(OR(G35="",G16=""),"",IFERROR(G35/G16,""))</f>
        <v/>
      </c>
      <c r="H45" s="35">
        <f>IF(OR(H35="",H16=""),"",IFERROR(H35/H16,""))</f>
        <v/>
      </c>
      <c r="I45" s="36">
        <f>IF(OR(I35="",I16=""),"",IFERROR(I35/I16,""))</f>
        <v/>
      </c>
      <c r="J45" s="36">
        <f>IF(OR(J35="",J16=""),"",IFERROR(J35/J16,""))</f>
        <v/>
      </c>
      <c r="K45" s="36">
        <f>IF(OR(K35="",K16=""),"",IFERROR(K35/K16,""))</f>
        <v/>
      </c>
      <c r="L45" s="36">
        <f>IF(OR(L35="",L16=""),"",IFERROR(L35/L16,""))</f>
        <v/>
      </c>
    </row>
    <row r="46">
      <c r="A46" s="45" t="inlineStr">
        <is>
          <t>유동비율</t>
        </is>
      </c>
      <c r="B46" s="10" t="inlineStr">
        <is>
          <t>150%↑</t>
        </is>
      </c>
      <c r="C46" s="35">
        <f>IF(OR(C5="",C18=""),"",IFERROR(C5/C18,""))</f>
        <v/>
      </c>
      <c r="D46" s="36">
        <f>IF(OR(D5="",D18=""),"",IFERROR(D5/D18,""))</f>
        <v/>
      </c>
      <c r="E46" s="36">
        <f>IF(OR(E5="",E18=""),"",IFERROR(E5/E18,""))</f>
        <v/>
      </c>
      <c r="F46" s="36">
        <f>IF(OR(F5="",F18=""),"",IFERROR(F5/F18,""))</f>
        <v/>
      </c>
      <c r="G46" s="36">
        <f>IF(OR(G5="",G18=""),"",IFERROR(G5/G18,""))</f>
        <v/>
      </c>
      <c r="H46" s="35">
        <f>IF(OR(H5="",H18=""),"",IFERROR(H5/H18,""))</f>
        <v/>
      </c>
      <c r="I46" s="36">
        <f>IF(OR(I5="",I18=""),"",IFERROR(I5/I18,""))</f>
        <v/>
      </c>
      <c r="J46" s="36">
        <f>IF(OR(J5="",J18=""),"",IFERROR(J5/J18,""))</f>
        <v/>
      </c>
      <c r="K46" s="36">
        <f>IF(OR(K5="",K18=""),"",IFERROR(K5/K18,""))</f>
        <v/>
      </c>
      <c r="L46" s="36">
        <f>IF(OR(L5="",L18=""),"",IFERROR(L5/L18,""))</f>
        <v/>
      </c>
    </row>
    <row r="47">
      <c r="A47" s="45" t="inlineStr">
        <is>
          <t>당좌비율</t>
        </is>
      </c>
      <c r="B47" s="10" t="inlineStr">
        <is>
          <t>100%↑</t>
        </is>
      </c>
      <c r="C47" s="35">
        <f>IF(OR(C5="",C18=""),"",IFERROR((C5-N(C9))/C18,""))</f>
        <v/>
      </c>
      <c r="D47" s="36">
        <f>IF(OR(D5="",D18=""),"",IFERROR((D5-N(D9))/D18,""))</f>
        <v/>
      </c>
      <c r="E47" s="36">
        <f>IF(OR(E5="",E18=""),"",IFERROR((E5-N(E9))/E18,""))</f>
        <v/>
      </c>
      <c r="F47" s="36">
        <f>IF(OR(F5="",F18=""),"",IFERROR((F5-N(F9))/F18,""))</f>
        <v/>
      </c>
      <c r="G47" s="36">
        <f>IF(OR(G5="",G18=""),"",IFERROR((G5-N(G9))/G18,""))</f>
        <v/>
      </c>
      <c r="H47" s="35">
        <f>IF(OR(H5="",H18=""),"",IFERROR((H5-N(H9))/H18,""))</f>
        <v/>
      </c>
      <c r="I47" s="36">
        <f>IF(OR(I5="",I18=""),"",IFERROR((I5-N(I9))/I18,""))</f>
        <v/>
      </c>
      <c r="J47" s="36">
        <f>IF(OR(J5="",J18=""),"",IFERROR((J5-N(J9))/J18,""))</f>
        <v/>
      </c>
      <c r="K47" s="36">
        <f>IF(OR(K5="",K18=""),"",IFERROR((K5-N(K9))/K18,""))</f>
        <v/>
      </c>
      <c r="L47" s="36">
        <f>IF(OR(L5="",L18=""),"",IFERROR((L5-N(L9))/L18,""))</f>
        <v/>
      </c>
    </row>
    <row r="48">
      <c r="A48" s="45" t="inlineStr">
        <is>
          <t>이자보상배율</t>
        </is>
      </c>
      <c r="B48" s="10" t="inlineStr">
        <is>
          <t>5x↑ (금융원가 기준)</t>
        </is>
      </c>
      <c r="C48" s="30">
        <f>IFERROR((IF(COUNT('연간'!G31:J31)&lt;4,"",SUM('연간'!G31:J31)))/(IF(COUNT('연간'!G53:J53)&lt;4,"",SUM('연간'!G53:J53))),"")</f>
        <v/>
      </c>
      <c r="D48" s="31">
        <f>IFERROR((IF(COUNT('연간'!H31:K31)&lt;4,"",SUM('연간'!H31:K31)))/(IF(COUNT('연간'!H53:K53)&lt;4,"",SUM('연간'!H53:K53))),"")</f>
        <v/>
      </c>
      <c r="E48" s="31">
        <f>IFERROR((IF(COUNT('연간'!I31:L31)&lt;4,"",SUM('연간'!I31:L31)))/(IF(COUNT('연간'!I53:L53)&lt;4,"",SUM('연간'!I53:L53))),"")</f>
        <v/>
      </c>
      <c r="F48" s="31">
        <f>IFERROR((IF(COUNT('연간'!J31:M31)&lt;4,"",SUM('연간'!J31:M31)))/(IF(COUNT('연간'!J53:M53)&lt;4,"",SUM('연간'!J53:M53))),"")</f>
        <v/>
      </c>
      <c r="G48" s="31">
        <f>IFERROR((IF(COUNT('연간'!K31:N31)&lt;4,"",SUM('연간'!K31:N31)))/(IF(COUNT('연간'!K53:N53)&lt;4,"",SUM('연간'!K53:N53))),"")</f>
        <v/>
      </c>
      <c r="H48" s="30">
        <f>IFERROR(('연간'!T31)/('연간'!T53),"")</f>
        <v/>
      </c>
      <c r="I48" s="31">
        <f>IFERROR(('연간'!U31)/('연간'!U53),"")</f>
        <v/>
      </c>
      <c r="J48" s="31">
        <f>IFERROR(('연간'!V31)/('연간'!V53),"")</f>
        <v/>
      </c>
      <c r="K48" s="31">
        <f>IFERROR(('연간'!W31)/('연간'!W53),"")</f>
        <v/>
      </c>
      <c r="L48" s="31">
        <f>IFERROR(('연간'!X31)/('연간'!X53),"")</f>
        <v/>
      </c>
    </row>
    <row r="49">
      <c r="A49" s="45" t="inlineStr">
        <is>
          <t>차입금 상환연수</t>
        </is>
      </c>
      <c r="B49" s="10" t="inlineStr">
        <is>
          <t>4년↓ (버핏)</t>
        </is>
      </c>
      <c r="C49" s="46">
        <f>IFERROR(IF((IF(COUNT('연간'!G61:J61)&lt;4,"",SUM('연간'!G61:J61)))&lt;=0,"적자",C28/(IF(COUNT('연간'!G61:J61)&lt;4,"",SUM('연간'!G61:J61)))),"")</f>
        <v/>
      </c>
      <c r="D49" s="47">
        <f>IFERROR(IF((IF(COUNT('연간'!H61:K61)&lt;4,"",SUM('연간'!H61:K61)))&lt;=0,"적자",D28/(IF(COUNT('연간'!H61:K61)&lt;4,"",SUM('연간'!H61:K61)))),"")</f>
        <v/>
      </c>
      <c r="E49" s="47">
        <f>IFERROR(IF((IF(COUNT('연간'!I61:L61)&lt;4,"",SUM('연간'!I61:L61)))&lt;=0,"적자",E28/(IF(COUNT('연간'!I61:L61)&lt;4,"",SUM('연간'!I61:L61)))),"")</f>
        <v/>
      </c>
      <c r="F49" s="47">
        <f>IFERROR(IF((IF(COUNT('연간'!J61:M61)&lt;4,"",SUM('연간'!J61:M61)))&lt;=0,"적자",F28/(IF(COUNT('연간'!J61:M61)&lt;4,"",SUM('연간'!J61:M61)))),"")</f>
        <v/>
      </c>
      <c r="G49" s="47">
        <f>IFERROR(IF((IF(COUNT('연간'!K61:N61)&lt;4,"",SUM('연간'!K61:N61)))&lt;=0,"적자",G28/(IF(COUNT('연간'!K61:N61)&lt;4,"",SUM('연간'!K61:N61)))),"")</f>
        <v/>
      </c>
      <c r="H49" s="46">
        <f>IFERROR(IF(('연간'!T61)&lt;=0,"적자",H28/('연간'!T61)),"")</f>
        <v/>
      </c>
      <c r="I49" s="47">
        <f>IFERROR(IF(('연간'!U61)&lt;=0,"적자",I28/('연간'!U61)),"")</f>
        <v/>
      </c>
      <c r="J49" s="47">
        <f>IFERROR(IF(('연간'!V61)&lt;=0,"적자",J28/('연간'!V61)),"")</f>
        <v/>
      </c>
      <c r="K49" s="47">
        <f>IFERROR(IF(('연간'!W61)&lt;=0,"적자",K28/('연간'!W61)),"")</f>
        <v/>
      </c>
      <c r="L49" s="47">
        <f>IFERROR(IF(('연간'!X61)&lt;=0,"적자",L28/('연간'!X61)),"")</f>
        <v/>
      </c>
    </row>
    <row r="50">
      <c r="A50" s="23" t="inlineStr">
        <is>
          <t>수익성</t>
        </is>
      </c>
      <c r="B50" s="23" t="n"/>
      <c r="C50" s="24" t="n"/>
      <c r="D50" s="23" t="n"/>
      <c r="E50" s="23" t="n"/>
      <c r="F50" s="23" t="n"/>
      <c r="G50" s="23" t="n"/>
      <c r="H50" s="24" t="n"/>
      <c r="I50" s="23" t="n"/>
      <c r="J50" s="23" t="n"/>
      <c r="K50" s="23" t="n"/>
      <c r="L50" s="23" t="n"/>
    </row>
    <row r="51">
      <c r="A51" s="45" t="inlineStr">
        <is>
          <t>ROE</t>
        </is>
      </c>
      <c r="B51" s="10" t="inlineStr">
        <is>
          <t>15%↑ (버핏)</t>
        </is>
      </c>
      <c r="C51" s="35">
        <f>IFERROR((IF(COUNT('연간'!G61:J61)&lt;4,"",SUM('연간'!G61:J61)))/C31,"")</f>
        <v/>
      </c>
      <c r="D51" s="36">
        <f>IFERROR((IF(COUNT('연간'!H61:K61)&lt;4,"",SUM('연간'!H61:K61)))/D31,"")</f>
        <v/>
      </c>
      <c r="E51" s="36">
        <f>IFERROR((IF(COUNT('연간'!I61:L61)&lt;4,"",SUM('연간'!I61:L61)))/E31,"")</f>
        <v/>
      </c>
      <c r="F51" s="36">
        <f>IFERROR((IF(COUNT('연간'!J61:M61)&lt;4,"",SUM('연간'!J61:M61)))/F31,"")</f>
        <v/>
      </c>
      <c r="G51" s="36">
        <f>IFERROR((IF(COUNT('연간'!K61:N61)&lt;4,"",SUM('연간'!K61:N61)))/G31,"")</f>
        <v/>
      </c>
      <c r="H51" s="35">
        <f>IFERROR(('연간'!T61)/H31,"")</f>
        <v/>
      </c>
      <c r="I51" s="36">
        <f>IFERROR(('연간'!U61)/I31,"")</f>
        <v/>
      </c>
      <c r="J51" s="36">
        <f>IFERROR(('연간'!V61)/J31,"")</f>
        <v/>
      </c>
      <c r="K51" s="36">
        <f>IFERROR(('연간'!W61)/K31,"")</f>
        <v/>
      </c>
      <c r="L51" s="36">
        <f>IFERROR(('연간'!X61)/L31,"")</f>
        <v/>
      </c>
    </row>
    <row r="52">
      <c r="A52" s="45" t="inlineStr">
        <is>
          <t>ROA</t>
        </is>
      </c>
      <c r="B52" s="10" t="inlineStr">
        <is>
          <t>5%↑</t>
        </is>
      </c>
      <c r="C52" s="35">
        <f>IFERROR((IF(COUNT('연간'!G59:J59)&lt;4,"",SUM('연간'!G59:J59)))/C16,"")</f>
        <v/>
      </c>
      <c r="D52" s="36">
        <f>IFERROR((IF(COUNT('연간'!H59:K59)&lt;4,"",SUM('연간'!H59:K59)))/D16,"")</f>
        <v/>
      </c>
      <c r="E52" s="36">
        <f>IFERROR((IF(COUNT('연간'!I59:L59)&lt;4,"",SUM('연간'!I59:L59)))/E16,"")</f>
        <v/>
      </c>
      <c r="F52" s="36">
        <f>IFERROR((IF(COUNT('연간'!J59:M59)&lt;4,"",SUM('연간'!J59:M59)))/F16,"")</f>
        <v/>
      </c>
      <c r="G52" s="36">
        <f>IFERROR((IF(COUNT('연간'!K59:N59)&lt;4,"",SUM('연간'!K59:N59)))/G16,"")</f>
        <v/>
      </c>
      <c r="H52" s="35">
        <f>IFERROR(('연간'!T59)/H16,"")</f>
        <v/>
      </c>
      <c r="I52" s="36">
        <f>IFERROR(('연간'!U59)/I16,"")</f>
        <v/>
      </c>
      <c r="J52" s="36">
        <f>IFERROR(('연간'!V59)/J16,"")</f>
        <v/>
      </c>
      <c r="K52" s="36">
        <f>IFERROR(('연간'!W59)/K16,"")</f>
        <v/>
      </c>
      <c r="L52" s="36">
        <f>IFERROR(('연간'!X59)/L16,"")</f>
        <v/>
      </c>
    </row>
    <row r="53">
      <c r="A53" s="45" t="inlineStr">
        <is>
          <t>ROIC</t>
        </is>
      </c>
      <c r="B53" s="10" t="inlineStr">
        <is>
          <t>10%↑ (세후영업이익 기준)</t>
        </is>
      </c>
      <c r="C53" s="35">
        <f>IFERROR((IF(COUNT('연간'!G31:J31)&lt;4,"",SUM('연간'!G31:J31)))*(1-0.3)/(C35+C29),"")</f>
        <v/>
      </c>
      <c r="D53" s="36">
        <f>IFERROR((IF(COUNT('연간'!H31:K31)&lt;4,"",SUM('연간'!H31:K31)))*(1-0.3)/(D35+D29),"")</f>
        <v/>
      </c>
      <c r="E53" s="36">
        <f>IFERROR((IF(COUNT('연간'!I31:L31)&lt;4,"",SUM('연간'!I31:L31)))*(1-0.3)/(E35+E29),"")</f>
        <v/>
      </c>
      <c r="F53" s="36">
        <f>IFERROR((IF(COUNT('연간'!J31:M31)&lt;4,"",SUM('연간'!J31:M31)))*(1-0.3)/(F35+F29),"")</f>
        <v/>
      </c>
      <c r="G53" s="36">
        <f>IFERROR((IF(COUNT('연간'!K31:N31)&lt;4,"",SUM('연간'!K31:N31)))*(1-0.3)/(G35+G29),"")</f>
        <v/>
      </c>
      <c r="H53" s="35">
        <f>IFERROR(('연간'!T31)*(1-0.3)/(H35+H29),"")</f>
        <v/>
      </c>
      <c r="I53" s="36">
        <f>IFERROR(('연간'!U31)*(1-0.3)/(I35+I29),"")</f>
        <v/>
      </c>
      <c r="J53" s="36">
        <f>IFERROR(('연간'!V31)*(1-0.3)/(J35+J29),"")</f>
        <v/>
      </c>
      <c r="K53" s="36">
        <f>IFERROR(('연간'!W31)*(1-0.3)/(K35+K29),"")</f>
        <v/>
      </c>
      <c r="L53" s="36">
        <f>IFERROR(('연간'!X31)*(1-0.3)/(L35+L29),"")</f>
        <v/>
      </c>
    </row>
    <row r="54">
      <c r="A54" s="45" t="inlineStr">
        <is>
          <t>매출총이익률 (GPM)</t>
        </is>
      </c>
      <c r="B54" s="10" t="inlineStr">
        <is>
          <t>40%↑ (해자 신호)</t>
        </is>
      </c>
      <c r="C54" s="35">
        <f>IFERROR((IF(COUNT('연간'!G25:J25)&lt;4,"",SUM('연간'!G25:J25)))/(IF(COUNT('연간'!G4:J4)&lt;4,"",SUM('연간'!G4:J4))),"")</f>
        <v/>
      </c>
      <c r="D54" s="36">
        <f>IFERROR((IF(COUNT('연간'!H25:K25)&lt;4,"",SUM('연간'!H25:K25)))/(IF(COUNT('연간'!H4:K4)&lt;4,"",SUM('연간'!H4:K4))),"")</f>
        <v/>
      </c>
      <c r="E54" s="36">
        <f>IFERROR((IF(COUNT('연간'!I25:L25)&lt;4,"",SUM('연간'!I25:L25)))/(IF(COUNT('연간'!I4:L4)&lt;4,"",SUM('연간'!I4:L4))),"")</f>
        <v/>
      </c>
      <c r="F54" s="36">
        <f>IFERROR((IF(COUNT('연간'!J25:M25)&lt;4,"",SUM('연간'!J25:M25)))/(IF(COUNT('연간'!J4:M4)&lt;4,"",SUM('연간'!J4:M4))),"")</f>
        <v/>
      </c>
      <c r="G54" s="36">
        <f>IFERROR((IF(COUNT('연간'!K25:N25)&lt;4,"",SUM('연간'!K25:N25)))/(IF(COUNT('연간'!K4:N4)&lt;4,"",SUM('연간'!K4:N4))),"")</f>
        <v/>
      </c>
      <c r="H54" s="35">
        <f>IFERROR(('연간'!T25)/('연간'!T4),"")</f>
        <v/>
      </c>
      <c r="I54" s="36">
        <f>IFERROR(('연간'!U25)/('연간'!U4),"")</f>
        <v/>
      </c>
      <c r="J54" s="36">
        <f>IFERROR(('연간'!V25)/('연간'!V4),"")</f>
        <v/>
      </c>
      <c r="K54" s="36">
        <f>IFERROR(('연간'!W25)/('연간'!W4),"")</f>
        <v/>
      </c>
      <c r="L54" s="36">
        <f>IFERROR(('연간'!X25)/('연간'!X4),"")</f>
        <v/>
      </c>
    </row>
    <row r="55">
      <c r="A55" s="45" t="inlineStr">
        <is>
          <t>영업이익률 (OPM)</t>
        </is>
      </c>
      <c r="B55" s="10" t="inlineStr">
        <is>
          <t>15%↑</t>
        </is>
      </c>
      <c r="C55" s="35">
        <f>IFERROR((IF(COUNT('연간'!G31:J31)&lt;4,"",SUM('연간'!G31:J31)))/(IF(COUNT('연간'!G4:J4)&lt;4,"",SUM('연간'!G4:J4))),"")</f>
        <v/>
      </c>
      <c r="D55" s="36">
        <f>IFERROR((IF(COUNT('연간'!H31:K31)&lt;4,"",SUM('연간'!H31:K31)))/(IF(COUNT('연간'!H4:K4)&lt;4,"",SUM('연간'!H4:K4))),"")</f>
        <v/>
      </c>
      <c r="E55" s="36">
        <f>IFERROR((IF(COUNT('연간'!I31:L31)&lt;4,"",SUM('연간'!I31:L31)))/(IF(COUNT('연간'!I4:L4)&lt;4,"",SUM('연간'!I4:L4))),"")</f>
        <v/>
      </c>
      <c r="F55" s="36">
        <f>IFERROR((IF(COUNT('연간'!J31:M31)&lt;4,"",SUM('연간'!J31:M31)))/(IF(COUNT('연간'!J4:M4)&lt;4,"",SUM('연간'!J4:M4))),"")</f>
        <v/>
      </c>
      <c r="G55" s="36">
        <f>IFERROR((IF(COUNT('연간'!K31:N31)&lt;4,"",SUM('연간'!K31:N31)))/(IF(COUNT('연간'!K4:N4)&lt;4,"",SUM('연간'!K4:N4))),"")</f>
        <v/>
      </c>
      <c r="H55" s="35">
        <f>IFERROR(('연간'!T31)/('연간'!T4),"")</f>
        <v/>
      </c>
      <c r="I55" s="36">
        <f>IFERROR(('연간'!U31)/('연간'!U4),"")</f>
        <v/>
      </c>
      <c r="J55" s="36">
        <f>IFERROR(('연간'!V31)/('연간'!V4),"")</f>
        <v/>
      </c>
      <c r="K55" s="36">
        <f>IFERROR(('연간'!W31)/('연간'!W4),"")</f>
        <v/>
      </c>
      <c r="L55" s="36">
        <f>IFERROR(('연간'!X31)/('연간'!X4),"")</f>
        <v/>
      </c>
    </row>
    <row r="56">
      <c r="A56" s="45" t="inlineStr">
        <is>
          <t>순이익률</t>
        </is>
      </c>
      <c r="B56" s="10" t="inlineStr">
        <is>
          <t>10%↑</t>
        </is>
      </c>
      <c r="C56" s="35">
        <f>IFERROR((IF(COUNT('연간'!G59:J59)&lt;4,"",SUM('연간'!G59:J59)))/(IF(COUNT('연간'!G4:J4)&lt;4,"",SUM('연간'!G4:J4))),"")</f>
        <v/>
      </c>
      <c r="D56" s="36">
        <f>IFERROR((IF(COUNT('연간'!H59:K59)&lt;4,"",SUM('연간'!H59:K59)))/(IF(COUNT('연간'!H4:K4)&lt;4,"",SUM('연간'!H4:K4))),"")</f>
        <v/>
      </c>
      <c r="E56" s="36">
        <f>IFERROR((IF(COUNT('연간'!I59:L59)&lt;4,"",SUM('연간'!I59:L59)))/(IF(COUNT('연간'!I4:L4)&lt;4,"",SUM('연간'!I4:L4))),"")</f>
        <v/>
      </c>
      <c r="F56" s="36">
        <f>IFERROR((IF(COUNT('연간'!J59:M59)&lt;4,"",SUM('연간'!J59:M59)))/(IF(COUNT('연간'!J4:M4)&lt;4,"",SUM('연간'!J4:M4))),"")</f>
        <v/>
      </c>
      <c r="G56" s="36">
        <f>IFERROR((IF(COUNT('연간'!K59:N59)&lt;4,"",SUM('연간'!K59:N59)))/(IF(COUNT('연간'!K4:N4)&lt;4,"",SUM('연간'!K4:N4))),"")</f>
        <v/>
      </c>
      <c r="H56" s="35">
        <f>IFERROR(('연간'!T59)/('연간'!T4),"")</f>
        <v/>
      </c>
      <c r="I56" s="36">
        <f>IFERROR(('연간'!U59)/('연간'!U4),"")</f>
        <v/>
      </c>
      <c r="J56" s="36">
        <f>IFERROR(('연간'!V59)/('연간'!V4),"")</f>
        <v/>
      </c>
      <c r="K56" s="36">
        <f>IFERROR(('연간'!W59)/('연간'!W4),"")</f>
        <v/>
      </c>
      <c r="L56" s="36">
        <f>IFERROR(('연간'!X59)/('연간'!X4),"")</f>
        <v/>
      </c>
    </row>
    <row r="57">
      <c r="A57" s="23" t="inlineStr">
        <is>
          <t>효율성 (회전율)</t>
        </is>
      </c>
      <c r="B57" s="23" t="n"/>
      <c r="C57" s="24" t="n"/>
      <c r="D57" s="23" t="n"/>
      <c r="E57" s="23" t="n"/>
      <c r="F57" s="23" t="n"/>
      <c r="G57" s="23" t="n"/>
      <c r="H57" s="24" t="n"/>
      <c r="I57" s="23" t="n"/>
      <c r="J57" s="23" t="n"/>
      <c r="K57" s="23" t="n"/>
      <c r="L57" s="23" t="n"/>
    </row>
    <row r="58">
      <c r="A58" s="45" t="inlineStr">
        <is>
          <t>총자산회전율</t>
        </is>
      </c>
      <c r="B58" s="10" t="inlineStr">
        <is>
          <t>높을수록↑</t>
        </is>
      </c>
      <c r="C58" s="30">
        <f>IFERROR((IF(COUNT('연간'!G4:J4)&lt;4,"",SUM('연간'!G4:J4)))/C16,"")</f>
        <v/>
      </c>
      <c r="D58" s="31">
        <f>IFERROR((IF(COUNT('연간'!H4:K4)&lt;4,"",SUM('연간'!H4:K4)))/D16,"")</f>
        <v/>
      </c>
      <c r="E58" s="31">
        <f>IFERROR((IF(COUNT('연간'!I4:L4)&lt;4,"",SUM('연간'!I4:L4)))/E16,"")</f>
        <v/>
      </c>
      <c r="F58" s="31">
        <f>IFERROR((IF(COUNT('연간'!J4:M4)&lt;4,"",SUM('연간'!J4:M4)))/F16,"")</f>
        <v/>
      </c>
      <c r="G58" s="31">
        <f>IFERROR((IF(COUNT('연간'!K4:N4)&lt;4,"",SUM('연간'!K4:N4)))/G16,"")</f>
        <v/>
      </c>
      <c r="H58" s="30">
        <f>IFERROR(('연간'!T4)/H16,"")</f>
        <v/>
      </c>
      <c r="I58" s="31">
        <f>IFERROR(('연간'!U4)/I16,"")</f>
        <v/>
      </c>
      <c r="J58" s="31">
        <f>IFERROR(('연간'!V4)/J16,"")</f>
        <v/>
      </c>
      <c r="K58" s="31">
        <f>IFERROR(('연간'!W4)/K16,"")</f>
        <v/>
      </c>
      <c r="L58" s="31">
        <f>IFERROR(('연간'!X4)/L16,"")</f>
        <v/>
      </c>
    </row>
    <row r="59">
      <c r="A59" s="45" t="inlineStr">
        <is>
          <t>매출채권회전일수</t>
        </is>
      </c>
      <c r="B59" s="10" t="inlineStr">
        <is>
          <t>짧을수록↑</t>
        </is>
      </c>
      <c r="C59" s="48">
        <f>IFERROR(C8/(IF(COUNT('연간'!G4:J4)&lt;4,"",SUM('연간'!G4:J4)))*365,"")</f>
        <v/>
      </c>
      <c r="D59" s="49">
        <f>IFERROR(D8/(IF(COUNT('연간'!H4:K4)&lt;4,"",SUM('연간'!H4:K4)))*365,"")</f>
        <v/>
      </c>
      <c r="E59" s="49">
        <f>IFERROR(E8/(IF(COUNT('연간'!I4:L4)&lt;4,"",SUM('연간'!I4:L4)))*365,"")</f>
        <v/>
      </c>
      <c r="F59" s="49">
        <f>IFERROR(F8/(IF(COUNT('연간'!J4:M4)&lt;4,"",SUM('연간'!J4:M4)))*365,"")</f>
        <v/>
      </c>
      <c r="G59" s="49">
        <f>IFERROR(G8/(IF(COUNT('연간'!K4:N4)&lt;4,"",SUM('연간'!K4:N4)))*365,"")</f>
        <v/>
      </c>
      <c r="H59" s="48">
        <f>IFERROR(H8/('연간'!T4)*365,"")</f>
        <v/>
      </c>
      <c r="I59" s="49">
        <f>IFERROR(I8/('연간'!U4)*365,"")</f>
        <v/>
      </c>
      <c r="J59" s="49">
        <f>IFERROR(J8/('연간'!V4)*365,"")</f>
        <v/>
      </c>
      <c r="K59" s="49">
        <f>IFERROR(K8/('연간'!W4)*365,"")</f>
        <v/>
      </c>
      <c r="L59" s="49">
        <f>IFERROR(L8/('연간'!X4)*365,"")</f>
        <v/>
      </c>
    </row>
    <row r="60">
      <c r="A60" s="45" t="inlineStr">
        <is>
          <t>재고자산회전일수</t>
        </is>
      </c>
      <c r="B60" s="10" t="inlineStr">
        <is>
          <t>짧을수록↑</t>
        </is>
      </c>
      <c r="C60" s="48">
        <f>IFERROR(C9/(IF(COUNT('연간'!G23:J23)&lt;4,"",SUM('연간'!G23:J23)))*365,"")</f>
        <v/>
      </c>
      <c r="D60" s="49">
        <f>IFERROR(D9/(IF(COUNT('연간'!H23:K23)&lt;4,"",SUM('연간'!H23:K23)))*365,"")</f>
        <v/>
      </c>
      <c r="E60" s="49">
        <f>IFERROR(E9/(IF(COUNT('연간'!I23:L23)&lt;4,"",SUM('연간'!I23:L23)))*365,"")</f>
        <v/>
      </c>
      <c r="F60" s="49">
        <f>IFERROR(F9/(IF(COUNT('연간'!J23:M23)&lt;4,"",SUM('연간'!J23:M23)))*365,"")</f>
        <v/>
      </c>
      <c r="G60" s="49">
        <f>IFERROR(G9/(IF(COUNT('연간'!K23:N23)&lt;4,"",SUM('연간'!K23:N23)))*365,"")</f>
        <v/>
      </c>
      <c r="H60" s="48">
        <f>IFERROR(H9/('연간'!T23)*365,"")</f>
        <v/>
      </c>
      <c r="I60" s="49">
        <f>IFERROR(I9/('연간'!U23)*365,"")</f>
        <v/>
      </c>
      <c r="J60" s="49">
        <f>IFERROR(J9/('연간'!V23)*365,"")</f>
        <v/>
      </c>
      <c r="K60" s="49">
        <f>IFERROR(K9/('연간'!W23)*365,"")</f>
        <v/>
      </c>
      <c r="L60" s="49">
        <f>IFERROR(L9/('연간'!X23)*365,"")</f>
        <v/>
      </c>
    </row>
    <row r="61">
      <c r="A61" s="45" t="inlineStr">
        <is>
          <t>매입채무회전일수</t>
        </is>
      </c>
      <c r="B61" s="10" t="inlineStr">
        <is>
          <t>길수록 유리</t>
        </is>
      </c>
      <c r="C61" s="48">
        <f>IFERROR(C19/(IF(COUNT('연간'!G23:J23)&lt;4,"",SUM('연간'!G23:J23)))*365,"")</f>
        <v/>
      </c>
      <c r="D61" s="49">
        <f>IFERROR(D19/(IF(COUNT('연간'!H23:K23)&lt;4,"",SUM('연간'!H23:K23)))*365,"")</f>
        <v/>
      </c>
      <c r="E61" s="49">
        <f>IFERROR(E19/(IF(COUNT('연간'!I23:L23)&lt;4,"",SUM('연간'!I23:L23)))*365,"")</f>
        <v/>
      </c>
      <c r="F61" s="49">
        <f>IFERROR(F19/(IF(COUNT('연간'!J23:M23)&lt;4,"",SUM('연간'!J23:M23)))*365,"")</f>
        <v/>
      </c>
      <c r="G61" s="49">
        <f>IFERROR(G19/(IF(COUNT('연간'!K23:N23)&lt;4,"",SUM('연간'!K23:N23)))*365,"")</f>
        <v/>
      </c>
      <c r="H61" s="48">
        <f>IFERROR(H19/('연간'!T23)*365,"")</f>
        <v/>
      </c>
      <c r="I61" s="49">
        <f>IFERROR(I19/('연간'!U23)*365,"")</f>
        <v/>
      </c>
      <c r="J61" s="49">
        <f>IFERROR(J19/('연간'!V23)*365,"")</f>
        <v/>
      </c>
      <c r="K61" s="49">
        <f>IFERROR(K19/('연간'!W23)*365,"")</f>
        <v/>
      </c>
      <c r="L61" s="49">
        <f>IFERROR(L19/('연간'!X23)*365,"")</f>
        <v/>
      </c>
    </row>
    <row r="62">
      <c r="A62" s="45" t="inlineStr">
        <is>
          <t>현금전환주기 (CCC)</t>
        </is>
      </c>
      <c r="B62" s="10" t="inlineStr">
        <is>
          <t>짧을수록↑</t>
        </is>
      </c>
      <c r="C62" s="48">
        <f>IF(OR(C59="",C60="",C61=""),"",IFERROR(C59+C60-C61,""))</f>
        <v/>
      </c>
      <c r="D62" s="49">
        <f>IF(OR(D59="",D60="",D61=""),"",IFERROR(D59+D60-D61,""))</f>
        <v/>
      </c>
      <c r="E62" s="49">
        <f>IF(OR(E59="",E60="",E61=""),"",IFERROR(E59+E60-E61,""))</f>
        <v/>
      </c>
      <c r="F62" s="49">
        <f>IF(OR(F59="",F60="",F61=""),"",IFERROR(F59+F60-F61,""))</f>
        <v/>
      </c>
      <c r="G62" s="49">
        <f>IF(OR(G59="",G60="",G61=""),"",IFERROR(G59+G60-G61,""))</f>
        <v/>
      </c>
      <c r="H62" s="48">
        <f>IF(OR(H59="",H60="",H61=""),"",IFERROR(H59+H60-H61,""))</f>
        <v/>
      </c>
      <c r="I62" s="49">
        <f>IF(OR(I59="",I60="",I61=""),"",IFERROR(I59+I60-I61,""))</f>
        <v/>
      </c>
      <c r="J62" s="49">
        <f>IF(OR(J59="",J60="",J61=""),"",IFERROR(J59+J60-J61,""))</f>
        <v/>
      </c>
      <c r="K62" s="49">
        <f>IF(OR(K59="",K60="",K61=""),"",IFERROR(K59+K60-K61,""))</f>
        <v/>
      </c>
      <c r="L62" s="49">
        <f>IF(OR(L59="",L60="",L61=""),"",IFERROR(L59+L60-L61,""))</f>
        <v/>
      </c>
    </row>
    <row r="63">
      <c r="A63" s="23" t="inlineStr">
        <is>
          <t>현금흐름</t>
        </is>
      </c>
      <c r="B63" s="23" t="n"/>
      <c r="C63" s="24" t="n"/>
      <c r="D63" s="23" t="n"/>
      <c r="E63" s="23" t="n"/>
      <c r="F63" s="23" t="n"/>
      <c r="G63" s="23" t="n"/>
      <c r="H63" s="24" t="n"/>
      <c r="I63" s="23" t="n"/>
      <c r="J63" s="23" t="n"/>
      <c r="K63" s="23" t="n"/>
      <c r="L63" s="23" t="n"/>
    </row>
    <row r="64">
      <c r="A64" s="45" t="inlineStr">
        <is>
          <t>영업현금흐름 / 순이익</t>
        </is>
      </c>
      <c r="B64" s="10" t="inlineStr">
        <is>
          <t>1x↑ (이익의 질)</t>
        </is>
      </c>
      <c r="C64" s="30">
        <f>IF(C37="","",IFERROR(C37/(IF(COUNT('연간'!G59:J59)&lt;4,"",SUM('연간'!G59:J59))),""))</f>
        <v/>
      </c>
      <c r="D64" s="31">
        <f>IF(D37="","",IFERROR(D37/(IF(COUNT('연간'!H59:K59)&lt;4,"",SUM('연간'!H59:K59))),""))</f>
        <v/>
      </c>
      <c r="E64" s="31">
        <f>IF(E37="","",IFERROR(E37/(IF(COUNT('연간'!I59:L59)&lt;4,"",SUM('연간'!I59:L59))),""))</f>
        <v/>
      </c>
      <c r="F64" s="31">
        <f>IF(F37="","",IFERROR(F37/(IF(COUNT('연간'!J59:M59)&lt;4,"",SUM('연간'!J59:M59))),""))</f>
        <v/>
      </c>
      <c r="G64" s="31">
        <f>IF(G37="","",IFERROR(G37/(IF(COUNT('연간'!K59:N59)&lt;4,"",SUM('연간'!K59:N59))),""))</f>
        <v/>
      </c>
      <c r="H64" s="30">
        <f>IF(H37="","",IFERROR(H37/('연간'!T59),""))</f>
        <v/>
      </c>
      <c r="I64" s="31">
        <f>IF(I37="","",IFERROR(I37/('연간'!U59),""))</f>
        <v/>
      </c>
      <c r="J64" s="31">
        <f>IF(J37="","",IFERROR(J37/('연간'!V59),""))</f>
        <v/>
      </c>
      <c r="K64" s="31">
        <f>IF(K37="","",IFERROR(K37/('연간'!W59),""))</f>
        <v/>
      </c>
      <c r="L64" s="31">
        <f>IF(L37="","",IFERROR(L37/('연간'!X59),""))</f>
        <v/>
      </c>
    </row>
    <row r="65">
      <c r="A65" s="45" t="inlineStr">
        <is>
          <t>FCF 마진</t>
        </is>
      </c>
      <c r="B65" s="10" t="inlineStr">
        <is>
          <t>5%↑</t>
        </is>
      </c>
      <c r="C65" s="35">
        <f>IF(C39="","",IFERROR(C39/(IF(COUNT('연간'!G4:J4)&lt;4,"",SUM('연간'!G4:J4))),""))</f>
        <v/>
      </c>
      <c r="D65" s="36">
        <f>IF(D39="","",IFERROR(D39/(IF(COUNT('연간'!H4:K4)&lt;4,"",SUM('연간'!H4:K4))),""))</f>
        <v/>
      </c>
      <c r="E65" s="36">
        <f>IF(E39="","",IFERROR(E39/(IF(COUNT('연간'!I4:L4)&lt;4,"",SUM('연간'!I4:L4))),""))</f>
        <v/>
      </c>
      <c r="F65" s="36">
        <f>IF(F39="","",IFERROR(F39/(IF(COUNT('연간'!J4:M4)&lt;4,"",SUM('연간'!J4:M4))),""))</f>
        <v/>
      </c>
      <c r="G65" s="36">
        <f>IF(G39="","",IFERROR(G39/(IF(COUNT('연간'!K4:N4)&lt;4,"",SUM('연간'!K4:N4))),""))</f>
        <v/>
      </c>
      <c r="H65" s="35">
        <f>IF(H39="","",IFERROR(H39/('연간'!T4),""))</f>
        <v/>
      </c>
      <c r="I65" s="36">
        <f>IF(I39="","",IFERROR(I39/('연간'!U4),""))</f>
        <v/>
      </c>
      <c r="J65" s="36">
        <f>IF(J39="","",IFERROR(J39/('연간'!V4),""))</f>
        <v/>
      </c>
      <c r="K65" s="36">
        <f>IF(K39="","",IFERROR(K39/('연간'!W4),""))</f>
        <v/>
      </c>
      <c r="L65" s="36">
        <f>IF(L39="","",IFERROR(L39/('연간'!X4),""))</f>
        <v/>
      </c>
    </row>
    <row r="66">
      <c r="A66" s="45" t="inlineStr">
        <is>
          <t>CAPEX / 매출</t>
        </is>
      </c>
      <c r="B66" s="10" t="inlineStr">
        <is>
          <t>낮을수록↑ (자본 가벼움)</t>
        </is>
      </c>
      <c r="C66" s="35">
        <f>IF(C38="","",IFERROR(C38/(IF(COUNT('연간'!G4:J4)&lt;4,"",SUM('연간'!G4:J4))),""))</f>
        <v/>
      </c>
      <c r="D66" s="36">
        <f>IF(D38="","",IFERROR(D38/(IF(COUNT('연간'!H4:K4)&lt;4,"",SUM('연간'!H4:K4))),""))</f>
        <v/>
      </c>
      <c r="E66" s="36">
        <f>IF(E38="","",IFERROR(E38/(IF(COUNT('연간'!I4:L4)&lt;4,"",SUM('연간'!I4:L4))),""))</f>
        <v/>
      </c>
      <c r="F66" s="36">
        <f>IF(F38="","",IFERROR(F38/(IF(COUNT('연간'!J4:M4)&lt;4,"",SUM('연간'!J4:M4))),""))</f>
        <v/>
      </c>
      <c r="G66" s="36">
        <f>IF(G38="","",IFERROR(G38/(IF(COUNT('연간'!K4:N4)&lt;4,"",SUM('연간'!K4:N4))),""))</f>
        <v/>
      </c>
      <c r="H66" s="35">
        <f>IF(H38="","",IFERROR(H38/('연간'!T4),""))</f>
        <v/>
      </c>
      <c r="I66" s="36">
        <f>IF(I38="","",IFERROR(I38/('연간'!U4),""))</f>
        <v/>
      </c>
      <c r="J66" s="36">
        <f>IF(J38="","",IFERROR(J38/('연간'!V4),""))</f>
        <v/>
      </c>
      <c r="K66" s="36">
        <f>IF(K38="","",IFERROR(K38/('연간'!W4),""))</f>
        <v/>
      </c>
      <c r="L66" s="36">
        <f>IF(L38="","",IFERROR(L38/('연간'!X4),""))</f>
        <v/>
      </c>
    </row>
    <row r="67">
      <c r="A67" s="45" t="inlineStr">
        <is>
          <t>배당성향</t>
        </is>
      </c>
      <c r="B67" s="10" t="inlineStr">
        <is>
          <t>참고</t>
        </is>
      </c>
      <c r="C67" s="35">
        <f>IF(C40="","",IFERROR(C40/(IF(COUNT('연간'!G61:J61)&lt;4,"",SUM('연간'!G61:J61))),""))</f>
        <v/>
      </c>
      <c r="D67" s="36">
        <f>IF(D40="","",IFERROR(D40/(IF(COUNT('연간'!H61:K61)&lt;4,"",SUM('연간'!H61:K61))),""))</f>
        <v/>
      </c>
      <c r="E67" s="36">
        <f>IF(E40="","",IFERROR(E40/(IF(COUNT('연간'!I61:L61)&lt;4,"",SUM('연간'!I61:L61))),""))</f>
        <v/>
      </c>
      <c r="F67" s="36">
        <f>IF(F40="","",IFERROR(F40/(IF(COUNT('연간'!J61:M61)&lt;4,"",SUM('연간'!J61:M61))),""))</f>
        <v/>
      </c>
      <c r="G67" s="36">
        <f>IF(G40="","",IFERROR(G40/(IF(COUNT('연간'!K61:N61)&lt;4,"",SUM('연간'!K61:N61))),""))</f>
        <v/>
      </c>
      <c r="H67" s="35">
        <f>IF(H40="","",IFERROR(H40/('연간'!T61),""))</f>
        <v/>
      </c>
      <c r="I67" s="36">
        <f>IF(I40="","",IFERROR(I40/('연간'!U61),""))</f>
        <v/>
      </c>
      <c r="J67" s="36">
        <f>IF(J40="","",IFERROR(J40/('연간'!V61),""))</f>
        <v/>
      </c>
      <c r="K67" s="36">
        <f>IF(K40="","",IFERROR(K40/('연간'!W61),""))</f>
        <v/>
      </c>
      <c r="L67" s="36">
        <f>IF(L40="","",IFERROR(L40/('연간'!X61),""))</f>
        <v/>
      </c>
    </row>
    <row r="69">
      <c r="A69" s="16" t="inlineStr">
        <is>
          <t>재무상태표 · 전 항목</t>
        </is>
      </c>
      <c r="B69" s="42" t="inlineStr">
        <is>
          <t>분기 말 잔액</t>
        </is>
      </c>
      <c r="C69" s="16" t="n"/>
      <c r="D69" s="16" t="n"/>
      <c r="E69" s="16" t="n"/>
      <c r="F69" s="16" t="n"/>
      <c r="G69" s="16" t="n"/>
      <c r="H69" s="16" t="n"/>
      <c r="I69" s="16" t="n"/>
      <c r="J69" s="16" t="n"/>
      <c r="K69" s="16" t="n"/>
      <c r="L69" s="16" t="n"/>
    </row>
    <row r="70">
      <c r="A70" s="5" t="inlineStr">
        <is>
          <t>항목</t>
        </is>
      </c>
      <c r="B70" s="5" t="inlineStr">
        <is>
          <t>참고</t>
        </is>
      </c>
      <c r="C70" s="5" t="inlineStr">
        <is>
          <t>2026.2Q</t>
        </is>
      </c>
      <c r="D70" s="5" t="inlineStr">
        <is>
          <t>2026.3Q</t>
        </is>
      </c>
      <c r="E70" s="5" t="inlineStr">
        <is>
          <t>2026.4Q</t>
        </is>
      </c>
      <c r="F70" s="5" t="inlineStr">
        <is>
          <t>2027.1Q</t>
        </is>
      </c>
      <c r="G70" s="5" t="inlineStr">
        <is>
          <t>2027.2Q</t>
        </is>
      </c>
      <c r="H70" s="5" t="inlineStr">
        <is>
          <t>2022</t>
        </is>
      </c>
      <c r="I70" s="5" t="inlineStr">
        <is>
          <t>2023</t>
        </is>
      </c>
      <c r="J70" s="5" t="inlineStr">
        <is>
          <t>2024</t>
        </is>
      </c>
      <c r="K70" s="5" t="inlineStr">
        <is>
          <t>2025</t>
        </is>
      </c>
      <c r="L70" s="5" t="inlineStr">
        <is>
          <t>2026</t>
        </is>
      </c>
    </row>
    <row r="71">
      <c r="A71" s="18" t="inlineStr">
        <is>
          <t>현금 및 예금</t>
        </is>
      </c>
      <c r="C71" s="20" t="n">
        <v>8229.098</v>
      </c>
      <c r="D71" s="20" t="n">
        <v>6487.629</v>
      </c>
      <c r="E71" s="20" t="n">
        <v>8367.731</v>
      </c>
      <c r="F71" s="20" t="n">
        <v>7506.094</v>
      </c>
      <c r="G71" s="20" t="n">
        <v>8170.162</v>
      </c>
      <c r="H71" s="20" t="n">
        <v>6755.213</v>
      </c>
      <c r="I71" s="20" t="n">
        <v>6259.926</v>
      </c>
      <c r="J71" s="20" t="n">
        <v>8483.074000000001</v>
      </c>
      <c r="K71" s="20" t="n">
        <v>5794.055</v>
      </c>
      <c r="L71" s="20" t="n">
        <v>8367.731</v>
      </c>
    </row>
    <row r="72">
      <c r="A72" s="18" t="inlineStr">
        <is>
          <t>받을어음</t>
        </is>
      </c>
      <c r="E72" s="20" t="n">
        <v>97.92</v>
      </c>
      <c r="H72" s="20" t="n">
        <v>1498.276</v>
      </c>
      <c r="I72" s="20" t="n">
        <v>1257.774</v>
      </c>
      <c r="J72" s="20" t="n">
        <v>1023.864</v>
      </c>
      <c r="K72" s="20" t="n">
        <v>496.296</v>
      </c>
      <c r="L72" s="20" t="n">
        <v>97.92</v>
      </c>
    </row>
    <row r="73">
      <c r="A73" s="18" t="inlineStr">
        <is>
          <t>받을어음·매출채권</t>
        </is>
      </c>
      <c r="C73" s="20" t="n">
        <v>8968.284</v>
      </c>
      <c r="D73" s="20" t="n">
        <v>11408.59</v>
      </c>
      <c r="E73" s="20" t="n">
        <v>9784.325000000001</v>
      </c>
      <c r="F73" s="20" t="n">
        <v>8848.411</v>
      </c>
      <c r="G73" s="20" t="n">
        <v>8758.835999999999</v>
      </c>
      <c r="H73" s="20" t="n">
        <v>10404.962</v>
      </c>
      <c r="I73" s="20" t="n">
        <v>10736.994</v>
      </c>
      <c r="J73" s="20" t="n">
        <v>10500.456</v>
      </c>
      <c r="K73" s="20" t="n">
        <v>10922.46</v>
      </c>
      <c r="L73" s="20" t="n">
        <v>9784.325000000001</v>
      </c>
    </row>
    <row r="74">
      <c r="A74" s="18" t="inlineStr">
        <is>
          <t>전자기록채권</t>
        </is>
      </c>
      <c r="C74" s="20" t="n">
        <v>4936.113</v>
      </c>
      <c r="D74" s="20" t="n">
        <v>5195.709</v>
      </c>
      <c r="E74" s="20" t="n">
        <v>5500.984</v>
      </c>
      <c r="F74" s="20" t="n">
        <v>5466.015</v>
      </c>
      <c r="G74" s="20" t="n">
        <v>5772.619</v>
      </c>
      <c r="H74" s="20" t="n">
        <v>3916.438</v>
      </c>
      <c r="I74" s="20" t="n">
        <v>4855.817</v>
      </c>
      <c r="J74" s="20" t="n">
        <v>5797.828</v>
      </c>
      <c r="K74" s="20" t="n">
        <v>4663.538</v>
      </c>
      <c r="L74" s="20" t="n">
        <v>5500.984</v>
      </c>
    </row>
    <row r="75">
      <c r="A75" s="18" t="inlineStr">
        <is>
          <t>매출채권</t>
        </is>
      </c>
      <c r="E75" s="20" t="n">
        <v>8426.35</v>
      </c>
      <c r="H75" s="20" t="n">
        <v>7370.688</v>
      </c>
      <c r="I75" s="20" t="n">
        <v>8069.673</v>
      </c>
      <c r="J75" s="20" t="n">
        <v>9476.591</v>
      </c>
      <c r="K75" s="20" t="n">
        <v>9006.523999999999</v>
      </c>
      <c r="L75" s="20" t="n">
        <v>8426.35</v>
      </c>
    </row>
    <row r="76">
      <c r="A76" s="18" t="inlineStr">
        <is>
          <t>상품</t>
        </is>
      </c>
      <c r="C76" s="20" t="n">
        <v>1573.092</v>
      </c>
      <c r="D76" s="20" t="n">
        <v>2213.343</v>
      </c>
      <c r="E76" s="20" t="n">
        <v>1748.966</v>
      </c>
      <c r="F76" s="20" t="n">
        <v>2235.601</v>
      </c>
      <c r="G76" s="20" t="n">
        <v>1620.167</v>
      </c>
      <c r="H76" s="20" t="n">
        <v>1541.293</v>
      </c>
      <c r="I76" s="20" t="n">
        <v>1790.64</v>
      </c>
      <c r="J76" s="20" t="n">
        <v>1722.586</v>
      </c>
      <c r="K76" s="20" t="n">
        <v>1622.818</v>
      </c>
      <c r="L76" s="20" t="n">
        <v>1748.966</v>
      </c>
    </row>
    <row r="77">
      <c r="A77" s="18" t="inlineStr">
        <is>
          <t>선급비용</t>
        </is>
      </c>
      <c r="E77" s="20" t="n">
        <v>118.628</v>
      </c>
      <c r="H77" s="20" t="n">
        <v>90.98999999999999</v>
      </c>
      <c r="I77" s="20" t="n">
        <v>90.29600000000001</v>
      </c>
      <c r="J77" s="20" t="n">
        <v>88.35299999999999</v>
      </c>
      <c r="K77" s="20" t="n">
        <v>101.897</v>
      </c>
      <c r="L77" s="20" t="n">
        <v>118.628</v>
      </c>
    </row>
    <row r="78">
      <c r="A78" s="18" t="inlineStr">
        <is>
          <t>기타</t>
        </is>
      </c>
      <c r="C78" s="20" t="n">
        <v>174.844</v>
      </c>
      <c r="D78" s="20" t="n">
        <v>154.072</v>
      </c>
      <c r="E78" s="20" t="n">
        <v>220.28</v>
      </c>
      <c r="F78" s="20" t="n">
        <v>233.703</v>
      </c>
      <c r="G78" s="20" t="n">
        <v>199.147</v>
      </c>
      <c r="H78" s="20" t="n">
        <v>71.08799999999999</v>
      </c>
      <c r="I78" s="20" t="n">
        <v>71.40300000000001</v>
      </c>
      <c r="J78" s="20" t="n">
        <v>204.709</v>
      </c>
      <c r="K78" s="20" t="n">
        <v>275.088</v>
      </c>
      <c r="L78" s="20" t="n">
        <v>220.28</v>
      </c>
    </row>
    <row r="79">
      <c r="A79" s="18" t="inlineStr">
        <is>
          <t>대손충당금</t>
        </is>
      </c>
      <c r="C79" s="20" t="n">
        <v>-1.333</v>
      </c>
      <c r="D79" s="20" t="n">
        <v>-1.594</v>
      </c>
      <c r="E79" s="20" t="n">
        <v>-1.478</v>
      </c>
      <c r="F79" s="20" t="n">
        <v>-1.364</v>
      </c>
      <c r="G79" s="20" t="n">
        <v>-1.377</v>
      </c>
      <c r="H79" s="20" t="n">
        <v>-1.27</v>
      </c>
      <c r="I79" s="20" t="n">
        <v>-1.418</v>
      </c>
      <c r="J79" s="20" t="n">
        <v>-1.647</v>
      </c>
      <c r="K79" s="20" t="n">
        <v>-1.416</v>
      </c>
      <c r="L79" s="20" t="n">
        <v>-1.478</v>
      </c>
    </row>
    <row r="80">
      <c r="A80" s="9" t="inlineStr">
        <is>
          <t>유동자산 합계</t>
        </is>
      </c>
      <c r="C80" s="12" t="n">
        <v>23880.1</v>
      </c>
      <c r="D80" s="12" t="n">
        <v>25457.75</v>
      </c>
      <c r="E80" s="12" t="n">
        <v>25620.809</v>
      </c>
      <c r="F80" s="12" t="n">
        <v>24288.461</v>
      </c>
      <c r="G80" s="12" t="n">
        <v>24519.555</v>
      </c>
      <c r="H80" s="12" t="n">
        <v>21242.718</v>
      </c>
      <c r="I80" s="12" t="n">
        <v>22394.113</v>
      </c>
      <c r="J80" s="12" t="n">
        <v>26707.008</v>
      </c>
      <c r="K80" s="12" t="n">
        <v>21958.802</v>
      </c>
      <c r="L80" s="12" t="n">
        <v>25620.809</v>
      </c>
    </row>
    <row r="81">
      <c r="A81" s="18" t="inlineStr">
        <is>
          <t>건물</t>
        </is>
      </c>
      <c r="E81" s="20" t="n">
        <v>8037.385</v>
      </c>
      <c r="H81" s="20" t="n">
        <v>6229.279</v>
      </c>
      <c r="I81" s="20" t="n">
        <v>6248.954</v>
      </c>
      <c r="J81" s="20" t="n">
        <v>6897.443</v>
      </c>
      <c r="K81" s="20" t="n">
        <v>8055.705</v>
      </c>
      <c r="L81" s="20" t="n">
        <v>8037.385</v>
      </c>
    </row>
    <row r="82">
      <c r="A82" s="18" t="inlineStr">
        <is>
          <t>감가상각누계액</t>
        </is>
      </c>
      <c r="E82" s="20" t="n">
        <v>-4497.35</v>
      </c>
      <c r="H82" s="20" t="n">
        <v>-3871.37</v>
      </c>
      <c r="I82" s="20" t="n">
        <v>-3972.829</v>
      </c>
      <c r="J82" s="20" t="n">
        <v>-4127.277</v>
      </c>
      <c r="K82" s="20" t="n">
        <v>-4276.754</v>
      </c>
      <c r="L82" s="20" t="n">
        <v>-4497.35</v>
      </c>
    </row>
    <row r="83">
      <c r="A83" s="18" t="inlineStr">
        <is>
          <t>건물(순액)</t>
        </is>
      </c>
      <c r="C83" s="20" t="n">
        <v>3670.741</v>
      </c>
      <c r="D83" s="20" t="n">
        <v>3613.728</v>
      </c>
      <c r="E83" s="20" t="n">
        <v>3540.035</v>
      </c>
      <c r="F83" s="20" t="n">
        <v>3486.666</v>
      </c>
      <c r="G83" s="20" t="n">
        <v>3436.746</v>
      </c>
      <c r="H83" s="20" t="n">
        <v>2129.425</v>
      </c>
      <c r="I83" s="20" t="n">
        <v>2059.598</v>
      </c>
      <c r="J83" s="20" t="n">
        <v>2770.166</v>
      </c>
      <c r="K83" s="20" t="n">
        <v>2977.12</v>
      </c>
      <c r="L83" s="20" t="n">
        <v>3540.035</v>
      </c>
    </row>
    <row r="84">
      <c r="A84" s="18" t="inlineStr">
        <is>
          <t>구축물</t>
        </is>
      </c>
      <c r="E84" s="20" t="n">
        <v>296.409</v>
      </c>
      <c r="H84" s="20" t="n">
        <v>263.907</v>
      </c>
      <c r="I84" s="20" t="n">
        <v>266.949</v>
      </c>
      <c r="J84" s="20" t="n">
        <v>291.894</v>
      </c>
      <c r="K84" s="20" t="n">
        <v>298.674</v>
      </c>
      <c r="L84" s="20" t="n">
        <v>296.409</v>
      </c>
    </row>
    <row r="85">
      <c r="A85" s="18" t="inlineStr">
        <is>
          <t>감가상각누계액</t>
        </is>
      </c>
      <c r="E85" s="20" t="n">
        <v>-247.766</v>
      </c>
      <c r="H85" s="20" t="n">
        <v>-220.96</v>
      </c>
      <c r="I85" s="20" t="n">
        <v>-224.817</v>
      </c>
      <c r="J85" s="20" t="n">
        <v>-234.879</v>
      </c>
      <c r="K85" s="20" t="n">
        <v>-242.981</v>
      </c>
      <c r="L85" s="20" t="n">
        <v>-247.766</v>
      </c>
    </row>
    <row r="86">
      <c r="A86" s="18" t="inlineStr">
        <is>
          <t>구축물(순액)</t>
        </is>
      </c>
      <c r="C86" s="20" t="n">
        <v>53.822</v>
      </c>
      <c r="D86" s="20" t="n">
        <v>51.232</v>
      </c>
      <c r="E86" s="20" t="n">
        <v>48.642</v>
      </c>
      <c r="F86" s="20" t="n">
        <v>46.457</v>
      </c>
      <c r="G86" s="20" t="n">
        <v>44.272</v>
      </c>
      <c r="H86" s="20" t="n">
        <v>35.628</v>
      </c>
      <c r="I86" s="20" t="n">
        <v>35.767</v>
      </c>
      <c r="J86" s="20" t="n">
        <v>57.014</v>
      </c>
      <c r="K86" s="20" t="n">
        <v>29.305</v>
      </c>
      <c r="L86" s="20" t="n">
        <v>48.642</v>
      </c>
    </row>
    <row r="87">
      <c r="A87" s="18" t="inlineStr">
        <is>
          <t>차량운반구</t>
        </is>
      </c>
      <c r="E87" s="20" t="n">
        <v>48.141</v>
      </c>
      <c r="H87" s="20" t="n">
        <v>374.086</v>
      </c>
      <c r="I87" s="20" t="n">
        <v>376.146</v>
      </c>
      <c r="J87" s="20" t="n">
        <v>44.222</v>
      </c>
      <c r="K87" s="20" t="n">
        <v>48.141</v>
      </c>
      <c r="L87" s="20" t="n">
        <v>48.141</v>
      </c>
    </row>
    <row r="88">
      <c r="A88" s="18" t="inlineStr">
        <is>
          <t>감가상각누계액</t>
        </is>
      </c>
      <c r="E88" s="20" t="n">
        <v>-41.783</v>
      </c>
      <c r="H88" s="20" t="n">
        <v>-302.115</v>
      </c>
      <c r="I88" s="20" t="n">
        <v>-306.602</v>
      </c>
      <c r="J88" s="20" t="n">
        <v>-35.144</v>
      </c>
      <c r="K88" s="20" t="n">
        <v>-37.139</v>
      </c>
      <c r="L88" s="20" t="n">
        <v>-41.783</v>
      </c>
    </row>
    <row r="89">
      <c r="A89" s="18" t="inlineStr">
        <is>
          <t>차량운반구(순액)</t>
        </is>
      </c>
      <c r="C89" s="20" t="n">
        <v>8.676</v>
      </c>
      <c r="D89" s="20" t="n">
        <v>7.513</v>
      </c>
      <c r="E89" s="20" t="n">
        <v>6.358</v>
      </c>
      <c r="F89" s="20" t="n">
        <v>5.721</v>
      </c>
      <c r="G89" s="20" t="n">
        <v>5.085</v>
      </c>
      <c r="H89" s="20" t="n">
        <v>71.97</v>
      </c>
      <c r="I89" s="20" t="n">
        <v>69.54300000000001</v>
      </c>
      <c r="J89" s="20" t="n">
        <v>9.077999999999999</v>
      </c>
      <c r="K89" s="20" t="n">
        <v>11.001</v>
      </c>
      <c r="L89" s="20" t="n">
        <v>6.358</v>
      </c>
    </row>
    <row r="90">
      <c r="A90" s="18" t="inlineStr">
        <is>
          <t>공구·기구·비품</t>
        </is>
      </c>
      <c r="E90" s="20" t="n">
        <v>636.74</v>
      </c>
      <c r="H90" s="20" t="n">
        <v>558.228</v>
      </c>
      <c r="I90" s="20" t="n">
        <v>562.053</v>
      </c>
      <c r="J90" s="20" t="n">
        <v>581.922</v>
      </c>
      <c r="K90" s="20" t="n">
        <v>623.888</v>
      </c>
      <c r="L90" s="20" t="n">
        <v>636.74</v>
      </c>
    </row>
    <row r="91">
      <c r="A91" s="18" t="inlineStr">
        <is>
          <t>감가상각누계액</t>
        </is>
      </c>
      <c r="E91" s="20" t="n">
        <v>-578.253</v>
      </c>
      <c r="H91" s="20" t="n">
        <v>-427.716</v>
      </c>
      <c r="I91" s="20" t="n">
        <v>-486.045</v>
      </c>
      <c r="J91" s="20" t="n">
        <v>-528.372</v>
      </c>
      <c r="K91" s="20" t="n">
        <v>-553.448</v>
      </c>
      <c r="L91" s="20" t="n">
        <v>-578.253</v>
      </c>
    </row>
    <row r="92">
      <c r="A92" s="18" t="inlineStr">
        <is>
          <t>공구·기구·비품(순액)</t>
        </is>
      </c>
      <c r="C92" s="20" t="n">
        <v>56.308</v>
      </c>
      <c r="D92" s="20" t="n">
        <v>67.154</v>
      </c>
      <c r="E92" s="20" t="n">
        <v>58.486</v>
      </c>
      <c r="F92" s="20" t="n">
        <v>53.254</v>
      </c>
      <c r="G92" s="20" t="n">
        <v>49.544</v>
      </c>
      <c r="H92" s="20" t="n">
        <v>122.136</v>
      </c>
      <c r="I92" s="20" t="n">
        <v>70.95699999999999</v>
      </c>
      <c r="J92" s="20" t="n">
        <v>53.55</v>
      </c>
      <c r="K92" s="20" t="n">
        <v>54.148</v>
      </c>
      <c r="L92" s="20" t="n">
        <v>58.486</v>
      </c>
    </row>
    <row r="93">
      <c r="A93" s="18" t="inlineStr">
        <is>
          <t>토지</t>
        </is>
      </c>
      <c r="C93" s="20" t="n">
        <v>6178.956</v>
      </c>
      <c r="D93" s="20" t="n">
        <v>6274.05</v>
      </c>
      <c r="E93" s="20" t="n">
        <v>6274.05</v>
      </c>
      <c r="F93" s="20" t="n">
        <v>6853.125</v>
      </c>
      <c r="G93" s="20" t="n">
        <v>6853.325</v>
      </c>
      <c r="H93" s="20" t="n">
        <v>4894.469</v>
      </c>
      <c r="I93" s="20" t="n">
        <v>4855.087</v>
      </c>
      <c r="J93" s="20" t="n">
        <v>6180.432</v>
      </c>
      <c r="K93" s="20" t="n">
        <v>5228.29</v>
      </c>
      <c r="L93" s="20" t="n">
        <v>6274.05</v>
      </c>
    </row>
    <row r="94">
      <c r="A94" s="18" t="inlineStr">
        <is>
          <t>건설중인자산</t>
        </is>
      </c>
      <c r="C94" s="20" t="n">
        <v>10</v>
      </c>
      <c r="D94" s="20" t="n">
        <v>3.469</v>
      </c>
      <c r="E94" s="20" t="n">
        <v>95.30500000000001</v>
      </c>
      <c r="F94" s="20" t="n">
        <v>67.30500000000001</v>
      </c>
      <c r="G94" s="20" t="n">
        <v>90.154</v>
      </c>
      <c r="H94" s="20" t="n">
        <v>35.97</v>
      </c>
      <c r="I94" s="20" t="n">
        <v>130</v>
      </c>
      <c r="J94" s="20" t="n">
        <v>343.571</v>
      </c>
      <c r="K94" s="20" t="n">
        <v>0</v>
      </c>
      <c r="L94" s="20" t="n">
        <v>95.30500000000001</v>
      </c>
    </row>
    <row r="95">
      <c r="A95" s="18" t="inlineStr">
        <is>
          <t>유형자산 합계</t>
        </is>
      </c>
      <c r="C95" s="20" t="n">
        <v>9978.505999999999</v>
      </c>
      <c r="D95" s="20" t="n">
        <v>10017.15</v>
      </c>
      <c r="E95" s="20" t="n">
        <v>10022.879</v>
      </c>
      <c r="F95" s="20" t="n">
        <v>10512.53</v>
      </c>
      <c r="G95" s="20" t="n">
        <v>10479.128</v>
      </c>
      <c r="H95" s="20" t="n">
        <v>7289.601</v>
      </c>
      <c r="I95" s="20" t="n">
        <v>7220.953</v>
      </c>
      <c r="J95" s="20" t="n">
        <v>9413.812</v>
      </c>
      <c r="K95" s="20" t="n">
        <v>8299.867</v>
      </c>
      <c r="L95" s="20" t="n">
        <v>10022.879</v>
      </c>
    </row>
    <row r="96">
      <c r="A96" s="18" t="inlineStr">
        <is>
          <t>전화가입권</t>
        </is>
      </c>
      <c r="C96" s="20" t="n">
        <v>38.894</v>
      </c>
      <c r="D96" s="20" t="n">
        <v>38.894</v>
      </c>
      <c r="E96" s="20" t="n">
        <v>31.611</v>
      </c>
      <c r="H96" s="20" t="n">
        <v>31.611</v>
      </c>
      <c r="I96" s="20" t="n">
        <v>31.611</v>
      </c>
      <c r="J96" s="20" t="n">
        <v>38.894</v>
      </c>
      <c r="K96" s="20" t="n">
        <v>31.611</v>
      </c>
      <c r="L96" s="20" t="n">
        <v>31.611</v>
      </c>
    </row>
    <row r="97">
      <c r="A97" s="18" t="inlineStr">
        <is>
          <t>소프트웨어</t>
        </is>
      </c>
      <c r="C97" s="20" t="n">
        <v>949.807</v>
      </c>
      <c r="D97" s="20" t="n">
        <v>885.097</v>
      </c>
      <c r="E97" s="20" t="n">
        <v>820.5359999999999</v>
      </c>
      <c r="F97" s="20" t="n">
        <v>757.005</v>
      </c>
      <c r="G97" s="20" t="n">
        <v>699.039</v>
      </c>
      <c r="H97" s="20" t="n">
        <v>205.839</v>
      </c>
      <c r="I97" s="20" t="n">
        <v>150.029</v>
      </c>
      <c r="J97" s="20" t="n">
        <v>137.09</v>
      </c>
      <c r="K97" s="20" t="n">
        <v>1068.381</v>
      </c>
      <c r="L97" s="20" t="n">
        <v>820.5359999999999</v>
      </c>
    </row>
    <row r="98">
      <c r="A98" s="18" t="inlineStr">
        <is>
          <t>영업권</t>
        </is>
      </c>
      <c r="C98" s="20" t="n">
        <v>211.218</v>
      </c>
      <c r="D98" s="20" t="n">
        <v>196.816</v>
      </c>
      <c r="E98" s="20" t="n">
        <v>182.415</v>
      </c>
      <c r="F98" s="20" t="n">
        <v>168.014</v>
      </c>
      <c r="G98" s="20" t="n">
        <v>153.613</v>
      </c>
      <c r="H98" s="20" t="n">
        <v>412.835</v>
      </c>
      <c r="I98" s="20" t="n">
        <v>355.23</v>
      </c>
      <c r="J98" s="20" t="n">
        <v>297.625</v>
      </c>
      <c r="K98" s="20" t="n">
        <v>240.02</v>
      </c>
      <c r="L98" s="20" t="n">
        <v>182.415</v>
      </c>
    </row>
    <row r="99">
      <c r="A99" s="18" t="inlineStr">
        <is>
          <t>개발 중 소프트웨어</t>
        </is>
      </c>
      <c r="E99" s="20" t="n">
        <v>0</v>
      </c>
      <c r="G99" s="20" t="n">
        <v>11</v>
      </c>
      <c r="H99" s="20" t="n">
        <v>0</v>
      </c>
      <c r="I99" s="20" t="n">
        <v>129.206</v>
      </c>
      <c r="J99" s="20" t="n">
        <v>349.072</v>
      </c>
      <c r="K99" s="20" t="n">
        <v>0</v>
      </c>
      <c r="L99" s="20" t="n">
        <v>0</v>
      </c>
    </row>
    <row r="100">
      <c r="A100" s="18" t="inlineStr">
        <is>
          <t>기타</t>
        </is>
      </c>
      <c r="E100" s="20" t="n">
        <v>38.894</v>
      </c>
      <c r="F100" s="20" t="n">
        <v>38.894</v>
      </c>
      <c r="G100" s="20" t="n">
        <v>38.894</v>
      </c>
      <c r="L100" s="20" t="n">
        <v>38.894</v>
      </c>
    </row>
    <row r="101">
      <c r="A101" s="18" t="inlineStr">
        <is>
          <t>무형자산 합계</t>
        </is>
      </c>
      <c r="C101" s="20" t="n">
        <v>1199.919</v>
      </c>
      <c r="D101" s="20" t="n">
        <v>1120.808</v>
      </c>
      <c r="E101" s="20" t="n">
        <v>1041.845</v>
      </c>
      <c r="F101" s="20" t="n">
        <v>963.913</v>
      </c>
      <c r="G101" s="20" t="n">
        <v>902.546</v>
      </c>
      <c r="H101" s="20" t="n">
        <v>650.2859999999999</v>
      </c>
      <c r="I101" s="20" t="n">
        <v>666.077</v>
      </c>
      <c r="J101" s="20" t="n">
        <v>822.682</v>
      </c>
      <c r="K101" s="20" t="n">
        <v>1340.013</v>
      </c>
      <c r="L101" s="20" t="n">
        <v>1041.845</v>
      </c>
    </row>
    <row r="102">
      <c r="A102" s="18" t="inlineStr">
        <is>
          <t>투자유가증권</t>
        </is>
      </c>
      <c r="C102" s="20" t="n">
        <v>5795.806</v>
      </c>
      <c r="D102" s="20" t="n">
        <v>6143.539</v>
      </c>
      <c r="E102" s="20" t="n">
        <v>5799.951</v>
      </c>
      <c r="F102" s="20" t="n">
        <v>7305.942</v>
      </c>
      <c r="G102" s="20" t="n">
        <v>7369.832</v>
      </c>
      <c r="H102" s="20" t="n">
        <v>2332.592</v>
      </c>
      <c r="I102" s="20" t="n">
        <v>2416.658</v>
      </c>
      <c r="J102" s="20" t="n">
        <v>4718.216</v>
      </c>
      <c r="K102" s="20" t="n">
        <v>3096.132</v>
      </c>
      <c r="L102" s="20" t="n">
        <v>5799.951</v>
      </c>
    </row>
    <row r="103">
      <c r="A103" s="18" t="inlineStr">
        <is>
          <t>관계회사 주식</t>
        </is>
      </c>
      <c r="E103" s="20" t="n">
        <v>2493.927</v>
      </c>
      <c r="H103" s="20" t="n">
        <v>2493.927</v>
      </c>
      <c r="I103" s="20" t="n">
        <v>2493.927</v>
      </c>
      <c r="J103" s="20" t="n">
        <v>2493.927</v>
      </c>
      <c r="K103" s="20" t="n">
        <v>2493.927</v>
      </c>
      <c r="L103" s="20" t="n">
        <v>2493.927</v>
      </c>
    </row>
    <row r="104">
      <c r="A104" s="18" t="inlineStr">
        <is>
          <t>출자금</t>
        </is>
      </c>
      <c r="C104" s="20" t="n">
        <v>14.86</v>
      </c>
      <c r="D104" s="20" t="n">
        <v>14.86</v>
      </c>
      <c r="E104" s="20" t="n">
        <v>14.86</v>
      </c>
      <c r="F104" s="20" t="n">
        <v>14.84</v>
      </c>
      <c r="G104" s="20" t="n">
        <v>14.84</v>
      </c>
      <c r="H104" s="20" t="n">
        <v>11.65</v>
      </c>
      <c r="I104" s="20" t="n">
        <v>11.65</v>
      </c>
      <c r="J104" s="20" t="n">
        <v>14.86</v>
      </c>
      <c r="K104" s="20" t="n">
        <v>11.65</v>
      </c>
      <c r="L104" s="20" t="n">
        <v>14.86</v>
      </c>
    </row>
    <row r="105">
      <c r="A105" s="18" t="inlineStr">
        <is>
          <t>장기선급비용</t>
        </is>
      </c>
      <c r="E105" s="20" t="n">
        <v>11.292</v>
      </c>
      <c r="H105" s="20" t="n">
        <v>13.987</v>
      </c>
      <c r="I105" s="20" t="n">
        <v>6.171</v>
      </c>
      <c r="J105" s="20" t="n">
        <v>1.682</v>
      </c>
      <c r="K105" s="20" t="n">
        <v>6.142</v>
      </c>
      <c r="L105" s="20" t="n">
        <v>11.292</v>
      </c>
    </row>
    <row r="106">
      <c r="A106" s="18" t="inlineStr">
        <is>
          <t>선급연금비용</t>
        </is>
      </c>
      <c r="E106" s="20" t="n">
        <v>630.271</v>
      </c>
      <c r="H106" s="20" t="n">
        <v>390.1</v>
      </c>
      <c r="I106" s="20" t="n">
        <v>409.022</v>
      </c>
      <c r="J106" s="20" t="n">
        <v>478.341</v>
      </c>
      <c r="K106" s="20" t="n">
        <v>547.7809999999999</v>
      </c>
      <c r="L106" s="20" t="n">
        <v>630.271</v>
      </c>
    </row>
    <row r="107">
      <c r="A107" s="18" t="inlineStr">
        <is>
          <t>퇴직급여자산</t>
        </is>
      </c>
      <c r="C107" s="20" t="n">
        <v>784.495</v>
      </c>
      <c r="D107" s="20" t="n">
        <v>803.345</v>
      </c>
      <c r="E107" s="20" t="n">
        <v>891.859</v>
      </c>
      <c r="F107" s="20" t="n">
        <v>905.364</v>
      </c>
      <c r="G107" s="20" t="n">
        <v>908.186</v>
      </c>
      <c r="H107" s="20" t="n">
        <v>468.63</v>
      </c>
      <c r="I107" s="20" t="n">
        <v>434.045</v>
      </c>
      <c r="J107" s="20" t="n">
        <v>683.6559999999999</v>
      </c>
      <c r="K107" s="20" t="n">
        <v>774</v>
      </c>
      <c r="L107" s="20" t="n">
        <v>891.859</v>
      </c>
    </row>
    <row r="108">
      <c r="A108" s="18" t="inlineStr">
        <is>
          <t>보증금</t>
        </is>
      </c>
      <c r="C108" s="20" t="n">
        <v>222.035</v>
      </c>
      <c r="D108" s="20" t="n">
        <v>222.193</v>
      </c>
      <c r="E108" s="20" t="n">
        <v>221.178</v>
      </c>
      <c r="F108" s="20" t="n">
        <v>219.724</v>
      </c>
      <c r="G108" s="20" t="n">
        <v>219.769</v>
      </c>
      <c r="H108" s="20" t="n">
        <v>153.533</v>
      </c>
      <c r="I108" s="20" t="n">
        <v>152.115</v>
      </c>
      <c r="J108" s="20" t="n">
        <v>223.967</v>
      </c>
      <c r="K108" s="20" t="n">
        <v>157.385</v>
      </c>
      <c r="L108" s="20" t="n">
        <v>221.178</v>
      </c>
    </row>
    <row r="109">
      <c r="A109" s="18" t="inlineStr">
        <is>
          <t>기타</t>
        </is>
      </c>
      <c r="C109" s="20" t="n">
        <v>23.348</v>
      </c>
      <c r="D109" s="20" t="n">
        <v>22.377</v>
      </c>
      <c r="E109" s="20" t="n">
        <v>19.438</v>
      </c>
      <c r="F109" s="20" t="n">
        <v>17.204</v>
      </c>
      <c r="G109" s="20" t="n">
        <v>14.537</v>
      </c>
      <c r="H109" s="20" t="n">
        <v>28.852</v>
      </c>
      <c r="I109" s="20" t="n">
        <v>27.54</v>
      </c>
      <c r="J109" s="20" t="n">
        <v>17.644</v>
      </c>
      <c r="K109" s="20" t="n">
        <v>13.301</v>
      </c>
      <c r="L109" s="20" t="n">
        <v>19.438</v>
      </c>
    </row>
    <row r="110">
      <c r="A110" s="18" t="inlineStr">
        <is>
          <t>대손충당금</t>
        </is>
      </c>
      <c r="C110" s="20" t="n">
        <v>-2.1</v>
      </c>
      <c r="D110" s="20" t="n">
        <v>-2.1</v>
      </c>
      <c r="E110" s="20" t="n">
        <v>-2.1</v>
      </c>
      <c r="F110" s="20" t="n">
        <v>-2.1</v>
      </c>
      <c r="G110" s="20" t="n">
        <v>-2.1</v>
      </c>
      <c r="H110" s="20" t="n">
        <v>-4.28</v>
      </c>
      <c r="I110" s="20" t="n">
        <v>-2.72</v>
      </c>
      <c r="J110" s="20" t="n">
        <v>-2.2</v>
      </c>
      <c r="K110" s="20" t="n">
        <v>-1.96</v>
      </c>
      <c r="L110" s="20" t="n">
        <v>-2.1</v>
      </c>
    </row>
    <row r="111">
      <c r="A111" s="18" t="inlineStr">
        <is>
          <t>투자 및 기타자산 합계</t>
        </is>
      </c>
      <c r="C111" s="20" t="n">
        <v>6838.446</v>
      </c>
      <c r="D111" s="20" t="n">
        <v>7204.215</v>
      </c>
      <c r="E111" s="20" t="n">
        <v>6945.187</v>
      </c>
      <c r="F111" s="20" t="n">
        <v>8460.975</v>
      </c>
      <c r="G111" s="20" t="n">
        <v>8525.066000000001</v>
      </c>
      <c r="H111" s="20" t="n">
        <v>5420.364</v>
      </c>
      <c r="I111" s="20" t="n">
        <v>5514.366</v>
      </c>
      <c r="J111" s="20" t="n">
        <v>5656.144</v>
      </c>
      <c r="K111" s="20" t="n">
        <v>6324.36</v>
      </c>
      <c r="L111" s="20" t="n">
        <v>6945.187</v>
      </c>
    </row>
    <row r="112">
      <c r="A112" s="9" t="inlineStr">
        <is>
          <t>비유동자산 합계</t>
        </is>
      </c>
      <c r="C112" s="12" t="n">
        <v>18016.872</v>
      </c>
      <c r="D112" s="12" t="n">
        <v>18342.173</v>
      </c>
      <c r="E112" s="12" t="n">
        <v>18009.912</v>
      </c>
      <c r="F112" s="12" t="n">
        <v>19937.42</v>
      </c>
      <c r="G112" s="12" t="n">
        <v>19906.741</v>
      </c>
      <c r="H112" s="12" t="n">
        <v>13360.252</v>
      </c>
      <c r="I112" s="12" t="n">
        <v>13401.397</v>
      </c>
      <c r="J112" s="12" t="n">
        <v>15892.639</v>
      </c>
      <c r="K112" s="12" t="n">
        <v>15964.241</v>
      </c>
      <c r="L112" s="12" t="n">
        <v>18009.912</v>
      </c>
    </row>
    <row r="113">
      <c r="A113" s="9" t="inlineStr">
        <is>
          <t>자산 합계</t>
        </is>
      </c>
      <c r="C113" s="12" t="n">
        <v>41896.972</v>
      </c>
      <c r="D113" s="12" t="n">
        <v>43799.924</v>
      </c>
      <c r="E113" s="12" t="n">
        <v>43630.722</v>
      </c>
      <c r="F113" s="12" t="n">
        <v>44225.882</v>
      </c>
      <c r="G113" s="12" t="n">
        <v>44426.297</v>
      </c>
      <c r="H113" s="12" t="n">
        <v>34602.97</v>
      </c>
      <c r="I113" s="12" t="n">
        <v>35795.511</v>
      </c>
      <c r="J113" s="12" t="n">
        <v>42599.648</v>
      </c>
      <c r="K113" s="12" t="n">
        <v>37923.044</v>
      </c>
      <c r="L113" s="12" t="n">
        <v>43630.722</v>
      </c>
    </row>
    <row r="114">
      <c r="A114" s="18" t="inlineStr">
        <is>
          <t>매입채무</t>
        </is>
      </c>
      <c r="C114" s="20" t="n">
        <v>3204.154</v>
      </c>
      <c r="D114" s="20" t="n">
        <v>5488.524</v>
      </c>
      <c r="E114" s="20" t="n">
        <v>4161.335</v>
      </c>
      <c r="F114" s="20" t="n">
        <v>3944.022</v>
      </c>
      <c r="G114" s="20" t="n">
        <v>3251.348</v>
      </c>
      <c r="H114" s="20" t="n">
        <v>3092.761</v>
      </c>
      <c r="I114" s="20" t="n">
        <v>3134.508</v>
      </c>
      <c r="J114" s="20" t="n">
        <v>3702.001</v>
      </c>
      <c r="K114" s="20" t="n">
        <v>3662.333</v>
      </c>
      <c r="L114" s="20" t="n">
        <v>4161.335</v>
      </c>
    </row>
    <row r="115">
      <c r="A115" s="18" t="inlineStr">
        <is>
          <t>단기차입금</t>
        </is>
      </c>
      <c r="C115" s="20" t="n">
        <v>2300</v>
      </c>
      <c r="D115" s="20" t="n">
        <v>2300</v>
      </c>
      <c r="E115" s="20" t="n">
        <v>2300</v>
      </c>
      <c r="F115" s="20" t="n">
        <v>2300</v>
      </c>
      <c r="G115" s="20" t="n">
        <v>2300</v>
      </c>
      <c r="K115" s="20" t="n">
        <v>0</v>
      </c>
      <c r="L115" s="20" t="n">
        <v>2300</v>
      </c>
    </row>
    <row r="116">
      <c r="A116" s="18" t="inlineStr">
        <is>
          <t>미지급금</t>
        </is>
      </c>
      <c r="C116" s="20" t="n">
        <v>230.893</v>
      </c>
      <c r="D116" s="20" t="n">
        <v>270.34</v>
      </c>
      <c r="E116" s="20" t="n">
        <v>253.835</v>
      </c>
      <c r="F116" s="20" t="n">
        <v>231.927</v>
      </c>
      <c r="G116" s="20" t="n">
        <v>212.728</v>
      </c>
      <c r="H116" s="20" t="n">
        <v>326.753</v>
      </c>
      <c r="I116" s="20" t="n">
        <v>166.181</v>
      </c>
      <c r="J116" s="20" t="n">
        <v>381.548</v>
      </c>
      <c r="K116" s="20" t="n">
        <v>278.673</v>
      </c>
      <c r="L116" s="20" t="n">
        <v>253.835</v>
      </c>
    </row>
    <row r="117">
      <c r="A117" s="18" t="inlineStr">
        <is>
          <t>미지급비용</t>
        </is>
      </c>
      <c r="C117" s="20" t="n">
        <v>690.269</v>
      </c>
      <c r="D117" s="20" t="n">
        <v>381.018</v>
      </c>
      <c r="E117" s="20" t="n">
        <v>693.304</v>
      </c>
      <c r="F117" s="20" t="n">
        <v>378.99</v>
      </c>
      <c r="G117" s="20" t="n">
        <v>696.114</v>
      </c>
      <c r="H117" s="20" t="n">
        <v>505.652</v>
      </c>
      <c r="I117" s="20" t="n">
        <v>527.562</v>
      </c>
      <c r="J117" s="20" t="n">
        <v>659.923</v>
      </c>
      <c r="K117" s="20" t="n">
        <v>607.172</v>
      </c>
      <c r="L117" s="20" t="n">
        <v>693.304</v>
      </c>
    </row>
    <row r="118">
      <c r="A118" s="18" t="inlineStr">
        <is>
          <t>미지급법인세</t>
        </is>
      </c>
      <c r="C118" s="20" t="n">
        <v>380.242</v>
      </c>
      <c r="D118" s="20" t="n">
        <v>134.199</v>
      </c>
      <c r="E118" s="20" t="n">
        <v>543.782</v>
      </c>
      <c r="F118" s="20" t="n">
        <v>112.337</v>
      </c>
      <c r="G118" s="20" t="n">
        <v>492.445</v>
      </c>
      <c r="H118" s="20" t="n">
        <v>424.5</v>
      </c>
      <c r="I118" s="20" t="n">
        <v>423</v>
      </c>
      <c r="J118" s="20" t="n">
        <v>449.396</v>
      </c>
      <c r="K118" s="20" t="n">
        <v>429.3</v>
      </c>
      <c r="L118" s="20" t="n">
        <v>543.782</v>
      </c>
    </row>
    <row r="119">
      <c r="A119" s="18" t="inlineStr">
        <is>
          <t>미지급 소비세</t>
        </is>
      </c>
      <c r="C119" s="20" t="n">
        <v>148.288</v>
      </c>
      <c r="D119" s="20" t="n">
        <v>163.294</v>
      </c>
      <c r="E119" s="20" t="n">
        <v>264.4</v>
      </c>
      <c r="F119" s="20" t="n">
        <v>98.41</v>
      </c>
      <c r="G119" s="20" t="n">
        <v>112.097</v>
      </c>
      <c r="H119" s="20" t="n">
        <v>33.682</v>
      </c>
      <c r="I119" s="20" t="n">
        <v>84.197</v>
      </c>
      <c r="J119" s="20" t="n">
        <v>129.914</v>
      </c>
      <c r="K119" s="20" t="n">
        <v>0</v>
      </c>
      <c r="L119" s="20" t="n">
        <v>264.4</v>
      </c>
    </row>
    <row r="120">
      <c r="A120" s="18" t="inlineStr">
        <is>
          <t>선수금</t>
        </is>
      </c>
      <c r="E120" s="20" t="n">
        <v>38.795</v>
      </c>
      <c r="H120" s="20" t="n">
        <v>74.19499999999999</v>
      </c>
      <c r="I120" s="20" t="n">
        <v>30.983</v>
      </c>
      <c r="J120" s="20" t="n">
        <v>43.711</v>
      </c>
      <c r="K120" s="20" t="n">
        <v>19.04</v>
      </c>
      <c r="L120" s="20" t="n">
        <v>38.795</v>
      </c>
    </row>
    <row r="121">
      <c r="A121" s="18" t="inlineStr">
        <is>
          <t>예수금</t>
        </is>
      </c>
      <c r="E121" s="20" t="n">
        <v>24.432</v>
      </c>
      <c r="H121" s="20" t="n">
        <v>18.653</v>
      </c>
      <c r="I121" s="20" t="n">
        <v>26.979</v>
      </c>
      <c r="J121" s="20" t="n">
        <v>39.055</v>
      </c>
      <c r="K121" s="20" t="n">
        <v>23.637</v>
      </c>
      <c r="L121" s="20" t="n">
        <v>24.432</v>
      </c>
    </row>
    <row r="122">
      <c r="A122" s="18" t="inlineStr">
        <is>
          <t>선수수익</t>
        </is>
      </c>
      <c r="E122" s="20" t="n">
        <v>2.336</v>
      </c>
      <c r="H122" s="20" t="n">
        <v>2.603</v>
      </c>
      <c r="I122" s="20" t="n">
        <v>3.08</v>
      </c>
      <c r="J122" s="20" t="n">
        <v>2.739</v>
      </c>
      <c r="K122" s="20" t="n">
        <v>2.193</v>
      </c>
      <c r="L122" s="20" t="n">
        <v>2.336</v>
      </c>
    </row>
    <row r="123">
      <c r="A123" s="18" t="inlineStr">
        <is>
          <t>기타</t>
        </is>
      </c>
      <c r="C123" s="20" t="n">
        <v>75.122</v>
      </c>
      <c r="D123" s="20" t="n">
        <v>200.418</v>
      </c>
      <c r="E123" s="20" t="n">
        <v>75.991</v>
      </c>
      <c r="F123" s="20" t="n">
        <v>282.398</v>
      </c>
      <c r="G123" s="20" t="n">
        <v>97.837</v>
      </c>
      <c r="H123" s="20" t="n">
        <v>10.58</v>
      </c>
      <c r="I123" s="20" t="n">
        <v>9.727</v>
      </c>
      <c r="J123" s="20" t="n">
        <v>101.773</v>
      </c>
      <c r="K123" s="20" t="n">
        <v>7.252</v>
      </c>
      <c r="L123" s="20" t="n">
        <v>75.991</v>
      </c>
    </row>
    <row r="124">
      <c r="A124" s="9" t="inlineStr">
        <is>
          <t>유동부채 합계</t>
        </is>
      </c>
      <c r="C124" s="12" t="n">
        <v>7028.97</v>
      </c>
      <c r="D124" s="12" t="n">
        <v>8937.796</v>
      </c>
      <c r="E124" s="12" t="n">
        <v>8292.648999999999</v>
      </c>
      <c r="F124" s="12" t="n">
        <v>7348.086</v>
      </c>
      <c r="G124" s="12" t="n">
        <v>7162.571</v>
      </c>
      <c r="H124" s="12" t="n">
        <v>4489.383</v>
      </c>
      <c r="I124" s="12" t="n">
        <v>4406.221</v>
      </c>
      <c r="J124" s="12" t="n">
        <v>5424.559</v>
      </c>
      <c r="K124" s="12" t="n">
        <v>5029.602</v>
      </c>
      <c r="L124" s="12" t="n">
        <v>8292.648999999999</v>
      </c>
    </row>
    <row r="125">
      <c r="A125" s="18" t="inlineStr">
        <is>
          <t>장기미지급금</t>
        </is>
      </c>
      <c r="C125" s="20" t="n">
        <v>125.5</v>
      </c>
      <c r="D125" s="20" t="n">
        <v>125.5</v>
      </c>
      <c r="E125" s="20" t="n">
        <v>125.5</v>
      </c>
      <c r="F125" s="20" t="n">
        <v>125.5</v>
      </c>
      <c r="G125" s="20" t="n">
        <v>125.5</v>
      </c>
      <c r="H125" s="20" t="n">
        <v>124.2</v>
      </c>
      <c r="I125" s="20" t="n">
        <v>124.2</v>
      </c>
      <c r="J125" s="20" t="n">
        <v>125.5</v>
      </c>
      <c r="K125" s="20" t="n">
        <v>124.2</v>
      </c>
      <c r="L125" s="20" t="n">
        <v>125.5</v>
      </c>
    </row>
    <row r="126">
      <c r="A126" s="18" t="inlineStr">
        <is>
          <t>장기 예수보증금</t>
        </is>
      </c>
      <c r="C126" s="20" t="n">
        <v>151.501</v>
      </c>
      <c r="D126" s="20" t="n">
        <v>156.001</v>
      </c>
      <c r="E126" s="20" t="n">
        <v>158.001</v>
      </c>
      <c r="F126" s="20" t="n">
        <v>157.851</v>
      </c>
      <c r="G126" s="20" t="n">
        <v>157.351</v>
      </c>
      <c r="H126" s="20" t="n">
        <v>149.318</v>
      </c>
      <c r="I126" s="20" t="n">
        <v>153.318</v>
      </c>
      <c r="J126" s="20" t="n">
        <v>152.251</v>
      </c>
      <c r="K126" s="20" t="n">
        <v>152.851</v>
      </c>
      <c r="L126" s="20" t="n">
        <v>158.001</v>
      </c>
    </row>
    <row r="127">
      <c r="A127" s="18" t="inlineStr">
        <is>
          <t>퇴직급여부채</t>
        </is>
      </c>
      <c r="C127" s="20" t="n">
        <v>126.865</v>
      </c>
      <c r="D127" s="20" t="n">
        <v>128.001</v>
      </c>
      <c r="E127" s="20" t="n">
        <v>128.232</v>
      </c>
      <c r="F127" s="20" t="n">
        <v>130.349</v>
      </c>
      <c r="G127" s="20" t="n">
        <v>132.467</v>
      </c>
      <c r="H127" s="20" t="n">
        <v>148.737</v>
      </c>
      <c r="I127" s="20" t="n">
        <v>143.853</v>
      </c>
      <c r="J127" s="20" t="n">
        <v>132.869</v>
      </c>
      <c r="K127" s="20" t="n">
        <v>124.827</v>
      </c>
      <c r="L127" s="20" t="n">
        <v>128.232</v>
      </c>
    </row>
    <row r="128">
      <c r="A128" s="18" t="inlineStr">
        <is>
          <t>기타</t>
        </is>
      </c>
      <c r="H128" s="20" t="n">
        <v>0</v>
      </c>
    </row>
    <row r="129">
      <c r="A129" s="18" t="inlineStr">
        <is>
          <t>이연법인세부채</t>
        </is>
      </c>
      <c r="C129" s="20" t="n">
        <v>855.889</v>
      </c>
      <c r="D129" s="20" t="n">
        <v>1074.101</v>
      </c>
      <c r="E129" s="20" t="n">
        <v>918.7190000000001</v>
      </c>
      <c r="F129" s="20" t="n">
        <v>1528.385</v>
      </c>
      <c r="G129" s="20" t="n">
        <v>1428.399</v>
      </c>
      <c r="H129" s="20" t="n">
        <v>141.883</v>
      </c>
      <c r="I129" s="20" t="n">
        <v>204.723</v>
      </c>
      <c r="J129" s="20" t="n">
        <v>806.3680000000001</v>
      </c>
      <c r="K129" s="20" t="n">
        <v>495.562</v>
      </c>
      <c r="L129" s="20" t="n">
        <v>918.7190000000001</v>
      </c>
    </row>
    <row r="130">
      <c r="A130" s="18" t="inlineStr">
        <is>
          <t>퇴직급여충당금</t>
        </is>
      </c>
      <c r="E130" s="20" t="n">
        <v>147.621</v>
      </c>
      <c r="H130" s="20" t="n">
        <v>152.112</v>
      </c>
      <c r="I130" s="20" t="n">
        <v>152.223</v>
      </c>
      <c r="J130" s="20" t="n">
        <v>148.152</v>
      </c>
      <c r="K130" s="20" t="n">
        <v>147.362</v>
      </c>
      <c r="L130" s="20" t="n">
        <v>147.621</v>
      </c>
    </row>
    <row r="131">
      <c r="A131" s="9" t="inlineStr">
        <is>
          <t>비유동부채 합계</t>
        </is>
      </c>
      <c r="C131" s="12" t="n">
        <v>1259.756</v>
      </c>
      <c r="D131" s="12" t="n">
        <v>1483.604</v>
      </c>
      <c r="E131" s="12" t="n">
        <v>1330.452</v>
      </c>
      <c r="F131" s="12" t="n">
        <v>1942.086</v>
      </c>
      <c r="G131" s="12" t="n">
        <v>1843.718</v>
      </c>
      <c r="H131" s="12" t="n">
        <v>567.514</v>
      </c>
      <c r="I131" s="12" t="n">
        <v>634.465</v>
      </c>
      <c r="J131" s="12" t="n">
        <v>1216.989</v>
      </c>
      <c r="K131" s="12" t="n">
        <v>919.976</v>
      </c>
      <c r="L131" s="12" t="n">
        <v>1330.452</v>
      </c>
    </row>
    <row r="132">
      <c r="A132" s="9" t="inlineStr">
        <is>
          <t>부채 합계</t>
        </is>
      </c>
      <c r="C132" s="12" t="n">
        <v>8288.726000000001</v>
      </c>
      <c r="D132" s="12" t="n">
        <v>10421.401</v>
      </c>
      <c r="E132" s="12" t="n">
        <v>9623.102000000001</v>
      </c>
      <c r="F132" s="12" t="n">
        <v>9290.173000000001</v>
      </c>
      <c r="G132" s="12" t="n">
        <v>9006.289000000001</v>
      </c>
      <c r="H132" s="12" t="n">
        <v>5056.898</v>
      </c>
      <c r="I132" s="12" t="n">
        <v>5040.687</v>
      </c>
      <c r="J132" s="12" t="n">
        <v>6641.548</v>
      </c>
      <c r="K132" s="12" t="n">
        <v>5949.578</v>
      </c>
      <c r="L132" s="12" t="n">
        <v>9623.102000000001</v>
      </c>
    </row>
    <row r="133">
      <c r="A133" s="18" t="inlineStr">
        <is>
          <t>자본금</t>
        </is>
      </c>
      <c r="C133" s="20" t="n">
        <v>2597.406</v>
      </c>
      <c r="D133" s="20" t="n">
        <v>2597.406</v>
      </c>
      <c r="E133" s="20" t="n">
        <v>2597.406</v>
      </c>
      <c r="F133" s="20" t="n">
        <v>2597.406</v>
      </c>
      <c r="G133" s="20" t="n">
        <v>2597.406</v>
      </c>
      <c r="H133" s="20" t="n">
        <v>2597.406</v>
      </c>
      <c r="I133" s="20" t="n">
        <v>2597.406</v>
      </c>
      <c r="J133" s="20" t="n">
        <v>2597.406</v>
      </c>
      <c r="K133" s="20" t="n">
        <v>2597.406</v>
      </c>
      <c r="L133" s="20" t="n">
        <v>2597.406</v>
      </c>
    </row>
    <row r="134">
      <c r="A134" s="18" t="inlineStr">
        <is>
          <t>자본준비금</t>
        </is>
      </c>
      <c r="E134" s="20" t="n">
        <v>2513.808</v>
      </c>
      <c r="H134" s="20" t="n">
        <v>2513.808</v>
      </c>
      <c r="I134" s="20" t="n">
        <v>2513.808</v>
      </c>
      <c r="J134" s="20" t="n">
        <v>2513.808</v>
      </c>
      <c r="K134" s="20" t="n">
        <v>2513.808</v>
      </c>
      <c r="L134" s="20" t="n">
        <v>2513.808</v>
      </c>
    </row>
    <row r="135">
      <c r="A135" s="18" t="inlineStr">
        <is>
          <t>기타자본잉여금</t>
        </is>
      </c>
      <c r="E135" s="20" t="n">
        <v>15.486</v>
      </c>
      <c r="H135" s="20" t="n">
        <v>15.486</v>
      </c>
      <c r="I135" s="20" t="n">
        <v>15.486</v>
      </c>
      <c r="J135" s="20" t="n">
        <v>15.486</v>
      </c>
      <c r="K135" s="20" t="n">
        <v>15.486</v>
      </c>
      <c r="L135" s="20" t="n">
        <v>15.486</v>
      </c>
    </row>
    <row r="136">
      <c r="A136" s="18" t="inlineStr">
        <is>
          <t>자본잉여금</t>
        </is>
      </c>
      <c r="C136" s="20" t="n">
        <v>2529.295</v>
      </c>
      <c r="D136" s="20" t="n">
        <v>2529.295</v>
      </c>
      <c r="E136" s="20" t="n">
        <v>2529.295</v>
      </c>
      <c r="F136" s="20" t="n">
        <v>2513.808</v>
      </c>
      <c r="G136" s="20" t="n">
        <v>2513.808</v>
      </c>
      <c r="H136" s="20" t="n">
        <v>2529.295</v>
      </c>
      <c r="I136" s="20" t="n">
        <v>2529.295</v>
      </c>
      <c r="J136" s="20" t="n">
        <v>2529.295</v>
      </c>
      <c r="K136" s="20" t="n">
        <v>2529.295</v>
      </c>
      <c r="L136" s="20" t="n">
        <v>2529.295</v>
      </c>
    </row>
    <row r="137">
      <c r="A137" s="18" t="inlineStr">
        <is>
          <t>이익준비금</t>
        </is>
      </c>
      <c r="E137" s="20" t="n">
        <v>260.979</v>
      </c>
      <c r="H137" s="20" t="n">
        <v>260.979</v>
      </c>
      <c r="I137" s="20" t="n">
        <v>260.979</v>
      </c>
      <c r="J137" s="20" t="n">
        <v>260.979</v>
      </c>
      <c r="K137" s="20" t="n">
        <v>260.979</v>
      </c>
      <c r="L137" s="20" t="n">
        <v>260.979</v>
      </c>
    </row>
    <row r="138">
      <c r="A138" s="18" t="inlineStr">
        <is>
          <t>고정자산 압축적립금</t>
        </is>
      </c>
      <c r="E138" s="20" t="n">
        <v>148.934</v>
      </c>
      <c r="H138" s="20" t="n">
        <v>152.934</v>
      </c>
      <c r="I138" s="20" t="n">
        <v>152.589</v>
      </c>
      <c r="J138" s="20" t="n">
        <v>152.265</v>
      </c>
      <c r="K138" s="20" t="n">
        <v>151.104</v>
      </c>
      <c r="L138" s="20" t="n">
        <v>148.934</v>
      </c>
    </row>
    <row r="139">
      <c r="A139" s="18" t="inlineStr">
        <is>
          <t>별도적립금</t>
        </is>
      </c>
      <c r="E139" s="20" t="n">
        <v>20550</v>
      </c>
      <c r="H139" s="20" t="n">
        <v>20550</v>
      </c>
      <c r="I139" s="20" t="n">
        <v>20550</v>
      </c>
      <c r="J139" s="20" t="n">
        <v>20550</v>
      </c>
      <c r="K139" s="20" t="n">
        <v>20550</v>
      </c>
      <c r="L139" s="20" t="n">
        <v>20550</v>
      </c>
    </row>
    <row r="140">
      <c r="A140" s="18" t="inlineStr">
        <is>
          <t>이월이익잉여금</t>
        </is>
      </c>
      <c r="E140" s="20" t="n">
        <v>8879.904</v>
      </c>
      <c r="H140" s="20" t="n">
        <v>4966.177</v>
      </c>
      <c r="I140" s="20" t="n">
        <v>6086.538</v>
      </c>
      <c r="J140" s="20" t="n">
        <v>6775.595</v>
      </c>
      <c r="K140" s="20" t="n">
        <v>8234.117</v>
      </c>
      <c r="L140" s="20" t="n">
        <v>8879.904</v>
      </c>
    </row>
    <row r="141">
      <c r="A141" s="18" t="inlineStr">
        <is>
          <t>이익잉여금</t>
        </is>
      </c>
      <c r="C141" s="20" t="n">
        <v>32441.136</v>
      </c>
      <c r="D141" s="20" t="n">
        <v>32658.816</v>
      </c>
      <c r="E141" s="20" t="n">
        <v>33421.364</v>
      </c>
      <c r="F141" s="20" t="n">
        <v>27612.092</v>
      </c>
      <c r="G141" s="20" t="n">
        <v>28068.8</v>
      </c>
      <c r="H141" s="20" t="n">
        <v>25930.091</v>
      </c>
      <c r="I141" s="20" t="n">
        <v>27050.107</v>
      </c>
      <c r="J141" s="20" t="n">
        <v>31082.228</v>
      </c>
      <c r="K141" s="20" t="n">
        <v>29196.201</v>
      </c>
      <c r="L141" s="20" t="n">
        <v>33421.364</v>
      </c>
    </row>
    <row r="142">
      <c r="A142" s="18" t="inlineStr">
        <is>
          <t>자기주식</t>
        </is>
      </c>
      <c r="C142" s="20" t="n">
        <v>-6261.474</v>
      </c>
      <c r="D142" s="20" t="n">
        <v>-6933.868</v>
      </c>
      <c r="E142" s="20" t="n">
        <v>-6933.868</v>
      </c>
      <c r="F142" s="20" t="n">
        <v>-1198.924</v>
      </c>
      <c r="G142" s="20" t="n">
        <v>-1198.983</v>
      </c>
      <c r="H142" s="20" t="n">
        <v>-2549.906</v>
      </c>
      <c r="I142" s="20" t="n">
        <v>-2549.906</v>
      </c>
      <c r="J142" s="20" t="n">
        <v>-2550.013</v>
      </c>
      <c r="K142" s="20" t="n">
        <v>-3933.919</v>
      </c>
      <c r="L142" s="20" t="n">
        <v>-6933.868</v>
      </c>
    </row>
    <row r="143">
      <c r="A143" s="9" t="inlineStr">
        <is>
          <t>주주자본 합계</t>
        </is>
      </c>
      <c r="C143" s="12" t="n">
        <v>31306.364</v>
      </c>
      <c r="D143" s="12" t="n">
        <v>30851.65</v>
      </c>
      <c r="E143" s="12" t="n">
        <v>31614.198</v>
      </c>
      <c r="F143" s="12" t="n">
        <v>31524.383</v>
      </c>
      <c r="G143" s="12" t="n">
        <v>31981.033</v>
      </c>
      <c r="H143" s="12" t="n">
        <v>28506.887</v>
      </c>
      <c r="I143" s="12" t="n">
        <v>29626.903</v>
      </c>
      <c r="J143" s="12" t="n">
        <v>33658.917</v>
      </c>
      <c r="K143" s="12" t="n">
        <v>30388.984</v>
      </c>
      <c r="L143" s="12" t="n">
        <v>31614.198</v>
      </c>
    </row>
    <row r="144">
      <c r="A144" s="18" t="inlineStr">
        <is>
          <t>기타유가증권 평가차액</t>
        </is>
      </c>
      <c r="C144" s="20" t="n">
        <v>2166.019</v>
      </c>
      <c r="D144" s="20" t="n">
        <v>2398.86</v>
      </c>
      <c r="E144" s="20" t="n">
        <v>2229.833</v>
      </c>
      <c r="F144" s="20" t="n">
        <v>3257.004</v>
      </c>
      <c r="G144" s="20" t="n">
        <v>3293.92</v>
      </c>
      <c r="H144" s="20" t="n">
        <v>1039.184</v>
      </c>
      <c r="I144" s="20" t="n">
        <v>1127.92</v>
      </c>
      <c r="J144" s="20" t="n">
        <v>2161.799</v>
      </c>
      <c r="K144" s="20" t="n">
        <v>1584.481</v>
      </c>
      <c r="L144" s="20" t="n">
        <v>2229.833</v>
      </c>
    </row>
    <row r="145">
      <c r="A145" s="18" t="inlineStr">
        <is>
          <t>퇴직급여 조정누계액</t>
        </is>
      </c>
      <c r="C145" s="20" t="n">
        <v>135.862</v>
      </c>
      <c r="D145" s="20" t="n">
        <v>128.012</v>
      </c>
      <c r="E145" s="20" t="n">
        <v>163.588</v>
      </c>
      <c r="F145" s="20" t="n">
        <v>154.321</v>
      </c>
      <c r="G145" s="20" t="n">
        <v>145.053</v>
      </c>
      <c r="H145" s="20" t="n">
        <v>39.124</v>
      </c>
      <c r="I145" s="20" t="n">
        <v>12.6</v>
      </c>
      <c r="J145" s="20" t="n">
        <v>137.382</v>
      </c>
      <c r="K145" s="20" t="n">
        <v>153.531</v>
      </c>
      <c r="L145" s="20" t="n">
        <v>163.588</v>
      </c>
    </row>
    <row r="146">
      <c r="A146" s="18" t="inlineStr">
        <is>
          <t>기타포괄손익누계액 합계</t>
        </is>
      </c>
      <c r="C146" s="20" t="n">
        <v>2301.881</v>
      </c>
      <c r="D146" s="20" t="n">
        <v>2526.872</v>
      </c>
      <c r="E146" s="20" t="n">
        <v>2393.421</v>
      </c>
      <c r="F146" s="20" t="n">
        <v>3411.325</v>
      </c>
      <c r="G146" s="20" t="n">
        <v>3438.974</v>
      </c>
      <c r="H146" s="20" t="n">
        <v>1039.184</v>
      </c>
      <c r="I146" s="20" t="n">
        <v>1127.92</v>
      </c>
      <c r="J146" s="20" t="n">
        <v>2299.182</v>
      </c>
      <c r="K146" s="20" t="n">
        <v>1584.481</v>
      </c>
      <c r="L146" s="20" t="n">
        <v>2393.421</v>
      </c>
    </row>
    <row r="147">
      <c r="A147" s="9" t="inlineStr">
        <is>
          <t>순자산 합계</t>
        </is>
      </c>
      <c r="C147" s="12" t="n">
        <v>33608.245</v>
      </c>
      <c r="D147" s="12" t="n">
        <v>33378.522</v>
      </c>
      <c r="E147" s="12" t="n">
        <v>34007.62</v>
      </c>
      <c r="F147" s="12" t="n">
        <v>34935.708</v>
      </c>
      <c r="G147" s="12" t="n">
        <v>35420.008</v>
      </c>
      <c r="H147" s="12" t="n">
        <v>29546.072</v>
      </c>
      <c r="I147" s="12" t="n">
        <v>30754.823</v>
      </c>
      <c r="J147" s="12" t="n">
        <v>35958.099</v>
      </c>
      <c r="K147" s="12" t="n">
        <v>31973.465</v>
      </c>
      <c r="L147" s="12" t="n">
        <v>34007.62</v>
      </c>
    </row>
    <row r="148">
      <c r="A148" s="9" t="inlineStr">
        <is>
          <t>부채·순자산 합계</t>
        </is>
      </c>
      <c r="C148" s="12" t="n">
        <v>41896.972</v>
      </c>
      <c r="D148" s="12" t="n">
        <v>43799.924</v>
      </c>
      <c r="E148" s="12" t="n">
        <v>43630.722</v>
      </c>
      <c r="F148" s="12" t="n">
        <v>44225.882</v>
      </c>
      <c r="G148" s="12" t="n">
        <v>44426.297</v>
      </c>
      <c r="H148" s="12" t="n">
        <v>34602.97</v>
      </c>
      <c r="I148" s="12" t="n">
        <v>35795.511</v>
      </c>
      <c r="J148" s="12" t="n">
        <v>42599.648</v>
      </c>
      <c r="K148" s="12" t="n">
        <v>37923.044</v>
      </c>
      <c r="L148" s="12" t="n">
        <v>43630.722</v>
      </c>
    </row>
  </sheetData>
  <conditionalFormatting sqref="C43:L43">
    <cfRule type="expression" priority="1" dxfId="0">
      <formula>AND(ISNUMBER(C43),C43&gt;1.0)</formula>
    </cfRule>
  </conditionalFormatting>
  <conditionalFormatting sqref="C44:L44">
    <cfRule type="expression" priority="2" dxfId="0">
      <formula>AND(ISNUMBER(C44),C44&gt;0.5)</formula>
    </cfRule>
  </conditionalFormatting>
  <conditionalFormatting sqref="C45:L45">
    <cfRule type="expression" priority="3" dxfId="0">
      <formula>AND(ISNUMBER(C45),C45&lt;0.5)</formula>
    </cfRule>
  </conditionalFormatting>
  <conditionalFormatting sqref="C46:L46">
    <cfRule type="expression" priority="4" dxfId="0">
      <formula>AND(ISNUMBER(C46),C46&lt;1.5)</formula>
    </cfRule>
  </conditionalFormatting>
  <conditionalFormatting sqref="C47:L47">
    <cfRule type="expression" priority="5" dxfId="0">
      <formula>AND(ISNUMBER(C47),C47&lt;1.0)</formula>
    </cfRule>
  </conditionalFormatting>
  <conditionalFormatting sqref="C48:L48">
    <cfRule type="expression" priority="6" dxfId="0">
      <formula>AND(ISNUMBER(C48),C48&lt;5)</formula>
    </cfRule>
  </conditionalFormatting>
  <conditionalFormatting sqref="C49:L49">
    <cfRule type="expression" priority="7" dxfId="0">
      <formula>AND(ISNUMBER(C49),C49&gt;4)</formula>
    </cfRule>
  </conditionalFormatting>
  <conditionalFormatting sqref="C51:L51">
    <cfRule type="expression" priority="8" dxfId="0">
      <formula>AND(ISNUMBER(C51),C51&lt;0.15)</formula>
    </cfRule>
  </conditionalFormatting>
  <conditionalFormatting sqref="C52:L52">
    <cfRule type="expression" priority="9" dxfId="0">
      <formula>AND(ISNUMBER(C52),C52&lt;0.05)</formula>
    </cfRule>
  </conditionalFormatting>
  <conditionalFormatting sqref="C53:L53">
    <cfRule type="expression" priority="10" dxfId="0">
      <formula>AND(ISNUMBER(C53),C53&lt;0.1)</formula>
    </cfRule>
  </conditionalFormatting>
  <conditionalFormatting sqref="C54:L54">
    <cfRule type="expression" priority="11" dxfId="0">
      <formula>AND(ISNUMBER(C54),C54&lt;0.4)</formula>
    </cfRule>
  </conditionalFormatting>
  <conditionalFormatting sqref="C55:L55">
    <cfRule type="expression" priority="12" dxfId="0">
      <formula>AND(ISNUMBER(C55),C55&lt;0.15)</formula>
    </cfRule>
  </conditionalFormatting>
  <conditionalFormatting sqref="C56:L56">
    <cfRule type="expression" priority="13" dxfId="0">
      <formula>AND(ISNUMBER(C56),C56&lt;0.1)</formula>
    </cfRule>
  </conditionalFormatting>
  <conditionalFormatting sqref="C64:L64">
    <cfRule type="expression" priority="14" dxfId="0">
      <formula>AND(ISNUMBER(C64),C64&lt;1.0)</formula>
    </cfRule>
  </conditionalFormatting>
  <conditionalFormatting sqref="C65:L65">
    <cfRule type="expression" priority="15" dxfId="0">
      <formula>AND(ISNUMBER(C65),C65&lt;0.05)</formula>
    </cfRule>
  </conditionalFormatting>
  <pageMargins left="0.75" right="0.75" top="1" bottom="1" header="0.5" footer="0.5"/>
  <pageSetup orientation="landscape" paperSize="8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4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60" customWidth="1" min="3" max="3"/>
  </cols>
  <sheetData>
    <row r="1">
      <c r="A1" s="50" t="inlineStr">
        <is>
          <t>출처 · 쓴 결산단신</t>
        </is>
      </c>
    </row>
    <row r="3">
      <c r="A3" s="51" t="inlineStr">
        <is>
          <t>공시일</t>
        </is>
      </c>
      <c r="B3" s="51" t="inlineStr">
        <is>
          <t>문서</t>
        </is>
      </c>
      <c r="C3" s="51" t="inlineStr">
        <is>
          <t>PDF</t>
        </is>
      </c>
    </row>
    <row r="4">
      <c r="A4" t="inlineStr">
        <is>
          <t>2026-10-28</t>
        </is>
      </c>
      <c r="B4" t="inlineStr">
        <is>
          <t>2027년 3월 결산기 ２분기 결산단신</t>
        </is>
      </c>
      <c r="C4" t="inlineStr">
        <is>
          <t>https://www2.jpx.co.jp/disc/99320/140120261027557039.pdf</t>
        </is>
      </c>
    </row>
    <row r="5">
      <c r="A5" t="inlineStr">
        <is>
          <t>2026-07-29</t>
        </is>
      </c>
      <c r="B5" t="inlineStr">
        <is>
          <t>2027년 3월 결산기 １분기 결산단신</t>
        </is>
      </c>
      <c r="C5" t="inlineStr">
        <is>
          <t>https://www2.jpx.co.jp/disc/99320/140120260728500767.pdf</t>
        </is>
      </c>
    </row>
    <row r="6">
      <c r="A6" t="inlineStr">
        <is>
          <t>2026-04-27</t>
        </is>
      </c>
      <c r="B6" t="inlineStr">
        <is>
          <t>2026년 3월 결산기 연간 결산단신</t>
        </is>
      </c>
      <c r="C6" t="inlineStr">
        <is>
          <t>https://www2.jpx.co.jp/disc/99320/140120260424510755.pdf</t>
        </is>
      </c>
    </row>
    <row r="7">
      <c r="A7" t="inlineStr">
        <is>
          <t>2026-01-28</t>
        </is>
      </c>
      <c r="B7" t="inlineStr">
        <is>
          <t>2026년 3월 결산기 ３분기 결산단신</t>
        </is>
      </c>
      <c r="C7" t="inlineStr">
        <is>
          <t>https://www2.jpx.co.jp/disc/99320/140120260127539524.pdf</t>
        </is>
      </c>
    </row>
    <row r="8">
      <c r="A8" t="inlineStr">
        <is>
          <t>2025-10-29</t>
        </is>
      </c>
      <c r="B8" t="inlineStr">
        <is>
          <t>2026년 3월 결산기 2분기 결산단신</t>
        </is>
      </c>
      <c r="C8" t="inlineStr">
        <is>
          <t>https://www2.jpx.co.jp/disc/99320/140120251028580532.pdf</t>
        </is>
      </c>
    </row>
    <row r="9">
      <c r="A9" t="inlineStr">
        <is>
          <t>2025-07-29</t>
        </is>
      </c>
      <c r="B9" t="inlineStr">
        <is>
          <t>2026년 3월 결산기 1분기 결산단신</t>
        </is>
      </c>
      <c r="C9" t="inlineStr">
        <is>
          <t>https://www2.jpx.co.jp/disc/99320/140120250728521763.pdf</t>
        </is>
      </c>
    </row>
    <row r="10">
      <c r="A10" t="inlineStr">
        <is>
          <t>2025-04-25</t>
        </is>
      </c>
      <c r="B10" t="inlineStr">
        <is>
          <t>2025년 3월 결산기 연간 결산단신</t>
        </is>
      </c>
      <c r="C10" t="inlineStr">
        <is>
          <t>https://www2.jpx.co.jp/disc/99320/140120250424522270.pdf</t>
        </is>
      </c>
    </row>
    <row r="11">
      <c r="A11" t="inlineStr">
        <is>
          <t>2025-01-29</t>
        </is>
      </c>
      <c r="B11" t="inlineStr">
        <is>
          <t>2025년 3월 결산기 ３분기 결산단신</t>
        </is>
      </c>
      <c r="C11" t="inlineStr">
        <is>
          <t>https://www2.jpx.co.jp/disc/99320/140120250128556520.pdf</t>
        </is>
      </c>
    </row>
    <row r="12">
      <c r="A12" t="inlineStr">
        <is>
          <t>2024-10-29</t>
        </is>
      </c>
      <c r="B12" t="inlineStr">
        <is>
          <t>2025년 3월 결산기 2분기 결산단신</t>
        </is>
      </c>
      <c r="C12" t="inlineStr">
        <is>
          <t>https://www2.jpx.co.jp/disc/99320/140120241029504458.pdf</t>
        </is>
      </c>
    </row>
    <row r="13">
      <c r="A13" t="inlineStr">
        <is>
          <t>2024-07-29</t>
        </is>
      </c>
      <c r="B13" t="inlineStr">
        <is>
          <t>2025년 3월 결산기 １분기 결산단신</t>
        </is>
      </c>
      <c r="C13" t="inlineStr">
        <is>
          <t>https://www2.jpx.co.jp/disc/99320/140120240729556349.pdf</t>
        </is>
      </c>
    </row>
    <row r="14">
      <c r="A14" t="inlineStr">
        <is>
          <t>2024-04-25</t>
        </is>
      </c>
      <c r="B14" t="inlineStr">
        <is>
          <t>2024년 3월 결산기 연간 결산단신</t>
        </is>
      </c>
      <c r="C14" t="inlineStr">
        <is>
          <t>https://www2.jpx.co.jp/disc/99320/140120240425576283.pdf</t>
        </is>
      </c>
    </row>
    <row r="15">
      <c r="A15" t="inlineStr">
        <is>
          <t>2024-01-29</t>
        </is>
      </c>
      <c r="B15" t="inlineStr">
        <is>
          <t>2024년 3월 결산기 3분기 결산단신</t>
        </is>
      </c>
      <c r="C15" t="inlineStr">
        <is>
          <t>https://www2.jpx.co.jp/disc/99320/140120240126519893.pdf</t>
        </is>
      </c>
    </row>
    <row r="16">
      <c r="A16" t="inlineStr">
        <is>
          <t>2023-10-27</t>
        </is>
      </c>
      <c r="B16" t="inlineStr">
        <is>
          <t>2024년 3월 결산기 2분기 결산단신</t>
        </is>
      </c>
      <c r="C16" t="inlineStr">
        <is>
          <t>https://www2.jpx.co.jp/disc/99320/140120231027572818.pdf</t>
        </is>
      </c>
    </row>
    <row r="17">
      <c r="A17" t="inlineStr">
        <is>
          <t>2023-07-27</t>
        </is>
      </c>
      <c r="B17" t="inlineStr">
        <is>
          <t>2024년 3월 결산기 1분기 결산단신</t>
        </is>
      </c>
      <c r="C17" t="inlineStr">
        <is>
          <t>https://www2.jpx.co.jp/disc/99320/140120230727527966.pdf</t>
        </is>
      </c>
    </row>
    <row r="18">
      <c r="A18" t="inlineStr">
        <is>
          <t>2023-04-26</t>
        </is>
      </c>
      <c r="B18" t="inlineStr">
        <is>
          <t>2023년 3월 결산기 연간 결산단신</t>
        </is>
      </c>
      <c r="C18" t="inlineStr">
        <is>
          <t>https://www2.jpx.co.jp/disc/99320/140120230425552642.pdf</t>
        </is>
      </c>
    </row>
    <row r="19">
      <c r="A19" t="inlineStr">
        <is>
          <t>2023-01-27</t>
        </is>
      </c>
      <c r="B19" t="inlineStr">
        <is>
          <t>2023년 3월 결산기 3분기 결산단신</t>
        </is>
      </c>
      <c r="C19" t="inlineStr">
        <is>
          <t>https://www2.jpx.co.jp/disc/99320/140120230126594206.pdf</t>
        </is>
      </c>
    </row>
    <row r="20">
      <c r="A20" t="inlineStr">
        <is>
          <t>2022-04-26</t>
        </is>
      </c>
      <c r="B20" t="inlineStr">
        <is>
          <t>2022년 3월 결산기 연간 결산단신</t>
        </is>
      </c>
      <c r="C20" t="inlineStr">
        <is>
          <t>https://www2.jpx.co.jp/disc/99320/140120220426527765.pdf</t>
        </is>
      </c>
    </row>
    <row r="21">
      <c r="A21" t="inlineStr">
        <is>
          <t>2021-04-27</t>
        </is>
      </c>
      <c r="B21" t="inlineStr">
        <is>
          <t>2021년 3월 결산기 연간 결산단신</t>
        </is>
      </c>
      <c r="C21" t="inlineStr">
        <is>
          <t>https://www2.jpx.co.jp/disc/99320/140120210426400365.pdf</t>
        </is>
      </c>
    </row>
    <row r="22">
      <c r="A22" t="inlineStr">
        <is>
          <t>2020-04-27</t>
        </is>
      </c>
      <c r="B22" t="inlineStr">
        <is>
          <t>2020년 3월 결산기 연간 결산단신</t>
        </is>
      </c>
      <c r="C22" t="inlineStr">
        <is>
          <t>https://www2.jpx.co.jp/disc/99320/140120200424499527.pdf</t>
        </is>
      </c>
    </row>
    <row r="23">
      <c r="A23" t="inlineStr">
        <is>
          <t>2019-04-24</t>
        </is>
      </c>
      <c r="B23" t="inlineStr">
        <is>
          <t>2019년 3월 결산기 연간 결산단신</t>
        </is>
      </c>
      <c r="C23" t="inlineStr">
        <is>
          <t>https://www2.jpx.co.jp/disc/99320/140120190423409071.pdf</t>
        </is>
      </c>
    </row>
    <row r="24">
      <c r="A24" t="inlineStr">
        <is>
          <t>2018-04-25</t>
        </is>
      </c>
      <c r="B24" t="inlineStr">
        <is>
          <t>연간 결산단신</t>
        </is>
      </c>
      <c r="C24" t="inlineStr">
        <is>
          <t>https://www2.jpx.co.jp/disc/99320/140120180420415562.pdf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2026-10-28T07:01:16Z</dcterms:created>
  <dcterms:modified xmlns:dcterms="http://purl.org/dc/terms/" xmlns:xsi="http://www.w3.org/2001/XMLSchema-instance" xsi:type="dcterms:W3CDTF">2026-10-28T07:01:17Z</dcterms:modified>
</cp:coreProperties>
</file>