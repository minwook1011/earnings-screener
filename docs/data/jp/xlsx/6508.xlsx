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6508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65515</v>
      </c>
      <c r="D4" s="12" t="n">
        <v>64871</v>
      </c>
      <c r="E4" s="12" t="n">
        <v>411</v>
      </c>
      <c r="F4" s="12" t="n">
        <v>54975</v>
      </c>
      <c r="G4" s="12" t="n">
        <v>65124</v>
      </c>
      <c r="H4" s="12" t="n">
        <v>70984</v>
      </c>
      <c r="I4" s="12" t="n">
        <v>110018</v>
      </c>
      <c r="J4" s="12" t="n">
        <v>58390</v>
      </c>
      <c r="K4" s="12" t="n">
        <v>72752</v>
      </c>
      <c r="L4" s="12" t="n">
        <v>72713</v>
      </c>
      <c r="M4" s="12" t="n">
        <v>122339</v>
      </c>
      <c r="N4" s="12" t="n">
        <v>73412</v>
      </c>
      <c r="O4" s="11" t="n">
        <v>148371</v>
      </c>
      <c r="P4" s="12" t="n">
        <v>164487</v>
      </c>
      <c r="Q4" s="12" t="n">
        <v>245033</v>
      </c>
      <c r="R4" s="12" t="n">
        <v>255748</v>
      </c>
      <c r="S4" s="12" t="n">
        <v>156039</v>
      </c>
      <c r="T4" s="12" t="n">
        <v>163369</v>
      </c>
      <c r="U4" s="12" t="n">
        <v>272578</v>
      </c>
      <c r="V4" s="12" t="n">
        <v>184329</v>
      </c>
      <c r="W4" s="12" t="n">
        <v>301101</v>
      </c>
      <c r="X4" s="12" t="n">
        <v>326194</v>
      </c>
      <c r="Y4" s="11">
        <f>IF(COUNT(Y7,Y10,Y13,Y16,Y19,Y22,Y25,Y28)=0,"",SUM(Y7,Y10,Y13,Y16,Y19,Y22,Y25,Y28))</f>
        <v/>
      </c>
      <c r="Z4" s="12">
        <f>IF(COUNT(Z7,Z10,Z13,Z16,Z19,Z22,Z25,Z28)=0,"",SUM(Z7,Z10,Z13,Z16,Z19,Z22,Z25,Z28))</f>
        <v/>
      </c>
      <c r="AA4" s="12">
        <f>IF(COUNT(AA7,AA10,AA13,AA16,AA19,AA22,AA25,AA28)=0,"",SUM(AA7,AA10,AA13,AA16,AA19,AA22,AA25,AA28))</f>
        <v/>
      </c>
      <c r="AB4" s="12">
        <f>IF(COUNT(AB7,AB10,AB13,AB16,AB19,AB22,AB25,AB28)=0,"",SUM(AB7,AB10,AB13,AB16,AB19,AB22,AB25,AB28))</f>
        <v/>
      </c>
      <c r="AC4" s="12">
        <f>IF(COUNT(AC7,AC10,AC13,AC16,AC19,AC22,AC25,AC28)=0,"",SUM(AC7,AC10,AC13,AC16,AC19,AC22,AC25,AC28))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PowerInfrastrucutureBusinessReportableSegmentMember</t>
        </is>
      </c>
      <c r="B7" s="10" t="n"/>
      <c r="C7" s="19" t="n">
        <v>17978</v>
      </c>
      <c r="D7" s="20" t="n">
        <v>21473</v>
      </c>
      <c r="E7" s="20" t="n">
        <v>25199</v>
      </c>
      <c r="F7" s="20" t="n">
        <v>18257</v>
      </c>
      <c r="G7" s="20" t="n">
        <v>16573</v>
      </c>
      <c r="H7" s="20" t="n">
        <v>23506</v>
      </c>
      <c r="I7" s="20" t="n">
        <v>27081</v>
      </c>
      <c r="J7" s="20" t="n">
        <v>19521</v>
      </c>
      <c r="K7" s="20" t="n">
        <v>23576</v>
      </c>
      <c r="L7" s="20" t="n">
        <v>25971</v>
      </c>
      <c r="M7" s="20" t="n">
        <v>31227</v>
      </c>
      <c r="N7" s="20" t="n">
        <v>27487</v>
      </c>
      <c r="O7" s="19" t="n"/>
      <c r="P7" s="20" t="n"/>
      <c r="Q7" s="20" t="n"/>
      <c r="R7" s="20" t="n"/>
      <c r="S7" s="20" t="n"/>
      <c r="T7" s="20" t="n"/>
      <c r="U7" s="20" t="n"/>
      <c r="V7" s="20" t="n">
        <v>77793</v>
      </c>
      <c r="W7" s="20" t="n">
        <v>85417</v>
      </c>
      <c r="X7" s="20" t="n">
        <v>100295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PublicIndustrialAndCommercialSectorBusinessReportableSegmentMember</t>
        </is>
      </c>
      <c r="B10" s="10" t="n"/>
      <c r="C10" s="19" t="n">
        <v>18823</v>
      </c>
      <c r="D10" s="20" t="n">
        <v>16182</v>
      </c>
      <c r="E10" s="20" t="n">
        <v>35342</v>
      </c>
      <c r="F10" s="20" t="n">
        <v>14636</v>
      </c>
      <c r="G10" s="20" t="n">
        <v>19721</v>
      </c>
      <c r="H10" s="20" t="n">
        <v>18234</v>
      </c>
      <c r="I10" s="20" t="n">
        <v>38026</v>
      </c>
      <c r="J10" s="20" t="n">
        <v>14130</v>
      </c>
      <c r="K10" s="20" t="n">
        <v>20641</v>
      </c>
      <c r="L10" s="20" t="n">
        <v>20795</v>
      </c>
      <c r="M10" s="20" t="n">
        <v>41036</v>
      </c>
      <c r="N10" s="20" t="n">
        <v>18975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84286</v>
      </c>
      <c r="W10" s="20" t="n">
        <v>90617</v>
      </c>
      <c r="X10" s="20" t="n">
        <v>96602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MobilityAndElectricalComponentsBusinessReportableSegmentMember</t>
        </is>
      </c>
      <c r="B13" s="10" t="n"/>
      <c r="C13" s="19" t="n">
        <v>19379</v>
      </c>
      <c r="D13" s="20" t="n">
        <v>17117</v>
      </c>
      <c r="E13" s="20" t="n">
        <v>21696</v>
      </c>
      <c r="F13" s="20" t="n">
        <v>14289</v>
      </c>
      <c r="G13" s="20" t="n">
        <v>17719</v>
      </c>
      <c r="H13" s="20" t="n">
        <v>18446</v>
      </c>
      <c r="I13" s="20" t="n">
        <v>20019</v>
      </c>
      <c r="J13" s="20" t="n">
        <v>15158</v>
      </c>
      <c r="K13" s="20" t="n">
        <v>17406</v>
      </c>
      <c r="L13" s="20" t="n">
        <v>13928</v>
      </c>
      <c r="M13" s="20" t="n">
        <v>21341</v>
      </c>
      <c r="N13" s="20" t="n">
        <v>17190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76755</v>
      </c>
      <c r="W13" s="20" t="n">
        <v>70473</v>
      </c>
      <c r="X13" s="20" t="n">
        <v>67833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FieldServiceEngineeringBusinessReportableSegmentMember</t>
        </is>
      </c>
      <c r="B16" s="10" t="n"/>
      <c r="C16" s="19" t="n">
        <v>7278</v>
      </c>
      <c r="D16" s="20" t="n">
        <v>7877</v>
      </c>
      <c r="E16" s="20" t="n">
        <v>19470</v>
      </c>
      <c r="F16" s="20" t="n">
        <v>6140</v>
      </c>
      <c r="G16" s="20" t="n">
        <v>9524</v>
      </c>
      <c r="H16" s="20" t="n">
        <v>9173</v>
      </c>
      <c r="I16" s="20" t="n">
        <v>22842</v>
      </c>
      <c r="J16" s="20" t="n">
        <v>7927</v>
      </c>
      <c r="K16" s="20" t="n">
        <v>9475</v>
      </c>
      <c r="L16" s="20" t="n">
        <v>10271</v>
      </c>
      <c r="M16" s="20" t="n">
        <v>26828</v>
      </c>
      <c r="N16" s="20" t="n">
        <v>8302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40659</v>
      </c>
      <c r="W16" s="20" t="n">
        <v>47679</v>
      </c>
      <c r="X16" s="20" t="n">
        <v>54501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RealEstateReportableSegmentsMember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3190</v>
      </c>
      <c r="W19" s="20" t="n">
        <v>3197</v>
      </c>
      <c r="X19" s="20" t="n">
        <v>3195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RealEstateReportableSegmentMember</t>
        </is>
      </c>
      <c r="B22" s="10" t="n"/>
      <c r="C22" s="19" t="n"/>
      <c r="D22" s="20" t="n"/>
      <c r="E22" s="20" t="n"/>
      <c r="F22" s="20" t="n">
        <v>798</v>
      </c>
      <c r="G22" s="20" t="n"/>
      <c r="H22" s="20" t="n"/>
      <c r="I22" s="20" t="n"/>
      <c r="J22" s="20" t="n">
        <v>799</v>
      </c>
      <c r="K22" s="20" t="n"/>
      <c r="L22" s="20" t="n"/>
      <c r="M22" s="20" t="n"/>
      <c r="N22" s="20" t="n">
        <v>801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기타</t>
        </is>
      </c>
      <c r="B25" s="10" t="n"/>
      <c r="C25" s="19" t="n">
        <v>1259</v>
      </c>
      <c r="D25" s="20" t="n">
        <v>1423</v>
      </c>
      <c r="E25" s="20" t="n">
        <v>1459</v>
      </c>
      <c r="F25" s="20" t="n">
        <v>851</v>
      </c>
      <c r="G25" s="20" t="n">
        <v>789</v>
      </c>
      <c r="H25" s="20" t="n">
        <v>825</v>
      </c>
      <c r="I25" s="20" t="n">
        <v>1251</v>
      </c>
      <c r="J25" s="20" t="n">
        <v>853</v>
      </c>
      <c r="K25" s="20" t="n">
        <v>855</v>
      </c>
      <c r="L25" s="20" t="n">
        <v>950</v>
      </c>
      <c r="M25" s="20" t="n">
        <v>1108</v>
      </c>
      <c r="N25" s="20" t="n">
        <v>655</v>
      </c>
      <c r="O25" s="19" t="n"/>
      <c r="P25" s="20" t="n"/>
      <c r="Q25" s="20" t="n"/>
      <c r="R25" s="20" t="n"/>
      <c r="S25" s="20" t="n"/>
      <c r="T25" s="20" t="n"/>
      <c r="U25" s="20" t="n"/>
      <c r="V25" s="20" t="n">
        <v>5195</v>
      </c>
      <c r="W25" s="20" t="n">
        <v>3716</v>
      </c>
      <c r="X25" s="20" t="n">
        <v>3766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EntityTotalMember</t>
        </is>
      </c>
      <c r="B28" s="10" t="n"/>
      <c r="C28" s="19" t="n"/>
      <c r="D28" s="20" t="n"/>
      <c r="E28" s="20" t="n"/>
      <c r="F28" s="20" t="n">
        <v>54975</v>
      </c>
      <c r="G28" s="20" t="n"/>
      <c r="H28" s="20" t="n"/>
      <c r="I28" s="20" t="n"/>
      <c r="J28" s="20" t="n">
        <v>58390</v>
      </c>
      <c r="K28" s="20" t="n"/>
      <c r="L28" s="20" t="n"/>
      <c r="M28" s="20" t="n"/>
      <c r="N28" s="20" t="n">
        <v>73412</v>
      </c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매출원가</t>
        </is>
      </c>
      <c r="B31" s="16" t="n"/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18" t="inlineStr">
        <is>
          <t>전체 매출원가</t>
        </is>
      </c>
      <c r="B32" s="10" t="n"/>
      <c r="C32" s="19" t="n">
        <v>50482</v>
      </c>
      <c r="D32" s="20" t="n">
        <v>48721</v>
      </c>
      <c r="E32" s="20" t="n">
        <v>5535</v>
      </c>
      <c r="F32" s="20" t="n">
        <v>41575</v>
      </c>
      <c r="G32" s="20" t="n">
        <v>47859</v>
      </c>
      <c r="H32" s="20" t="n">
        <v>51712</v>
      </c>
      <c r="I32" s="20" t="n">
        <v>78363</v>
      </c>
      <c r="J32" s="20" t="n">
        <v>43139</v>
      </c>
      <c r="K32" s="20" t="n">
        <v>53697</v>
      </c>
      <c r="L32" s="20" t="n">
        <v>52055</v>
      </c>
      <c r="M32" s="20" t="n">
        <v>84756</v>
      </c>
      <c r="N32" s="20" t="n">
        <v>51657</v>
      </c>
      <c r="O32" s="19" t="n">
        <v>114567</v>
      </c>
      <c r="P32" s="20" t="n">
        <v>127327</v>
      </c>
      <c r="Q32" s="20" t="n">
        <v>185027</v>
      </c>
      <c r="R32" s="20" t="n">
        <v>192641</v>
      </c>
      <c r="S32" s="20" t="n">
        <v>121043</v>
      </c>
      <c r="T32" s="20" t="n">
        <v>127730</v>
      </c>
      <c r="U32" s="20" t="n">
        <v>209599</v>
      </c>
      <c r="V32" s="20" t="n">
        <v>148323</v>
      </c>
      <c r="W32" s="20" t="n">
        <v>219509</v>
      </c>
      <c r="X32" s="20" t="n">
        <v>233647</v>
      </c>
      <c r="Y32" s="19" t="n"/>
      <c r="Z32" s="20" t="n"/>
      <c r="AA32" s="20" t="n"/>
      <c r="AB32" s="20" t="n"/>
      <c r="AC32" s="20" t="n"/>
    </row>
    <row r="33">
      <c r="A33" s="18" t="inlineStr">
        <is>
          <t>매출총이익</t>
        </is>
      </c>
      <c r="B33" s="10" t="n"/>
      <c r="C33" s="19">
        <f>IF(OR(C4="",C32=""),"",IFERROR(C4-C32,""))</f>
        <v/>
      </c>
      <c r="D33" s="20">
        <f>IF(OR(D4="",D32=""),"",IFERROR(D4-D32,""))</f>
        <v/>
      </c>
      <c r="E33" s="20">
        <f>IF(OR(E4="",E32=""),"",IFERROR(E4-E32,""))</f>
        <v/>
      </c>
      <c r="F33" s="20">
        <f>IF(OR(F4="",F32=""),"",IFERROR(F4-F32,""))</f>
        <v/>
      </c>
      <c r="G33" s="20">
        <f>IF(OR(G4="",G32=""),"",IFERROR(G4-G32,""))</f>
        <v/>
      </c>
      <c r="H33" s="20">
        <f>IF(OR(H4="",H32=""),"",IFERROR(H4-H32,""))</f>
        <v/>
      </c>
      <c r="I33" s="20">
        <f>IF(OR(I4="",I32=""),"",IFERROR(I4-I32,""))</f>
        <v/>
      </c>
      <c r="J33" s="20">
        <f>IF(OR(J4="",J32=""),"",IFERROR(J4-J32,""))</f>
        <v/>
      </c>
      <c r="K33" s="20">
        <f>IF(OR(K4="",K32=""),"",IFERROR(K4-K32,""))</f>
        <v/>
      </c>
      <c r="L33" s="20">
        <f>IF(OR(L4="",L32=""),"",IFERROR(L4-L32,""))</f>
        <v/>
      </c>
      <c r="M33" s="20">
        <f>IF(OR(M4="",M32=""),"",IFERROR(M4-M32,""))</f>
        <v/>
      </c>
      <c r="N33" s="20">
        <f>IF(OR(N4="",N32=""),"",IFERROR(N4-N32,""))</f>
        <v/>
      </c>
      <c r="O33" s="19">
        <f>IF(OR(O4="",O32=""),"",IFERROR(O4-O32,""))</f>
        <v/>
      </c>
      <c r="P33" s="20">
        <f>IF(OR(P4="",P32=""),"",IFERROR(P4-P32,""))</f>
        <v/>
      </c>
      <c r="Q33" s="20">
        <f>IF(OR(Q4="",Q32=""),"",IFERROR(Q4-Q32,""))</f>
        <v/>
      </c>
      <c r="R33" s="20">
        <f>IF(OR(R4="",R32=""),"",IFERROR(R4-R32,""))</f>
        <v/>
      </c>
      <c r="S33" s="20">
        <f>IF(OR(S4="",S32=""),"",IFERROR(S4-S32,""))</f>
        <v/>
      </c>
      <c r="T33" s="20">
        <f>IF(OR(T4="",T32=""),"",IFERROR(T4-T32,""))</f>
        <v/>
      </c>
      <c r="U33" s="20">
        <f>IF(OR(U4="",U32=""),"",IFERROR(U4-U32,""))</f>
        <v/>
      </c>
      <c r="V33" s="20">
        <f>IF(OR(V4="",V32=""),"",IFERROR(V4-V32,""))</f>
        <v/>
      </c>
      <c r="W33" s="20">
        <f>IF(OR(W4="",W32=""),"",IFERROR(W4-W32,""))</f>
        <v/>
      </c>
      <c r="X33" s="20">
        <f>IF(OR(X4="",X32=""),"",IFERROR(X4-X32,""))</f>
        <v/>
      </c>
      <c r="Y33" s="19" t="n"/>
      <c r="Z33" s="20" t="n"/>
      <c r="AA33" s="20" t="n"/>
      <c r="AB33" s="20" t="n"/>
      <c r="AC33" s="20" t="n"/>
    </row>
    <row r="34">
      <c r="A34" s="13" t="inlineStr">
        <is>
          <t>GPM</t>
        </is>
      </c>
      <c r="B34" s="10" t="n"/>
      <c r="C34" s="14">
        <f>IF(OR(C33="",C4=""),"",IFERROR(C33/C4,""))</f>
        <v/>
      </c>
      <c r="D34" s="15">
        <f>IF(OR(D33="",D4=""),"",IFERROR(D33/D4,""))</f>
        <v/>
      </c>
      <c r="E34" s="15">
        <f>IF(OR(E33="",E4=""),"",IFERROR(E33/E4,""))</f>
        <v/>
      </c>
      <c r="F34" s="15">
        <f>IF(OR(F33="",F4=""),"",IFERROR(F33/F4,""))</f>
        <v/>
      </c>
      <c r="G34" s="15">
        <f>IF(OR(G33="",G4=""),"",IFERROR(G33/G4,""))</f>
        <v/>
      </c>
      <c r="H34" s="15">
        <f>IF(OR(H33="",H4=""),"",IFERROR(H33/H4,""))</f>
        <v/>
      </c>
      <c r="I34" s="15">
        <f>IF(OR(I33="",I4=""),"",IFERROR(I33/I4,""))</f>
        <v/>
      </c>
      <c r="J34" s="15">
        <f>IF(OR(J33="",J4=""),"",IFERROR(J33/J4,""))</f>
        <v/>
      </c>
      <c r="K34" s="15">
        <f>IF(OR(K33="",K4=""),"",IFERROR(K33/K4,""))</f>
        <v/>
      </c>
      <c r="L34" s="15">
        <f>IF(OR(L33="",L4=""),"",IFERROR(L33/L4,""))</f>
        <v/>
      </c>
      <c r="M34" s="15">
        <f>IF(OR(M33="",M4=""),"",IFERROR(M33/M4,""))</f>
        <v/>
      </c>
      <c r="N34" s="15">
        <f>IF(OR(N33="",N4=""),"",IFERROR(N33/N4,""))</f>
        <v/>
      </c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>
        <f>IF(OR(Y33="",Y4=""),"",IFERROR(Y33/Y4,""))</f>
        <v/>
      </c>
      <c r="Z34" s="15">
        <f>IF(OR(Z33="",Z4=""),"",IFERROR(Z33/Z4,""))</f>
        <v/>
      </c>
      <c r="AA34" s="15">
        <f>IF(OR(AA33="",AA4=""),"",IFERROR(AA33/AA4,""))</f>
        <v/>
      </c>
      <c r="AB34" s="15">
        <f>IF(OR(AB33="",AB4=""),"",IFERROR(AB33/AB4,""))</f>
        <v/>
      </c>
      <c r="AC34" s="15">
        <f>IF(OR(AC33="",AC4=""),"",IFERROR(AC33/AC4,""))</f>
        <v/>
      </c>
    </row>
    <row r="35">
      <c r="A35" s="23" t="inlineStr">
        <is>
          <t>판매관리비</t>
        </is>
      </c>
      <c r="B35" s="23" t="n"/>
      <c r="C35" s="24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4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4" t="n"/>
      <c r="Z35" s="23" t="n"/>
      <c r="AA35" s="23" t="n"/>
      <c r="AB35" s="23" t="n"/>
      <c r="AC35" s="23" t="n"/>
    </row>
    <row r="36">
      <c r="A36" s="18" t="inlineStr">
        <is>
          <t>전체 판관비</t>
        </is>
      </c>
      <c r="B36" s="10" t="n"/>
      <c r="C36" s="19" t="n">
        <v>14026</v>
      </c>
      <c r="D36" s="20" t="n">
        <v>13864</v>
      </c>
      <c r="E36" s="20" t="n">
        <v>-5618</v>
      </c>
      <c r="F36" s="20" t="n">
        <v>14296</v>
      </c>
      <c r="G36" s="20" t="n">
        <v>14460</v>
      </c>
      <c r="H36" s="20" t="n">
        <v>15190</v>
      </c>
      <c r="I36" s="20" t="n">
        <v>16134</v>
      </c>
      <c r="J36" s="20" t="n">
        <v>14902</v>
      </c>
      <c r="K36" s="20" t="n">
        <v>16611</v>
      </c>
      <c r="L36" s="20" t="n">
        <v>16369</v>
      </c>
      <c r="M36" s="20" t="n">
        <v>17542</v>
      </c>
      <c r="N36" s="20" t="n">
        <v>17090</v>
      </c>
      <c r="O36" s="19" t="n">
        <v>31771</v>
      </c>
      <c r="P36" s="20" t="n">
        <v>32826</v>
      </c>
      <c r="Q36" s="20" t="n">
        <v>49669</v>
      </c>
      <c r="R36" s="20" t="n">
        <v>50381</v>
      </c>
      <c r="S36" s="20" t="n">
        <v>32123</v>
      </c>
      <c r="T36" s="20" t="n">
        <v>32540</v>
      </c>
      <c r="U36" s="20" t="n">
        <v>54439</v>
      </c>
      <c r="V36" s="20" t="n">
        <v>35592</v>
      </c>
      <c r="W36" s="20" t="n">
        <v>60080</v>
      </c>
      <c r="X36" s="20" t="n">
        <v>65424</v>
      </c>
      <c r="Y36" s="19" t="n"/>
      <c r="Z36" s="20" t="n"/>
      <c r="AA36" s="20" t="n"/>
      <c r="AB36" s="20" t="n"/>
      <c r="AC36" s="20" t="n"/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1008</v>
      </c>
      <c r="D37" s="12" t="n">
        <v>2287</v>
      </c>
      <c r="E37" s="12" t="n">
        <v>492</v>
      </c>
      <c r="F37" s="12" t="n">
        <v>-896</v>
      </c>
      <c r="G37" s="12" t="n">
        <v>2805</v>
      </c>
      <c r="H37" s="12" t="n">
        <v>4081</v>
      </c>
      <c r="I37" s="12" t="n">
        <v>15522</v>
      </c>
      <c r="J37" s="12" t="n">
        <v>348</v>
      </c>
      <c r="K37" s="12" t="n">
        <v>2444</v>
      </c>
      <c r="L37" s="12" t="n">
        <v>4290</v>
      </c>
      <c r="M37" s="12" t="n">
        <v>20040</v>
      </c>
      <c r="N37" s="12" t="n">
        <v>4664</v>
      </c>
      <c r="O37" s="11" t="n">
        <v>2032</v>
      </c>
      <c r="P37" s="12" t="n">
        <v>4333</v>
      </c>
      <c r="Q37" s="12" t="n">
        <v>10336</v>
      </c>
      <c r="R37" s="12" t="n">
        <v>12725</v>
      </c>
      <c r="S37" s="12" t="n">
        <v>2872</v>
      </c>
      <c r="T37" s="12" t="n">
        <v>3097</v>
      </c>
      <c r="U37" s="12" t="n">
        <v>8539</v>
      </c>
      <c r="V37" s="12" t="n">
        <v>413</v>
      </c>
      <c r="W37" s="12" t="n">
        <v>21512</v>
      </c>
      <c r="X37" s="12" t="n">
        <v>27122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IF(O36="","",O36)</f>
        <v/>
      </c>
      <c r="P41" s="12">
        <f>IF(P36="","",P36)</f>
        <v/>
      </c>
      <c r="Q41" s="12">
        <f>IF(Q36="","",Q36)</f>
        <v/>
      </c>
      <c r="R41" s="12">
        <f>IF(R36="","",R36)</f>
        <v/>
      </c>
      <c r="S41" s="12">
        <f>IF(S36="","",S36)</f>
        <v/>
      </c>
      <c r="T41" s="12">
        <f>IF(T36="","",T36)</f>
        <v/>
      </c>
      <c r="U41" s="12">
        <f>IF(U36="","",U36)</f>
        <v/>
      </c>
      <c r="V41" s="12">
        <f>IF(V36="","",V36)</f>
        <v/>
      </c>
      <c r="W41" s="12">
        <f>IF(W36="","",W36)</f>
        <v/>
      </c>
      <c r="X41" s="12">
        <f>IF(X36="","",X36)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>
        <v>2921</v>
      </c>
      <c r="P44" s="20" t="n">
        <v>3012</v>
      </c>
      <c r="Q44" s="20" t="n">
        <v>2893</v>
      </c>
      <c r="R44" s="20" t="n">
        <v>3114</v>
      </c>
      <c r="S44" s="20" t="n">
        <v>3247</v>
      </c>
      <c r="T44" s="20" t="n">
        <v>3239</v>
      </c>
      <c r="U44" s="20" t="n">
        <v>3163</v>
      </c>
      <c r="V44" s="20" t="n">
        <v>3174</v>
      </c>
      <c r="W44" s="20" t="n">
        <v>3084</v>
      </c>
      <c r="X44" s="20" t="n">
        <v>3147</v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>
        <v>0</v>
      </c>
      <c r="D53" s="20" t="n">
        <v>3444</v>
      </c>
      <c r="E53" s="20" t="n">
        <v>543</v>
      </c>
      <c r="F53" s="20" t="n">
        <v>1274</v>
      </c>
      <c r="G53" s="20" t="n">
        <v>0</v>
      </c>
      <c r="H53" s="20" t="n">
        <v>745</v>
      </c>
      <c r="I53" s="20" t="n">
        <v>1081</v>
      </c>
      <c r="J53" s="20" t="n">
        <v>0</v>
      </c>
      <c r="K53" s="20" t="n">
        <v>14</v>
      </c>
      <c r="L53" s="20" t="n">
        <v>5484</v>
      </c>
      <c r="M53" s="20" t="n">
        <v>953</v>
      </c>
      <c r="N53" s="20" t="n">
        <v>1597</v>
      </c>
      <c r="O53" s="19" t="n">
        <v>395</v>
      </c>
      <c r="P53" s="20" t="n">
        <v>487</v>
      </c>
      <c r="Q53" s="20" t="n">
        <v>432</v>
      </c>
      <c r="R53" s="20" t="n">
        <v>366</v>
      </c>
      <c r="S53" s="20" t="n">
        <v>3737</v>
      </c>
      <c r="T53" s="20" t="n">
        <v>2726</v>
      </c>
      <c r="U53" s="20" t="n">
        <v>2081</v>
      </c>
      <c r="V53" s="20" t="n">
        <v>3988</v>
      </c>
      <c r="W53" s="20" t="n">
        <v>3100</v>
      </c>
      <c r="X53" s="20" t="n">
        <v>6451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>
        <v>281</v>
      </c>
      <c r="D55" s="20" t="n">
        <v>747</v>
      </c>
      <c r="E55" s="20" t="n">
        <v>1020</v>
      </c>
      <c r="F55" s="20" t="n">
        <v>67</v>
      </c>
      <c r="G55" s="20" t="n">
        <v>99</v>
      </c>
      <c r="H55" s="20" t="n">
        <v>106</v>
      </c>
      <c r="I55" s="20" t="n">
        <v>184</v>
      </c>
      <c r="J55" s="20" t="n">
        <v>8</v>
      </c>
      <c r="K55" s="20" t="n">
        <v>218</v>
      </c>
      <c r="L55" s="20" t="n">
        <v>-8</v>
      </c>
      <c r="M55" s="20" t="n">
        <v>3303</v>
      </c>
      <c r="N55" s="20" t="n">
        <v>46</v>
      </c>
      <c r="O55" s="19" t="n">
        <v>665</v>
      </c>
      <c r="P55" s="20" t="n">
        <v>274</v>
      </c>
      <c r="Q55" s="20" t="n">
        <v>288</v>
      </c>
      <c r="R55" s="20" t="n">
        <v>407</v>
      </c>
      <c r="S55" s="20" t="n">
        <v>2692</v>
      </c>
      <c r="T55" s="20" t="n">
        <v>2451</v>
      </c>
      <c r="U55" s="20" t="n">
        <v>507</v>
      </c>
      <c r="V55" s="20" t="n">
        <v>2070</v>
      </c>
      <c r="W55" s="20" t="n">
        <v>456</v>
      </c>
      <c r="X55" s="20" t="n">
        <v>3521</v>
      </c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475</v>
      </c>
      <c r="D57" s="20" t="n">
        <v>201</v>
      </c>
      <c r="E57" s="20" t="n">
        <v>6021</v>
      </c>
      <c r="F57" s="20" t="n">
        <v>1502</v>
      </c>
      <c r="G57" s="20" t="n">
        <v>-416</v>
      </c>
      <c r="H57" s="20" t="n">
        <v>1049</v>
      </c>
      <c r="I57" s="20" t="n">
        <v>35</v>
      </c>
      <c r="J57" s="20" t="n">
        <v>768</v>
      </c>
      <c r="K57" s="20" t="n">
        <v>403</v>
      </c>
      <c r="L57" s="20" t="n">
        <v>1356</v>
      </c>
      <c r="M57" s="20" t="n">
        <v>715</v>
      </c>
      <c r="N57" s="20" t="n">
        <v>1163</v>
      </c>
      <c r="O57" s="19" t="n">
        <v>4645</v>
      </c>
      <c r="P57" s="20" t="n">
        <v>4853</v>
      </c>
      <c r="Q57" s="20" t="n">
        <v>1681</v>
      </c>
      <c r="R57" s="20" t="n">
        <v>1485</v>
      </c>
      <c r="S57" s="20" t="n">
        <v>7239</v>
      </c>
      <c r="T57" s="20" t="n">
        <v>7659</v>
      </c>
      <c r="U57" s="20" t="n">
        <v>1768</v>
      </c>
      <c r="V57" s="20" t="n">
        <v>7801</v>
      </c>
      <c r="W57" s="20" t="n">
        <v>2170</v>
      </c>
      <c r="X57" s="20" t="n">
        <v>3242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457</v>
      </c>
      <c r="D59" s="20" t="n">
        <v>440</v>
      </c>
      <c r="E59" s="20" t="n">
        <v>1778</v>
      </c>
      <c r="F59" s="20" t="n">
        <v>391</v>
      </c>
      <c r="G59" s="20" t="n">
        <v>861</v>
      </c>
      <c r="H59" s="20" t="n">
        <v>152</v>
      </c>
      <c r="I59" s="20" t="n">
        <v>1086</v>
      </c>
      <c r="J59" s="20" t="n">
        <v>543</v>
      </c>
      <c r="K59" s="20" t="n">
        <v>246</v>
      </c>
      <c r="L59" s="20" t="n">
        <v>535</v>
      </c>
      <c r="M59" s="20" t="n">
        <v>1151</v>
      </c>
      <c r="N59" s="20" t="n">
        <v>375</v>
      </c>
      <c r="O59" s="19" t="n">
        <v>2981</v>
      </c>
      <c r="P59" s="20" t="n">
        <v>3312</v>
      </c>
      <c r="Q59" s="20" t="n">
        <v>1889</v>
      </c>
      <c r="R59" s="20" t="n">
        <v>2729</v>
      </c>
      <c r="S59" s="20" t="n">
        <v>3007</v>
      </c>
      <c r="T59" s="20" t="n">
        <v>3026</v>
      </c>
      <c r="U59" s="20" t="n">
        <v>1484</v>
      </c>
      <c r="V59" s="20" t="n">
        <v>3053</v>
      </c>
      <c r="W59" s="20" t="n">
        <v>2490</v>
      </c>
      <c r="X59" s="20" t="n">
        <v>2475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744</v>
      </c>
      <c r="D61" s="12" t="n">
        <v>4744</v>
      </c>
      <c r="E61" s="12" t="n">
        <v>4260</v>
      </c>
      <c r="F61" s="12" t="n">
        <v>1420</v>
      </c>
      <c r="G61" s="12" t="n">
        <v>1430</v>
      </c>
      <c r="H61" s="12" t="n">
        <v>5619</v>
      </c>
      <c r="I61" s="12" t="n">
        <v>15367</v>
      </c>
      <c r="J61" s="12" t="n">
        <v>565</v>
      </c>
      <c r="K61" s="12" t="n">
        <v>2397</v>
      </c>
      <c r="L61" s="12" t="n">
        <v>10604</v>
      </c>
      <c r="M61" s="12" t="n">
        <v>17254</v>
      </c>
      <c r="N61" s="12" t="n">
        <v>7002</v>
      </c>
      <c r="O61" s="11" t="n">
        <v>3426</v>
      </c>
      <c r="P61" s="12" t="n">
        <v>6088</v>
      </c>
      <c r="Q61" s="12" t="n">
        <v>10272</v>
      </c>
      <c r="R61" s="12" t="n">
        <v>11441</v>
      </c>
      <c r="S61" s="12" t="n">
        <v>8150</v>
      </c>
      <c r="T61" s="12" t="n">
        <v>8005</v>
      </c>
      <c r="U61" s="12" t="n">
        <v>10397</v>
      </c>
      <c r="V61" s="12" t="n">
        <v>7079</v>
      </c>
      <c r="W61" s="12" t="n">
        <v>23836</v>
      </c>
      <c r="X61" s="12" t="n">
        <v>30820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8" t="inlineStr">
        <is>
          <t>법인세비용(수익)</t>
        </is>
      </c>
      <c r="B62" s="10" t="n"/>
      <c r="C62" s="19" t="n">
        <v>257</v>
      </c>
      <c r="D62" s="20" t="n">
        <v>1450</v>
      </c>
      <c r="E62" s="20" t="n">
        <v>-787</v>
      </c>
      <c r="F62" s="20" t="n">
        <v>374</v>
      </c>
      <c r="G62" s="20" t="n">
        <v>361</v>
      </c>
      <c r="H62" s="20" t="n">
        <v>1550</v>
      </c>
      <c r="I62" s="20" t="n">
        <v>2676</v>
      </c>
      <c r="J62" s="20" t="n">
        <v>90</v>
      </c>
      <c r="K62" s="20" t="n">
        <v>763</v>
      </c>
      <c r="L62" s="20" t="n">
        <v>2892</v>
      </c>
      <c r="M62" s="20" t="n">
        <v>3069</v>
      </c>
      <c r="N62" s="20" t="n">
        <v>1904</v>
      </c>
      <c r="O62" s="19" t="n">
        <v>1</v>
      </c>
      <c r="P62" s="20" t="n">
        <v>674</v>
      </c>
      <c r="Q62" s="20" t="n">
        <v>2824</v>
      </c>
      <c r="R62" s="20" t="n">
        <v>3062</v>
      </c>
      <c r="S62" s="20" t="n">
        <v>1009</v>
      </c>
      <c r="T62" s="20" t="n">
        <v>425</v>
      </c>
      <c r="U62" s="20" t="n">
        <v>3136</v>
      </c>
      <c r="V62" s="20" t="n">
        <v>375</v>
      </c>
      <c r="W62" s="20" t="n">
        <v>4961</v>
      </c>
      <c r="X62" s="20" t="n">
        <v>6814</v>
      </c>
      <c r="Y62" s="19">
        <f>IF(OR(Y61="",Y63=""),"",IFERROR(MAX(Y61,0)*Y63,""))</f>
        <v/>
      </c>
      <c r="Z62" s="20">
        <f>IF(OR(Z61="",Z63=""),"",IFERROR(MAX(Z61,0)*Z63,""))</f>
        <v/>
      </c>
      <c r="AA62" s="20">
        <f>IF(OR(AA61="",AA63=""),"",IFERROR(MAX(AA61,0)*AA63,""))</f>
        <v/>
      </c>
      <c r="AB62" s="20">
        <f>IF(OR(AB61="",AB63=""),"",IFERROR(MAX(AB61,0)*AB63,""))</f>
        <v/>
      </c>
      <c r="AC62" s="20">
        <f>IF(OR(AC61="",AC63=""),"",IFERROR(MAX(AC61,0)*AC63,""))</f>
        <v/>
      </c>
    </row>
    <row r="63">
      <c r="A63" s="13" t="inlineStr">
        <is>
          <t>법인세율</t>
        </is>
      </c>
      <c r="B63" s="10" t="inlineStr">
        <is>
          <t>MW 기본 30%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0.3</v>
      </c>
      <c r="Z63" s="26" t="n">
        <v>0.3</v>
      </c>
      <c r="AA63" s="26" t="n">
        <v>0.3</v>
      </c>
      <c r="AB63" s="26" t="n">
        <v>0.3</v>
      </c>
      <c r="AC63" s="26" t="n">
        <v>0.3</v>
      </c>
    </row>
    <row r="64">
      <c r="A64" s="9" t="inlineStr">
        <is>
          <t>당기순이익(손실)</t>
        </is>
      </c>
      <c r="B64" s="10" t="n"/>
      <c r="C64" s="11" t="n">
        <v>486</v>
      </c>
      <c r="D64" s="12" t="n">
        <v>3293</v>
      </c>
      <c r="E64" s="12" t="n">
        <v>5048</v>
      </c>
      <c r="F64" s="12" t="n">
        <v>1045</v>
      </c>
      <c r="G64" s="12" t="n">
        <v>1070</v>
      </c>
      <c r="H64" s="12" t="n">
        <v>4069</v>
      </c>
      <c r="I64" s="12" t="n">
        <v>12690</v>
      </c>
      <c r="J64" s="12" t="n">
        <v>474</v>
      </c>
      <c r="K64" s="12" t="n">
        <v>1635</v>
      </c>
      <c r="L64" s="12" t="n">
        <v>7711</v>
      </c>
      <c r="M64" s="12" t="n">
        <v>14185</v>
      </c>
      <c r="N64" s="12" t="n">
        <v>5098</v>
      </c>
      <c r="O64" s="11" t="n">
        <v>3425</v>
      </c>
      <c r="P64" s="12" t="n">
        <v>5413</v>
      </c>
      <c r="Q64" s="12" t="n">
        <v>7448</v>
      </c>
      <c r="R64" s="12" t="n">
        <v>8378</v>
      </c>
      <c r="S64" s="12" t="n">
        <v>7140</v>
      </c>
      <c r="T64" s="12" t="n">
        <v>7580</v>
      </c>
      <c r="U64" s="12" t="n">
        <v>7260</v>
      </c>
      <c r="V64" s="12" t="n">
        <v>6704</v>
      </c>
      <c r="W64" s="12" t="n">
        <v>18874</v>
      </c>
      <c r="X64" s="12" t="n">
        <v>24005</v>
      </c>
      <c r="Y64" s="11">
        <f>IF(OR(Y61=""),"",IFERROR(Y61-Y62,""))</f>
        <v/>
      </c>
      <c r="Z64" s="12">
        <f>IF(OR(Z61=""),"",IFERROR(Z61-Z62,""))</f>
        <v/>
      </c>
      <c r="AA64" s="12">
        <f>IF(OR(AA61=""),"",IFERROR(AA61-AA62,""))</f>
        <v/>
      </c>
      <c r="AB64" s="12">
        <f>IF(OR(AB61=""),"",IFERROR(AB61-AB62,""))</f>
        <v/>
      </c>
      <c r="AC64" s="12">
        <f>IF(OR(AC61=""),"",IFERROR(AC61-AC62,""))</f>
        <v/>
      </c>
    </row>
    <row r="65">
      <c r="A65" s="9" t="inlineStr">
        <is>
          <t>지배주주 순이익</t>
        </is>
      </c>
      <c r="B65" s="10" t="n"/>
      <c r="C65" s="11" t="n">
        <v>486</v>
      </c>
      <c r="D65" s="12" t="n">
        <v>3257</v>
      </c>
      <c r="E65" s="12" t="n">
        <v>9564</v>
      </c>
      <c r="F65" s="12" t="n">
        <v>1017</v>
      </c>
      <c r="G65" s="12" t="n">
        <v>1077</v>
      </c>
      <c r="H65" s="12" t="n">
        <v>3837</v>
      </c>
      <c r="I65" s="12" t="n">
        <v>12556</v>
      </c>
      <c r="J65" s="12" t="n">
        <v>465</v>
      </c>
      <c r="K65" s="12" t="n">
        <v>1561</v>
      </c>
      <c r="L65" s="12" t="n">
        <v>7611</v>
      </c>
      <c r="M65" s="12" t="n">
        <v>13988</v>
      </c>
      <c r="N65" s="12" t="n">
        <v>5059</v>
      </c>
      <c r="O65" s="11" t="n">
        <v>5743</v>
      </c>
      <c r="P65" s="12" t="n">
        <v>7056</v>
      </c>
      <c r="Q65" s="12" t="n">
        <v>7653</v>
      </c>
      <c r="R65" s="12" t="n">
        <v>8208</v>
      </c>
      <c r="S65" s="12" t="n">
        <v>7303</v>
      </c>
      <c r="T65" s="12" t="n">
        <v>6733</v>
      </c>
      <c r="U65" s="12" t="n">
        <v>7128</v>
      </c>
      <c r="V65" s="12" t="n">
        <v>11205</v>
      </c>
      <c r="W65" s="12" t="n">
        <v>18487</v>
      </c>
      <c r="X65" s="12" t="n">
        <v>23625</v>
      </c>
      <c r="Y65" s="11">
        <f>IF(OR(Y64="",Y66=""),"",IFERROR(Y64*Y66,""))</f>
        <v/>
      </c>
      <c r="Z65" s="12">
        <f>IF(OR(Z64="",Z66=""),"",IFERROR(Z64*Z66,""))</f>
        <v/>
      </c>
      <c r="AA65" s="12">
        <f>IF(OR(AA64="",AA66=""),"",IFERROR(AA64*AA66,""))</f>
        <v/>
      </c>
      <c r="AB65" s="12">
        <f>IF(OR(AB64="",AB66=""),"",IFERROR(AB64*AB66,""))</f>
        <v/>
      </c>
      <c r="AC65" s="12">
        <f>IF(OR(AC64="",AC66=""),"",IFERROR(AC64*AC66,""))</f>
        <v/>
      </c>
    </row>
    <row r="66">
      <c r="A66" s="13" t="inlineStr">
        <is>
          <t>지배주주 순이익률</t>
        </is>
      </c>
      <c r="B66" s="10" t="inlineStr">
        <is>
          <t>MW 기본 100%</t>
        </is>
      </c>
      <c r="C66" s="14">
        <f>IF(OR(C65="",C64=""),"",IFERROR(C65/C64,""))</f>
        <v/>
      </c>
      <c r="D66" s="15">
        <f>IF(OR(D65="",D64=""),"",IFERROR(D65/D64,""))</f>
        <v/>
      </c>
      <c r="E66" s="15">
        <f>IF(OR(E65="",E64=""),"",IFERROR(E65/E64,""))</f>
        <v/>
      </c>
      <c r="F66" s="15">
        <f>IF(OR(F65="",F64=""),"",IFERROR(F65/F64,""))</f>
        <v/>
      </c>
      <c r="G66" s="15">
        <f>IF(OR(G65="",G64=""),"",IFERROR(G65/G64,""))</f>
        <v/>
      </c>
      <c r="H66" s="15">
        <f>IF(OR(H65="",H64=""),"",IFERROR(H65/H64,""))</f>
        <v/>
      </c>
      <c r="I66" s="15">
        <f>IF(OR(I65="",I64=""),"",IFERROR(I65/I64,""))</f>
        <v/>
      </c>
      <c r="J66" s="15">
        <f>IF(OR(J65="",J64=""),"",IFERROR(J65/J64,""))</f>
        <v/>
      </c>
      <c r="K66" s="15">
        <f>IF(OR(K65="",K64=""),"",IFERROR(K65/K64,""))</f>
        <v/>
      </c>
      <c r="L66" s="15">
        <f>IF(OR(L65="",L64=""),"",IFERROR(L65/L64,""))</f>
        <v/>
      </c>
      <c r="M66" s="15">
        <f>IF(OR(M65="",M64=""),"",IFERROR(M65/M64,""))</f>
        <v/>
      </c>
      <c r="N66" s="15">
        <f>IF(OR(N65="",N64=""),"",IFERROR(N65/N64,""))</f>
        <v/>
      </c>
      <c r="O66" s="14">
        <f>IF(OR(O65="",O64=""),"",IFERROR(O65/O64,""))</f>
        <v/>
      </c>
      <c r="P66" s="15">
        <f>IF(OR(P65="",P64=""),"",IFERROR(P65/P64,""))</f>
        <v/>
      </c>
      <c r="Q66" s="15">
        <f>IF(OR(Q65="",Q64=""),"",IFERROR(Q65/Q64,""))</f>
        <v/>
      </c>
      <c r="R66" s="15">
        <f>IF(OR(R65="",R64=""),"",IFERROR(R65/R64,""))</f>
        <v/>
      </c>
      <c r="S66" s="15">
        <f>IF(OR(S65="",S64=""),"",IFERROR(S65/S64,""))</f>
        <v/>
      </c>
      <c r="T66" s="15">
        <f>IF(OR(T65="",T64=""),"",IFERROR(T65/T64,""))</f>
        <v/>
      </c>
      <c r="U66" s="15">
        <f>IF(OR(U65="",U64=""),"",IFERROR(U65/U64,""))</f>
        <v/>
      </c>
      <c r="V66" s="15">
        <f>IF(OR(V65="",V64=""),"",IFERROR(V65/V64,""))</f>
        <v/>
      </c>
      <c r="W66" s="15">
        <f>IF(OR(W65="",W64=""),"",IFERROR(W65/W64,""))</f>
        <v/>
      </c>
      <c r="X66" s="15">
        <f>IF(OR(X65="",X64=""),"",IFERROR(X65/X64,""))</f>
        <v/>
      </c>
      <c r="Y66" s="25" t="n">
        <v>1</v>
      </c>
      <c r="Z66" s="26" t="n">
        <v>1</v>
      </c>
      <c r="AA66" s="26" t="n">
        <v>1</v>
      </c>
      <c r="AB66" s="26" t="n">
        <v>1</v>
      </c>
      <c r="AC66" s="26" t="n">
        <v>1</v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()</t>
        </is>
      </c>
      <c r="B68" s="27" t="n"/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/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IF(O38="","",O38)</f>
        <v/>
      </c>
      <c r="P71" s="15">
        <f>IF(P38="","",P38)</f>
        <v/>
      </c>
      <c r="Q71" s="15">
        <f>IF(Q38="","",Q38)</f>
        <v/>
      </c>
      <c r="R71" s="15">
        <f>IF(R38="","",R38)</f>
        <v/>
      </c>
      <c r="S71" s="15">
        <f>IF(S38="","",S38)</f>
        <v/>
      </c>
      <c r="T71" s="15">
        <f>IF(T38="","",T38)</f>
        <v/>
      </c>
      <c r="U71" s="15">
        <f>IF(U38="","",U38)</f>
        <v/>
      </c>
      <c r="V71" s="15">
        <f>IF(V38="","",V38)</f>
        <v/>
      </c>
      <c r="W71" s="15">
        <f>IF(W38="","",W38)</f>
        <v/>
      </c>
      <c r="X71" s="15">
        <f>IF(X38="","",X38)</f>
        <v/>
      </c>
      <c r="Y71" s="14">
        <f>IF(Y38="","",Y38)</f>
        <v/>
      </c>
      <c r="Z71" s="15">
        <f>IF(Z38="","",Z38)</f>
        <v/>
      </c>
      <c r="AA71" s="15">
        <f>IF(AA38="","",AA38)</f>
        <v/>
      </c>
      <c r="AB71" s="15">
        <f>IF(AB38="","",AB38)</f>
        <v/>
      </c>
      <c r="AC71" s="15">
        <f>IF(AC38="","",AC38)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IF(OR(P65="",O65=""),"",IFERROR(P65/O65-1,""))</f>
        <v/>
      </c>
      <c r="Q72" s="15">
        <f>IF(OR(Q65="",P65=""),"",IFERROR(Q65/P65-1,""))</f>
        <v/>
      </c>
      <c r="R72" s="15">
        <f>IF(OR(R65="",Q65=""),"",IFERROR(R65/Q65-1,""))</f>
        <v/>
      </c>
      <c r="S72" s="15">
        <f>IF(OR(S65="",R65=""),"",IFERROR(S65/R65-1,""))</f>
        <v/>
      </c>
      <c r="T72" s="15">
        <f>IF(OR(T65="",S65=""),"",IFERROR(T65/S65-1,""))</f>
        <v/>
      </c>
      <c r="U72" s="15">
        <f>IF(OR(U65="",T65=""),"",IFERROR(U65/T65-1,""))</f>
        <v/>
      </c>
      <c r="V72" s="15">
        <f>IF(OR(V65="",U65=""),"",IFERROR(V65/U65-1,""))</f>
        <v/>
      </c>
      <c r="W72" s="15">
        <f>IF(OR(W65="",V65=""),"",IFERROR(W65/V65-1,""))</f>
        <v/>
      </c>
      <c r="X72" s="15">
        <f>IF(OR(X65="",W65=""),"",IFERROR(X65/W65-1,""))</f>
        <v/>
      </c>
      <c r="Y72" s="14">
        <f>IF(OR(Y65="",X65=""),"",IFERROR(Y65/X65-1,""))</f>
        <v/>
      </c>
      <c r="Z72" s="15">
        <f>IF(OR(Z65="",Y65=""),"",IFERROR(Z65/Y65-1,""))</f>
        <v/>
      </c>
      <c r="AA72" s="15">
        <f>IF(OR(AA65="",Z65=""),"",IFERROR(AA65/Z65-1,""))</f>
        <v/>
      </c>
      <c r="AB72" s="15">
        <f>IF(OR(AB65="",AA65=""),"",IFERROR(AB65/AA65-1,""))</f>
        <v/>
      </c>
      <c r="AC72" s="15">
        <f>IF(OR(AC65="",AB65=""),"",IFERROR(AC65/AB65-1,""))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IF(OR($B$70="",X65=""),"",IFERROR($B$70/X65,""))</f>
        <v/>
      </c>
      <c r="Y73" s="30">
        <f>IF(OR($B$70="",Y65=""),"",IFERROR($B$70/Y65,""))</f>
        <v/>
      </c>
      <c r="Z73" s="31">
        <f>IF(OR($B$70="",Z65=""),"",IFERROR($B$70/Z65,""))</f>
        <v/>
      </c>
      <c r="AA73" s="31">
        <f>IF(OR($B$70="",AA65=""),"",IFERROR($B$70/AA65,""))</f>
        <v/>
      </c>
      <c r="AB73" s="31">
        <f>IF(OR($B$70="",AB65=""),"",IFERROR($B$70/AB65,""))</f>
        <v/>
      </c>
      <c r="AC73" s="31">
        <f>IF(OR($B$70="",AC65=""),"",IFERROR($B$70/AC65,""))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IF(OR(O65="",$B$69=""),"",IFERROR(O65*1000000.0/$B$69,""))</f>
        <v/>
      </c>
      <c r="P75" s="29">
        <f>IF(OR(P65="",$B$69=""),"",IFERROR(P65*1000000.0/$B$69,""))</f>
        <v/>
      </c>
      <c r="Q75" s="29">
        <f>IF(OR(Q65="",$B$69=""),"",IFERROR(Q65*1000000.0/$B$69,""))</f>
        <v/>
      </c>
      <c r="R75" s="29">
        <f>IF(OR(R65="",$B$69=""),"",IFERROR(R65*1000000.0/$B$69,""))</f>
        <v/>
      </c>
      <c r="S75" s="29">
        <f>IF(OR(S65="",$B$69=""),"",IFERROR(S65*1000000.0/$B$69,""))</f>
        <v/>
      </c>
      <c r="T75" s="29">
        <f>IF(OR(T65="",$B$69=""),"",IFERROR(T65*1000000.0/$B$69,""))</f>
        <v/>
      </c>
      <c r="U75" s="29">
        <f>IF(OR(U65="",$B$69=""),"",IFERROR(U65*1000000.0/$B$69,""))</f>
        <v/>
      </c>
      <c r="V75" s="29">
        <f>IF(OR(V65="",$B$69=""),"",IFERROR(V65*1000000.0/$B$69,""))</f>
        <v/>
      </c>
      <c r="W75" s="29">
        <f>IF(OR(W65="",$B$69=""),"",IFERROR(W65*1000000.0/$B$69,""))</f>
        <v/>
      </c>
      <c r="X75" s="29">
        <f>IF(OR(X65="",$B$69=""),"",IFERROR(X65*1000000.0/$B$69,""))</f>
        <v/>
      </c>
      <c r="Y75" s="28">
        <f>IF(OR(Y65="",$B$69=""),"",IFERROR(Y65*1000000.0/$B$69,""))</f>
        <v/>
      </c>
      <c r="Z75" s="29">
        <f>IF(OR(Z65="",$B$69=""),"",IFERROR(Z65*1000000.0/$B$69,""))</f>
        <v/>
      </c>
      <c r="AA75" s="29">
        <f>IF(OR(AA65="",$B$69=""),"",IFERROR(AA65*1000000.0/$B$69,""))</f>
        <v/>
      </c>
      <c r="AB75" s="29">
        <f>IF(OR(AB65="",$B$69=""),"",IFERROR(AB65*1000000.0/$B$69,""))</f>
        <v/>
      </c>
      <c r="AC75" s="29">
        <f>IF(OR(AC65="",$B$69=""),"",IFERROR(AC65*1000000.0/$B$69,""))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IF(OR(Y65="",Y74=""),"",IFERROR(Y65*Y74,""))</f>
        <v/>
      </c>
      <c r="Z87" s="20">
        <f>IF(OR(Z65="",Z74=""),"",IFERROR(Z65*Z74,""))</f>
        <v/>
      </c>
      <c r="AA87" s="20">
        <f>IF(OR(AA65="",AA74=""),"",IFERROR(AA65*AA74,""))</f>
        <v/>
      </c>
      <c r="AB87" s="20">
        <f>IF(OR(AB65="",AB74=""),"",IFERROR(AB65*AB74,""))</f>
        <v/>
      </c>
      <c r="AC87" s="20">
        <f>IF(OR(AC65="",AC74=""),"",IFERROR(AC65*AC74,""))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2024.2Q</t>
        </is>
      </c>
      <c r="D98" s="5" t="inlineStr">
        <is>
          <t>2024.3Q</t>
        </is>
      </c>
      <c r="E98" s="5" t="inlineStr">
        <is>
          <t>2024.4Q</t>
        </is>
      </c>
      <c r="F98" s="5" t="inlineStr">
        <is>
          <t>2025.1Q</t>
        </is>
      </c>
      <c r="G98" s="5" t="inlineStr">
        <is>
          <t>2025.2Q</t>
        </is>
      </c>
      <c r="H98" s="5" t="inlineStr">
        <is>
          <t>2025.3Q</t>
        </is>
      </c>
      <c r="I98" s="5" t="inlineStr">
        <is>
          <t>2025.4Q</t>
        </is>
      </c>
      <c r="J98" s="5" t="inlineStr">
        <is>
          <t>2026.1Q</t>
        </is>
      </c>
      <c r="K98" s="5" t="inlineStr">
        <is>
          <t>2026.2Q</t>
        </is>
      </c>
      <c r="L98" s="5" t="inlineStr">
        <is>
          <t>2026.3Q</t>
        </is>
      </c>
      <c r="M98" s="5" t="inlineStr">
        <is>
          <t>2026.4Q</t>
        </is>
      </c>
      <c r="N98" s="5" t="inlineStr">
        <is>
          <t>2027.1Q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65515</v>
      </c>
      <c r="D99" s="12" t="n">
        <v>64871</v>
      </c>
      <c r="E99" s="12" t="n">
        <v>411</v>
      </c>
      <c r="F99" s="12" t="n">
        <v>54975</v>
      </c>
      <c r="G99" s="12" t="n">
        <v>65124</v>
      </c>
      <c r="H99" s="12" t="n">
        <v>70984</v>
      </c>
      <c r="I99" s="12" t="n">
        <v>110018</v>
      </c>
      <c r="J99" s="12" t="n">
        <v>58390</v>
      </c>
      <c r="K99" s="12" t="n">
        <v>72752</v>
      </c>
      <c r="L99" s="12" t="n">
        <v>72713</v>
      </c>
      <c r="M99" s="12" t="n">
        <v>122339</v>
      </c>
      <c r="N99" s="12" t="n">
        <v>73412</v>
      </c>
      <c r="T99" s="12" t="n">
        <v>4928</v>
      </c>
      <c r="U99" s="12" t="n">
        <v>102569</v>
      </c>
      <c r="V99" s="12" t="n">
        <v>411</v>
      </c>
      <c r="W99" s="12" t="n">
        <v>110018</v>
      </c>
      <c r="X99" s="12" t="n">
        <v>122339</v>
      </c>
    </row>
    <row r="100">
      <c r="A100" s="18" t="inlineStr">
        <is>
          <t>매출원가</t>
        </is>
      </c>
      <c r="C100" s="20" t="n">
        <v>50482</v>
      </c>
      <c r="D100" s="20" t="n">
        <v>48721</v>
      </c>
      <c r="E100" s="20" t="n">
        <v>5535</v>
      </c>
      <c r="F100" s="20" t="n">
        <v>41575</v>
      </c>
      <c r="G100" s="20" t="n">
        <v>47859</v>
      </c>
      <c r="H100" s="20" t="n">
        <v>51712</v>
      </c>
      <c r="I100" s="20" t="n">
        <v>78363</v>
      </c>
      <c r="J100" s="20" t="n">
        <v>43139</v>
      </c>
      <c r="K100" s="20" t="n">
        <v>53697</v>
      </c>
      <c r="L100" s="20" t="n">
        <v>52055</v>
      </c>
      <c r="M100" s="20" t="n">
        <v>84756</v>
      </c>
      <c r="N100" s="20" t="n">
        <v>51657</v>
      </c>
      <c r="T100" s="20" t="n">
        <v>5947</v>
      </c>
      <c r="U100" s="20" t="n">
        <v>75442</v>
      </c>
      <c r="V100" s="20" t="n">
        <v>5535</v>
      </c>
      <c r="W100" s="20" t="n">
        <v>78363</v>
      </c>
      <c r="X100" s="20" t="n">
        <v>84756</v>
      </c>
    </row>
    <row r="101">
      <c r="A101" s="9" t="inlineStr">
        <is>
          <t>매출총이익</t>
        </is>
      </c>
      <c r="C101" s="12" t="n">
        <v>15034</v>
      </c>
      <c r="D101" s="12" t="n">
        <v>16150</v>
      </c>
      <c r="E101" s="12" t="n">
        <v>-5125</v>
      </c>
      <c r="F101" s="12" t="n">
        <v>13400</v>
      </c>
      <c r="G101" s="12" t="n">
        <v>17265</v>
      </c>
      <c r="H101" s="12" t="n">
        <v>19272</v>
      </c>
      <c r="I101" s="12" t="n">
        <v>31655</v>
      </c>
      <c r="J101" s="12" t="n">
        <v>15251</v>
      </c>
      <c r="K101" s="12" t="n">
        <v>19054</v>
      </c>
      <c r="L101" s="12" t="n">
        <v>20659</v>
      </c>
      <c r="M101" s="12" t="n">
        <v>37582</v>
      </c>
      <c r="N101" s="12" t="n">
        <v>21755</v>
      </c>
      <c r="T101" s="12" t="n">
        <v>-1020</v>
      </c>
      <c r="U101" s="12" t="n">
        <v>27128</v>
      </c>
      <c r="V101" s="12" t="n">
        <v>-5125</v>
      </c>
      <c r="W101" s="12" t="n">
        <v>31655</v>
      </c>
      <c r="X101" s="12" t="n">
        <v>37582</v>
      </c>
    </row>
    <row r="102">
      <c r="A102" s="18" t="inlineStr">
        <is>
          <t>판매비와 관리비</t>
        </is>
      </c>
      <c r="C102" s="20" t="n">
        <v>14026</v>
      </c>
      <c r="D102" s="20" t="n">
        <v>13864</v>
      </c>
      <c r="E102" s="20" t="n">
        <v>-5618</v>
      </c>
      <c r="F102" s="20" t="n">
        <v>14296</v>
      </c>
      <c r="G102" s="20" t="n">
        <v>14460</v>
      </c>
      <c r="H102" s="20" t="n">
        <v>15190</v>
      </c>
      <c r="I102" s="20" t="n">
        <v>16134</v>
      </c>
      <c r="J102" s="20" t="n">
        <v>14902</v>
      </c>
      <c r="K102" s="20" t="n">
        <v>16611</v>
      </c>
      <c r="L102" s="20" t="n">
        <v>16369</v>
      </c>
      <c r="M102" s="20" t="n">
        <v>17542</v>
      </c>
      <c r="N102" s="20" t="n">
        <v>17090</v>
      </c>
      <c r="T102" s="20" t="n">
        <v>-5239</v>
      </c>
      <c r="U102" s="20" t="n">
        <v>13895</v>
      </c>
      <c r="V102" s="20" t="n">
        <v>-5618</v>
      </c>
      <c r="W102" s="20" t="n">
        <v>16134</v>
      </c>
      <c r="X102" s="20" t="n">
        <v>17542</v>
      </c>
    </row>
    <row r="103">
      <c r="A103" s="9" t="inlineStr">
        <is>
          <t>영업이익</t>
        </is>
      </c>
      <c r="C103" s="12" t="n">
        <v>1008</v>
      </c>
      <c r="D103" s="12" t="n">
        <v>2287</v>
      </c>
      <c r="E103" s="12" t="n">
        <v>492</v>
      </c>
      <c r="F103" s="12" t="n">
        <v>-896</v>
      </c>
      <c r="G103" s="12" t="n">
        <v>2805</v>
      </c>
      <c r="H103" s="12" t="n">
        <v>4081</v>
      </c>
      <c r="I103" s="12" t="n">
        <v>15522</v>
      </c>
      <c r="J103" s="12" t="n">
        <v>348</v>
      </c>
      <c r="K103" s="12" t="n">
        <v>2444</v>
      </c>
      <c r="L103" s="12" t="n">
        <v>4290</v>
      </c>
      <c r="M103" s="12" t="n">
        <v>20040</v>
      </c>
      <c r="N103" s="12" t="n">
        <v>4664</v>
      </c>
      <c r="T103" s="12" t="n">
        <v>4218</v>
      </c>
      <c r="U103" s="12" t="n">
        <v>13231</v>
      </c>
      <c r="V103" s="12" t="n">
        <v>492</v>
      </c>
      <c r="W103" s="12" t="n">
        <v>15522</v>
      </c>
      <c r="X103" s="12" t="n">
        <v>20040</v>
      </c>
    </row>
    <row r="104">
      <c r="A104" s="18" t="inlineStr">
        <is>
          <t>이자수익</t>
        </is>
      </c>
      <c r="C104" s="20" t="n">
        <v>25</v>
      </c>
      <c r="D104" s="20" t="n">
        <v>46</v>
      </c>
      <c r="E104" s="20" t="n">
        <v>-7</v>
      </c>
      <c r="F104" s="20" t="n">
        <v>64</v>
      </c>
      <c r="G104" s="20" t="n">
        <v>71</v>
      </c>
      <c r="H104" s="20" t="n">
        <v>97</v>
      </c>
      <c r="I104" s="20" t="n">
        <v>-144</v>
      </c>
      <c r="J104" s="20" t="n">
        <v>75</v>
      </c>
      <c r="K104" s="20" t="n">
        <v>79</v>
      </c>
      <c r="L104" s="20" t="n">
        <v>58</v>
      </c>
      <c r="M104" s="20" t="n">
        <v>-81</v>
      </c>
      <c r="N104" s="20" t="n">
        <v>63</v>
      </c>
      <c r="T104" s="20" t="n">
        <v>20</v>
      </c>
      <c r="U104" s="20" t="n">
        <v>33</v>
      </c>
      <c r="V104" s="20" t="n">
        <v>-7</v>
      </c>
      <c r="W104" s="20" t="n">
        <v>-144</v>
      </c>
      <c r="X104" s="20" t="n">
        <v>-81</v>
      </c>
    </row>
    <row r="105">
      <c r="A105" s="18" t="inlineStr">
        <is>
          <t>배당금수익</t>
        </is>
      </c>
      <c r="C105" s="20" t="n">
        <v>2</v>
      </c>
      <c r="D105" s="20" t="n">
        <v>266</v>
      </c>
      <c r="E105" s="20" t="n">
        <v>4706</v>
      </c>
      <c r="F105" s="20" t="n">
        <v>485</v>
      </c>
      <c r="G105" s="20" t="n">
        <v>3</v>
      </c>
      <c r="H105" s="20" t="n">
        <v>302</v>
      </c>
      <c r="I105" s="20" t="n">
        <v>5473</v>
      </c>
      <c r="J105" s="20" t="n">
        <v>497</v>
      </c>
      <c r="K105" s="20" t="n">
        <v>47</v>
      </c>
      <c r="L105" s="20" t="n">
        <v>361</v>
      </c>
      <c r="M105" s="20" t="n">
        <v>13133</v>
      </c>
      <c r="N105" s="20" t="n">
        <v>605</v>
      </c>
      <c r="T105" s="20" t="n">
        <v>4799</v>
      </c>
      <c r="U105" s="20" t="n">
        <v>4295</v>
      </c>
      <c r="V105" s="20" t="n">
        <v>4706</v>
      </c>
      <c r="W105" s="20" t="n">
        <v>5473</v>
      </c>
      <c r="X105" s="20" t="n">
        <v>13133</v>
      </c>
    </row>
    <row r="106">
      <c r="A106" s="18" t="inlineStr">
        <is>
          <t>임대료 수익</t>
        </is>
      </c>
      <c r="C106" s="20" t="n">
        <v>24</v>
      </c>
      <c r="D106" s="20" t="n">
        <v>24</v>
      </c>
      <c r="E106" s="20" t="n">
        <v>22</v>
      </c>
      <c r="F106" s="20" t="n">
        <v>21</v>
      </c>
      <c r="G106" s="20" t="n">
        <v>21</v>
      </c>
      <c r="H106" s="20" t="n">
        <v>24</v>
      </c>
      <c r="I106" s="20" t="n">
        <v>22</v>
      </c>
      <c r="J106" s="20" t="n">
        <v>21</v>
      </c>
      <c r="K106" s="20" t="n">
        <v>21</v>
      </c>
      <c r="L106" s="20" t="n">
        <v>20</v>
      </c>
      <c r="M106" s="20" t="n">
        <v>20</v>
      </c>
      <c r="N106" s="20" t="n">
        <v>21</v>
      </c>
      <c r="T106" s="20" t="n">
        <v>24</v>
      </c>
      <c r="U106" s="20" t="n">
        <v>24</v>
      </c>
      <c r="V106" s="20" t="n">
        <v>22</v>
      </c>
      <c r="W106" s="20" t="n">
        <v>22</v>
      </c>
      <c r="X106" s="20" t="n">
        <v>20</v>
      </c>
    </row>
    <row r="107">
      <c r="A107" s="18" t="inlineStr">
        <is>
          <t>외환차익</t>
        </is>
      </c>
      <c r="C107" s="20" t="n">
        <v>239</v>
      </c>
      <c r="D107" s="20" t="n">
        <v>-341</v>
      </c>
      <c r="E107" s="20" t="n">
        <v>385</v>
      </c>
      <c r="F107" s="20" t="n">
        <v>711</v>
      </c>
      <c r="G107" s="20" t="n">
        <v>-711</v>
      </c>
      <c r="H107" s="20" t="n">
        <v>318</v>
      </c>
      <c r="I107" s="20" t="n">
        <v>-318</v>
      </c>
      <c r="J107" s="20" t="n">
        <v>0</v>
      </c>
      <c r="M107" s="20" t="n">
        <v>183</v>
      </c>
      <c r="N107" s="20" t="n">
        <v>201</v>
      </c>
      <c r="T107" s="20" t="n">
        <v>359</v>
      </c>
      <c r="U107" s="20" t="n">
        <v>-34</v>
      </c>
      <c r="V107" s="20" t="n">
        <v>385</v>
      </c>
      <c r="W107" s="20" t="n">
        <v>-318</v>
      </c>
      <c r="X107" s="20" t="n">
        <v>183</v>
      </c>
    </row>
    <row r="108">
      <c r="A108" s="18" t="inlineStr">
        <is>
          <t>기타</t>
        </is>
      </c>
      <c r="C108" s="20" t="n">
        <v>183</v>
      </c>
      <c r="D108" s="20" t="n">
        <v>207</v>
      </c>
      <c r="E108" s="20" t="n">
        <v>1762</v>
      </c>
      <c r="F108" s="20" t="n">
        <v>219</v>
      </c>
      <c r="G108" s="20" t="n">
        <v>200</v>
      </c>
      <c r="H108" s="20" t="n">
        <v>308</v>
      </c>
      <c r="I108" s="20" t="n">
        <v>-207</v>
      </c>
      <c r="J108" s="20" t="n">
        <v>173</v>
      </c>
      <c r="K108" s="20" t="n">
        <v>257</v>
      </c>
      <c r="L108" s="20" t="n">
        <v>326</v>
      </c>
      <c r="M108" s="20" t="n">
        <v>-168</v>
      </c>
      <c r="N108" s="20" t="n">
        <v>271</v>
      </c>
      <c r="T108" s="20" t="n">
        <v>1854</v>
      </c>
      <c r="U108" s="20" t="n">
        <v>-31</v>
      </c>
      <c r="V108" s="20" t="n">
        <v>1762</v>
      </c>
      <c r="W108" s="20" t="n">
        <v>-207</v>
      </c>
      <c r="X108" s="20" t="n">
        <v>-168</v>
      </c>
    </row>
    <row r="109">
      <c r="A109" s="18" t="inlineStr">
        <is>
          <t>영업외수익 합계</t>
        </is>
      </c>
      <c r="C109" s="20" t="n">
        <v>475</v>
      </c>
      <c r="D109" s="20" t="n">
        <v>201</v>
      </c>
      <c r="E109" s="20" t="n">
        <v>6021</v>
      </c>
      <c r="F109" s="20" t="n">
        <v>1502</v>
      </c>
      <c r="G109" s="20" t="n">
        <v>-416</v>
      </c>
      <c r="H109" s="20" t="n">
        <v>1049</v>
      </c>
      <c r="I109" s="20" t="n">
        <v>35</v>
      </c>
      <c r="J109" s="20" t="n">
        <v>768</v>
      </c>
      <c r="K109" s="20" t="n">
        <v>403</v>
      </c>
      <c r="L109" s="20" t="n">
        <v>1356</v>
      </c>
      <c r="M109" s="20" t="n">
        <v>715</v>
      </c>
      <c r="N109" s="20" t="n">
        <v>1163</v>
      </c>
      <c r="T109" s="20" t="n">
        <v>6393</v>
      </c>
      <c r="U109" s="20" t="n">
        <v>268</v>
      </c>
      <c r="V109" s="20" t="n">
        <v>6021</v>
      </c>
      <c r="W109" s="20" t="n">
        <v>35</v>
      </c>
      <c r="X109" s="20" t="n">
        <v>715</v>
      </c>
    </row>
    <row r="110">
      <c r="A110" s="18" t="inlineStr">
        <is>
          <t>이자비용</t>
        </is>
      </c>
      <c r="C110" s="20" t="n">
        <v>230</v>
      </c>
      <c r="D110" s="20" t="n">
        <v>209</v>
      </c>
      <c r="E110" s="20" t="n">
        <v>-392</v>
      </c>
      <c r="F110" s="20" t="n">
        <v>258</v>
      </c>
      <c r="G110" s="20" t="n">
        <v>226</v>
      </c>
      <c r="H110" s="20" t="n">
        <v>288</v>
      </c>
      <c r="I110" s="20" t="n">
        <v>214</v>
      </c>
      <c r="J110" s="20" t="n">
        <v>217</v>
      </c>
      <c r="K110" s="20" t="n">
        <v>233</v>
      </c>
      <c r="L110" s="20" t="n">
        <v>232</v>
      </c>
      <c r="M110" s="20" t="n">
        <v>246</v>
      </c>
      <c r="N110" s="20" t="n">
        <v>266</v>
      </c>
      <c r="T110" s="20" t="n">
        <v>-141</v>
      </c>
      <c r="U110" s="20" t="n">
        <v>220</v>
      </c>
      <c r="V110" s="20" t="n">
        <v>-392</v>
      </c>
      <c r="W110" s="20" t="n">
        <v>214</v>
      </c>
      <c r="X110" s="20" t="n">
        <v>246</v>
      </c>
    </row>
    <row r="111">
      <c r="A111" s="18" t="inlineStr">
        <is>
          <t>지분법손실</t>
        </is>
      </c>
      <c r="T111" s="20" t="n">
        <v>0</v>
      </c>
      <c r="U111" s="20" t="n">
        <v>0</v>
      </c>
    </row>
    <row r="112">
      <c r="A112" s="18" t="inlineStr">
        <is>
          <t>외환차손</t>
        </is>
      </c>
      <c r="F112" s="20" t="n">
        <v>0</v>
      </c>
      <c r="G112" s="20" t="n">
        <v>407</v>
      </c>
      <c r="J112" s="20" t="n">
        <v>195</v>
      </c>
      <c r="K112" s="20" t="n">
        <v>-187</v>
      </c>
      <c r="N112" s="20" t="n">
        <v>0</v>
      </c>
    </row>
    <row r="113">
      <c r="A113" s="18" t="inlineStr">
        <is>
          <t>Loaned Employees Expense NOE</t>
        </is>
      </c>
      <c r="C113" s="20" t="n">
        <v>31</v>
      </c>
      <c r="D113" s="20" t="n">
        <v>6</v>
      </c>
      <c r="E113" s="20" t="n">
        <v>25</v>
      </c>
      <c r="F113" s="20" t="n">
        <v>18</v>
      </c>
      <c r="G113" s="20" t="n">
        <v>21</v>
      </c>
      <c r="H113" s="20" t="n">
        <v>20</v>
      </c>
      <c r="I113" s="20" t="n">
        <v>24</v>
      </c>
      <c r="J113" s="20" t="n">
        <v>22</v>
      </c>
      <c r="K113" s="20" t="n">
        <v>15</v>
      </c>
      <c r="L113" s="20" t="n">
        <v>14</v>
      </c>
      <c r="M113" s="20" t="n">
        <v>21</v>
      </c>
      <c r="N113" s="20" t="n">
        <v>12</v>
      </c>
      <c r="T113" s="20" t="n">
        <v>31</v>
      </c>
      <c r="U113" s="20" t="n">
        <v>27</v>
      </c>
      <c r="V113" s="20" t="n">
        <v>25</v>
      </c>
      <c r="W113" s="20" t="n">
        <v>24</v>
      </c>
      <c r="X113" s="20" t="n">
        <v>21</v>
      </c>
    </row>
    <row r="114">
      <c r="A114" s="18" t="inlineStr">
        <is>
          <t>소송 관련 비용</t>
        </is>
      </c>
      <c r="T114" s="20" t="n">
        <v>38</v>
      </c>
      <c r="U114" s="20" t="n">
        <v>5</v>
      </c>
    </row>
    <row r="115">
      <c r="A115" s="18" t="inlineStr">
        <is>
          <t>기타</t>
        </is>
      </c>
      <c r="C115" s="20" t="n">
        <v>196</v>
      </c>
      <c r="D115" s="20" t="n">
        <v>224</v>
      </c>
      <c r="E115" s="20" t="n">
        <v>2242</v>
      </c>
      <c r="F115" s="20" t="n">
        <v>114</v>
      </c>
      <c r="G115" s="20" t="n">
        <v>206</v>
      </c>
      <c r="H115" s="20" t="n">
        <v>252</v>
      </c>
      <c r="I115" s="20" t="n">
        <v>396</v>
      </c>
      <c r="J115" s="20" t="n">
        <v>108</v>
      </c>
      <c r="K115" s="20" t="n">
        <v>183</v>
      </c>
      <c r="L115" s="20" t="n">
        <v>300</v>
      </c>
      <c r="M115" s="20" t="n">
        <v>410</v>
      </c>
      <c r="N115" s="20" t="n">
        <v>97</v>
      </c>
      <c r="T115" s="20" t="n">
        <v>2378</v>
      </c>
      <c r="U115" s="20" t="n">
        <v>159</v>
      </c>
      <c r="V115" s="20" t="n">
        <v>2242</v>
      </c>
      <c r="W115" s="20" t="n">
        <v>396</v>
      </c>
      <c r="X115" s="20" t="n">
        <v>410</v>
      </c>
    </row>
    <row r="116">
      <c r="A116" s="18" t="inlineStr">
        <is>
          <t>영업외비용 합계</t>
        </is>
      </c>
      <c r="C116" s="20" t="n">
        <v>457</v>
      </c>
      <c r="D116" s="20" t="n">
        <v>440</v>
      </c>
      <c r="E116" s="20" t="n">
        <v>1778</v>
      </c>
      <c r="F116" s="20" t="n">
        <v>391</v>
      </c>
      <c r="G116" s="20" t="n">
        <v>861</v>
      </c>
      <c r="H116" s="20" t="n">
        <v>152</v>
      </c>
      <c r="I116" s="20" t="n">
        <v>1086</v>
      </c>
      <c r="J116" s="20" t="n">
        <v>543</v>
      </c>
      <c r="K116" s="20" t="n">
        <v>246</v>
      </c>
      <c r="L116" s="20" t="n">
        <v>535</v>
      </c>
      <c r="M116" s="20" t="n">
        <v>1151</v>
      </c>
      <c r="N116" s="20" t="n">
        <v>375</v>
      </c>
      <c r="T116" s="20" t="n">
        <v>2006</v>
      </c>
      <c r="U116" s="20" t="n">
        <v>407</v>
      </c>
      <c r="V116" s="20" t="n">
        <v>1778</v>
      </c>
      <c r="W116" s="20" t="n">
        <v>1086</v>
      </c>
      <c r="X116" s="20" t="n">
        <v>1151</v>
      </c>
    </row>
    <row r="117">
      <c r="A117" s="9" t="inlineStr">
        <is>
          <t>경상이익</t>
        </is>
      </c>
      <c r="C117" s="12" t="n">
        <v>1026</v>
      </c>
      <c r="D117" s="12" t="n">
        <v>2046</v>
      </c>
      <c r="E117" s="12" t="n">
        <v>4738</v>
      </c>
      <c r="F117" s="12" t="n">
        <v>213</v>
      </c>
      <c r="G117" s="12" t="n">
        <v>1530</v>
      </c>
      <c r="H117" s="12" t="n">
        <v>4979</v>
      </c>
      <c r="I117" s="12" t="n">
        <v>14470</v>
      </c>
      <c r="J117" s="12" t="n">
        <v>573</v>
      </c>
      <c r="K117" s="12" t="n">
        <v>2601</v>
      </c>
      <c r="L117" s="12" t="n">
        <v>5111</v>
      </c>
      <c r="M117" s="12" t="n">
        <v>19604</v>
      </c>
      <c r="N117" s="12" t="n">
        <v>5452</v>
      </c>
      <c r="T117" s="12" t="n">
        <v>8605</v>
      </c>
      <c r="U117" s="12" t="n">
        <v>13092</v>
      </c>
      <c r="V117" s="12" t="n">
        <v>4738</v>
      </c>
      <c r="W117" s="12" t="n">
        <v>14470</v>
      </c>
      <c r="X117" s="12" t="n">
        <v>19604</v>
      </c>
    </row>
    <row r="118">
      <c r="A118" s="18" t="inlineStr">
        <is>
          <t>고정자산 매각이익</t>
        </is>
      </c>
      <c r="E118" s="20" t="n">
        <v>0</v>
      </c>
      <c r="I118" s="20" t="n">
        <v>-35</v>
      </c>
      <c r="M118" s="20" t="n">
        <v>0</v>
      </c>
      <c r="T118" s="20" t="n">
        <v>0</v>
      </c>
      <c r="U118" s="20" t="n">
        <v>4</v>
      </c>
      <c r="V118" s="20" t="n">
        <v>0</v>
      </c>
      <c r="W118" s="20" t="n">
        <v>-35</v>
      </c>
      <c r="X118" s="20" t="n">
        <v>0</v>
      </c>
    </row>
    <row r="119">
      <c r="A119" s="18" t="inlineStr">
        <is>
          <t>투자유가증권 매각이익</t>
        </is>
      </c>
      <c r="C119" s="20" t="n">
        <v>0</v>
      </c>
      <c r="D119" s="20" t="n">
        <v>0</v>
      </c>
      <c r="E119" s="20" t="n">
        <v>63</v>
      </c>
      <c r="F119" s="20" t="n">
        <v>1274</v>
      </c>
      <c r="G119" s="20" t="n">
        <v>0</v>
      </c>
      <c r="H119" s="20" t="n">
        <v>0</v>
      </c>
      <c r="I119" s="20" t="n">
        <v>0</v>
      </c>
      <c r="J119" s="20" t="n">
        <v>0</v>
      </c>
      <c r="K119" s="20" t="n">
        <v>14</v>
      </c>
      <c r="L119" s="20" t="n">
        <v>0</v>
      </c>
      <c r="M119" s="20" t="n">
        <v>953</v>
      </c>
      <c r="N119" s="20" t="n">
        <v>1597</v>
      </c>
      <c r="T119" s="20" t="n">
        <v>431</v>
      </c>
      <c r="U119" s="20" t="n">
        <v>732</v>
      </c>
      <c r="V119" s="20" t="n">
        <v>63</v>
      </c>
      <c r="W119" s="20" t="n">
        <v>0</v>
      </c>
      <c r="X119" s="20" t="n">
        <v>953</v>
      </c>
    </row>
    <row r="120">
      <c r="A120" s="18" t="inlineStr">
        <is>
          <t>부의 영업권 발생이익</t>
        </is>
      </c>
      <c r="E120" s="20" t="n">
        <v>0</v>
      </c>
      <c r="I120" s="20" t="n">
        <v>0</v>
      </c>
      <c r="M120" s="20" t="n">
        <v>0</v>
      </c>
      <c r="V120" s="20" t="n">
        <v>0</v>
      </c>
      <c r="W120" s="20" t="n">
        <v>0</v>
      </c>
      <c r="X120" s="20" t="n">
        <v>0</v>
      </c>
    </row>
    <row r="121">
      <c r="A121" s="18" t="inlineStr">
        <is>
          <t>관계회사 청산이익</t>
        </is>
      </c>
      <c r="I121" s="20" t="n">
        <v>0</v>
      </c>
      <c r="M121" s="20" t="n">
        <v>0</v>
      </c>
      <c r="W121" s="20" t="n">
        <v>0</v>
      </c>
      <c r="X121" s="20" t="n">
        <v>0</v>
      </c>
    </row>
    <row r="122">
      <c r="A122" s="18" t="inlineStr">
        <is>
          <t>보험금 수익</t>
        </is>
      </c>
      <c r="E122" s="20" t="n">
        <v>480</v>
      </c>
      <c r="I122" s="20" t="n">
        <v>1115</v>
      </c>
      <c r="M122" s="20" t="n">
        <v>0</v>
      </c>
      <c r="U122" s="20" t="n">
        <v>0</v>
      </c>
      <c r="V122" s="20" t="n">
        <v>480</v>
      </c>
      <c r="W122" s="20" t="n">
        <v>1115</v>
      </c>
      <c r="X122" s="20" t="n">
        <v>0</v>
      </c>
    </row>
    <row r="123">
      <c r="A123" s="18" t="inlineStr">
        <is>
          <t>보상금 수취</t>
        </is>
      </c>
      <c r="C123" s="20" t="n">
        <v>0</v>
      </c>
      <c r="D123" s="20" t="n">
        <v>0</v>
      </c>
      <c r="E123" s="20" t="n">
        <v>0</v>
      </c>
      <c r="T123" s="20" t="n">
        <v>0</v>
      </c>
      <c r="U123" s="20" t="n">
        <v>66</v>
      </c>
      <c r="V123" s="20" t="n">
        <v>0</v>
      </c>
    </row>
    <row r="124">
      <c r="A124" s="18" t="inlineStr">
        <is>
          <t>기타</t>
        </is>
      </c>
      <c r="C124" s="20" t="n">
        <v>0</v>
      </c>
      <c r="D124" s="20" t="n">
        <v>0</v>
      </c>
      <c r="E124" s="20" t="n">
        <v>0</v>
      </c>
      <c r="F124" s="20" t="n">
        <v>0</v>
      </c>
      <c r="G124" s="20" t="n">
        <v>0</v>
      </c>
      <c r="H124" s="20" t="n">
        <v>0</v>
      </c>
      <c r="I124" s="20" t="n">
        <v>0</v>
      </c>
      <c r="T124" s="20" t="n">
        <v>0</v>
      </c>
      <c r="U124" s="20" t="n">
        <v>0</v>
      </c>
      <c r="V124" s="20" t="n">
        <v>0</v>
      </c>
      <c r="W124" s="20" t="n">
        <v>0</v>
      </c>
    </row>
    <row r="125">
      <c r="A125" s="18" t="inlineStr">
        <is>
          <t>특별이익 합계</t>
        </is>
      </c>
      <c r="C125" s="20" t="n">
        <v>0</v>
      </c>
      <c r="D125" s="20" t="n">
        <v>3444</v>
      </c>
      <c r="E125" s="20" t="n">
        <v>543</v>
      </c>
      <c r="F125" s="20" t="n">
        <v>1274</v>
      </c>
      <c r="G125" s="20" t="n">
        <v>0</v>
      </c>
      <c r="H125" s="20" t="n">
        <v>745</v>
      </c>
      <c r="I125" s="20" t="n">
        <v>1081</v>
      </c>
      <c r="J125" s="20" t="n">
        <v>0</v>
      </c>
      <c r="K125" s="20" t="n">
        <v>14</v>
      </c>
      <c r="L125" s="20" t="n">
        <v>5484</v>
      </c>
      <c r="M125" s="20" t="n">
        <v>953</v>
      </c>
      <c r="N125" s="20" t="n">
        <v>1597</v>
      </c>
      <c r="T125" s="20" t="n">
        <v>2588</v>
      </c>
      <c r="U125" s="20" t="n">
        <v>802</v>
      </c>
      <c r="V125" s="20" t="n">
        <v>543</v>
      </c>
      <c r="W125" s="20" t="n">
        <v>1081</v>
      </c>
      <c r="X125" s="20" t="n">
        <v>953</v>
      </c>
    </row>
    <row r="126">
      <c r="A126" s="18" t="inlineStr">
        <is>
          <t>고정자산 매각손실</t>
        </is>
      </c>
      <c r="C126" s="20" t="n">
        <v>0</v>
      </c>
      <c r="D126" s="20" t="n">
        <v>0</v>
      </c>
      <c r="E126" s="20" t="n">
        <v>0</v>
      </c>
      <c r="T126" s="20" t="n">
        <v>0</v>
      </c>
      <c r="U126" s="20" t="n">
        <v>0</v>
      </c>
      <c r="V126" s="20" t="n">
        <v>0</v>
      </c>
    </row>
    <row r="127">
      <c r="A127" s="18" t="inlineStr">
        <is>
          <t>투자유가증권 매각손실</t>
        </is>
      </c>
      <c r="T127" s="20" t="n">
        <v>6</v>
      </c>
      <c r="U127" s="20" t="n">
        <v>0</v>
      </c>
    </row>
    <row r="128">
      <c r="A128" s="18" t="inlineStr">
        <is>
          <t>관계회사 주식 평가손실</t>
        </is>
      </c>
      <c r="H128" s="20" t="n">
        <v>0</v>
      </c>
      <c r="I128" s="20" t="n">
        <v>0</v>
      </c>
      <c r="L128" s="20" t="n">
        <v>0</v>
      </c>
      <c r="M128" s="20" t="n">
        <v>0</v>
      </c>
      <c r="W128" s="20" t="n">
        <v>0</v>
      </c>
      <c r="X128" s="20" t="n">
        <v>0</v>
      </c>
    </row>
    <row r="129">
      <c r="A129" s="18" t="inlineStr">
        <is>
          <t>화재손실</t>
        </is>
      </c>
      <c r="E129" s="20" t="n">
        <v>57</v>
      </c>
      <c r="I129" s="20" t="n">
        <v>0</v>
      </c>
      <c r="U129" s="20" t="n">
        <v>0</v>
      </c>
      <c r="V129" s="20" t="n">
        <v>57</v>
      </c>
      <c r="W129" s="20" t="n">
        <v>0</v>
      </c>
    </row>
    <row r="130">
      <c r="A130" s="18" t="inlineStr">
        <is>
          <t>고정자산 제각손실</t>
        </is>
      </c>
      <c r="J130" s="20" t="n">
        <v>0</v>
      </c>
      <c r="N130" s="20" t="n">
        <v>46</v>
      </c>
    </row>
    <row r="131">
      <c r="A131" s="18" t="inlineStr">
        <is>
          <t>관계회사 정리손실</t>
        </is>
      </c>
      <c r="C131" s="20" t="n">
        <v>148</v>
      </c>
      <c r="D131" s="20" t="n">
        <v>10</v>
      </c>
      <c r="E131" s="20" t="n">
        <v>17</v>
      </c>
      <c r="F131" s="20" t="n">
        <v>9</v>
      </c>
      <c r="G131" s="20" t="n">
        <v>9</v>
      </c>
      <c r="H131" s="20" t="n">
        <v>2</v>
      </c>
      <c r="I131" s="20" t="n">
        <v>-1</v>
      </c>
      <c r="J131" s="20" t="n">
        <v>8</v>
      </c>
      <c r="K131" s="20" t="n">
        <v>0</v>
      </c>
      <c r="L131" s="20" t="n">
        <v>-8</v>
      </c>
      <c r="M131" s="20" t="n">
        <v>0</v>
      </c>
      <c r="N131" s="20" t="n">
        <v>0</v>
      </c>
      <c r="T131" s="20" t="n">
        <v>0</v>
      </c>
      <c r="U131" s="20" t="n">
        <v>-117</v>
      </c>
      <c r="V131" s="20" t="n">
        <v>17</v>
      </c>
      <c r="W131" s="20" t="n">
        <v>-1</v>
      </c>
      <c r="X131" s="20" t="n">
        <v>0</v>
      </c>
    </row>
    <row r="132">
      <c r="A132" s="18" t="inlineStr">
        <is>
          <t>손상차손</t>
        </is>
      </c>
      <c r="D132" s="20" t="n">
        <v>0</v>
      </c>
      <c r="E132" s="20" t="n">
        <v>275</v>
      </c>
      <c r="H132" s="20" t="n">
        <v>0</v>
      </c>
      <c r="I132" s="20" t="n">
        <v>0</v>
      </c>
      <c r="U132" s="20" t="n">
        <v>381</v>
      </c>
      <c r="V132" s="20" t="n">
        <v>275</v>
      </c>
      <c r="W132" s="20" t="n">
        <v>0</v>
      </c>
    </row>
    <row r="133">
      <c r="A133" s="18" t="inlineStr">
        <is>
          <t>재해손실</t>
        </is>
      </c>
      <c r="C133" s="20" t="n">
        <v>0</v>
      </c>
      <c r="D133" s="20" t="n">
        <v>0</v>
      </c>
      <c r="E133" s="20" t="n">
        <v>121</v>
      </c>
      <c r="F133" s="20" t="n">
        <v>58</v>
      </c>
      <c r="G133" s="20" t="n">
        <v>90</v>
      </c>
      <c r="H133" s="20" t="n">
        <v>104</v>
      </c>
      <c r="I133" s="20" t="n">
        <v>102</v>
      </c>
      <c r="J133" s="20" t="n">
        <v>0</v>
      </c>
      <c r="K133" s="20" t="n">
        <v>0</v>
      </c>
      <c r="L133" s="20" t="n">
        <v>0</v>
      </c>
      <c r="M133" s="20" t="n">
        <v>0</v>
      </c>
      <c r="V133" s="20" t="n">
        <v>121</v>
      </c>
      <c r="W133" s="20" t="n">
        <v>102</v>
      </c>
      <c r="X133" s="20" t="n">
        <v>0</v>
      </c>
    </row>
    <row r="134">
      <c r="A134" s="18" t="inlineStr">
        <is>
          <t>기타</t>
        </is>
      </c>
      <c r="C134" s="20" t="n">
        <v>35</v>
      </c>
      <c r="D134" s="20" t="n">
        <v>2</v>
      </c>
      <c r="E134" s="20" t="n">
        <v>-37</v>
      </c>
      <c r="H134" s="20" t="n">
        <v>0</v>
      </c>
      <c r="I134" s="20" t="n">
        <v>83</v>
      </c>
      <c r="T134" s="20" t="n">
        <v>-3</v>
      </c>
      <c r="U134" s="20" t="n">
        <v>7</v>
      </c>
      <c r="V134" s="20" t="n">
        <v>-37</v>
      </c>
      <c r="W134" s="20" t="n">
        <v>83</v>
      </c>
    </row>
    <row r="135">
      <c r="A135" s="18" t="inlineStr">
        <is>
          <t>특별손실 합계</t>
        </is>
      </c>
      <c r="C135" s="20" t="n">
        <v>281</v>
      </c>
      <c r="D135" s="20" t="n">
        <v>747</v>
      </c>
      <c r="E135" s="20" t="n">
        <v>1020</v>
      </c>
      <c r="F135" s="20" t="n">
        <v>67</v>
      </c>
      <c r="G135" s="20" t="n">
        <v>99</v>
      </c>
      <c r="H135" s="20" t="n">
        <v>106</v>
      </c>
      <c r="I135" s="20" t="n">
        <v>184</v>
      </c>
      <c r="J135" s="20" t="n">
        <v>8</v>
      </c>
      <c r="K135" s="20" t="n">
        <v>218</v>
      </c>
      <c r="L135" s="20" t="n">
        <v>-8</v>
      </c>
      <c r="M135" s="20" t="n">
        <v>3303</v>
      </c>
      <c r="N135" s="20" t="n">
        <v>46</v>
      </c>
      <c r="T135" s="20" t="n">
        <v>2163</v>
      </c>
      <c r="U135" s="20" t="n">
        <v>272</v>
      </c>
      <c r="V135" s="20" t="n">
        <v>1020</v>
      </c>
      <c r="W135" s="20" t="n">
        <v>184</v>
      </c>
      <c r="X135" s="20" t="n">
        <v>3303</v>
      </c>
    </row>
    <row r="136">
      <c r="A136" s="9" t="inlineStr">
        <is>
          <t>법인세차감전 순이익</t>
        </is>
      </c>
      <c r="C136" s="12" t="n">
        <v>744</v>
      </c>
      <c r="D136" s="12" t="n">
        <v>4744</v>
      </c>
      <c r="E136" s="12" t="n">
        <v>4260</v>
      </c>
      <c r="F136" s="12" t="n">
        <v>1420</v>
      </c>
      <c r="G136" s="12" t="n">
        <v>1430</v>
      </c>
      <c r="H136" s="12" t="n">
        <v>5619</v>
      </c>
      <c r="I136" s="12" t="n">
        <v>15367</v>
      </c>
      <c r="J136" s="12" t="n">
        <v>565</v>
      </c>
      <c r="K136" s="12" t="n">
        <v>2397</v>
      </c>
      <c r="L136" s="12" t="n">
        <v>10604</v>
      </c>
      <c r="M136" s="12" t="n">
        <v>17254</v>
      </c>
      <c r="N136" s="12" t="n">
        <v>7002</v>
      </c>
      <c r="T136" s="12" t="n">
        <v>9030</v>
      </c>
      <c r="U136" s="12" t="n">
        <v>13622</v>
      </c>
      <c r="V136" s="12" t="n">
        <v>4260</v>
      </c>
      <c r="W136" s="12" t="n">
        <v>15367</v>
      </c>
      <c r="X136" s="12" t="n">
        <v>17254</v>
      </c>
    </row>
    <row r="137">
      <c r="A137" s="18" t="inlineStr">
        <is>
          <t>법인세·주민세·사업세</t>
        </is>
      </c>
      <c r="C137" s="20" t="n">
        <v>322</v>
      </c>
      <c r="D137" s="20" t="n">
        <v>326</v>
      </c>
      <c r="E137" s="20" t="n">
        <v>142</v>
      </c>
      <c r="F137" s="20" t="n">
        <v>283</v>
      </c>
      <c r="G137" s="20" t="n">
        <v>788</v>
      </c>
      <c r="H137" s="20" t="n">
        <v>446</v>
      </c>
      <c r="I137" s="20" t="n">
        <v>4931</v>
      </c>
      <c r="J137" s="20" t="n">
        <v>254</v>
      </c>
      <c r="K137" s="20" t="n">
        <v>696</v>
      </c>
      <c r="L137" s="20" t="n">
        <v>1216</v>
      </c>
      <c r="M137" s="20" t="n">
        <v>6665</v>
      </c>
      <c r="N137" s="20" t="n">
        <v>571</v>
      </c>
      <c r="T137" s="20" t="n">
        <v>175</v>
      </c>
      <c r="U137" s="20" t="n">
        <v>3283</v>
      </c>
      <c r="V137" s="20" t="n">
        <v>142</v>
      </c>
      <c r="W137" s="20" t="n">
        <v>4931</v>
      </c>
      <c r="X137" s="20" t="n">
        <v>6665</v>
      </c>
    </row>
    <row r="138">
      <c r="A138" s="18" t="inlineStr">
        <is>
          <t>법인세 조정액</t>
        </is>
      </c>
      <c r="C138" s="20" t="n">
        <v>-66</v>
      </c>
      <c r="D138" s="20" t="n">
        <v>1125</v>
      </c>
      <c r="E138" s="20" t="n">
        <v>-929</v>
      </c>
      <c r="F138" s="20" t="n">
        <v>91</v>
      </c>
      <c r="G138" s="20" t="n">
        <v>-426</v>
      </c>
      <c r="H138" s="20" t="n">
        <v>1103</v>
      </c>
      <c r="I138" s="20" t="n">
        <v>-2254</v>
      </c>
      <c r="J138" s="20" t="n">
        <v>-163</v>
      </c>
      <c r="K138" s="20" t="n">
        <v>66</v>
      </c>
      <c r="L138" s="20" t="n">
        <v>1676</v>
      </c>
      <c r="M138" s="20" t="n">
        <v>-3595</v>
      </c>
      <c r="N138" s="20" t="n">
        <v>1333</v>
      </c>
      <c r="T138" s="20" t="n">
        <v>149</v>
      </c>
      <c r="U138" s="20" t="n">
        <v>451</v>
      </c>
      <c r="V138" s="20" t="n">
        <v>-929</v>
      </c>
      <c r="W138" s="20" t="n">
        <v>-2254</v>
      </c>
      <c r="X138" s="20" t="n">
        <v>-3595</v>
      </c>
    </row>
    <row r="139">
      <c r="A139" s="18" t="inlineStr">
        <is>
          <t>법인세 등 합계</t>
        </is>
      </c>
      <c r="C139" s="20" t="n">
        <v>257</v>
      </c>
      <c r="D139" s="20" t="n">
        <v>1450</v>
      </c>
      <c r="E139" s="20" t="n">
        <v>-787</v>
      </c>
      <c r="F139" s="20" t="n">
        <v>374</v>
      </c>
      <c r="G139" s="20" t="n">
        <v>361</v>
      </c>
      <c r="H139" s="20" t="n">
        <v>1550</v>
      </c>
      <c r="I139" s="20" t="n">
        <v>2676</v>
      </c>
      <c r="J139" s="20" t="n">
        <v>90</v>
      </c>
      <c r="K139" s="20" t="n">
        <v>763</v>
      </c>
      <c r="L139" s="20" t="n">
        <v>2892</v>
      </c>
      <c r="M139" s="20" t="n">
        <v>3069</v>
      </c>
      <c r="N139" s="20" t="n">
        <v>1904</v>
      </c>
      <c r="T139" s="20" t="n">
        <v>325</v>
      </c>
      <c r="U139" s="20" t="n">
        <v>3732</v>
      </c>
      <c r="V139" s="20" t="n">
        <v>-787</v>
      </c>
      <c r="W139" s="20" t="n">
        <v>2676</v>
      </c>
      <c r="X139" s="20" t="n">
        <v>3069</v>
      </c>
    </row>
    <row r="140">
      <c r="A140" s="9" t="inlineStr">
        <is>
          <t>순이익</t>
        </is>
      </c>
      <c r="C140" s="12" t="n">
        <v>486</v>
      </c>
      <c r="D140" s="12" t="n">
        <v>3293</v>
      </c>
      <c r="E140" s="12" t="n">
        <v>5048</v>
      </c>
      <c r="F140" s="12" t="n">
        <v>1045</v>
      </c>
      <c r="G140" s="12" t="n">
        <v>1070</v>
      </c>
      <c r="H140" s="12" t="n">
        <v>4069</v>
      </c>
      <c r="I140" s="12" t="n">
        <v>12690</v>
      </c>
      <c r="J140" s="12" t="n">
        <v>474</v>
      </c>
      <c r="K140" s="12" t="n">
        <v>1635</v>
      </c>
      <c r="L140" s="12" t="n">
        <v>7711</v>
      </c>
      <c r="M140" s="12" t="n">
        <v>14185</v>
      </c>
      <c r="N140" s="12" t="n">
        <v>5098</v>
      </c>
      <c r="T140" s="12" t="n">
        <v>8705</v>
      </c>
      <c r="U140" s="12" t="n">
        <v>9889</v>
      </c>
      <c r="V140" s="12" t="n">
        <v>5048</v>
      </c>
      <c r="W140" s="12" t="n">
        <v>12690</v>
      </c>
      <c r="X140" s="12" t="n">
        <v>14185</v>
      </c>
    </row>
    <row r="141">
      <c r="A141" s="9" t="inlineStr">
        <is>
          <t>비지배주주 순이익</t>
        </is>
      </c>
      <c r="C141" s="12" t="n">
        <v>1</v>
      </c>
      <c r="D141" s="12" t="n">
        <v>35</v>
      </c>
      <c r="E141" s="12" t="n">
        <v>123</v>
      </c>
      <c r="F141" s="12" t="n">
        <v>27</v>
      </c>
      <c r="G141" s="12" t="n">
        <v>-7</v>
      </c>
      <c r="H141" s="12" t="n">
        <v>232</v>
      </c>
      <c r="I141" s="12" t="n">
        <v>135</v>
      </c>
      <c r="J141" s="12" t="n">
        <v>8</v>
      </c>
      <c r="K141" s="12" t="n">
        <v>74</v>
      </c>
      <c r="L141" s="12" t="n">
        <v>101</v>
      </c>
      <c r="M141" s="12" t="n">
        <v>197</v>
      </c>
      <c r="N141" s="12" t="n">
        <v>38</v>
      </c>
      <c r="T141" s="12" t="n">
        <v>143</v>
      </c>
      <c r="U141" s="12" t="n">
        <v>178</v>
      </c>
      <c r="V141" s="12" t="n">
        <v>123</v>
      </c>
      <c r="W141" s="12" t="n">
        <v>135</v>
      </c>
      <c r="X141" s="12" t="n">
        <v>197</v>
      </c>
    </row>
    <row r="142">
      <c r="A142" s="9" t="inlineStr">
        <is>
          <t>지배주주 순이익</t>
        </is>
      </c>
      <c r="C142" s="12" t="n">
        <v>486</v>
      </c>
      <c r="D142" s="12" t="n">
        <v>3257</v>
      </c>
      <c r="E142" s="12" t="n">
        <v>9564</v>
      </c>
      <c r="F142" s="12" t="n">
        <v>1017</v>
      </c>
      <c r="G142" s="12" t="n">
        <v>1077</v>
      </c>
      <c r="H142" s="12" t="n">
        <v>3837</v>
      </c>
      <c r="I142" s="12" t="n">
        <v>12556</v>
      </c>
      <c r="J142" s="12" t="n">
        <v>465</v>
      </c>
      <c r="K142" s="12" t="n">
        <v>1561</v>
      </c>
      <c r="L142" s="12" t="n">
        <v>7611</v>
      </c>
      <c r="M142" s="12" t="n">
        <v>13988</v>
      </c>
      <c r="N142" s="12" t="n">
        <v>5059</v>
      </c>
      <c r="T142" s="12" t="n">
        <v>7936</v>
      </c>
      <c r="U142" s="12" t="n">
        <v>9710</v>
      </c>
      <c r="V142" s="12" t="n">
        <v>9564</v>
      </c>
      <c r="W142" s="12" t="n">
        <v>12556</v>
      </c>
      <c r="X142" s="12" t="n">
        <v>13988</v>
      </c>
    </row>
    <row r="144">
      <c r="A144" s="16" t="inlineStr">
        <is>
          <t>포괄손익 · 전 항목</t>
        </is>
      </c>
      <c r="B144" s="42" t="inlineStr">
        <is>
          <t>분기 = 3개월 단독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2024.2Q</t>
        </is>
      </c>
      <c r="D145" s="5" t="inlineStr">
        <is>
          <t>2024.3Q</t>
        </is>
      </c>
      <c r="E145" s="5" t="inlineStr">
        <is>
          <t>2024.4Q</t>
        </is>
      </c>
      <c r="F145" s="5" t="inlineStr">
        <is>
          <t>2025.1Q</t>
        </is>
      </c>
      <c r="G145" s="5" t="inlineStr">
        <is>
          <t>2025.2Q</t>
        </is>
      </c>
      <c r="H145" s="5" t="inlineStr">
        <is>
          <t>2025.3Q</t>
        </is>
      </c>
      <c r="I145" s="5" t="inlineStr">
        <is>
          <t>2025.4Q</t>
        </is>
      </c>
      <c r="J145" s="5" t="inlineStr">
        <is>
          <t>2026.1Q</t>
        </is>
      </c>
      <c r="K145" s="5" t="inlineStr">
        <is>
          <t>2026.2Q</t>
        </is>
      </c>
      <c r="L145" s="5" t="inlineStr">
        <is>
          <t>2026.3Q</t>
        </is>
      </c>
      <c r="M145" s="5" t="inlineStr">
        <is>
          <t>2026.4Q</t>
        </is>
      </c>
      <c r="N145" s="5" t="inlineStr">
        <is>
          <t>2027.1Q</t>
        </is>
      </c>
      <c r="O145" s="5" t="inlineStr">
        <is>
          <t>2017</t>
        </is>
      </c>
      <c r="P145" s="5" t="inlineStr">
        <is>
          <t>2018</t>
        </is>
      </c>
      <c r="Q145" s="5" t="inlineStr">
        <is>
          <t>2019</t>
        </is>
      </c>
      <c r="R145" s="5" t="inlineStr">
        <is>
          <t>2020</t>
        </is>
      </c>
      <c r="S145" s="5" t="inlineStr">
        <is>
          <t>2021</t>
        </is>
      </c>
      <c r="T145" s="5" t="inlineStr">
        <is>
          <t>2022</t>
        </is>
      </c>
      <c r="U145" s="5" t="inlineStr">
        <is>
          <t>2023</t>
        </is>
      </c>
      <c r="V145" s="5" t="inlineStr">
        <is>
          <t>2024</t>
        </is>
      </c>
      <c r="W145" s="5" t="inlineStr">
        <is>
          <t>2025</t>
        </is>
      </c>
      <c r="X145" s="5" t="inlineStr">
        <is>
          <t>2026</t>
        </is>
      </c>
      <c r="Y145" s="5" t="inlineStr">
        <is>
          <t>2027(MW)</t>
        </is>
      </c>
      <c r="Z145" s="5" t="inlineStr">
        <is>
          <t>2028(MW)</t>
        </is>
      </c>
      <c r="AA145" s="5" t="inlineStr">
        <is>
          <t>2029(MW)</t>
        </is>
      </c>
      <c r="AB145" s="5" t="inlineStr">
        <is>
          <t>2030(MW)</t>
        </is>
      </c>
      <c r="AC145" s="5" t="inlineStr">
        <is>
          <t>2031(MW)</t>
        </is>
      </c>
    </row>
    <row r="146">
      <c r="A146" s="9" t="inlineStr">
        <is>
          <t>순이익</t>
        </is>
      </c>
      <c r="C146" s="12" t="n">
        <v>486</v>
      </c>
      <c r="D146" s="12" t="n">
        <v>3293</v>
      </c>
      <c r="E146" s="12" t="n">
        <v>9688</v>
      </c>
      <c r="F146" s="12" t="n">
        <v>1045</v>
      </c>
      <c r="G146" s="12" t="n">
        <v>1070</v>
      </c>
      <c r="H146" s="12" t="n">
        <v>4069</v>
      </c>
      <c r="I146" s="12" t="n">
        <v>12690</v>
      </c>
      <c r="J146" s="12" t="n">
        <v>474</v>
      </c>
      <c r="K146" s="12" t="n">
        <v>1635</v>
      </c>
      <c r="L146" s="12" t="n">
        <v>7711</v>
      </c>
      <c r="M146" s="12" t="n">
        <v>14185</v>
      </c>
      <c r="N146" s="12" t="n">
        <v>5098</v>
      </c>
      <c r="T146" s="12" t="n">
        <v>8079</v>
      </c>
      <c r="U146" s="12" t="n">
        <v>9889</v>
      </c>
      <c r="V146" s="12" t="n">
        <v>9688</v>
      </c>
      <c r="W146" s="12" t="n">
        <v>12690</v>
      </c>
      <c r="X146" s="12" t="n">
        <v>14185</v>
      </c>
    </row>
    <row r="147">
      <c r="A147" s="18" t="inlineStr">
        <is>
          <t>기타유가증권 평가차액</t>
        </is>
      </c>
      <c r="C147" s="20" t="n">
        <v>1487</v>
      </c>
      <c r="D147" s="20" t="n">
        <v>-96</v>
      </c>
      <c r="E147" s="20" t="n">
        <v>3366</v>
      </c>
      <c r="F147" s="20" t="n">
        <v>-887</v>
      </c>
      <c r="G147" s="20" t="n">
        <v>-1782</v>
      </c>
      <c r="H147" s="20" t="n">
        <v>1104</v>
      </c>
      <c r="I147" s="20" t="n">
        <v>-651</v>
      </c>
      <c r="J147" s="20" t="n">
        <v>1602</v>
      </c>
      <c r="K147" s="20" t="n">
        <v>3130</v>
      </c>
      <c r="L147" s="20" t="n">
        <v>3320</v>
      </c>
      <c r="M147" s="20" t="n">
        <v>1347</v>
      </c>
      <c r="N147" s="20" t="n">
        <v>1683</v>
      </c>
      <c r="T147" s="20" t="n">
        <v>-318</v>
      </c>
      <c r="U147" s="20" t="n">
        <v>-8</v>
      </c>
      <c r="V147" s="20" t="n">
        <v>3366</v>
      </c>
      <c r="W147" s="20" t="n">
        <v>-651</v>
      </c>
      <c r="X147" s="20" t="n">
        <v>1347</v>
      </c>
    </row>
    <row r="148">
      <c r="A148" s="18" t="inlineStr">
        <is>
          <t>이연헤지손익</t>
        </is>
      </c>
      <c r="C148" s="20" t="n">
        <v>0</v>
      </c>
    </row>
    <row r="149">
      <c r="A149" s="18" t="inlineStr">
        <is>
          <t>해외사업환산조정</t>
        </is>
      </c>
      <c r="C149" s="20" t="n">
        <v>664</v>
      </c>
      <c r="D149" s="20" t="n">
        <v>-706</v>
      </c>
      <c r="E149" s="20" t="n">
        <v>1208</v>
      </c>
      <c r="F149" s="20" t="n">
        <v>1752</v>
      </c>
      <c r="G149" s="20" t="n">
        <v>-2066</v>
      </c>
      <c r="H149" s="20" t="n">
        <v>1629</v>
      </c>
      <c r="I149" s="20" t="n">
        <v>-1465</v>
      </c>
      <c r="J149" s="20" t="n">
        <v>80</v>
      </c>
      <c r="K149" s="20" t="n">
        <v>841</v>
      </c>
      <c r="L149" s="20" t="n">
        <v>1907</v>
      </c>
      <c r="M149" s="20" t="n">
        <v>609</v>
      </c>
      <c r="N149" s="20" t="n">
        <v>727</v>
      </c>
      <c r="T149" s="20" t="n">
        <v>1364</v>
      </c>
      <c r="U149" s="20" t="n">
        <v>388</v>
      </c>
      <c r="V149" s="20" t="n">
        <v>1208</v>
      </c>
      <c r="W149" s="20" t="n">
        <v>-1465</v>
      </c>
      <c r="X149" s="20" t="n">
        <v>609</v>
      </c>
    </row>
    <row r="150">
      <c r="A150" s="18" t="inlineStr">
        <is>
          <t>퇴직급여 조정액</t>
        </is>
      </c>
      <c r="C150" s="20" t="n">
        <v>54</v>
      </c>
      <c r="D150" s="20" t="n">
        <v>54</v>
      </c>
      <c r="E150" s="20" t="n">
        <v>-10</v>
      </c>
      <c r="F150" s="20" t="n">
        <v>39</v>
      </c>
      <c r="G150" s="20" t="n">
        <v>39</v>
      </c>
      <c r="H150" s="20" t="n">
        <v>39</v>
      </c>
      <c r="I150" s="20" t="n">
        <v>12</v>
      </c>
      <c r="J150" s="20" t="n">
        <v>51</v>
      </c>
      <c r="K150" s="20" t="n">
        <v>51</v>
      </c>
      <c r="L150" s="20" t="n">
        <v>51</v>
      </c>
      <c r="M150" s="20" t="n">
        <v>5783</v>
      </c>
      <c r="N150" s="20" t="n">
        <v>-52</v>
      </c>
      <c r="T150" s="20" t="n">
        <v>-127</v>
      </c>
      <c r="U150" s="20" t="n">
        <v>216</v>
      </c>
      <c r="V150" s="20" t="n">
        <v>-10</v>
      </c>
      <c r="W150" s="20" t="n">
        <v>12</v>
      </c>
      <c r="X150" s="20" t="n">
        <v>5783</v>
      </c>
    </row>
    <row r="151">
      <c r="A151" s="18" t="inlineStr">
        <is>
          <t>지분법 적용회사 지분 해당액</t>
        </is>
      </c>
      <c r="T151" s="20" t="n">
        <v>1</v>
      </c>
      <c r="U151" s="20" t="n">
        <v>0</v>
      </c>
    </row>
    <row r="152">
      <c r="A152" s="18" t="inlineStr">
        <is>
          <t>기타포괄손익 합계</t>
        </is>
      </c>
      <c r="C152" s="20" t="n">
        <v>2205</v>
      </c>
      <c r="D152" s="20" t="n">
        <v>-748</v>
      </c>
      <c r="E152" s="20" t="n">
        <v>4557</v>
      </c>
      <c r="F152" s="20" t="n">
        <v>903</v>
      </c>
      <c r="G152" s="20" t="n">
        <v>-3808</v>
      </c>
      <c r="H152" s="20" t="n">
        <v>2773</v>
      </c>
      <c r="I152" s="20" t="n">
        <v>-2105</v>
      </c>
      <c r="J152" s="20" t="n">
        <v>1734</v>
      </c>
      <c r="K152" s="20" t="n">
        <v>4022</v>
      </c>
      <c r="L152" s="20" t="n">
        <v>5278</v>
      </c>
      <c r="M152" s="20" t="n">
        <v>7739</v>
      </c>
      <c r="N152" s="20" t="n">
        <v>2357</v>
      </c>
      <c r="T152" s="20" t="n">
        <v>918</v>
      </c>
      <c r="U152" s="20" t="n">
        <v>595</v>
      </c>
      <c r="V152" s="20" t="n">
        <v>4557</v>
      </c>
      <c r="W152" s="20" t="n">
        <v>-2105</v>
      </c>
      <c r="X152" s="20" t="n">
        <v>7739</v>
      </c>
    </row>
    <row r="153">
      <c r="A153" s="9" t="inlineStr">
        <is>
          <t>포괄이익</t>
        </is>
      </c>
      <c r="C153" s="12" t="n">
        <v>2692</v>
      </c>
      <c r="D153" s="12" t="n">
        <v>2545</v>
      </c>
      <c r="E153" s="12" t="n">
        <v>14246</v>
      </c>
      <c r="F153" s="12" t="n">
        <v>1949</v>
      </c>
      <c r="G153" s="12" t="n">
        <v>-2739</v>
      </c>
      <c r="H153" s="12" t="n">
        <v>6841</v>
      </c>
      <c r="I153" s="12" t="n">
        <v>10585</v>
      </c>
      <c r="J153" s="12" t="n">
        <v>2208</v>
      </c>
      <c r="K153" s="12" t="n">
        <v>5658</v>
      </c>
      <c r="L153" s="12" t="n">
        <v>12988</v>
      </c>
      <c r="M153" s="12" t="n">
        <v>21924</v>
      </c>
      <c r="N153" s="12" t="n">
        <v>7455</v>
      </c>
      <c r="T153" s="12" t="n">
        <v>8998</v>
      </c>
      <c r="U153" s="12" t="n">
        <v>10484</v>
      </c>
      <c r="V153" s="12" t="n">
        <v>14246</v>
      </c>
      <c r="W153" s="12" t="n">
        <v>10585</v>
      </c>
      <c r="X153" s="12" t="n">
        <v>21924</v>
      </c>
    </row>
    <row r="154">
      <c r="A154" s="9" t="inlineStr">
        <is>
          <t>지배주주 포괄이익</t>
        </is>
      </c>
      <c r="C154" s="12" t="n">
        <v>2685</v>
      </c>
      <c r="D154" s="12" t="n">
        <v>2508</v>
      </c>
      <c r="E154" s="12" t="n">
        <v>14120</v>
      </c>
      <c r="F154" s="12" t="n">
        <v>1902</v>
      </c>
      <c r="G154" s="12" t="n">
        <v>-2736</v>
      </c>
      <c r="H154" s="12" t="n">
        <v>6589</v>
      </c>
      <c r="I154" s="12" t="n">
        <v>10476</v>
      </c>
      <c r="J154" s="12" t="n">
        <v>2193</v>
      </c>
      <c r="K154" s="12" t="n">
        <v>5557</v>
      </c>
      <c r="L154" s="12" t="n">
        <v>12847</v>
      </c>
      <c r="M154" s="12" t="n">
        <v>21733</v>
      </c>
      <c r="N154" s="12" t="n">
        <v>7417</v>
      </c>
      <c r="T154" s="12" t="n">
        <v>8831</v>
      </c>
      <c r="U154" s="12" t="n">
        <v>10301</v>
      </c>
      <c r="V154" s="12" t="n">
        <v>14120</v>
      </c>
      <c r="W154" s="12" t="n">
        <v>10476</v>
      </c>
      <c r="X154" s="12" t="n">
        <v>21733</v>
      </c>
    </row>
    <row r="155">
      <c r="A155" s="9" t="inlineStr">
        <is>
          <t>비지배주주 포괄이익</t>
        </is>
      </c>
      <c r="C155" s="12" t="n">
        <v>5</v>
      </c>
      <c r="D155" s="12" t="n">
        <v>38</v>
      </c>
      <c r="E155" s="12" t="n">
        <v>126</v>
      </c>
      <c r="F155" s="12" t="n">
        <v>47</v>
      </c>
      <c r="G155" s="12" t="n">
        <v>-3</v>
      </c>
      <c r="H155" s="12" t="n">
        <v>251</v>
      </c>
      <c r="I155" s="12" t="n">
        <v>110</v>
      </c>
      <c r="J155" s="12" t="n">
        <v>15</v>
      </c>
      <c r="K155" s="12" t="n">
        <v>100</v>
      </c>
      <c r="L155" s="12" t="n">
        <v>142</v>
      </c>
      <c r="M155" s="12" t="n">
        <v>191</v>
      </c>
      <c r="N155" s="12" t="n">
        <v>38</v>
      </c>
      <c r="T155" s="12" t="n">
        <v>167</v>
      </c>
      <c r="U155" s="12" t="n">
        <v>183</v>
      </c>
      <c r="V155" s="12" t="n">
        <v>126</v>
      </c>
      <c r="W155" s="12" t="n">
        <v>110</v>
      </c>
      <c r="X155" s="12" t="n">
        <v>191</v>
      </c>
    </row>
    <row r="157">
      <c r="A157" s="16" t="inlineStr">
        <is>
          <t>부문 · 전 항목</t>
        </is>
      </c>
      <c r="B157" s="42" t="inlineStr">
        <is>
          <t>부문 · 항목</t>
        </is>
      </c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</row>
    <row r="158">
      <c r="A158" s="5" t="inlineStr">
        <is>
          <t>항목</t>
        </is>
      </c>
      <c r="B158" s="5" t="inlineStr">
        <is>
          <t>참고</t>
        </is>
      </c>
      <c r="C158" s="5" t="inlineStr">
        <is>
          <t>2024.2Q</t>
        </is>
      </c>
      <c r="D158" s="5" t="inlineStr">
        <is>
          <t>2024.3Q</t>
        </is>
      </c>
      <c r="E158" s="5" t="inlineStr">
        <is>
          <t>2024.4Q</t>
        </is>
      </c>
      <c r="F158" s="5" t="inlineStr">
        <is>
          <t>2025.1Q</t>
        </is>
      </c>
      <c r="G158" s="5" t="inlineStr">
        <is>
          <t>2025.2Q</t>
        </is>
      </c>
      <c r="H158" s="5" t="inlineStr">
        <is>
          <t>2025.3Q</t>
        </is>
      </c>
      <c r="I158" s="5" t="inlineStr">
        <is>
          <t>2025.4Q</t>
        </is>
      </c>
      <c r="J158" s="5" t="inlineStr">
        <is>
          <t>2026.1Q</t>
        </is>
      </c>
      <c r="K158" s="5" t="inlineStr">
        <is>
          <t>2026.2Q</t>
        </is>
      </c>
      <c r="L158" s="5" t="inlineStr">
        <is>
          <t>2026.3Q</t>
        </is>
      </c>
      <c r="M158" s="5" t="inlineStr">
        <is>
          <t>2026.4Q</t>
        </is>
      </c>
      <c r="N158" s="5" t="inlineStr">
        <is>
          <t>2027.1Q</t>
        </is>
      </c>
      <c r="O158" s="5" t="inlineStr">
        <is>
          <t>2017</t>
        </is>
      </c>
      <c r="P158" s="5" t="inlineStr">
        <is>
          <t>2018</t>
        </is>
      </c>
      <c r="Q158" s="5" t="inlineStr">
        <is>
          <t>2019</t>
        </is>
      </c>
      <c r="R158" s="5" t="inlineStr">
        <is>
          <t>2020</t>
        </is>
      </c>
      <c r="S158" s="5" t="inlineStr">
        <is>
          <t>2021</t>
        </is>
      </c>
      <c r="T158" s="5" t="inlineStr">
        <is>
          <t>2022</t>
        </is>
      </c>
      <c r="U158" s="5" t="inlineStr">
        <is>
          <t>2023</t>
        </is>
      </c>
      <c r="V158" s="5" t="inlineStr">
        <is>
          <t>2024</t>
        </is>
      </c>
      <c r="W158" s="5" t="inlineStr">
        <is>
          <t>2025</t>
        </is>
      </c>
      <c r="X158" s="5" t="inlineStr">
        <is>
          <t>2026</t>
        </is>
      </c>
      <c r="Y158" s="5" t="inlineStr">
        <is>
          <t>2027(MW)</t>
        </is>
      </c>
      <c r="Z158" s="5" t="inlineStr">
        <is>
          <t>2028(MW)</t>
        </is>
      </c>
      <c r="AA158" s="5" t="inlineStr">
        <is>
          <t>2029(MW)</t>
        </is>
      </c>
      <c r="AB158" s="5" t="inlineStr">
        <is>
          <t>2030(MW)</t>
        </is>
      </c>
      <c r="AC158" s="5" t="inlineStr">
        <is>
          <t>2031(MW)</t>
        </is>
      </c>
    </row>
    <row r="159">
      <c r="A159" s="18" t="inlineStr">
        <is>
          <t>PowerInfrastrucutureBusinessReportableSegmentMember · 외부 고객 매출</t>
        </is>
      </c>
      <c r="C159" s="20" t="n">
        <v>17978</v>
      </c>
      <c r="D159" s="20" t="n">
        <v>21473</v>
      </c>
      <c r="E159" s="20" t="n">
        <v>25199</v>
      </c>
      <c r="F159" s="20" t="n">
        <v>18257</v>
      </c>
      <c r="G159" s="20" t="n">
        <v>16573</v>
      </c>
      <c r="H159" s="20" t="n">
        <v>23506</v>
      </c>
      <c r="I159" s="20" t="n">
        <v>27081</v>
      </c>
      <c r="J159" s="20" t="n">
        <v>19521</v>
      </c>
      <c r="K159" s="20" t="n">
        <v>23576</v>
      </c>
      <c r="L159" s="20" t="n">
        <v>25971</v>
      </c>
      <c r="M159" s="20" t="n">
        <v>31227</v>
      </c>
      <c r="N159" s="20" t="n">
        <v>27487</v>
      </c>
      <c r="V159" s="20" t="n">
        <v>25199</v>
      </c>
      <c r="W159" s="20" t="n">
        <v>27081</v>
      </c>
      <c r="X159" s="20" t="n">
        <v>31227</v>
      </c>
    </row>
    <row r="160">
      <c r="A160" s="18" t="inlineStr">
        <is>
          <t>PublicIndustrialAndCommercialSectorBusinessReportableSegmentMember · 외부 고객 매출</t>
        </is>
      </c>
      <c r="C160" s="20" t="n">
        <v>18823</v>
      </c>
      <c r="D160" s="20" t="n">
        <v>16182</v>
      </c>
      <c r="E160" s="20" t="n">
        <v>35342</v>
      </c>
      <c r="F160" s="20" t="n">
        <v>14636</v>
      </c>
      <c r="G160" s="20" t="n">
        <v>19721</v>
      </c>
      <c r="H160" s="20" t="n">
        <v>18234</v>
      </c>
      <c r="I160" s="20" t="n">
        <v>38026</v>
      </c>
      <c r="J160" s="20" t="n">
        <v>14130</v>
      </c>
      <c r="K160" s="20" t="n">
        <v>20641</v>
      </c>
      <c r="L160" s="20" t="n">
        <v>20795</v>
      </c>
      <c r="M160" s="20" t="n">
        <v>41036</v>
      </c>
      <c r="N160" s="20" t="n">
        <v>18975</v>
      </c>
      <c r="V160" s="20" t="n">
        <v>35342</v>
      </c>
      <c r="W160" s="20" t="n">
        <v>38026</v>
      </c>
      <c r="X160" s="20" t="n">
        <v>41036</v>
      </c>
    </row>
    <row r="161">
      <c r="A161" s="18" t="inlineStr">
        <is>
          <t>MobilityAndElectricalComponentsBusinessReportableSegmentMember · 외부 고객 매출</t>
        </is>
      </c>
      <c r="C161" s="20" t="n">
        <v>19379</v>
      </c>
      <c r="D161" s="20" t="n">
        <v>17117</v>
      </c>
      <c r="E161" s="20" t="n">
        <v>21696</v>
      </c>
      <c r="F161" s="20" t="n">
        <v>14289</v>
      </c>
      <c r="G161" s="20" t="n">
        <v>17719</v>
      </c>
      <c r="H161" s="20" t="n">
        <v>18446</v>
      </c>
      <c r="I161" s="20" t="n">
        <v>20019</v>
      </c>
      <c r="J161" s="20" t="n">
        <v>15158</v>
      </c>
      <c r="K161" s="20" t="n">
        <v>17406</v>
      </c>
      <c r="L161" s="20" t="n">
        <v>13928</v>
      </c>
      <c r="M161" s="20" t="n">
        <v>21341</v>
      </c>
      <c r="N161" s="20" t="n">
        <v>17190</v>
      </c>
      <c r="V161" s="20" t="n">
        <v>21696</v>
      </c>
      <c r="W161" s="20" t="n">
        <v>20019</v>
      </c>
      <c r="X161" s="20" t="n">
        <v>21341</v>
      </c>
    </row>
    <row r="162">
      <c r="A162" s="18" t="inlineStr">
        <is>
          <t>FieldServiceEngineeringBusinessReportableSegmentMember · 외부 고객 매출</t>
        </is>
      </c>
      <c r="C162" s="20" t="n">
        <v>7278</v>
      </c>
      <c r="D162" s="20" t="n">
        <v>7877</v>
      </c>
      <c r="E162" s="20" t="n">
        <v>19470</v>
      </c>
      <c r="F162" s="20" t="n">
        <v>6140</v>
      </c>
      <c r="G162" s="20" t="n">
        <v>9524</v>
      </c>
      <c r="H162" s="20" t="n">
        <v>9173</v>
      </c>
      <c r="I162" s="20" t="n">
        <v>22842</v>
      </c>
      <c r="J162" s="20" t="n">
        <v>7927</v>
      </c>
      <c r="K162" s="20" t="n">
        <v>9475</v>
      </c>
      <c r="L162" s="20" t="n">
        <v>10271</v>
      </c>
      <c r="M162" s="20" t="n">
        <v>26828</v>
      </c>
      <c r="N162" s="20" t="n">
        <v>8302</v>
      </c>
      <c r="V162" s="20" t="n">
        <v>19470</v>
      </c>
      <c r="W162" s="20" t="n">
        <v>22842</v>
      </c>
      <c r="X162" s="20" t="n">
        <v>26828</v>
      </c>
    </row>
    <row r="163">
      <c r="A163" s="18" t="inlineStr">
        <is>
          <t>RealEstateReportableSegmentMember · 외부 고객 매출</t>
        </is>
      </c>
      <c r="F163" s="20" t="n">
        <v>798</v>
      </c>
      <c r="J163" s="20" t="n">
        <v>799</v>
      </c>
      <c r="N163" s="20" t="n">
        <v>801</v>
      </c>
    </row>
    <row r="164">
      <c r="A164" s="18" t="inlineStr">
        <is>
          <t>보고부문 합계 · 외부 고객 매출</t>
        </is>
      </c>
      <c r="C164" s="20" t="n">
        <v>64255</v>
      </c>
      <c r="D164" s="20" t="n">
        <v>63448</v>
      </c>
      <c r="E164" s="20" t="n">
        <v>102504</v>
      </c>
      <c r="F164" s="20" t="n">
        <v>54123</v>
      </c>
      <c r="G164" s="20" t="n">
        <v>64335</v>
      </c>
      <c r="H164" s="20" t="n">
        <v>70159</v>
      </c>
      <c r="I164" s="20" t="n">
        <v>108768</v>
      </c>
      <c r="J164" s="20" t="n">
        <v>57537</v>
      </c>
      <c r="K164" s="20" t="n">
        <v>71896</v>
      </c>
      <c r="L164" s="20" t="n">
        <v>71763</v>
      </c>
      <c r="M164" s="20" t="n">
        <v>121232</v>
      </c>
      <c r="N164" s="20" t="n">
        <v>72756</v>
      </c>
      <c r="V164" s="20" t="n">
        <v>102504</v>
      </c>
      <c r="W164" s="20" t="n">
        <v>108768</v>
      </c>
      <c r="X164" s="20" t="n">
        <v>121232</v>
      </c>
    </row>
    <row r="165">
      <c r="A165" s="18" t="inlineStr">
        <is>
          <t>기타 · 외부 고객 매출</t>
        </is>
      </c>
      <c r="C165" s="20" t="n">
        <v>1259</v>
      </c>
      <c r="D165" s="20" t="n">
        <v>1423</v>
      </c>
      <c r="E165" s="20" t="n">
        <v>1459</v>
      </c>
      <c r="F165" s="20" t="n">
        <v>851</v>
      </c>
      <c r="G165" s="20" t="n">
        <v>789</v>
      </c>
      <c r="H165" s="20" t="n">
        <v>825</v>
      </c>
      <c r="I165" s="20" t="n">
        <v>1251</v>
      </c>
      <c r="J165" s="20" t="n">
        <v>853</v>
      </c>
      <c r="K165" s="20" t="n">
        <v>855</v>
      </c>
      <c r="L165" s="20" t="n">
        <v>950</v>
      </c>
      <c r="M165" s="20" t="n">
        <v>1108</v>
      </c>
      <c r="N165" s="20" t="n">
        <v>655</v>
      </c>
      <c r="V165" s="20" t="n">
        <v>1459</v>
      </c>
      <c r="W165" s="20" t="n">
        <v>1251</v>
      </c>
      <c r="X165" s="20" t="n">
        <v>1108</v>
      </c>
    </row>
    <row r="166">
      <c r="A166" s="18" t="inlineStr">
        <is>
          <t>합계 · 외부 고객 매출</t>
        </is>
      </c>
      <c r="C166" s="20" t="n">
        <v>65515</v>
      </c>
      <c r="D166" s="20" t="n">
        <v>64871</v>
      </c>
      <c r="E166" s="20" t="n">
        <v>103962</v>
      </c>
      <c r="F166" s="20" t="n">
        <v>54975</v>
      </c>
      <c r="G166" s="20" t="n">
        <v>65124</v>
      </c>
      <c r="H166" s="20" t="n">
        <v>70984</v>
      </c>
      <c r="I166" s="20" t="n">
        <v>110018</v>
      </c>
      <c r="J166" s="20" t="n">
        <v>58390</v>
      </c>
      <c r="K166" s="20" t="n">
        <v>72752</v>
      </c>
      <c r="L166" s="20" t="n">
        <v>72713</v>
      </c>
      <c r="M166" s="20" t="n">
        <v>122339</v>
      </c>
      <c r="N166" s="20" t="n">
        <v>73412</v>
      </c>
      <c r="V166" s="20" t="n">
        <v>103962</v>
      </c>
      <c r="W166" s="20" t="n">
        <v>110018</v>
      </c>
      <c r="X166" s="20" t="n">
        <v>122339</v>
      </c>
    </row>
    <row r="167">
      <c r="A167" s="18" t="inlineStr">
        <is>
          <t>조정액 · 외부 고객 매출</t>
        </is>
      </c>
      <c r="C167" s="20" t="n">
        <v>0</v>
      </c>
      <c r="D167" s="20" t="n">
        <v>0</v>
      </c>
      <c r="E167" s="20" t="n">
        <v>0</v>
      </c>
      <c r="F167" s="20" t="n">
        <v>0</v>
      </c>
      <c r="G167" s="20" t="n">
        <v>0</v>
      </c>
      <c r="H167" s="20" t="n">
        <v>0</v>
      </c>
      <c r="I167" s="20" t="n">
        <v>0</v>
      </c>
      <c r="J167" s="20" t="n">
        <v>0</v>
      </c>
      <c r="K167" s="20" t="n">
        <v>0</v>
      </c>
      <c r="L167" s="20" t="n">
        <v>0</v>
      </c>
      <c r="M167" s="20" t="n">
        <v>0</v>
      </c>
      <c r="N167" s="20" t="n">
        <v>0</v>
      </c>
      <c r="V167" s="20" t="n">
        <v>0</v>
      </c>
      <c r="W167" s="20" t="n">
        <v>0</v>
      </c>
      <c r="X167" s="20" t="n">
        <v>0</v>
      </c>
    </row>
    <row r="168">
      <c r="A168" s="9" t="inlineStr">
        <is>
          <t>외부 고객 매출</t>
        </is>
      </c>
      <c r="C168" s="12" t="n">
        <v>65515</v>
      </c>
      <c r="D168" s="12" t="n">
        <v>64871</v>
      </c>
      <c r="E168" s="12" t="n">
        <v>103962</v>
      </c>
      <c r="F168" s="12" t="n">
        <v>54975</v>
      </c>
      <c r="G168" s="12" t="n">
        <v>65124</v>
      </c>
      <c r="H168" s="12" t="n">
        <v>70984</v>
      </c>
      <c r="I168" s="12" t="n">
        <v>110018</v>
      </c>
      <c r="V168" s="12" t="n">
        <v>103962</v>
      </c>
      <c r="W168" s="12" t="n">
        <v>110018</v>
      </c>
    </row>
    <row r="169">
      <c r="A169" s="18" t="inlineStr">
        <is>
          <t>EntityTotalMember · 외부 고객 매출</t>
        </is>
      </c>
      <c r="F169" s="20" t="n">
        <v>54975</v>
      </c>
      <c r="J169" s="20" t="n">
        <v>58390</v>
      </c>
      <c r="N169" s="20" t="n">
        <v>73412</v>
      </c>
    </row>
    <row r="170">
      <c r="A170" s="18" t="inlineStr">
        <is>
          <t>PowerInfrastrucutureBusinessReportableSegmentMember · 부문 간 내부매출·대체</t>
        </is>
      </c>
      <c r="C170" s="20" t="n">
        <v>196</v>
      </c>
      <c r="D170" s="20" t="n">
        <v>108</v>
      </c>
      <c r="E170" s="20" t="n">
        <v>256</v>
      </c>
      <c r="F170" s="20" t="n">
        <v>200</v>
      </c>
      <c r="G170" s="20" t="n">
        <v>143</v>
      </c>
      <c r="H170" s="20" t="n">
        <v>534</v>
      </c>
      <c r="I170" s="20" t="n">
        <v>143</v>
      </c>
      <c r="J170" s="20" t="n">
        <v>194</v>
      </c>
      <c r="K170" s="20" t="n">
        <v>79</v>
      </c>
      <c r="L170" s="20" t="n">
        <v>127</v>
      </c>
      <c r="M170" s="20" t="n">
        <v>148</v>
      </c>
      <c r="N170" s="20" t="n">
        <v>87</v>
      </c>
      <c r="V170" s="20" t="n">
        <v>256</v>
      </c>
      <c r="W170" s="20" t="n">
        <v>143</v>
      </c>
      <c r="X170" s="20" t="n">
        <v>148</v>
      </c>
    </row>
    <row r="171">
      <c r="A171" s="18" t="inlineStr">
        <is>
          <t>PublicIndustrialAndCommercialSectorBusinessReportableSegmentMember · 부문 간 내부매출·대체</t>
        </is>
      </c>
      <c r="C171" s="20" t="n">
        <v>930</v>
      </c>
      <c r="D171" s="20" t="n">
        <v>755</v>
      </c>
      <c r="E171" s="20" t="n">
        <v>1003</v>
      </c>
      <c r="F171" s="20" t="n">
        <v>600</v>
      </c>
      <c r="G171" s="20" t="n">
        <v>2331</v>
      </c>
      <c r="H171" s="20" t="n">
        <v>684</v>
      </c>
      <c r="I171" s="20" t="n">
        <v>2090</v>
      </c>
      <c r="J171" s="20" t="n">
        <v>940</v>
      </c>
      <c r="K171" s="20" t="n">
        <v>2718</v>
      </c>
      <c r="L171" s="20" t="n">
        <v>1604</v>
      </c>
      <c r="M171" s="20" t="n">
        <v>2691</v>
      </c>
      <c r="N171" s="20" t="n">
        <v>1149</v>
      </c>
      <c r="V171" s="20" t="n">
        <v>1003</v>
      </c>
      <c r="W171" s="20" t="n">
        <v>2090</v>
      </c>
      <c r="X171" s="20" t="n">
        <v>2691</v>
      </c>
    </row>
    <row r="172">
      <c r="A172" s="18" t="inlineStr">
        <is>
          <t>MobilityAndElectricalComponentsBusinessReportableSegmentMember · 부문 간 내부매출·대체</t>
        </is>
      </c>
      <c r="C172" s="20" t="n">
        <v>472</v>
      </c>
      <c r="D172" s="20" t="n">
        <v>505</v>
      </c>
      <c r="E172" s="20" t="n">
        <v>750</v>
      </c>
      <c r="F172" s="20" t="n">
        <v>214</v>
      </c>
      <c r="G172" s="20" t="n">
        <v>420</v>
      </c>
      <c r="H172" s="20" t="n">
        <v>461</v>
      </c>
      <c r="I172" s="20" t="n">
        <v>510</v>
      </c>
      <c r="J172" s="20" t="n">
        <v>220</v>
      </c>
      <c r="K172" s="20" t="n">
        <v>284</v>
      </c>
      <c r="L172" s="20" t="n">
        <v>374</v>
      </c>
      <c r="M172" s="20" t="n">
        <v>597</v>
      </c>
      <c r="N172" s="20" t="n">
        <v>232</v>
      </c>
      <c r="V172" s="20" t="n">
        <v>750</v>
      </c>
      <c r="W172" s="20" t="n">
        <v>510</v>
      </c>
      <c r="X172" s="20" t="n">
        <v>597</v>
      </c>
    </row>
    <row r="173">
      <c r="A173" s="18" t="inlineStr">
        <is>
          <t>FieldServiceEngineeringBusinessReportableSegmentMember · 부문 간 내부매출·대체</t>
        </is>
      </c>
      <c r="C173" s="20" t="n">
        <v>469</v>
      </c>
      <c r="D173" s="20" t="n">
        <v>487</v>
      </c>
      <c r="E173" s="20" t="n">
        <v>369</v>
      </c>
      <c r="F173" s="20" t="n">
        <v>475</v>
      </c>
      <c r="G173" s="20" t="n">
        <v>540</v>
      </c>
      <c r="H173" s="20" t="n">
        <v>347</v>
      </c>
      <c r="I173" s="20" t="n">
        <v>525</v>
      </c>
      <c r="J173" s="20" t="n">
        <v>731</v>
      </c>
      <c r="K173" s="20" t="n">
        <v>487</v>
      </c>
      <c r="L173" s="20" t="n">
        <v>600</v>
      </c>
      <c r="M173" s="20" t="n">
        <v>688</v>
      </c>
      <c r="N173" s="20" t="n">
        <v>965</v>
      </c>
      <c r="V173" s="20" t="n">
        <v>369</v>
      </c>
      <c r="W173" s="20" t="n">
        <v>525</v>
      </c>
      <c r="X173" s="20" t="n">
        <v>688</v>
      </c>
    </row>
    <row r="174">
      <c r="A174" s="18" t="inlineStr">
        <is>
          <t>RealEstateReportableSegmentMember · 부문 간 내부매출·대체</t>
        </is>
      </c>
      <c r="F174" s="20" t="n">
        <v>9</v>
      </c>
      <c r="J174" s="20" t="n">
        <v>9</v>
      </c>
      <c r="N174" s="20" t="n">
        <v>9</v>
      </c>
    </row>
    <row r="175">
      <c r="A175" s="18" t="inlineStr">
        <is>
          <t>보고부문 합계 · 부문 간 내부매출·대체</t>
        </is>
      </c>
      <c r="C175" s="20" t="n">
        <v>2079</v>
      </c>
      <c r="D175" s="20" t="n">
        <v>1864</v>
      </c>
      <c r="E175" s="20" t="n">
        <v>2386</v>
      </c>
      <c r="F175" s="20" t="n">
        <v>1500</v>
      </c>
      <c r="G175" s="20" t="n">
        <v>3443</v>
      </c>
      <c r="H175" s="20" t="n">
        <v>2035</v>
      </c>
      <c r="I175" s="20" t="n">
        <v>3278</v>
      </c>
      <c r="J175" s="20" t="n">
        <v>2096</v>
      </c>
      <c r="K175" s="20" t="n">
        <v>3577</v>
      </c>
      <c r="L175" s="20" t="n">
        <v>2715</v>
      </c>
      <c r="M175" s="20" t="n">
        <v>4133</v>
      </c>
      <c r="N175" s="20" t="n">
        <v>2444</v>
      </c>
      <c r="V175" s="20" t="n">
        <v>2386</v>
      </c>
      <c r="W175" s="20" t="n">
        <v>3278</v>
      </c>
      <c r="X175" s="20" t="n">
        <v>4133</v>
      </c>
    </row>
    <row r="176">
      <c r="A176" s="18" t="inlineStr">
        <is>
          <t>기타 · 부문 간 내부매출·대체</t>
        </is>
      </c>
      <c r="C176" s="20" t="n">
        <v>1382</v>
      </c>
      <c r="D176" s="20" t="n">
        <v>1247</v>
      </c>
      <c r="E176" s="20" t="n">
        <v>1351</v>
      </c>
      <c r="F176" s="20" t="n">
        <v>1030</v>
      </c>
      <c r="G176" s="20" t="n">
        <v>1198</v>
      </c>
      <c r="H176" s="20" t="n">
        <v>1314</v>
      </c>
      <c r="I176" s="20" t="n">
        <v>1414</v>
      </c>
      <c r="J176" s="20" t="n">
        <v>1180</v>
      </c>
      <c r="K176" s="20" t="n">
        <v>1301</v>
      </c>
      <c r="L176" s="20" t="n">
        <v>1144</v>
      </c>
      <c r="M176" s="20" t="n">
        <v>1529</v>
      </c>
      <c r="N176" s="20" t="n">
        <v>1151</v>
      </c>
      <c r="V176" s="20" t="n">
        <v>1351</v>
      </c>
      <c r="W176" s="20" t="n">
        <v>1414</v>
      </c>
      <c r="X176" s="20" t="n">
        <v>1529</v>
      </c>
    </row>
    <row r="177">
      <c r="A177" s="18" t="inlineStr">
        <is>
          <t>합계 · 부문 간 내부매출·대체</t>
        </is>
      </c>
      <c r="C177" s="20" t="n">
        <v>3460</v>
      </c>
      <c r="D177" s="20" t="n">
        <v>3111</v>
      </c>
      <c r="E177" s="20" t="n">
        <v>3737</v>
      </c>
      <c r="F177" s="20" t="n">
        <v>2530</v>
      </c>
      <c r="G177" s="20" t="n">
        <v>4642</v>
      </c>
      <c r="H177" s="20" t="n">
        <v>3349</v>
      </c>
      <c r="I177" s="20" t="n">
        <v>4692</v>
      </c>
      <c r="J177" s="20" t="n">
        <v>3277</v>
      </c>
      <c r="K177" s="20" t="n">
        <v>4877</v>
      </c>
      <c r="L177" s="20" t="n">
        <v>3860</v>
      </c>
      <c r="M177" s="20" t="n">
        <v>5662</v>
      </c>
      <c r="N177" s="20" t="n">
        <v>3596</v>
      </c>
      <c r="V177" s="20" t="n">
        <v>3737</v>
      </c>
      <c r="W177" s="20" t="n">
        <v>4692</v>
      </c>
      <c r="X177" s="20" t="n">
        <v>5662</v>
      </c>
    </row>
    <row r="178">
      <c r="A178" s="18" t="inlineStr">
        <is>
          <t>조정액 · 부문 간 내부매출·대체</t>
        </is>
      </c>
      <c r="C178" s="20" t="n">
        <v>-3460</v>
      </c>
      <c r="D178" s="20" t="n">
        <v>-3111</v>
      </c>
      <c r="E178" s="20" t="n">
        <v>-3737</v>
      </c>
      <c r="F178" s="20" t="n">
        <v>-2530</v>
      </c>
      <c r="G178" s="20" t="n">
        <v>-4642</v>
      </c>
      <c r="H178" s="20" t="n">
        <v>-3349</v>
      </c>
      <c r="I178" s="20" t="n">
        <v>-4692</v>
      </c>
      <c r="J178" s="20" t="n">
        <v>-3277</v>
      </c>
      <c r="K178" s="20" t="n">
        <v>-4877</v>
      </c>
      <c r="L178" s="20" t="n">
        <v>-3860</v>
      </c>
      <c r="M178" s="20" t="n">
        <v>-5662</v>
      </c>
      <c r="N178" s="20" t="n">
        <v>-3596</v>
      </c>
      <c r="V178" s="20" t="n">
        <v>-3737</v>
      </c>
      <c r="W178" s="20" t="n">
        <v>-4692</v>
      </c>
      <c r="X178" s="20" t="n">
        <v>-5662</v>
      </c>
    </row>
    <row r="179">
      <c r="A179" s="18" t="inlineStr">
        <is>
          <t>부문 간 내부매출·대체</t>
        </is>
      </c>
      <c r="C179" s="20" t="n">
        <v>0</v>
      </c>
      <c r="D179" s="20" t="n">
        <v>0</v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V179" s="20" t="n">
        <v>0</v>
      </c>
      <c r="W179" s="20" t="n">
        <v>0</v>
      </c>
    </row>
    <row r="180">
      <c r="A180" s="18" t="inlineStr">
        <is>
          <t>EntityTotalMember · 부문 간 내부매출·대체</t>
        </is>
      </c>
      <c r="F180" s="20" t="n">
        <v>0</v>
      </c>
      <c r="J180" s="20" t="n">
        <v>0</v>
      </c>
      <c r="N180" s="20" t="n">
        <v>0</v>
      </c>
    </row>
    <row r="181">
      <c r="A181" s="18" t="inlineStr">
        <is>
          <t>PowerInfrastrucutureBusinessReportableSegmentMember · 계</t>
        </is>
      </c>
      <c r="C181" s="20" t="n">
        <v>18173</v>
      </c>
      <c r="D181" s="20" t="n">
        <v>21581</v>
      </c>
      <c r="E181" s="20" t="n">
        <v>25455</v>
      </c>
      <c r="F181" s="20" t="n">
        <v>18458</v>
      </c>
      <c r="G181" s="20" t="n">
        <v>16715</v>
      </c>
      <c r="H181" s="20" t="n">
        <v>24040</v>
      </c>
      <c r="I181" s="20" t="n">
        <v>27224</v>
      </c>
      <c r="J181" s="20" t="n">
        <v>19715</v>
      </c>
      <c r="K181" s="20" t="n">
        <v>23656</v>
      </c>
      <c r="L181" s="20" t="n">
        <v>26097</v>
      </c>
      <c r="M181" s="20" t="n">
        <v>31376</v>
      </c>
      <c r="N181" s="20" t="n">
        <v>27574</v>
      </c>
      <c r="V181" s="20" t="n">
        <v>25455</v>
      </c>
      <c r="W181" s="20" t="n">
        <v>27224</v>
      </c>
      <c r="X181" s="20" t="n">
        <v>31376</v>
      </c>
    </row>
    <row r="182">
      <c r="A182" s="18" t="inlineStr">
        <is>
          <t>PublicIndustrialAndCommercialSectorBusinessReportableSegmentMember · 계</t>
        </is>
      </c>
      <c r="C182" s="20" t="n">
        <v>19754</v>
      </c>
      <c r="D182" s="20" t="n">
        <v>16937</v>
      </c>
      <c r="E182" s="20" t="n">
        <v>36345</v>
      </c>
      <c r="F182" s="20" t="n">
        <v>15237</v>
      </c>
      <c r="G182" s="20" t="n">
        <v>22051</v>
      </c>
      <c r="H182" s="20" t="n">
        <v>18919</v>
      </c>
      <c r="I182" s="20" t="n">
        <v>40116</v>
      </c>
      <c r="J182" s="20" t="n">
        <v>15070</v>
      </c>
      <c r="K182" s="20" t="n">
        <v>23359</v>
      </c>
      <c r="L182" s="20" t="n">
        <v>22399</v>
      </c>
      <c r="M182" s="20" t="n">
        <v>43727</v>
      </c>
      <c r="N182" s="20" t="n">
        <v>20124</v>
      </c>
      <c r="V182" s="20" t="n">
        <v>36345</v>
      </c>
      <c r="W182" s="20" t="n">
        <v>40116</v>
      </c>
      <c r="X182" s="20" t="n">
        <v>43727</v>
      </c>
    </row>
    <row r="183">
      <c r="A183" s="18" t="inlineStr">
        <is>
          <t>MobilityAndElectricalComponentsBusinessReportableSegmentMember · 계</t>
        </is>
      </c>
      <c r="C183" s="20" t="n">
        <v>19851</v>
      </c>
      <c r="D183" s="20" t="n">
        <v>17623</v>
      </c>
      <c r="E183" s="20" t="n">
        <v>22445</v>
      </c>
      <c r="F183" s="20" t="n">
        <v>14503</v>
      </c>
      <c r="G183" s="20" t="n">
        <v>18140</v>
      </c>
      <c r="H183" s="20" t="n">
        <v>18906</v>
      </c>
      <c r="I183" s="20" t="n">
        <v>20530</v>
      </c>
      <c r="J183" s="20" t="n">
        <v>15378</v>
      </c>
      <c r="K183" s="20" t="n">
        <v>17690</v>
      </c>
      <c r="L183" s="20" t="n">
        <v>14303</v>
      </c>
      <c r="M183" s="20" t="n">
        <v>21937</v>
      </c>
      <c r="N183" s="20" t="n">
        <v>17423</v>
      </c>
      <c r="V183" s="20" t="n">
        <v>22445</v>
      </c>
      <c r="W183" s="20" t="n">
        <v>20530</v>
      </c>
      <c r="X183" s="20" t="n">
        <v>21937</v>
      </c>
    </row>
    <row r="184">
      <c r="A184" s="18" t="inlineStr">
        <is>
          <t>FieldServiceEngineeringBusinessReportableSegmentMember · 계</t>
        </is>
      </c>
      <c r="C184" s="20" t="n">
        <v>7748</v>
      </c>
      <c r="D184" s="20" t="n">
        <v>8364</v>
      </c>
      <c r="E184" s="20" t="n">
        <v>19838</v>
      </c>
      <c r="F184" s="20" t="n">
        <v>6616</v>
      </c>
      <c r="G184" s="20" t="n">
        <v>10064</v>
      </c>
      <c r="H184" s="20" t="n">
        <v>9519</v>
      </c>
      <c r="I184" s="20" t="n">
        <v>23368</v>
      </c>
      <c r="J184" s="20" t="n">
        <v>8659</v>
      </c>
      <c r="K184" s="20" t="n">
        <v>9961</v>
      </c>
      <c r="L184" s="20" t="n">
        <v>10872</v>
      </c>
      <c r="M184" s="20" t="n">
        <v>27515</v>
      </c>
      <c r="N184" s="20" t="n">
        <v>9267</v>
      </c>
      <c r="V184" s="20" t="n">
        <v>19838</v>
      </c>
      <c r="W184" s="20" t="n">
        <v>23368</v>
      </c>
      <c r="X184" s="20" t="n">
        <v>27515</v>
      </c>
    </row>
    <row r="185">
      <c r="A185" s="18" t="inlineStr">
        <is>
          <t>RealEstateReportableSegmentMember · 계</t>
        </is>
      </c>
      <c r="F185" s="20" t="n">
        <v>808</v>
      </c>
      <c r="J185" s="20" t="n">
        <v>809</v>
      </c>
      <c r="N185" s="20" t="n">
        <v>811</v>
      </c>
    </row>
    <row r="186">
      <c r="A186" s="18" t="inlineStr">
        <is>
          <t>보고부문 합계 · 계</t>
        </is>
      </c>
      <c r="C186" s="20" t="n">
        <v>66334</v>
      </c>
      <c r="D186" s="20" t="n">
        <v>65312</v>
      </c>
      <c r="E186" s="20" t="n">
        <v>104890</v>
      </c>
      <c r="F186" s="20" t="n">
        <v>55623</v>
      </c>
      <c r="G186" s="20" t="n">
        <v>67779</v>
      </c>
      <c r="H186" s="20" t="n">
        <v>72194</v>
      </c>
      <c r="I186" s="20" t="n">
        <v>112046</v>
      </c>
      <c r="J186" s="20" t="n">
        <v>59634</v>
      </c>
      <c r="K186" s="20" t="n">
        <v>75473</v>
      </c>
      <c r="L186" s="20" t="n">
        <v>74478</v>
      </c>
      <c r="M186" s="20" t="n">
        <v>125364</v>
      </c>
      <c r="N186" s="20" t="n">
        <v>75201</v>
      </c>
      <c r="V186" s="20" t="n">
        <v>104890</v>
      </c>
      <c r="W186" s="20" t="n">
        <v>112046</v>
      </c>
      <c r="X186" s="20" t="n">
        <v>125364</v>
      </c>
    </row>
    <row r="187">
      <c r="A187" s="18" t="inlineStr">
        <is>
          <t>기타 · 계</t>
        </is>
      </c>
      <c r="C187" s="20" t="n">
        <v>2642</v>
      </c>
      <c r="D187" s="20" t="n">
        <v>2669</v>
      </c>
      <c r="E187" s="20" t="n">
        <v>2810</v>
      </c>
      <c r="F187" s="20" t="n">
        <v>1882</v>
      </c>
      <c r="G187" s="20" t="n">
        <v>1987</v>
      </c>
      <c r="H187" s="20" t="n">
        <v>2139</v>
      </c>
      <c r="I187" s="20" t="n">
        <v>2664</v>
      </c>
      <c r="J187" s="20" t="n">
        <v>2033</v>
      </c>
      <c r="K187" s="20" t="n">
        <v>2157</v>
      </c>
      <c r="L187" s="20" t="n">
        <v>2094</v>
      </c>
      <c r="M187" s="20" t="n">
        <v>2636</v>
      </c>
      <c r="N187" s="20" t="n">
        <v>1807</v>
      </c>
      <c r="V187" s="20" t="n">
        <v>2810</v>
      </c>
      <c r="W187" s="20" t="n">
        <v>2664</v>
      </c>
      <c r="X187" s="20" t="n">
        <v>2636</v>
      </c>
    </row>
    <row r="188">
      <c r="A188" s="18" t="inlineStr">
        <is>
          <t>합계 · 계</t>
        </is>
      </c>
      <c r="C188" s="20" t="n">
        <v>68975</v>
      </c>
      <c r="D188" s="20" t="n">
        <v>67982</v>
      </c>
      <c r="E188" s="20" t="n">
        <v>107700</v>
      </c>
      <c r="F188" s="20" t="n">
        <v>57505</v>
      </c>
      <c r="G188" s="20" t="n">
        <v>69767</v>
      </c>
      <c r="H188" s="20" t="n">
        <v>74332</v>
      </c>
      <c r="I188" s="20" t="n">
        <v>114711</v>
      </c>
      <c r="J188" s="20" t="n">
        <v>61667</v>
      </c>
      <c r="K188" s="20" t="n">
        <v>77630</v>
      </c>
      <c r="L188" s="20" t="n">
        <v>76572</v>
      </c>
      <c r="M188" s="20" t="n">
        <v>128001</v>
      </c>
      <c r="N188" s="20" t="n">
        <v>77008</v>
      </c>
      <c r="V188" s="20" t="n">
        <v>107700</v>
      </c>
      <c r="W188" s="20" t="n">
        <v>114711</v>
      </c>
      <c r="X188" s="20" t="n">
        <v>128001</v>
      </c>
    </row>
    <row r="189">
      <c r="A189" s="18" t="inlineStr">
        <is>
          <t>조정액 · 계</t>
        </is>
      </c>
      <c r="C189" s="20" t="n">
        <v>-3460</v>
      </c>
      <c r="D189" s="20" t="n">
        <v>-3111</v>
      </c>
      <c r="E189" s="20" t="n">
        <v>-3737</v>
      </c>
      <c r="F189" s="20" t="n">
        <v>-2530</v>
      </c>
      <c r="G189" s="20" t="n">
        <v>-4642</v>
      </c>
      <c r="H189" s="20" t="n">
        <v>-3349</v>
      </c>
      <c r="I189" s="20" t="n">
        <v>-4692</v>
      </c>
      <c r="J189" s="20" t="n">
        <v>-3277</v>
      </c>
      <c r="K189" s="20" t="n">
        <v>-4877</v>
      </c>
      <c r="L189" s="20" t="n">
        <v>-3860</v>
      </c>
      <c r="M189" s="20" t="n">
        <v>-5662</v>
      </c>
      <c r="N189" s="20" t="n">
        <v>-3596</v>
      </c>
      <c r="V189" s="20" t="n">
        <v>-3737</v>
      </c>
      <c r="W189" s="20" t="n">
        <v>-4692</v>
      </c>
      <c r="X189" s="20" t="n">
        <v>-5662</v>
      </c>
    </row>
    <row r="190">
      <c r="A190" s="9" t="inlineStr">
        <is>
          <t>계</t>
        </is>
      </c>
      <c r="C190" s="12" t="n">
        <v>65515</v>
      </c>
      <c r="D190" s="12" t="n">
        <v>64871</v>
      </c>
      <c r="E190" s="12" t="n">
        <v>103962</v>
      </c>
      <c r="F190" s="12" t="n">
        <v>54975</v>
      </c>
      <c r="G190" s="12" t="n">
        <v>65124</v>
      </c>
      <c r="H190" s="12" t="n">
        <v>70984</v>
      </c>
      <c r="I190" s="12" t="n">
        <v>110018</v>
      </c>
      <c r="V190" s="12" t="n">
        <v>103962</v>
      </c>
      <c r="W190" s="12" t="n">
        <v>110018</v>
      </c>
    </row>
    <row r="191">
      <c r="A191" s="18" t="inlineStr">
        <is>
          <t>EntityTotalMember · 계</t>
        </is>
      </c>
      <c r="F191" s="20" t="n">
        <v>54975</v>
      </c>
      <c r="J191" s="20" t="n">
        <v>58390</v>
      </c>
      <c r="N191" s="20" t="n">
        <v>73412</v>
      </c>
    </row>
    <row r="192">
      <c r="A192" s="18" t="inlineStr">
        <is>
          <t>PowerInfrastrucutureBusinessReportableSegmentMember · Operating Income</t>
        </is>
      </c>
      <c r="C192" s="20" t="n">
        <v>1122</v>
      </c>
      <c r="D192" s="20" t="n">
        <v>2571</v>
      </c>
      <c r="E192" s="20" t="n">
        <v>2927</v>
      </c>
      <c r="F192" s="20" t="n">
        <v>1154</v>
      </c>
      <c r="G192" s="20" t="n">
        <v>1430</v>
      </c>
      <c r="H192" s="20" t="n">
        <v>2561</v>
      </c>
      <c r="I192" s="20" t="n">
        <v>2843</v>
      </c>
      <c r="J192" s="20" t="n">
        <v>1658</v>
      </c>
      <c r="K192" s="20" t="n">
        <v>2067</v>
      </c>
      <c r="L192" s="20" t="n">
        <v>3969</v>
      </c>
      <c r="M192" s="20" t="n">
        <v>4890</v>
      </c>
      <c r="N192" s="20" t="n">
        <v>3941</v>
      </c>
      <c r="V192" s="20" t="n">
        <v>2927</v>
      </c>
      <c r="W192" s="20" t="n">
        <v>2843</v>
      </c>
      <c r="X192" s="20" t="n">
        <v>4890</v>
      </c>
    </row>
    <row r="193">
      <c r="A193" s="18" t="inlineStr">
        <is>
          <t>PublicIndustrialAndCommercialSectorBusinessReportableSegmentMember · Operating Income</t>
        </is>
      </c>
      <c r="C193" s="20" t="n">
        <v>-711</v>
      </c>
      <c r="D193" s="20" t="n">
        <v>-1249</v>
      </c>
      <c r="E193" s="20" t="n">
        <v>3556</v>
      </c>
      <c r="F193" s="20" t="n">
        <v>-1578</v>
      </c>
      <c r="G193" s="20" t="n">
        <v>281</v>
      </c>
      <c r="H193" s="20" t="n">
        <v>-532</v>
      </c>
      <c r="I193" s="20" t="n">
        <v>4863</v>
      </c>
      <c r="J193" s="20" t="n">
        <v>-1919</v>
      </c>
      <c r="K193" s="20" t="n">
        <v>42</v>
      </c>
      <c r="L193" s="20" t="n">
        <v>170</v>
      </c>
      <c r="M193" s="20" t="n">
        <v>5799</v>
      </c>
      <c r="N193" s="20" t="n">
        <v>354</v>
      </c>
      <c r="V193" s="20" t="n">
        <v>3556</v>
      </c>
      <c r="W193" s="20" t="n">
        <v>4863</v>
      </c>
      <c r="X193" s="20" t="n">
        <v>5799</v>
      </c>
    </row>
    <row r="194">
      <c r="A194" s="18" t="inlineStr">
        <is>
          <t>MobilityAndElectricalComponentsBusinessReportableSegmentMember · Operating Income</t>
        </is>
      </c>
      <c r="C194" s="20" t="n">
        <v>103</v>
      </c>
      <c r="D194" s="20" t="n">
        <v>-130</v>
      </c>
      <c r="E194" s="20" t="n">
        <v>920</v>
      </c>
      <c r="F194" s="20" t="n">
        <v>-544</v>
      </c>
      <c r="G194" s="20" t="n">
        <v>169</v>
      </c>
      <c r="H194" s="20" t="n">
        <v>594</v>
      </c>
      <c r="I194" s="20" t="n">
        <v>913</v>
      </c>
      <c r="J194" s="20" t="n">
        <v>-22</v>
      </c>
      <c r="K194" s="20" t="n">
        <v>34</v>
      </c>
      <c r="L194" s="20" t="n">
        <v>-1049</v>
      </c>
      <c r="M194" s="20" t="n">
        <v>1058</v>
      </c>
      <c r="N194" s="20" t="n">
        <v>162</v>
      </c>
      <c r="V194" s="20" t="n">
        <v>920</v>
      </c>
      <c r="W194" s="20" t="n">
        <v>913</v>
      </c>
      <c r="X194" s="20" t="n">
        <v>1058</v>
      </c>
    </row>
    <row r="195">
      <c r="A195" s="18" t="inlineStr">
        <is>
          <t>FieldServiceEngineeringBusinessReportableSegmentMember · Operating Income</t>
        </is>
      </c>
      <c r="C195" s="20" t="n">
        <v>585</v>
      </c>
      <c r="D195" s="20" t="n">
        <v>1197</v>
      </c>
      <c r="E195" s="20" t="n">
        <v>5160</v>
      </c>
      <c r="F195" s="20" t="n">
        <v>176</v>
      </c>
      <c r="G195" s="20" t="n">
        <v>1149</v>
      </c>
      <c r="H195" s="20" t="n">
        <v>1582</v>
      </c>
      <c r="I195" s="20" t="n">
        <v>7024</v>
      </c>
      <c r="J195" s="20" t="n">
        <v>1014</v>
      </c>
      <c r="K195" s="20" t="n">
        <v>1064</v>
      </c>
      <c r="L195" s="20" t="n">
        <v>1888</v>
      </c>
      <c r="M195" s="20" t="n">
        <v>8707</v>
      </c>
      <c r="N195" s="20" t="n">
        <v>917</v>
      </c>
      <c r="V195" s="20" t="n">
        <v>5160</v>
      </c>
      <c r="W195" s="20" t="n">
        <v>7024</v>
      </c>
      <c r="X195" s="20" t="n">
        <v>8707</v>
      </c>
    </row>
    <row r="196">
      <c r="A196" s="18" t="inlineStr">
        <is>
          <t>RealEstateReportableSegmentMember · Operating Income</t>
        </is>
      </c>
      <c r="F196" s="20" t="n">
        <v>360</v>
      </c>
      <c r="J196" s="20" t="n">
        <v>381</v>
      </c>
      <c r="N196" s="20" t="n">
        <v>354</v>
      </c>
    </row>
    <row r="197">
      <c r="A197" s="18" t="inlineStr">
        <is>
          <t>보고부문 합계 · Operating Income</t>
        </is>
      </c>
      <c r="C197" s="20" t="n">
        <v>1474</v>
      </c>
      <c r="D197" s="20" t="n">
        <v>2734</v>
      </c>
      <c r="E197" s="20" t="n">
        <v>12911</v>
      </c>
      <c r="F197" s="20" t="n">
        <v>-431</v>
      </c>
      <c r="G197" s="20" t="n">
        <v>3403</v>
      </c>
      <c r="H197" s="20" t="n">
        <v>4569</v>
      </c>
      <c r="I197" s="20" t="n">
        <v>15989</v>
      </c>
      <c r="J197" s="20" t="n">
        <v>1112</v>
      </c>
      <c r="K197" s="20" t="n">
        <v>3584</v>
      </c>
      <c r="L197" s="20" t="n">
        <v>5279</v>
      </c>
      <c r="M197" s="20" t="n">
        <v>20811</v>
      </c>
      <c r="N197" s="20" t="n">
        <v>5729</v>
      </c>
      <c r="V197" s="20" t="n">
        <v>12911</v>
      </c>
      <c r="W197" s="20" t="n">
        <v>15989</v>
      </c>
      <c r="X197" s="20" t="n">
        <v>20811</v>
      </c>
    </row>
    <row r="198">
      <c r="A198" s="18" t="inlineStr">
        <is>
          <t>기타 · Operating Income</t>
        </is>
      </c>
      <c r="C198" s="20" t="n">
        <v>43</v>
      </c>
      <c r="D198" s="20" t="n">
        <v>48</v>
      </c>
      <c r="E198" s="20" t="n">
        <v>295</v>
      </c>
      <c r="F198" s="20" t="n">
        <v>29</v>
      </c>
      <c r="G198" s="20" t="n">
        <v>9</v>
      </c>
      <c r="H198" s="20" t="n">
        <v>156</v>
      </c>
      <c r="I198" s="20" t="n">
        <v>283</v>
      </c>
      <c r="J198" s="20" t="n">
        <v>30</v>
      </c>
      <c r="K198" s="20" t="n">
        <v>-46</v>
      </c>
      <c r="L198" s="20" t="n">
        <v>3</v>
      </c>
      <c r="M198" s="20" t="n">
        <v>104</v>
      </c>
      <c r="N198" s="20" t="n">
        <v>-48</v>
      </c>
      <c r="V198" s="20" t="n">
        <v>295</v>
      </c>
      <c r="W198" s="20" t="n">
        <v>283</v>
      </c>
      <c r="X198" s="20" t="n">
        <v>104</v>
      </c>
    </row>
    <row r="199">
      <c r="A199" s="18" t="inlineStr">
        <is>
          <t>합계 · Operating Income</t>
        </is>
      </c>
      <c r="C199" s="20" t="n">
        <v>1517</v>
      </c>
      <c r="D199" s="20" t="n">
        <v>2783</v>
      </c>
      <c r="E199" s="20" t="n">
        <v>13207</v>
      </c>
      <c r="F199" s="20" t="n">
        <v>-401</v>
      </c>
      <c r="G199" s="20" t="n">
        <v>3412</v>
      </c>
      <c r="H199" s="20" t="n">
        <v>4725</v>
      </c>
      <c r="I199" s="20" t="n">
        <v>16272</v>
      </c>
      <c r="J199" s="20" t="n">
        <v>1143</v>
      </c>
      <c r="K199" s="20" t="n">
        <v>3536</v>
      </c>
      <c r="L199" s="20" t="n">
        <v>5282</v>
      </c>
      <c r="M199" s="20" t="n">
        <v>20916</v>
      </c>
      <c r="N199" s="20" t="n">
        <v>5680</v>
      </c>
      <c r="V199" s="20" t="n">
        <v>13207</v>
      </c>
      <c r="W199" s="20" t="n">
        <v>16272</v>
      </c>
      <c r="X199" s="20" t="n">
        <v>20916</v>
      </c>
    </row>
    <row r="200">
      <c r="A200" s="18" t="inlineStr">
        <is>
          <t>조정액 · Operating Income</t>
        </is>
      </c>
      <c r="C200" s="20" t="n">
        <v>-510</v>
      </c>
      <c r="D200" s="20" t="n">
        <v>-497</v>
      </c>
      <c r="E200" s="20" t="n">
        <v>-396</v>
      </c>
      <c r="F200" s="20" t="n">
        <v>-494</v>
      </c>
      <c r="G200" s="20" t="n">
        <v>-608</v>
      </c>
      <c r="H200" s="20" t="n">
        <v>-643</v>
      </c>
      <c r="I200" s="20" t="n">
        <v>-751</v>
      </c>
      <c r="J200" s="20" t="n">
        <v>-794</v>
      </c>
      <c r="K200" s="20" t="n">
        <v>-1093</v>
      </c>
      <c r="L200" s="20" t="n">
        <v>-992</v>
      </c>
      <c r="M200" s="20" t="n">
        <v>-876</v>
      </c>
      <c r="N200" s="20" t="n">
        <v>-1016</v>
      </c>
      <c r="V200" s="20" t="n">
        <v>-396</v>
      </c>
      <c r="W200" s="20" t="n">
        <v>-751</v>
      </c>
      <c r="X200" s="20" t="n">
        <v>-876</v>
      </c>
    </row>
    <row r="201">
      <c r="A201" s="9" t="inlineStr">
        <is>
          <t>부문 이익(손실)</t>
        </is>
      </c>
      <c r="C201" s="12" t="n">
        <v>1008</v>
      </c>
      <c r="D201" s="12" t="n">
        <v>2287</v>
      </c>
      <c r="E201" s="12" t="n">
        <v>12810</v>
      </c>
      <c r="F201" s="12" t="n">
        <v>-896</v>
      </c>
      <c r="G201" s="12" t="n">
        <v>2805</v>
      </c>
      <c r="H201" s="12" t="n">
        <v>4081</v>
      </c>
      <c r="I201" s="12" t="n">
        <v>15522</v>
      </c>
      <c r="V201" s="12" t="n">
        <v>12810</v>
      </c>
      <c r="W201" s="12" t="n">
        <v>15522</v>
      </c>
    </row>
    <row r="202">
      <c r="A202" s="18" t="inlineStr">
        <is>
          <t>EntityTotalMember · Operating Income</t>
        </is>
      </c>
      <c r="F202" s="20" t="n">
        <v>-896</v>
      </c>
      <c r="J202" s="20" t="n">
        <v>348</v>
      </c>
      <c r="N202" s="20" t="n">
        <v>4664</v>
      </c>
    </row>
    <row r="204">
      <c r="A204" s="16" t="inlineStr">
        <is>
          <t>현금흐름표 · 전 항목</t>
        </is>
      </c>
      <c r="B204" s="42" t="inlineStr">
        <is>
          <t>분기 = 결산기 첫날부터 누계(공시 그대로)</t>
        </is>
      </c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</row>
    <row r="205">
      <c r="A205" s="5" t="inlineStr">
        <is>
          <t>항목</t>
        </is>
      </c>
      <c r="B205" s="5" t="inlineStr">
        <is>
          <t>참고</t>
        </is>
      </c>
      <c r="C205" s="5" t="inlineStr">
        <is>
          <t>2024.2Q</t>
        </is>
      </c>
      <c r="D205" s="5" t="inlineStr">
        <is>
          <t>2024.3Q</t>
        </is>
      </c>
      <c r="E205" s="5" t="inlineStr">
        <is>
          <t>2024.4Q</t>
        </is>
      </c>
      <c r="F205" s="5" t="inlineStr">
        <is>
          <t>2025.1Q</t>
        </is>
      </c>
      <c r="G205" s="5" t="inlineStr">
        <is>
          <t>2025.2Q</t>
        </is>
      </c>
      <c r="H205" s="5" t="inlineStr">
        <is>
          <t>2025.3Q</t>
        </is>
      </c>
      <c r="I205" s="5" t="inlineStr">
        <is>
          <t>2025.4Q</t>
        </is>
      </c>
      <c r="J205" s="5" t="inlineStr">
        <is>
          <t>2026.1Q</t>
        </is>
      </c>
      <c r="K205" s="5" t="inlineStr">
        <is>
          <t>2026.2Q</t>
        </is>
      </c>
      <c r="L205" s="5" t="inlineStr">
        <is>
          <t>2026.3Q</t>
        </is>
      </c>
      <c r="M205" s="5" t="inlineStr">
        <is>
          <t>2026.4Q</t>
        </is>
      </c>
      <c r="N205" s="5" t="inlineStr">
        <is>
          <t>2027.1Q</t>
        </is>
      </c>
      <c r="O205" s="5" t="inlineStr">
        <is>
          <t>2017</t>
        </is>
      </c>
      <c r="P205" s="5" t="inlineStr">
        <is>
          <t>2018</t>
        </is>
      </c>
      <c r="Q205" s="5" t="inlineStr">
        <is>
          <t>2019</t>
        </is>
      </c>
      <c r="R205" s="5" t="inlineStr">
        <is>
          <t>2020</t>
        </is>
      </c>
      <c r="S205" s="5" t="inlineStr">
        <is>
          <t>2021</t>
        </is>
      </c>
      <c r="T205" s="5" t="inlineStr">
        <is>
          <t>2022</t>
        </is>
      </c>
      <c r="U205" s="5" t="inlineStr">
        <is>
          <t>2023</t>
        </is>
      </c>
      <c r="V205" s="5" t="inlineStr">
        <is>
          <t>2024</t>
        </is>
      </c>
      <c r="W205" s="5" t="inlineStr">
        <is>
          <t>2025</t>
        </is>
      </c>
      <c r="X205" s="5" t="inlineStr">
        <is>
          <t>2026</t>
        </is>
      </c>
      <c r="Y205" s="5" t="inlineStr">
        <is>
          <t>2027(MW)</t>
        </is>
      </c>
      <c r="Z205" s="5" t="inlineStr">
        <is>
          <t>2028(MW)</t>
        </is>
      </c>
      <c r="AA205" s="5" t="inlineStr">
        <is>
          <t>2029(MW)</t>
        </is>
      </c>
      <c r="AB205" s="5" t="inlineStr">
        <is>
          <t>2030(MW)</t>
        </is>
      </c>
      <c r="AC205" s="5" t="inlineStr">
        <is>
          <t>2031(MW)</t>
        </is>
      </c>
    </row>
    <row r="206">
      <c r="A206" s="9" t="inlineStr">
        <is>
          <t>법인세차감전 순이익</t>
        </is>
      </c>
      <c r="C206" s="12" t="n">
        <v>-1925</v>
      </c>
      <c r="D206" s="12" t="n">
        <v>2819</v>
      </c>
      <c r="E206" s="12" t="n">
        <v>15756</v>
      </c>
      <c r="F206" s="12" t="n">
        <v>1420</v>
      </c>
      <c r="G206" s="12" t="n">
        <v>2850</v>
      </c>
      <c r="H206" s="12" t="n">
        <v>8469</v>
      </c>
      <c r="I206" s="12" t="n">
        <v>23836</v>
      </c>
      <c r="J206" s="12" t="n">
        <v>565</v>
      </c>
      <c r="K206" s="12" t="n">
        <v>2962</v>
      </c>
      <c r="L206" s="12" t="n">
        <v>13566</v>
      </c>
      <c r="M206" s="12" t="n">
        <v>30820</v>
      </c>
      <c r="N206" s="12" t="n">
        <v>7002</v>
      </c>
      <c r="O206" s="12" t="n">
        <v>8231</v>
      </c>
      <c r="P206" s="12" t="n">
        <v>10272</v>
      </c>
      <c r="Q206" s="12" t="n">
        <v>10272</v>
      </c>
      <c r="R206" s="12" t="n">
        <v>11441</v>
      </c>
      <c r="S206" s="12" t="n">
        <v>11303</v>
      </c>
      <c r="T206" s="12" t="n">
        <v>9984</v>
      </c>
      <c r="U206" s="12" t="n">
        <v>10397</v>
      </c>
      <c r="V206" s="12" t="n">
        <v>15756</v>
      </c>
      <c r="W206" s="12" t="n">
        <v>23836</v>
      </c>
      <c r="X206" s="12" t="n">
        <v>30820</v>
      </c>
    </row>
    <row r="207">
      <c r="A207" s="18" t="inlineStr">
        <is>
          <t>감가상각비</t>
        </is>
      </c>
      <c r="C207" s="20" t="n">
        <v>4854</v>
      </c>
      <c r="D207" s="20" t="n">
        <v>7469</v>
      </c>
      <c r="E207" s="20" t="n">
        <v>10296</v>
      </c>
      <c r="F207" s="20" t="n">
        <v>2530</v>
      </c>
      <c r="G207" s="20" t="n">
        <v>4983</v>
      </c>
      <c r="H207" s="20" t="n">
        <v>7695</v>
      </c>
      <c r="I207" s="20" t="n">
        <v>10463</v>
      </c>
      <c r="J207" s="20" t="n">
        <v>2497</v>
      </c>
      <c r="K207" s="20" t="n">
        <v>5165</v>
      </c>
      <c r="L207" s="20" t="n">
        <v>8110</v>
      </c>
      <c r="M207" s="20" t="n">
        <v>11174</v>
      </c>
      <c r="N207" s="20" t="n">
        <v>2687</v>
      </c>
      <c r="O207" s="20" t="n">
        <v>8663</v>
      </c>
      <c r="P207" s="20" t="n">
        <v>8673</v>
      </c>
      <c r="Q207" s="20" t="n">
        <v>8623</v>
      </c>
      <c r="R207" s="20" t="n">
        <v>9200</v>
      </c>
      <c r="S207" s="20" t="n">
        <v>9918</v>
      </c>
      <c r="T207" s="20" t="n">
        <v>11929</v>
      </c>
      <c r="U207" s="20" t="n">
        <v>10382</v>
      </c>
      <c r="V207" s="20" t="n">
        <v>10296</v>
      </c>
      <c r="W207" s="20" t="n">
        <v>10463</v>
      </c>
      <c r="X207" s="20" t="n">
        <v>11174</v>
      </c>
    </row>
    <row r="208">
      <c r="A208" s="18" t="inlineStr">
        <is>
          <t>손상차손</t>
        </is>
      </c>
      <c r="E208" s="20" t="n">
        <v>470</v>
      </c>
      <c r="I208" s="20" t="n">
        <v>0</v>
      </c>
      <c r="M208" s="20" t="n">
        <v>3303</v>
      </c>
      <c r="R208" s="20" t="n">
        <v>0</v>
      </c>
      <c r="S208" s="20" t="n">
        <v>176</v>
      </c>
      <c r="T208" s="20" t="n">
        <v>500</v>
      </c>
      <c r="U208" s="20" t="n">
        <v>381</v>
      </c>
      <c r="V208" s="20" t="n">
        <v>470</v>
      </c>
      <c r="W208" s="20" t="n">
        <v>0</v>
      </c>
      <c r="X208" s="20" t="n">
        <v>3303</v>
      </c>
    </row>
    <row r="209">
      <c r="A209" s="18" t="inlineStr">
        <is>
          <t>영업권 상각</t>
        </is>
      </c>
      <c r="C209" s="20" t="n">
        <v>355</v>
      </c>
      <c r="D209" s="20" t="n">
        <v>512</v>
      </c>
      <c r="E209" s="20" t="n">
        <v>714</v>
      </c>
      <c r="F209" s="20" t="n">
        <v>201</v>
      </c>
      <c r="G209" s="20" t="n">
        <v>348</v>
      </c>
      <c r="H209" s="20" t="n">
        <v>555</v>
      </c>
      <c r="I209" s="20" t="n">
        <v>699</v>
      </c>
      <c r="J209" s="20" t="n">
        <v>155</v>
      </c>
      <c r="K209" s="20" t="n">
        <v>315</v>
      </c>
      <c r="L209" s="20" t="n">
        <v>497</v>
      </c>
      <c r="M209" s="20" t="n">
        <v>661</v>
      </c>
      <c r="N209" s="20" t="n">
        <v>151</v>
      </c>
      <c r="P209" s="20" t="n">
        <v>224</v>
      </c>
      <c r="Q209" s="20" t="n">
        <v>580</v>
      </c>
      <c r="R209" s="20" t="n">
        <v>565</v>
      </c>
      <c r="S209" s="20" t="n">
        <v>529</v>
      </c>
      <c r="T209" s="20" t="n">
        <v>605</v>
      </c>
      <c r="U209" s="20" t="n">
        <v>781</v>
      </c>
      <c r="V209" s="20" t="n">
        <v>714</v>
      </c>
      <c r="W209" s="20" t="n">
        <v>699</v>
      </c>
      <c r="X209" s="20" t="n">
        <v>661</v>
      </c>
    </row>
    <row r="210">
      <c r="A210" s="18" t="inlineStr">
        <is>
          <t>충당금 증감</t>
        </is>
      </c>
      <c r="C210" s="20" t="n">
        <v>-434</v>
      </c>
      <c r="D210" s="20" t="n">
        <v>-3244</v>
      </c>
      <c r="E210" s="20" t="n">
        <v>632</v>
      </c>
      <c r="F210" s="20" t="n">
        <v>-4198</v>
      </c>
      <c r="G210" s="20" t="n">
        <v>-380</v>
      </c>
      <c r="H210" s="20" t="n">
        <v>-3752</v>
      </c>
      <c r="I210" s="20" t="n">
        <v>1832</v>
      </c>
      <c r="J210" s="20" t="n">
        <v>-5050</v>
      </c>
      <c r="K210" s="20" t="n">
        <v>-623</v>
      </c>
      <c r="L210" s="20" t="n">
        <v>-4708</v>
      </c>
      <c r="M210" s="20" t="n">
        <v>1238</v>
      </c>
      <c r="N210" s="20" t="n">
        <v>-5373</v>
      </c>
      <c r="O210" s="20" t="n">
        <v>-564</v>
      </c>
      <c r="P210" s="20" t="n">
        <v>1369</v>
      </c>
      <c r="Q210" s="20" t="n">
        <v>218</v>
      </c>
      <c r="R210" s="20" t="n">
        <v>247</v>
      </c>
      <c r="S210" s="20" t="n">
        <v>-525</v>
      </c>
      <c r="T210" s="20" t="n">
        <v>191</v>
      </c>
      <c r="U210" s="20" t="n">
        <v>-383</v>
      </c>
      <c r="V210" s="20" t="n">
        <v>632</v>
      </c>
      <c r="W210" s="20" t="n">
        <v>1832</v>
      </c>
      <c r="X210" s="20" t="n">
        <v>1238</v>
      </c>
    </row>
    <row r="211">
      <c r="A211" s="18" t="inlineStr">
        <is>
          <t>퇴직급여부채 증감</t>
        </is>
      </c>
      <c r="C211" s="20" t="n">
        <v>971</v>
      </c>
      <c r="D211" s="20" t="n">
        <v>1370</v>
      </c>
      <c r="E211" s="20" t="n">
        <v>1657</v>
      </c>
      <c r="F211" s="20" t="n">
        <v>532</v>
      </c>
      <c r="G211" s="20" t="n">
        <v>917</v>
      </c>
      <c r="H211" s="20" t="n">
        <v>1381</v>
      </c>
      <c r="I211" s="20" t="n">
        <v>1322</v>
      </c>
      <c r="J211" s="20" t="n">
        <v>493</v>
      </c>
      <c r="K211" s="20" t="n">
        <v>580</v>
      </c>
      <c r="L211" s="20" t="n">
        <v>871</v>
      </c>
      <c r="M211" s="20" t="n">
        <v>859</v>
      </c>
      <c r="N211" s="20" t="n">
        <v>279</v>
      </c>
      <c r="O211" s="20" t="n">
        <v>649</v>
      </c>
      <c r="P211" s="20" t="n">
        <v>1175</v>
      </c>
      <c r="Q211" s="20" t="n">
        <v>600</v>
      </c>
      <c r="R211" s="20" t="n">
        <v>1021</v>
      </c>
      <c r="S211" s="20" t="n">
        <v>1697</v>
      </c>
      <c r="T211" s="20" t="n">
        <v>1773</v>
      </c>
      <c r="U211" s="20" t="n">
        <v>1717</v>
      </c>
      <c r="V211" s="20" t="n">
        <v>1657</v>
      </c>
      <c r="W211" s="20" t="n">
        <v>1322</v>
      </c>
      <c r="X211" s="20" t="n">
        <v>859</v>
      </c>
    </row>
    <row r="212">
      <c r="A212" s="18" t="inlineStr">
        <is>
          <t>이자·배당금 수익</t>
        </is>
      </c>
      <c r="C212" s="20" t="n">
        <v>-461</v>
      </c>
      <c r="D212" s="20" t="n">
        <v>-774</v>
      </c>
      <c r="E212" s="20" t="n">
        <v>-848</v>
      </c>
      <c r="F212" s="20" t="n">
        <v>-550</v>
      </c>
      <c r="G212" s="20" t="n">
        <v>-623</v>
      </c>
      <c r="H212" s="20" t="n">
        <v>-1023</v>
      </c>
      <c r="I212" s="20" t="n">
        <v>-1100</v>
      </c>
      <c r="J212" s="20" t="n">
        <v>-573</v>
      </c>
      <c r="K212" s="20" t="n">
        <v>-698</v>
      </c>
      <c r="L212" s="20" t="n">
        <v>-1118</v>
      </c>
      <c r="M212" s="20" t="n">
        <v>-1181</v>
      </c>
      <c r="N212" s="20" t="n">
        <v>-669</v>
      </c>
      <c r="O212" s="20" t="n">
        <v>-561</v>
      </c>
      <c r="P212" s="20" t="n">
        <v>-556</v>
      </c>
      <c r="Q212" s="20" t="n">
        <v>-611</v>
      </c>
      <c r="R212" s="20" t="n">
        <v>-624</v>
      </c>
      <c r="S212" s="20" t="n">
        <v>-568</v>
      </c>
      <c r="T212" s="20" t="n">
        <v>-638</v>
      </c>
      <c r="U212" s="20" t="n">
        <v>-738</v>
      </c>
      <c r="V212" s="20" t="n">
        <v>-848</v>
      </c>
      <c r="W212" s="20" t="n">
        <v>-1100</v>
      </c>
      <c r="X212" s="20" t="n">
        <v>-1181</v>
      </c>
    </row>
    <row r="213">
      <c r="A213" s="18" t="inlineStr">
        <is>
          <t>이자비용</t>
        </is>
      </c>
      <c r="C213" s="20" t="n">
        <v>452</v>
      </c>
      <c r="D213" s="20" t="n">
        <v>661</v>
      </c>
      <c r="E213" s="20" t="n">
        <v>908</v>
      </c>
      <c r="F213" s="20" t="n">
        <v>258</v>
      </c>
      <c r="G213" s="20" t="n">
        <v>484</v>
      </c>
      <c r="H213" s="20" t="n">
        <v>772</v>
      </c>
      <c r="I213" s="20" t="n">
        <v>986</v>
      </c>
      <c r="J213" s="20" t="n">
        <v>217</v>
      </c>
      <c r="K213" s="20" t="n">
        <v>450</v>
      </c>
      <c r="L213" s="20" t="n">
        <v>682</v>
      </c>
      <c r="M213" s="20" t="n">
        <v>928</v>
      </c>
      <c r="N213" s="20" t="n">
        <v>266</v>
      </c>
      <c r="O213" s="20" t="n">
        <v>465</v>
      </c>
      <c r="P213" s="20" t="n">
        <v>478</v>
      </c>
      <c r="Q213" s="20" t="n">
        <v>624</v>
      </c>
      <c r="R213" s="20" t="n">
        <v>621</v>
      </c>
      <c r="S213" s="20" t="n">
        <v>484</v>
      </c>
      <c r="T213" s="20" t="n">
        <v>564</v>
      </c>
      <c r="U213" s="20" t="n">
        <v>823</v>
      </c>
      <c r="V213" s="20" t="n">
        <v>908</v>
      </c>
      <c r="W213" s="20" t="n">
        <v>986</v>
      </c>
      <c r="X213" s="20" t="n">
        <v>928</v>
      </c>
    </row>
    <row r="214">
      <c r="A214" s="18" t="inlineStr">
        <is>
          <t>지분법손익</t>
        </is>
      </c>
      <c r="O214" s="20" t="n">
        <v>587</v>
      </c>
      <c r="P214" s="20" t="n">
        <v>901</v>
      </c>
      <c r="Q214" s="20" t="n">
        <v>-151</v>
      </c>
      <c r="R214" s="20" t="n">
        <v>-18</v>
      </c>
      <c r="S214" s="20" t="n">
        <v>0</v>
      </c>
      <c r="T214" s="20" t="n">
        <v>25</v>
      </c>
      <c r="U214" s="20" t="n">
        <v>0</v>
      </c>
    </row>
    <row r="215">
      <c r="A215" s="18" t="inlineStr">
        <is>
          <t>유형자산 매각손익</t>
        </is>
      </c>
      <c r="D215" s="20" t="n">
        <v>-3236</v>
      </c>
      <c r="E215" s="20" t="n">
        <v>-3236</v>
      </c>
      <c r="H215" s="20" t="n">
        <v>-675</v>
      </c>
      <c r="I215" s="20" t="n">
        <v>-640</v>
      </c>
      <c r="L215" s="20" t="n">
        <v>-5391</v>
      </c>
      <c r="M215" s="20" t="n">
        <v>-5391</v>
      </c>
      <c r="R215" s="20" t="n">
        <v>0</v>
      </c>
      <c r="S215" s="20" t="n">
        <v>-3270</v>
      </c>
      <c r="T215" s="20" t="n">
        <v>0</v>
      </c>
      <c r="U215" s="20" t="n">
        <v>-582</v>
      </c>
      <c r="V215" s="20" t="n">
        <v>-3236</v>
      </c>
      <c r="W215" s="20" t="n">
        <v>-640</v>
      </c>
      <c r="X215" s="20" t="n">
        <v>-5391</v>
      </c>
    </row>
    <row r="216">
      <c r="A216" s="18" t="inlineStr">
        <is>
          <t>투자유가증권 매각손익</t>
        </is>
      </c>
      <c r="C216" s="20" t="n">
        <v>0</v>
      </c>
      <c r="D216" s="20" t="n">
        <v>0</v>
      </c>
      <c r="E216" s="20" t="n">
        <v>-63</v>
      </c>
      <c r="F216" s="20" t="n">
        <v>-1274</v>
      </c>
      <c r="G216" s="20" t="n">
        <v>-1274</v>
      </c>
      <c r="H216" s="20" t="n">
        <v>-1274</v>
      </c>
      <c r="I216" s="20" t="n">
        <v>-1274</v>
      </c>
      <c r="J216" s="20" t="n">
        <v>0</v>
      </c>
      <c r="K216" s="20" t="n">
        <v>-14</v>
      </c>
      <c r="L216" s="20" t="n">
        <v>-14</v>
      </c>
      <c r="M216" s="20" t="n">
        <v>-967</v>
      </c>
      <c r="N216" s="20" t="n">
        <v>-1597</v>
      </c>
      <c r="R216" s="20" t="n">
        <v>-0</v>
      </c>
      <c r="S216" s="20" t="n">
        <v>-261</v>
      </c>
      <c r="T216" s="20" t="n">
        <v>-282</v>
      </c>
      <c r="U216" s="20" t="n">
        <v>-1140</v>
      </c>
      <c r="V216" s="20" t="n">
        <v>-63</v>
      </c>
      <c r="W216" s="20" t="n">
        <v>-1274</v>
      </c>
      <c r="X216" s="20" t="n">
        <v>-967</v>
      </c>
    </row>
    <row r="217">
      <c r="A217" s="18" t="inlineStr">
        <is>
          <t>투자유가증권 평가손익</t>
        </is>
      </c>
      <c r="Q217" s="20" t="n">
        <v>0</v>
      </c>
      <c r="R217" s="20" t="n">
        <v>367</v>
      </c>
      <c r="S217" s="20" t="n">
        <v>0</v>
      </c>
      <c r="T217" s="20" t="n">
        <v>3</v>
      </c>
      <c r="U217" s="20" t="n">
        <v>0</v>
      </c>
    </row>
    <row r="218">
      <c r="A218" s="18" t="inlineStr">
        <is>
          <t>관계회사 주식 평가손실</t>
        </is>
      </c>
      <c r="G218" s="20" t="n">
        <v>0</v>
      </c>
      <c r="H218" s="20" t="n">
        <v>0</v>
      </c>
      <c r="I218" s="20" t="n">
        <v>0</v>
      </c>
      <c r="K218" s="20" t="n">
        <v>218</v>
      </c>
      <c r="L218" s="20" t="n">
        <v>218</v>
      </c>
      <c r="M218" s="20" t="n">
        <v>218</v>
      </c>
      <c r="W218" s="20" t="n">
        <v>0</v>
      </c>
      <c r="X218" s="20" t="n">
        <v>218</v>
      </c>
    </row>
    <row r="219">
      <c r="A219" s="18" t="inlineStr">
        <is>
          <t>보험금 수익</t>
        </is>
      </c>
      <c r="D219" s="20" t="n">
        <v>-207</v>
      </c>
      <c r="E219" s="20" t="n">
        <v>-687</v>
      </c>
      <c r="H219" s="20" t="n">
        <v>-50</v>
      </c>
      <c r="I219" s="20" t="n">
        <v>-1165</v>
      </c>
      <c r="L219" s="20" t="n">
        <v>0</v>
      </c>
      <c r="M219" s="20" t="n">
        <v>0</v>
      </c>
      <c r="U219" s="20" t="n">
        <v>0</v>
      </c>
      <c r="V219" s="20" t="n">
        <v>-687</v>
      </c>
      <c r="W219" s="20" t="n">
        <v>-1165</v>
      </c>
      <c r="X219" s="20" t="n">
        <v>0</v>
      </c>
    </row>
    <row r="220">
      <c r="A220" s="18" t="inlineStr">
        <is>
          <t>보상금 수취</t>
        </is>
      </c>
      <c r="C220" s="20" t="n">
        <v>0</v>
      </c>
      <c r="D220" s="20" t="n">
        <v>0</v>
      </c>
      <c r="E220" s="20" t="n">
        <v>0</v>
      </c>
      <c r="T220" s="20" t="n">
        <v>0</v>
      </c>
      <c r="U220" s="20" t="n">
        <v>-351</v>
      </c>
      <c r="V220" s="20" t="n">
        <v>0</v>
      </c>
    </row>
    <row r="221">
      <c r="A221" s="18" t="inlineStr">
        <is>
          <t>수취 손해배상금</t>
        </is>
      </c>
      <c r="R221" s="20" t="n">
        <v>0</v>
      </c>
      <c r="S221" s="20" t="n">
        <v>-240</v>
      </c>
      <c r="T221" s="20" t="n">
        <v>-6</v>
      </c>
      <c r="U221" s="20" t="n">
        <v>0</v>
      </c>
    </row>
    <row r="222">
      <c r="A222" s="18" t="inlineStr">
        <is>
          <t>단계적 취득 차손익</t>
        </is>
      </c>
      <c r="Q222" s="20" t="n">
        <v>0</v>
      </c>
      <c r="R222" s="20" t="n">
        <v>-365</v>
      </c>
      <c r="S222" s="20" t="n">
        <v>0</v>
      </c>
    </row>
    <row r="223">
      <c r="A223" s="18" t="inlineStr">
        <is>
          <t>매출채권 증감</t>
        </is>
      </c>
      <c r="O223" s="20" t="n">
        <v>7755</v>
      </c>
      <c r="P223" s="20" t="n">
        <v>-12208</v>
      </c>
      <c r="Q223" s="20" t="n">
        <v>820</v>
      </c>
      <c r="R223" s="20" t="n">
        <v>-4407</v>
      </c>
      <c r="S223" s="20" t="n">
        <v>2945</v>
      </c>
      <c r="T223" s="20" t="n">
        <v>-10346</v>
      </c>
    </row>
    <row r="224">
      <c r="A224" s="18" t="inlineStr">
        <is>
          <t>매출채권·계약자산 증감</t>
        </is>
      </c>
      <c r="T224" s="20" t="n">
        <v>-10346</v>
      </c>
      <c r="U224" s="20" t="n">
        <v>-1888</v>
      </c>
    </row>
    <row r="225">
      <c r="A225" s="18" t="inlineStr">
        <is>
          <t>화재손실</t>
        </is>
      </c>
      <c r="D225" s="20" t="n">
        <v>735</v>
      </c>
      <c r="E225" s="20" t="n">
        <v>792</v>
      </c>
      <c r="H225" s="20" t="n">
        <v>0</v>
      </c>
      <c r="I225" s="20" t="n">
        <v>0</v>
      </c>
      <c r="U225" s="20" t="n">
        <v>0</v>
      </c>
      <c r="V225" s="20" t="n">
        <v>792</v>
      </c>
      <c r="W225" s="20" t="n">
        <v>0</v>
      </c>
    </row>
    <row r="226">
      <c r="A226" s="18" t="inlineStr">
        <is>
          <t>매출채권·계약자산 증감</t>
        </is>
      </c>
      <c r="C226" s="20" t="n">
        <v>36024</v>
      </c>
      <c r="D226" s="20" t="n">
        <v>31713</v>
      </c>
    </row>
    <row r="227">
      <c r="A227" s="18" t="inlineStr">
        <is>
          <t>매출채권·계약자산 증감</t>
        </is>
      </c>
      <c r="C227" s="20" t="n">
        <v>36024</v>
      </c>
      <c r="D227" s="20" t="n">
        <v>31713</v>
      </c>
      <c r="E227" s="20" t="n">
        <v>-4111</v>
      </c>
      <c r="F227" s="20" t="n">
        <v>46977</v>
      </c>
      <c r="G227" s="20" t="n">
        <v>40111</v>
      </c>
      <c r="H227" s="20" t="n">
        <v>43485</v>
      </c>
      <c r="I227" s="20" t="n">
        <v>5159</v>
      </c>
      <c r="J227" s="20" t="n">
        <v>46684</v>
      </c>
      <c r="K227" s="20" t="n">
        <v>36386</v>
      </c>
      <c r="L227" s="20" t="n">
        <v>29862</v>
      </c>
      <c r="M227" s="20" t="n">
        <v>-14125</v>
      </c>
      <c r="N227" s="20" t="n">
        <v>44666</v>
      </c>
      <c r="U227" s="20" t="n">
        <v>-1888</v>
      </c>
      <c r="V227" s="20" t="n">
        <v>-4111</v>
      </c>
      <c r="W227" s="20" t="n">
        <v>5159</v>
      </c>
      <c r="X227" s="20" t="n">
        <v>-14125</v>
      </c>
    </row>
    <row r="228">
      <c r="A228" s="18" t="inlineStr">
        <is>
          <t>재고자산 증감</t>
        </is>
      </c>
      <c r="C228" s="20" t="n">
        <v>-11157</v>
      </c>
      <c r="D228" s="20" t="n">
        <v>-19448</v>
      </c>
      <c r="E228" s="20" t="n">
        <v>-6621</v>
      </c>
      <c r="F228" s="20" t="n">
        <v>-9717</v>
      </c>
      <c r="G228" s="20" t="n">
        <v>-13972</v>
      </c>
      <c r="H228" s="20" t="n">
        <v>-21667</v>
      </c>
      <c r="I228" s="20" t="n">
        <v>-777</v>
      </c>
      <c r="J228" s="20" t="n">
        <v>-7015</v>
      </c>
      <c r="K228" s="20" t="n">
        <v>-7620</v>
      </c>
      <c r="L228" s="20" t="n">
        <v>-18001</v>
      </c>
      <c r="M228" s="20" t="n">
        <v>-2</v>
      </c>
      <c r="N228" s="20" t="n">
        <v>-6874</v>
      </c>
      <c r="O228" s="20" t="n">
        <v>-1657</v>
      </c>
      <c r="P228" s="20" t="n">
        <v>-309</v>
      </c>
      <c r="Q228" s="20" t="n">
        <v>-965</v>
      </c>
      <c r="R228" s="20" t="n">
        <v>-649</v>
      </c>
      <c r="S228" s="20" t="n">
        <v>11</v>
      </c>
      <c r="T228" s="20" t="n">
        <v>-3040</v>
      </c>
      <c r="U228" s="20" t="n">
        <v>-6698</v>
      </c>
      <c r="V228" s="20" t="n">
        <v>-6621</v>
      </c>
      <c r="W228" s="20" t="n">
        <v>-777</v>
      </c>
      <c r="X228" s="20" t="n">
        <v>-2</v>
      </c>
    </row>
    <row r="229">
      <c r="A229" s="18" t="inlineStr">
        <is>
          <t>매입채무 증감</t>
        </is>
      </c>
      <c r="C229" s="20" t="n">
        <v>-6737</v>
      </c>
      <c r="D229" s="20" t="n">
        <v>-5313</v>
      </c>
      <c r="E229" s="20" t="n">
        <v>-3378</v>
      </c>
      <c r="F229" s="20" t="n">
        <v>-7369</v>
      </c>
      <c r="G229" s="20" t="n">
        <v>-7230</v>
      </c>
      <c r="H229" s="20" t="n">
        <v>-7374</v>
      </c>
      <c r="I229" s="20" t="n">
        <v>-4433</v>
      </c>
      <c r="J229" s="20" t="n">
        <v>-8982</v>
      </c>
      <c r="K229" s="20" t="n">
        <v>-9180</v>
      </c>
      <c r="L229" s="20" t="n">
        <v>-7576</v>
      </c>
      <c r="M229" s="20" t="n">
        <v>-3902</v>
      </c>
      <c r="N229" s="20" t="n">
        <v>-4071</v>
      </c>
      <c r="O229" s="20" t="n">
        <v>-7484</v>
      </c>
      <c r="P229" s="20" t="n">
        <v>7700</v>
      </c>
      <c r="Q229" s="20" t="n">
        <v>-1203</v>
      </c>
      <c r="R229" s="20" t="n">
        <v>-4707</v>
      </c>
      <c r="S229" s="20" t="n">
        <v>-6529</v>
      </c>
      <c r="T229" s="20" t="n">
        <v>2702</v>
      </c>
      <c r="U229" s="20" t="n">
        <v>3978</v>
      </c>
      <c r="V229" s="20" t="n">
        <v>-3378</v>
      </c>
      <c r="W229" s="20" t="n">
        <v>-4433</v>
      </c>
      <c r="X229" s="20" t="n">
        <v>-3902</v>
      </c>
    </row>
    <row r="230">
      <c r="A230" s="18" t="inlineStr">
        <is>
          <t>기타</t>
        </is>
      </c>
      <c r="C230" s="20" t="n">
        <v>-3584</v>
      </c>
      <c r="D230" s="20" t="n">
        <v>-3183</v>
      </c>
      <c r="E230" s="20" t="n">
        <v>1828</v>
      </c>
      <c r="F230" s="20" t="n">
        <v>-4075</v>
      </c>
      <c r="G230" s="20" t="n">
        <v>-3807</v>
      </c>
      <c r="H230" s="20" t="n">
        <v>-1820</v>
      </c>
      <c r="I230" s="20" t="n">
        <v>3121</v>
      </c>
      <c r="J230" s="20" t="n">
        <v>-2630</v>
      </c>
      <c r="K230" s="20" t="n">
        <v>-5490</v>
      </c>
      <c r="L230" s="20" t="n">
        <v>-2257</v>
      </c>
      <c r="M230" s="20" t="n">
        <v>1306</v>
      </c>
      <c r="N230" s="20" t="n">
        <v>-1543</v>
      </c>
      <c r="O230" s="20" t="n">
        <v>-537</v>
      </c>
      <c r="P230" s="20" t="n">
        <v>2600</v>
      </c>
      <c r="Q230" s="20" t="n">
        <v>446</v>
      </c>
      <c r="R230" s="20" t="n">
        <v>1478</v>
      </c>
      <c r="S230" s="20" t="n">
        <v>2584</v>
      </c>
      <c r="T230" s="20" t="n">
        <v>1220</v>
      </c>
      <c r="U230" s="20" t="n">
        <v>-756</v>
      </c>
      <c r="V230" s="20" t="n">
        <v>1828</v>
      </c>
      <c r="W230" s="20" t="n">
        <v>3121</v>
      </c>
      <c r="X230" s="20" t="n">
        <v>1306</v>
      </c>
    </row>
    <row r="231">
      <c r="A231" s="18" t="inlineStr">
        <is>
          <t>소계</t>
        </is>
      </c>
      <c r="C231" s="20" t="n">
        <v>18356</v>
      </c>
      <c r="D231" s="20" t="n">
        <v>9872</v>
      </c>
      <c r="E231" s="20" t="n">
        <v>14109</v>
      </c>
      <c r="F231" s="20" t="n">
        <v>24735</v>
      </c>
      <c r="G231" s="20" t="n">
        <v>22406</v>
      </c>
      <c r="H231" s="20" t="n">
        <v>24723</v>
      </c>
      <c r="I231" s="20" t="n">
        <v>38029</v>
      </c>
      <c r="J231" s="20" t="n">
        <v>26361</v>
      </c>
      <c r="K231" s="20" t="n">
        <v>22450</v>
      </c>
      <c r="L231" s="20" t="n">
        <v>14740</v>
      </c>
      <c r="M231" s="20" t="n">
        <v>24939</v>
      </c>
      <c r="N231" s="20" t="n">
        <v>34922</v>
      </c>
      <c r="O231" s="20" t="n">
        <v>15549</v>
      </c>
      <c r="P231" s="20" t="n">
        <v>20323</v>
      </c>
      <c r="Q231" s="20" t="n">
        <v>19255</v>
      </c>
      <c r="R231" s="20" t="n">
        <v>14168</v>
      </c>
      <c r="S231" s="20" t="n">
        <v>18253</v>
      </c>
      <c r="T231" s="20" t="n">
        <v>15186</v>
      </c>
      <c r="U231" s="20" t="n">
        <v>15921</v>
      </c>
      <c r="V231" s="20" t="n">
        <v>14109</v>
      </c>
      <c r="W231" s="20" t="n">
        <v>38029</v>
      </c>
      <c r="X231" s="20" t="n">
        <v>24939</v>
      </c>
    </row>
    <row r="232">
      <c r="A232" s="18" t="inlineStr">
        <is>
          <t>이자·배당금 수취</t>
        </is>
      </c>
      <c r="C232" s="20" t="n">
        <v>461</v>
      </c>
      <c r="D232" s="20" t="n">
        <v>767</v>
      </c>
      <c r="E232" s="20" t="n">
        <v>836</v>
      </c>
      <c r="F232" s="20" t="n">
        <v>559</v>
      </c>
      <c r="G232" s="20" t="n">
        <v>634</v>
      </c>
      <c r="H232" s="20" t="n">
        <v>1026</v>
      </c>
      <c r="I232" s="20" t="n">
        <v>1104</v>
      </c>
      <c r="J232" s="20" t="n">
        <v>580</v>
      </c>
      <c r="K232" s="20" t="n">
        <v>707</v>
      </c>
      <c r="L232" s="20" t="n">
        <v>1120</v>
      </c>
      <c r="M232" s="20" t="n">
        <v>1180</v>
      </c>
      <c r="N232" s="20" t="n">
        <v>677</v>
      </c>
      <c r="O232" s="20" t="n">
        <v>608</v>
      </c>
      <c r="P232" s="20" t="n">
        <v>607</v>
      </c>
      <c r="Q232" s="20" t="n">
        <v>648</v>
      </c>
      <c r="R232" s="20" t="n">
        <v>675</v>
      </c>
      <c r="S232" s="20" t="n">
        <v>568</v>
      </c>
      <c r="T232" s="20" t="n">
        <v>638</v>
      </c>
      <c r="U232" s="20" t="n">
        <v>738</v>
      </c>
      <c r="V232" s="20" t="n">
        <v>836</v>
      </c>
      <c r="W232" s="20" t="n">
        <v>1104</v>
      </c>
      <c r="X232" s="20" t="n">
        <v>1180</v>
      </c>
    </row>
    <row r="233">
      <c r="A233" s="18" t="inlineStr">
        <is>
          <t>이자 지급</t>
        </is>
      </c>
      <c r="C233" s="20" t="n">
        <v>-434</v>
      </c>
      <c r="D233" s="20" t="n">
        <v>-637</v>
      </c>
      <c r="E233" s="20" t="n">
        <v>-905</v>
      </c>
      <c r="F233" s="20" t="n">
        <v>-254</v>
      </c>
      <c r="G233" s="20" t="n">
        <v>-468</v>
      </c>
      <c r="H233" s="20" t="n">
        <v>-753</v>
      </c>
      <c r="I233" s="20" t="n">
        <v>-988</v>
      </c>
      <c r="J233" s="20" t="n">
        <v>-167</v>
      </c>
      <c r="K233" s="20" t="n">
        <v>-451</v>
      </c>
      <c r="L233" s="20" t="n">
        <v>-651</v>
      </c>
      <c r="M233" s="20" t="n">
        <v>-921</v>
      </c>
      <c r="N233" s="20" t="n">
        <v>-180</v>
      </c>
      <c r="O233" s="20" t="n">
        <v>-481</v>
      </c>
      <c r="P233" s="20" t="n">
        <v>-481</v>
      </c>
      <c r="Q233" s="20" t="n">
        <v>-624</v>
      </c>
      <c r="R233" s="20" t="n">
        <v>-618</v>
      </c>
      <c r="S233" s="20" t="n">
        <v>-474</v>
      </c>
      <c r="T233" s="20" t="n">
        <v>-566</v>
      </c>
      <c r="U233" s="20" t="n">
        <v>-825</v>
      </c>
      <c r="V233" s="20" t="n">
        <v>-905</v>
      </c>
      <c r="W233" s="20" t="n">
        <v>-988</v>
      </c>
      <c r="X233" s="20" t="n">
        <v>-921</v>
      </c>
    </row>
    <row r="234">
      <c r="A234" s="18" t="inlineStr">
        <is>
          <t>보험금 수취</t>
        </is>
      </c>
      <c r="C234" s="20" t="n">
        <v>0</v>
      </c>
      <c r="D234" s="20" t="n">
        <v>207</v>
      </c>
      <c r="E234" s="20" t="n">
        <v>207</v>
      </c>
      <c r="F234" s="20" t="n">
        <v>439</v>
      </c>
      <c r="G234" s="20" t="n">
        <v>439</v>
      </c>
      <c r="H234" s="20" t="n">
        <v>529</v>
      </c>
      <c r="I234" s="20" t="n">
        <v>1644</v>
      </c>
      <c r="J234" s="20" t="n">
        <v>0</v>
      </c>
      <c r="K234" s="20" t="n">
        <v>0</v>
      </c>
      <c r="L234" s="20" t="n">
        <v>0</v>
      </c>
      <c r="M234" s="20" t="n">
        <v>0</v>
      </c>
      <c r="U234" s="20" t="n">
        <v>0</v>
      </c>
      <c r="V234" s="20" t="n">
        <v>207</v>
      </c>
      <c r="W234" s="20" t="n">
        <v>1644</v>
      </c>
      <c r="X234" s="20" t="n">
        <v>0</v>
      </c>
    </row>
    <row r="235">
      <c r="A235" s="18" t="inlineStr">
        <is>
          <t>보상금 수취</t>
        </is>
      </c>
      <c r="C235" s="20" t="n">
        <v>0</v>
      </c>
      <c r="D235" s="20" t="n">
        <v>0</v>
      </c>
      <c r="E235" s="20" t="n">
        <v>5</v>
      </c>
      <c r="T235" s="20" t="n">
        <v>0</v>
      </c>
      <c r="U235" s="20" t="n">
        <v>420</v>
      </c>
      <c r="V235" s="20" t="n">
        <v>5</v>
      </c>
    </row>
    <row r="236">
      <c r="A236" s="18" t="inlineStr">
        <is>
          <t>Loss On Fire Paid Ope CF</t>
        </is>
      </c>
      <c r="C236" s="20" t="n">
        <v>0</v>
      </c>
      <c r="D236" s="20" t="n">
        <v>-118</v>
      </c>
      <c r="E236" s="20" t="n">
        <v>-196</v>
      </c>
      <c r="F236" s="20" t="n">
        <v>-12</v>
      </c>
      <c r="G236" s="20" t="n">
        <v>-25</v>
      </c>
      <c r="H236" s="20" t="n">
        <v>-25</v>
      </c>
      <c r="I236" s="20" t="n">
        <v>-25</v>
      </c>
      <c r="J236" s="20" t="n">
        <v>0</v>
      </c>
      <c r="K236" s="20" t="n">
        <v>0</v>
      </c>
      <c r="L236" s="20" t="n">
        <v>0</v>
      </c>
      <c r="M236" s="20" t="n">
        <v>0</v>
      </c>
      <c r="U236" s="20" t="n">
        <v>0</v>
      </c>
      <c r="V236" s="20" t="n">
        <v>-196</v>
      </c>
      <c r="W236" s="20" t="n">
        <v>-25</v>
      </c>
      <c r="X236" s="20" t="n">
        <v>0</v>
      </c>
    </row>
    <row r="237">
      <c r="A237" s="18" t="inlineStr">
        <is>
          <t>법인세 납부</t>
        </is>
      </c>
      <c r="C237" s="20" t="n">
        <v>-3751</v>
      </c>
      <c r="D237" s="20" t="n">
        <v>-4919</v>
      </c>
      <c r="E237" s="20" t="n">
        <v>-5084</v>
      </c>
      <c r="F237" s="20" t="n">
        <v>-2351</v>
      </c>
      <c r="G237" s="20" t="n">
        <v>-2465</v>
      </c>
      <c r="H237" s="20" t="n">
        <v>-4233</v>
      </c>
      <c r="I237" s="20" t="n">
        <v>-4309</v>
      </c>
      <c r="J237" s="20" t="n">
        <v>-3503</v>
      </c>
      <c r="K237" s="20" t="n">
        <v>-4191</v>
      </c>
      <c r="L237" s="20" t="n">
        <v>-7116</v>
      </c>
      <c r="M237" s="20" t="n">
        <v>-7699</v>
      </c>
      <c r="N237" s="20" t="n">
        <v>-4719</v>
      </c>
      <c r="O237" s="20" t="n">
        <v>-3835</v>
      </c>
      <c r="P237" s="20" t="n">
        <v>-2473</v>
      </c>
      <c r="Q237" s="20" t="n">
        <v>-4913</v>
      </c>
      <c r="R237" s="20" t="n">
        <v>-3808</v>
      </c>
      <c r="S237" s="20" t="n">
        <v>-3747</v>
      </c>
      <c r="T237" s="20" t="n">
        <v>-3869</v>
      </c>
      <c r="U237" s="20" t="n">
        <v>-2512</v>
      </c>
      <c r="V237" s="20" t="n">
        <v>-5084</v>
      </c>
      <c r="W237" s="20" t="n">
        <v>-4309</v>
      </c>
      <c r="X237" s="20" t="n">
        <v>-7699</v>
      </c>
    </row>
    <row r="238">
      <c r="A238" s="9" t="inlineStr">
        <is>
          <t>영업활동 현금흐름</t>
        </is>
      </c>
      <c r="C238" s="12" t="n">
        <v>14632</v>
      </c>
      <c r="D238" s="12" t="n">
        <v>5172</v>
      </c>
      <c r="E238" s="12" t="n">
        <v>8968</v>
      </c>
      <c r="F238" s="12" t="n">
        <v>23116</v>
      </c>
      <c r="G238" s="12" t="n">
        <v>20520</v>
      </c>
      <c r="H238" s="12" t="n">
        <v>21266</v>
      </c>
      <c r="I238" s="12" t="n">
        <v>35454</v>
      </c>
      <c r="J238" s="12" t="n">
        <v>23270</v>
      </c>
      <c r="K238" s="12" t="n">
        <v>18515</v>
      </c>
      <c r="L238" s="12" t="n">
        <v>8093</v>
      </c>
      <c r="M238" s="12" t="n">
        <v>17498</v>
      </c>
      <c r="N238" s="12" t="n">
        <v>30700</v>
      </c>
      <c r="O238" s="12" t="n">
        <v>11840</v>
      </c>
      <c r="P238" s="12" t="n">
        <v>17975</v>
      </c>
      <c r="Q238" s="12" t="n">
        <v>14365</v>
      </c>
      <c r="R238" s="12" t="n">
        <v>10416</v>
      </c>
      <c r="S238" s="12" t="n">
        <v>14601</v>
      </c>
      <c r="T238" s="12" t="n">
        <v>11389</v>
      </c>
      <c r="U238" s="12" t="n">
        <v>13742</v>
      </c>
      <c r="V238" s="12" t="n">
        <v>8968</v>
      </c>
      <c r="W238" s="12" t="n">
        <v>35454</v>
      </c>
      <c r="X238" s="12" t="n">
        <v>17498</v>
      </c>
    </row>
    <row r="239">
      <c r="A239" s="18" t="inlineStr">
        <is>
          <t>유형자산 매각</t>
        </is>
      </c>
      <c r="D239" s="20" t="n">
        <v>3450</v>
      </c>
      <c r="E239" s="20" t="n">
        <v>3450</v>
      </c>
      <c r="H239" s="20" t="n">
        <v>993</v>
      </c>
      <c r="I239" s="20" t="n">
        <v>947</v>
      </c>
      <c r="L239" s="20" t="n">
        <v>6186</v>
      </c>
      <c r="M239" s="20" t="n">
        <v>6090</v>
      </c>
      <c r="R239" s="20" t="n">
        <v>59</v>
      </c>
      <c r="S239" s="20" t="n">
        <v>3456</v>
      </c>
      <c r="T239" s="20" t="n">
        <v>29</v>
      </c>
      <c r="U239" s="20" t="n">
        <v>1327</v>
      </c>
      <c r="V239" s="20" t="n">
        <v>3450</v>
      </c>
      <c r="W239" s="20" t="n">
        <v>947</v>
      </c>
      <c r="X239" s="20" t="n">
        <v>6090</v>
      </c>
    </row>
    <row r="240">
      <c r="A240" s="18" t="inlineStr">
        <is>
          <t>Purchase Of Property Plant And Equipment And Intangible Assets Inv CF</t>
        </is>
      </c>
      <c r="C240" s="20" t="n">
        <v>-4423</v>
      </c>
      <c r="D240" s="20" t="n">
        <v>-6269</v>
      </c>
      <c r="E240" s="20" t="n">
        <v>-9343</v>
      </c>
      <c r="F240" s="20" t="n">
        <v>-1981</v>
      </c>
      <c r="G240" s="20" t="n">
        <v>-4729</v>
      </c>
      <c r="H240" s="20" t="n">
        <v>-7268</v>
      </c>
      <c r="I240" s="20" t="n">
        <v>-10547</v>
      </c>
      <c r="J240" s="20" t="n">
        <v>-3691</v>
      </c>
      <c r="K240" s="20" t="n">
        <v>-6866</v>
      </c>
      <c r="L240" s="20" t="n">
        <v>-11758</v>
      </c>
      <c r="M240" s="20" t="n">
        <v>-15241</v>
      </c>
      <c r="N240" s="20" t="n">
        <v>-6735</v>
      </c>
      <c r="O240" s="20" t="n">
        <v>-7270</v>
      </c>
      <c r="P240" s="20" t="n">
        <v>-7082</v>
      </c>
      <c r="Q240" s="20" t="n">
        <v>-7831</v>
      </c>
      <c r="R240" s="20" t="n">
        <v>-14908</v>
      </c>
      <c r="S240" s="20" t="n">
        <v>-15615</v>
      </c>
      <c r="T240" s="20" t="n">
        <v>-8913</v>
      </c>
      <c r="U240" s="20" t="n">
        <v>-12395</v>
      </c>
      <c r="V240" s="20" t="n">
        <v>-9343</v>
      </c>
      <c r="W240" s="20" t="n">
        <v>-10547</v>
      </c>
      <c r="X240" s="20" t="n">
        <v>-15241</v>
      </c>
    </row>
    <row r="241">
      <c r="A241" s="18" t="inlineStr">
        <is>
          <t>투자유가증권 매각</t>
        </is>
      </c>
      <c r="C241" s="20" t="n">
        <v>0</v>
      </c>
      <c r="D241" s="20" t="n">
        <v>0</v>
      </c>
      <c r="E241" s="20" t="n">
        <v>67</v>
      </c>
      <c r="F241" s="20" t="n">
        <v>1422</v>
      </c>
      <c r="G241" s="20" t="n">
        <v>1422</v>
      </c>
      <c r="H241" s="20" t="n">
        <v>1422</v>
      </c>
      <c r="I241" s="20" t="n">
        <v>1422</v>
      </c>
      <c r="J241" s="20" t="n">
        <v>0</v>
      </c>
      <c r="K241" s="20" t="n">
        <v>18</v>
      </c>
      <c r="L241" s="20" t="n">
        <v>18</v>
      </c>
      <c r="M241" s="20" t="n">
        <v>1048</v>
      </c>
      <c r="N241" s="20" t="n">
        <v>1791</v>
      </c>
      <c r="O241" s="20" t="n">
        <v>422</v>
      </c>
      <c r="P241" s="20" t="n">
        <v>648</v>
      </c>
      <c r="Q241" s="20" t="n">
        <v>0</v>
      </c>
      <c r="R241" s="20" t="n">
        <v>286</v>
      </c>
      <c r="S241" s="20" t="n">
        <v>336</v>
      </c>
      <c r="T241" s="20" t="n">
        <v>1375</v>
      </c>
      <c r="U241" s="20" t="n">
        <v>1462</v>
      </c>
      <c r="V241" s="20" t="n">
        <v>67</v>
      </c>
      <c r="W241" s="20" t="n">
        <v>1422</v>
      </c>
      <c r="X241" s="20" t="n">
        <v>1048</v>
      </c>
    </row>
    <row r="242">
      <c r="A242" s="18" t="inlineStr">
        <is>
          <t>관계회사 주식 취득</t>
        </is>
      </c>
      <c r="O242" s="20" t="n">
        <v>-2687</v>
      </c>
      <c r="P242" s="20" t="n">
        <v>-587</v>
      </c>
      <c r="Q242" s="20" t="n">
        <v>0</v>
      </c>
      <c r="R242" s="20" t="n">
        <v>-9</v>
      </c>
      <c r="S242" s="20" t="n">
        <v>-491</v>
      </c>
      <c r="T242" s="20" t="n">
        <v>0</v>
      </c>
    </row>
    <row r="243">
      <c r="A243" s="18" t="inlineStr">
        <is>
          <t>대여</t>
        </is>
      </c>
      <c r="O243" s="20" t="n">
        <v>-2379</v>
      </c>
      <c r="P243" s="20" t="n">
        <v>-3</v>
      </c>
      <c r="Q243" s="20" t="n">
        <v>-2</v>
      </c>
    </row>
    <row r="244">
      <c r="A244" s="18" t="inlineStr">
        <is>
          <t>정기예금 증감</t>
        </is>
      </c>
      <c r="I244" s="20" t="n">
        <v>161</v>
      </c>
      <c r="M244" s="20" t="n">
        <v>-6557</v>
      </c>
      <c r="W244" s="20" t="n">
        <v>161</v>
      </c>
      <c r="X244" s="20" t="n">
        <v>-6557</v>
      </c>
    </row>
    <row r="245">
      <c r="A245" s="18" t="inlineStr">
        <is>
          <t>연결범위 변경 자회사 주식 취득</t>
        </is>
      </c>
      <c r="H245" s="20" t="n">
        <v>0</v>
      </c>
      <c r="I245" s="20" t="n">
        <v>0</v>
      </c>
      <c r="L245" s="20" t="n">
        <v>-5</v>
      </c>
      <c r="M245" s="20" t="n">
        <v>-5</v>
      </c>
      <c r="W245" s="20" t="n">
        <v>0</v>
      </c>
      <c r="X245" s="20" t="n">
        <v>-5</v>
      </c>
    </row>
    <row r="246">
      <c r="A246" s="18" t="inlineStr">
        <is>
          <t>연결범위 변경 자회사 주식 취득(수입)</t>
        </is>
      </c>
      <c r="D246" s="20" t="n">
        <v>0</v>
      </c>
      <c r="E246" s="20" t="n">
        <v>0</v>
      </c>
      <c r="H246" s="20" t="n">
        <v>11</v>
      </c>
      <c r="I246" s="20" t="n">
        <v>11</v>
      </c>
      <c r="L246" s="20" t="n">
        <v>0</v>
      </c>
      <c r="M246" s="20" t="n">
        <v>0</v>
      </c>
      <c r="Q246" s="20" t="n">
        <v>0</v>
      </c>
      <c r="R246" s="20" t="n">
        <v>1649</v>
      </c>
      <c r="S246" s="20" t="n">
        <v>0</v>
      </c>
      <c r="T246" s="20" t="n">
        <v>67</v>
      </c>
      <c r="U246" s="20" t="n">
        <v>0</v>
      </c>
      <c r="V246" s="20" t="n">
        <v>0</v>
      </c>
      <c r="W246" s="20" t="n">
        <v>11</v>
      </c>
      <c r="X246" s="20" t="n">
        <v>0</v>
      </c>
    </row>
    <row r="247">
      <c r="A247" s="18" t="inlineStr">
        <is>
          <t>기타</t>
        </is>
      </c>
      <c r="C247" s="20" t="n">
        <v>-526</v>
      </c>
      <c r="D247" s="20" t="n">
        <v>-1419</v>
      </c>
      <c r="E247" s="20" t="n">
        <v>-1727</v>
      </c>
      <c r="F247" s="20" t="n">
        <v>445</v>
      </c>
      <c r="G247" s="20" t="n">
        <v>519</v>
      </c>
      <c r="H247" s="20" t="n">
        <v>-348</v>
      </c>
      <c r="I247" s="20" t="n">
        <v>-1060</v>
      </c>
      <c r="J247" s="20" t="n">
        <v>-1959</v>
      </c>
      <c r="K247" s="20" t="n">
        <v>-1780</v>
      </c>
      <c r="L247" s="20" t="n">
        <v>-3163</v>
      </c>
      <c r="M247" s="20" t="n">
        <v>-2468</v>
      </c>
      <c r="N247" s="20" t="n">
        <v>-949</v>
      </c>
      <c r="O247" s="20" t="n">
        <v>-115</v>
      </c>
      <c r="P247" s="20" t="n">
        <v>-556</v>
      </c>
      <c r="Q247" s="20" t="n">
        <v>-242</v>
      </c>
      <c r="R247" s="20" t="n">
        <v>-777</v>
      </c>
      <c r="S247" s="20" t="n">
        <v>-803</v>
      </c>
      <c r="T247" s="20" t="n">
        <v>-61</v>
      </c>
      <c r="U247" s="20" t="n">
        <v>-900</v>
      </c>
      <c r="V247" s="20" t="n">
        <v>-1727</v>
      </c>
      <c r="W247" s="20" t="n">
        <v>-1060</v>
      </c>
      <c r="X247" s="20" t="n">
        <v>-2468</v>
      </c>
    </row>
    <row r="248">
      <c r="A248" s="9" t="inlineStr">
        <is>
          <t>투자활동 현금흐름</t>
        </is>
      </c>
      <c r="C248" s="12" t="n">
        <v>-4950</v>
      </c>
      <c r="D248" s="12" t="n">
        <v>-4239</v>
      </c>
      <c r="E248" s="12" t="n">
        <v>-7553</v>
      </c>
      <c r="F248" s="12" t="n">
        <v>-113</v>
      </c>
      <c r="G248" s="12" t="n">
        <v>-2787</v>
      </c>
      <c r="H248" s="12" t="n">
        <v>-5189</v>
      </c>
      <c r="I248" s="12" t="n">
        <v>-9065</v>
      </c>
      <c r="J248" s="12" t="n">
        <v>-5650</v>
      </c>
      <c r="K248" s="12" t="n">
        <v>-8628</v>
      </c>
      <c r="L248" s="12" t="n">
        <v>-8723</v>
      </c>
      <c r="M248" s="12" t="n">
        <v>-17134</v>
      </c>
      <c r="N248" s="12" t="n">
        <v>-5892</v>
      </c>
      <c r="O248" s="12" t="n">
        <v>-12031</v>
      </c>
      <c r="P248" s="12" t="n">
        <v>-7582</v>
      </c>
      <c r="Q248" s="12" t="n">
        <v>-8074</v>
      </c>
      <c r="R248" s="12" t="n">
        <v>-13700</v>
      </c>
      <c r="S248" s="12" t="n">
        <v>-13117</v>
      </c>
      <c r="T248" s="12" t="n">
        <v>-7503</v>
      </c>
      <c r="U248" s="12" t="n">
        <v>-10506</v>
      </c>
      <c r="V248" s="12" t="n">
        <v>-7553</v>
      </c>
      <c r="W248" s="12" t="n">
        <v>-9065</v>
      </c>
      <c r="X248" s="12" t="n">
        <v>-17134</v>
      </c>
    </row>
    <row r="249">
      <c r="A249" s="18" t="inlineStr">
        <is>
          <t>Purchase Of Treasury Stock Of Subsidiaries In Consolidation Fin CF</t>
        </is>
      </c>
      <c r="S249" s="20" t="n">
        <v>0</v>
      </c>
      <c r="T249" s="20" t="n">
        <v>-2</v>
      </c>
      <c r="U249" s="20" t="n">
        <v>0</v>
      </c>
    </row>
    <row r="250">
      <c r="A250" s="18" t="inlineStr">
        <is>
          <t>단기차입금 순증감</t>
        </is>
      </c>
      <c r="C250" s="20" t="n">
        <v>-1621</v>
      </c>
      <c r="D250" s="20" t="n">
        <v>-1470</v>
      </c>
      <c r="E250" s="20" t="n">
        <v>1744</v>
      </c>
      <c r="F250" s="20" t="n">
        <v>-2250</v>
      </c>
      <c r="G250" s="20" t="n">
        <v>-1274</v>
      </c>
      <c r="H250" s="20" t="n">
        <v>-2124</v>
      </c>
      <c r="I250" s="20" t="n">
        <v>-4623</v>
      </c>
      <c r="J250" s="20" t="n">
        <v>906</v>
      </c>
      <c r="K250" s="20" t="n">
        <v>1373</v>
      </c>
      <c r="L250" s="20" t="n">
        <v>2686</v>
      </c>
      <c r="M250" s="20" t="n">
        <v>2903</v>
      </c>
      <c r="N250" s="20" t="n">
        <v>-240</v>
      </c>
      <c r="O250" s="20" t="n">
        <v>450</v>
      </c>
      <c r="P250" s="20" t="n">
        <v>-1915</v>
      </c>
      <c r="Q250" s="20" t="n">
        <v>985</v>
      </c>
      <c r="R250" s="20" t="n">
        <v>-649</v>
      </c>
      <c r="S250" s="20" t="n">
        <v>50</v>
      </c>
      <c r="T250" s="20" t="n">
        <v>2160</v>
      </c>
      <c r="U250" s="20" t="n">
        <v>-4066</v>
      </c>
      <c r="V250" s="20" t="n">
        <v>1744</v>
      </c>
      <c r="W250" s="20" t="n">
        <v>-4623</v>
      </c>
      <c r="X250" s="20" t="n">
        <v>2903</v>
      </c>
    </row>
    <row r="251">
      <c r="A251" s="18" t="inlineStr">
        <is>
          <t>사채 상환</t>
        </is>
      </c>
      <c r="C251" s="20" t="n">
        <v>0</v>
      </c>
      <c r="D251" s="20" t="n">
        <v>0</v>
      </c>
      <c r="E251" s="20" t="n">
        <v>0</v>
      </c>
      <c r="G251" s="20" t="n">
        <v>-6000</v>
      </c>
      <c r="H251" s="20" t="n">
        <v>-6000</v>
      </c>
      <c r="I251" s="20" t="n">
        <v>-6000</v>
      </c>
      <c r="K251" s="20" t="n">
        <v>0</v>
      </c>
      <c r="L251" s="20" t="n">
        <v>0</v>
      </c>
      <c r="M251" s="20" t="n">
        <v>0</v>
      </c>
      <c r="T251" s="20" t="n">
        <v>0</v>
      </c>
      <c r="U251" s="20" t="n">
        <v>-5000</v>
      </c>
      <c r="V251" s="20" t="n">
        <v>0</v>
      </c>
      <c r="W251" s="20" t="n">
        <v>-6000</v>
      </c>
      <c r="X251" s="20" t="n">
        <v>0</v>
      </c>
    </row>
    <row r="252">
      <c r="A252" s="18" t="inlineStr">
        <is>
          <t>기업어음(CP) 순증감액</t>
        </is>
      </c>
      <c r="C252" s="20" t="n">
        <v>1000</v>
      </c>
      <c r="D252" s="20" t="n">
        <v>10000</v>
      </c>
      <c r="E252" s="20" t="n">
        <v>2000</v>
      </c>
      <c r="F252" s="20" t="n">
        <v>-10000</v>
      </c>
      <c r="G252" s="20" t="n">
        <v>-4000</v>
      </c>
      <c r="H252" s="20" t="n">
        <v>8000</v>
      </c>
      <c r="I252" s="20" t="n">
        <v>-4000</v>
      </c>
      <c r="J252" s="20" t="n">
        <v>-6000</v>
      </c>
      <c r="K252" s="20" t="n">
        <v>-6000</v>
      </c>
      <c r="L252" s="20" t="n">
        <v>6000</v>
      </c>
      <c r="M252" s="20" t="n">
        <v>-1000</v>
      </c>
      <c r="N252" s="20" t="n">
        <v>-5000</v>
      </c>
      <c r="O252" s="20" t="n">
        <v>4000</v>
      </c>
      <c r="P252" s="20" t="n">
        <v>-9000</v>
      </c>
      <c r="Q252" s="20" t="n">
        <v>-6000</v>
      </c>
      <c r="R252" s="20" t="n">
        <v>3000</v>
      </c>
      <c r="S252" s="20" t="n">
        <v>2000</v>
      </c>
      <c r="T252" s="20" t="n">
        <v>-3000</v>
      </c>
      <c r="U252" s="20" t="n">
        <v>6000</v>
      </c>
      <c r="V252" s="20" t="n">
        <v>2000</v>
      </c>
      <c r="W252" s="20" t="n">
        <v>-4000</v>
      </c>
      <c r="X252" s="20" t="n">
        <v>-1000</v>
      </c>
    </row>
    <row r="253">
      <c r="A253" s="18" t="inlineStr">
        <is>
          <t>장기차입</t>
        </is>
      </c>
      <c r="C253" s="20" t="n">
        <v>159</v>
      </c>
      <c r="D253" s="20" t="n">
        <v>248</v>
      </c>
      <c r="E253" s="20" t="n">
        <v>8759</v>
      </c>
      <c r="F253" s="20" t="n">
        <v>0</v>
      </c>
      <c r="G253" s="20" t="n">
        <v>0</v>
      </c>
      <c r="H253" s="20" t="n">
        <v>0</v>
      </c>
      <c r="I253" s="20" t="n">
        <v>5900</v>
      </c>
      <c r="M253" s="20" t="n">
        <v>4550</v>
      </c>
      <c r="O253" s="20" t="n">
        <v>10000</v>
      </c>
      <c r="P253" s="20" t="n">
        <v>0</v>
      </c>
      <c r="Q253" s="20" t="n">
        <v>7249</v>
      </c>
      <c r="R253" s="20" t="n">
        <v>1726</v>
      </c>
      <c r="S253" s="20" t="n">
        <v>3503</v>
      </c>
      <c r="T253" s="20" t="n">
        <v>9380</v>
      </c>
      <c r="U253" s="20" t="n">
        <v>4731</v>
      </c>
      <c r="V253" s="20" t="n">
        <v>8759</v>
      </c>
      <c r="W253" s="20" t="n">
        <v>5900</v>
      </c>
      <c r="X253" s="20" t="n">
        <v>4550</v>
      </c>
    </row>
    <row r="254">
      <c r="A254" s="18" t="inlineStr">
        <is>
          <t>장기차입금 상환</t>
        </is>
      </c>
      <c r="C254" s="20" t="n">
        <v>-2075</v>
      </c>
      <c r="D254" s="20" t="n">
        <v>-2092</v>
      </c>
      <c r="E254" s="20" t="n">
        <v>-9106</v>
      </c>
      <c r="F254" s="20" t="n">
        <v>-25</v>
      </c>
      <c r="G254" s="20" t="n">
        <v>-39</v>
      </c>
      <c r="H254" s="20" t="n">
        <v>-58</v>
      </c>
      <c r="I254" s="20" t="n">
        <v>-1271</v>
      </c>
      <c r="J254" s="20" t="n">
        <v>-421</v>
      </c>
      <c r="K254" s="20" t="n">
        <v>-3451</v>
      </c>
      <c r="L254" s="20" t="n">
        <v>-3949</v>
      </c>
      <c r="M254" s="20" t="n">
        <v>-7246</v>
      </c>
      <c r="N254" s="20" t="n">
        <v>-494</v>
      </c>
      <c r="O254" s="20" t="n">
        <v>-16543</v>
      </c>
      <c r="P254" s="20" t="n">
        <v>-3438</v>
      </c>
      <c r="Q254" s="20" t="n">
        <v>-2586</v>
      </c>
      <c r="R254" s="20" t="n">
        <v>-3096</v>
      </c>
      <c r="S254" s="20" t="n">
        <v>-4370</v>
      </c>
      <c r="T254" s="20" t="n">
        <v>-9390</v>
      </c>
      <c r="U254" s="20" t="n">
        <v>-536</v>
      </c>
      <c r="V254" s="20" t="n">
        <v>-9106</v>
      </c>
      <c r="W254" s="20" t="n">
        <v>-1271</v>
      </c>
      <c r="X254" s="20" t="n">
        <v>-7246</v>
      </c>
    </row>
    <row r="255">
      <c r="A255" s="18" t="inlineStr">
        <is>
          <t>사채 발행</t>
        </is>
      </c>
      <c r="O255" s="20" t="n">
        <v>0</v>
      </c>
      <c r="P255" s="20" t="n">
        <v>5000</v>
      </c>
      <c r="Q255" s="20" t="n">
        <v>0</v>
      </c>
      <c r="R255" s="20" t="n">
        <v>6000</v>
      </c>
      <c r="S255" s="20" t="n">
        <v>0</v>
      </c>
    </row>
    <row r="256">
      <c r="A256" s="18" t="inlineStr">
        <is>
          <t>비지배주주 납입</t>
        </is>
      </c>
      <c r="Q256" s="20" t="n">
        <v>0</v>
      </c>
      <c r="R256" s="20" t="n">
        <v>13</v>
      </c>
      <c r="S256" s="20" t="n">
        <v>0</v>
      </c>
    </row>
    <row r="257">
      <c r="A257" s="18" t="inlineStr">
        <is>
          <t>배당금 지급</t>
        </is>
      </c>
      <c r="C257" s="20" t="n">
        <v>-998</v>
      </c>
      <c r="D257" s="20" t="n">
        <v>-2007</v>
      </c>
      <c r="E257" s="20" t="n">
        <v>-2131</v>
      </c>
      <c r="F257" s="20" t="n">
        <v>-2030</v>
      </c>
      <c r="G257" s="20" t="n">
        <v>-2264</v>
      </c>
      <c r="H257" s="20" t="n">
        <v>-3803</v>
      </c>
      <c r="I257" s="20" t="n">
        <v>-3851</v>
      </c>
      <c r="J257" s="20" t="n">
        <v>-3599</v>
      </c>
      <c r="K257" s="20" t="n">
        <v>-3983</v>
      </c>
      <c r="L257" s="20" t="n">
        <v>-5923</v>
      </c>
      <c r="M257" s="20" t="n">
        <v>-6114</v>
      </c>
      <c r="N257" s="20" t="n">
        <v>-4554</v>
      </c>
      <c r="O257" s="20" t="n">
        <v>-1814</v>
      </c>
      <c r="P257" s="20" t="n">
        <v>-1814</v>
      </c>
      <c r="Q257" s="20" t="n">
        <v>-2042</v>
      </c>
      <c r="R257" s="20" t="n">
        <v>-2267</v>
      </c>
      <c r="S257" s="20" t="n">
        <v>-2041</v>
      </c>
      <c r="T257" s="20" t="n">
        <v>-2405</v>
      </c>
      <c r="U257" s="20" t="n">
        <v>-2405</v>
      </c>
      <c r="V257" s="20" t="n">
        <v>-2131</v>
      </c>
      <c r="W257" s="20" t="n">
        <v>-3851</v>
      </c>
      <c r="X257" s="20" t="n">
        <v>-6114</v>
      </c>
    </row>
    <row r="258">
      <c r="A258" s="18" t="inlineStr">
        <is>
          <t>비지배주주 배당금 지급</t>
        </is>
      </c>
      <c r="C258" s="20" t="n">
        <v>-53</v>
      </c>
      <c r="D258" s="20" t="n">
        <v>-53</v>
      </c>
      <c r="E258" s="20" t="n">
        <v>-53</v>
      </c>
      <c r="F258" s="20" t="n">
        <v>-28</v>
      </c>
      <c r="G258" s="20" t="n">
        <v>-50</v>
      </c>
      <c r="H258" s="20" t="n">
        <v>-51</v>
      </c>
      <c r="I258" s="20" t="n">
        <v>-51</v>
      </c>
      <c r="J258" s="20" t="n">
        <v>-58</v>
      </c>
      <c r="K258" s="20" t="n">
        <v>-100</v>
      </c>
      <c r="L258" s="20" t="n">
        <v>-100</v>
      </c>
      <c r="M258" s="20" t="n">
        <v>-100</v>
      </c>
      <c r="N258" s="20" t="n">
        <v>-74</v>
      </c>
      <c r="O258" s="20" t="n">
        <v>-66</v>
      </c>
      <c r="P258" s="20" t="n">
        <v>-17</v>
      </c>
      <c r="Q258" s="20" t="n">
        <v>-8</v>
      </c>
      <c r="R258" s="20" t="n">
        <v>-3</v>
      </c>
      <c r="S258" s="20" t="n">
        <v>-70</v>
      </c>
      <c r="T258" s="20" t="n">
        <v>-75</v>
      </c>
      <c r="U258" s="20" t="n">
        <v>-103</v>
      </c>
      <c r="V258" s="20" t="n">
        <v>-53</v>
      </c>
      <c r="W258" s="20" t="n">
        <v>-51</v>
      </c>
      <c r="X258" s="20" t="n">
        <v>-100</v>
      </c>
    </row>
    <row r="259">
      <c r="A259" s="18" t="inlineStr">
        <is>
          <t>연결범위 변경 없는 자회사 주식 취득</t>
        </is>
      </c>
      <c r="E259" s="20" t="n">
        <v>0</v>
      </c>
      <c r="I259" s="20" t="n">
        <v>0</v>
      </c>
      <c r="M259" s="20" t="n">
        <v>-86</v>
      </c>
      <c r="O259" s="20" t="n">
        <v>0</v>
      </c>
      <c r="P259" s="20" t="n">
        <v>-272</v>
      </c>
      <c r="Q259" s="20" t="n">
        <v>-531</v>
      </c>
      <c r="R259" s="20" t="n">
        <v>-521</v>
      </c>
      <c r="S259" s="20" t="n">
        <v>-234</v>
      </c>
      <c r="T259" s="20" t="n">
        <v>-502</v>
      </c>
      <c r="U259" s="20" t="n">
        <v>-794</v>
      </c>
      <c r="V259" s="20" t="n">
        <v>0</v>
      </c>
      <c r="W259" s="20" t="n">
        <v>0</v>
      </c>
      <c r="X259" s="20" t="n">
        <v>-86</v>
      </c>
    </row>
    <row r="260">
      <c r="A260" s="18" t="inlineStr">
        <is>
          <t>기타</t>
        </is>
      </c>
      <c r="C260" s="20" t="n">
        <v>-244</v>
      </c>
      <c r="D260" s="20" t="n">
        <v>-207</v>
      </c>
      <c r="E260" s="20" t="n">
        <v>-463</v>
      </c>
      <c r="F260" s="20" t="n">
        <v>-61</v>
      </c>
      <c r="G260" s="20" t="n">
        <v>-276</v>
      </c>
      <c r="H260" s="20" t="n">
        <v>-357</v>
      </c>
      <c r="I260" s="20" t="n">
        <v>-638</v>
      </c>
      <c r="J260" s="20" t="n">
        <v>-111</v>
      </c>
      <c r="K260" s="20" t="n">
        <v>-338</v>
      </c>
      <c r="L260" s="20" t="n">
        <v>-417</v>
      </c>
      <c r="M260" s="20" t="n">
        <v>-692</v>
      </c>
      <c r="N260" s="20" t="n">
        <v>-113</v>
      </c>
      <c r="O260" s="20" t="n">
        <v>206</v>
      </c>
      <c r="P260" s="20" t="n">
        <v>228</v>
      </c>
      <c r="Q260" s="20" t="n">
        <v>-167</v>
      </c>
      <c r="R260" s="20" t="n">
        <v>-465</v>
      </c>
      <c r="S260" s="20" t="n">
        <v>-240</v>
      </c>
      <c r="T260" s="20" t="n">
        <v>-429</v>
      </c>
      <c r="U260" s="20" t="n">
        <v>-512</v>
      </c>
      <c r="V260" s="20" t="n">
        <v>-463</v>
      </c>
      <c r="W260" s="20" t="n">
        <v>-638</v>
      </c>
      <c r="X260" s="20" t="n">
        <v>-692</v>
      </c>
    </row>
    <row r="261">
      <c r="A261" s="9" t="inlineStr">
        <is>
          <t>재무활동 현금흐름</t>
        </is>
      </c>
      <c r="C261" s="12" t="n">
        <v>-3834</v>
      </c>
      <c r="D261" s="12" t="n">
        <v>4417</v>
      </c>
      <c r="E261" s="12" t="n">
        <v>749</v>
      </c>
      <c r="F261" s="12" t="n">
        <v>-14396</v>
      </c>
      <c r="G261" s="12" t="n">
        <v>-13905</v>
      </c>
      <c r="H261" s="12" t="n">
        <v>-4395</v>
      </c>
      <c r="I261" s="12" t="n">
        <v>-14536</v>
      </c>
      <c r="J261" s="12" t="n">
        <v>-9283</v>
      </c>
      <c r="K261" s="12" t="n">
        <v>-12500</v>
      </c>
      <c r="L261" s="12" t="n">
        <v>-1705</v>
      </c>
      <c r="M261" s="12" t="n">
        <v>-7785</v>
      </c>
      <c r="N261" s="12" t="n">
        <v>-10478</v>
      </c>
      <c r="O261" s="12" t="n">
        <v>-3767</v>
      </c>
      <c r="P261" s="12" t="n">
        <v>-11230</v>
      </c>
      <c r="Q261" s="12" t="n">
        <v>-3101</v>
      </c>
      <c r="R261" s="12" t="n">
        <v>3735</v>
      </c>
      <c r="S261" s="12" t="n">
        <v>-1402</v>
      </c>
      <c r="T261" s="12" t="n">
        <v>-4266</v>
      </c>
      <c r="U261" s="12" t="n">
        <v>-2685</v>
      </c>
      <c r="V261" s="12" t="n">
        <v>749</v>
      </c>
      <c r="W261" s="12" t="n">
        <v>-14536</v>
      </c>
      <c r="X261" s="12" t="n">
        <v>-7785</v>
      </c>
    </row>
    <row r="262">
      <c r="A262" s="18" t="inlineStr">
        <is>
          <t>현금성자산 환산차이</t>
        </is>
      </c>
      <c r="C262" s="20" t="n">
        <v>783</v>
      </c>
      <c r="D262" s="20" t="n">
        <v>462</v>
      </c>
      <c r="E262" s="20" t="n">
        <v>943</v>
      </c>
      <c r="F262" s="20" t="n">
        <v>730</v>
      </c>
      <c r="G262" s="20" t="n">
        <v>-44</v>
      </c>
      <c r="H262" s="20" t="n">
        <v>673</v>
      </c>
      <c r="I262" s="20" t="n">
        <v>13</v>
      </c>
      <c r="J262" s="20" t="n">
        <v>166</v>
      </c>
      <c r="K262" s="20" t="n">
        <v>575</v>
      </c>
      <c r="L262" s="20" t="n">
        <v>2283</v>
      </c>
      <c r="M262" s="20" t="n">
        <v>1969</v>
      </c>
      <c r="N262" s="20" t="n">
        <v>242</v>
      </c>
      <c r="O262" s="20" t="n">
        <v>-471</v>
      </c>
      <c r="P262" s="20" t="n">
        <v>25</v>
      </c>
      <c r="Q262" s="20" t="n">
        <v>5</v>
      </c>
      <c r="R262" s="20" t="n">
        <v>-263</v>
      </c>
      <c r="S262" s="20" t="n">
        <v>361</v>
      </c>
      <c r="T262" s="20" t="n">
        <v>570</v>
      </c>
      <c r="U262" s="20" t="n">
        <v>312</v>
      </c>
      <c r="V262" s="20" t="n">
        <v>943</v>
      </c>
      <c r="W262" s="20" t="n">
        <v>13</v>
      </c>
      <c r="X262" s="20" t="n">
        <v>1969</v>
      </c>
    </row>
    <row r="263">
      <c r="A263" s="18" t="inlineStr">
        <is>
          <t>현금성자산 증감</t>
        </is>
      </c>
      <c r="C263" s="20" t="n">
        <v>6631</v>
      </c>
      <c r="D263" s="20" t="n">
        <v>5813</v>
      </c>
      <c r="E263" s="20" t="n">
        <v>3107</v>
      </c>
      <c r="F263" s="20" t="n">
        <v>9335</v>
      </c>
      <c r="G263" s="20" t="n">
        <v>3782</v>
      </c>
      <c r="H263" s="20" t="n">
        <v>12355</v>
      </c>
      <c r="I263" s="20" t="n">
        <v>11867</v>
      </c>
      <c r="J263" s="20" t="n">
        <v>8503</v>
      </c>
      <c r="K263" s="20" t="n">
        <v>-2038</v>
      </c>
      <c r="L263" s="20" t="n">
        <v>-52</v>
      </c>
      <c r="M263" s="20" t="n">
        <v>-5452</v>
      </c>
      <c r="N263" s="20" t="n">
        <v>14571</v>
      </c>
      <c r="O263" s="20" t="n">
        <v>-4429</v>
      </c>
      <c r="P263" s="20" t="n">
        <v>-811</v>
      </c>
      <c r="Q263" s="20" t="n">
        <v>3195</v>
      </c>
      <c r="R263" s="20" t="n">
        <v>187</v>
      </c>
      <c r="S263" s="20" t="n">
        <v>443</v>
      </c>
      <c r="T263" s="20" t="n">
        <v>190</v>
      </c>
      <c r="U263" s="20" t="n">
        <v>862</v>
      </c>
      <c r="V263" s="20" t="n">
        <v>3107</v>
      </c>
      <c r="W263" s="20" t="n">
        <v>11867</v>
      </c>
      <c r="X263" s="20" t="n">
        <v>-5452</v>
      </c>
    </row>
    <row r="264">
      <c r="A264" s="18" t="inlineStr">
        <is>
          <t>신규 연결 현금성자산 증가</t>
        </is>
      </c>
      <c r="O264" s="20" t="n">
        <v>0</v>
      </c>
      <c r="P264" s="20" t="n">
        <v>39</v>
      </c>
      <c r="Q264" s="20" t="n">
        <v>0</v>
      </c>
    </row>
    <row r="265">
      <c r="A265" s="18" t="inlineStr">
        <is>
          <t>합병에 따른 현금성자산 증가</t>
        </is>
      </c>
      <c r="P265" s="20" t="n">
        <v>0</v>
      </c>
      <c r="Q265" s="20" t="n">
        <v>1</v>
      </c>
      <c r="R265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6508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198337</v>
      </c>
      <c r="D5" s="12" t="n">
        <v>198997</v>
      </c>
      <c r="E5" s="12" t="n">
        <v>223257</v>
      </c>
      <c r="F5" s="12" t="n">
        <v>240271</v>
      </c>
      <c r="G5" s="12" t="n">
        <v>223824</v>
      </c>
      <c r="H5" s="11" t="n">
        <v>171294</v>
      </c>
      <c r="I5" s="12" t="n">
        <v>187751</v>
      </c>
      <c r="J5" s="12" t="n">
        <v>208503</v>
      </c>
      <c r="K5" s="12" t="n">
        <v>217116</v>
      </c>
      <c r="L5" s="12" t="n">
        <v>240271</v>
      </c>
    </row>
    <row r="6">
      <c r="A6" s="18" t="inlineStr">
        <is>
          <t>현금및현금성자산</t>
        </is>
      </c>
      <c r="B6" s="10" t="n"/>
      <c r="C6" s="19" t="n">
        <v>40904</v>
      </c>
      <c r="D6" s="20" t="n">
        <v>29231</v>
      </c>
      <c r="E6" s="20" t="n">
        <v>31217</v>
      </c>
      <c r="F6" s="20" t="n">
        <v>31826</v>
      </c>
      <c r="G6" s="20" t="n">
        <v>47045</v>
      </c>
      <c r="H6" s="19" t="n">
        <v>14070</v>
      </c>
      <c r="I6" s="20" t="n">
        <v>14917</v>
      </c>
      <c r="J6" s="20" t="n">
        <v>18984</v>
      </c>
      <c r="K6" s="20" t="n">
        <v>30679</v>
      </c>
      <c r="L6" s="20" t="n">
        <v>31826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65759</v>
      </c>
      <c r="D8" s="20" t="n">
        <v>77401</v>
      </c>
      <c r="E8" s="20" t="n">
        <v>85807</v>
      </c>
      <c r="F8" s="20" t="n">
        <v>121733</v>
      </c>
      <c r="G8" s="20" t="n">
        <v>81375</v>
      </c>
      <c r="H8" s="19" t="n">
        <v>93772</v>
      </c>
      <c r="I8" s="20" t="n">
        <v>99354</v>
      </c>
      <c r="J8" s="20" t="n">
        <v>106385</v>
      </c>
      <c r="K8" s="20" t="n">
        <v>104591</v>
      </c>
      <c r="L8" s="20" t="n">
        <v>121733</v>
      </c>
    </row>
    <row r="9">
      <c r="A9" s="18" t="inlineStr">
        <is>
          <t>재고자산</t>
        </is>
      </c>
      <c r="B9" s="10" t="n"/>
      <c r="C9" s="19" t="n">
        <v>74834</v>
      </c>
      <c r="D9" s="20" t="n">
        <v>75836</v>
      </c>
      <c r="E9" s="20" t="n">
        <v>87371</v>
      </c>
      <c r="F9" s="20" t="n">
        <v>71982</v>
      </c>
      <c r="G9" s="20" t="n">
        <v>76946</v>
      </c>
      <c r="H9" s="19" t="n">
        <v>54880</v>
      </c>
      <c r="I9" s="20" t="n">
        <v>61374</v>
      </c>
      <c r="J9" s="20" t="n">
        <v>69923</v>
      </c>
      <c r="K9" s="20" t="n">
        <v>70922</v>
      </c>
      <c r="L9" s="20" t="n">
        <v>71982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126158</v>
      </c>
      <c r="D11" s="12" t="n">
        <v>129994</v>
      </c>
      <c r="E11" s="12" t="n">
        <v>133460</v>
      </c>
      <c r="F11" s="12" t="n">
        <v>133396</v>
      </c>
      <c r="G11" s="12" t="n">
        <v>137243</v>
      </c>
      <c r="H11" s="11" t="n">
        <v>119604</v>
      </c>
      <c r="I11" s="12" t="n">
        <v>119639</v>
      </c>
      <c r="J11" s="12" t="n">
        <v>126284</v>
      </c>
      <c r="K11" s="12" t="n">
        <v>124230</v>
      </c>
      <c r="L11" s="12" t="n">
        <v>133396</v>
      </c>
    </row>
    <row r="12">
      <c r="A12" s="18" t="inlineStr">
        <is>
          <t>유형자산</t>
        </is>
      </c>
      <c r="B12" s="10" t="n"/>
      <c r="C12" s="19" t="n">
        <v>75339</v>
      </c>
      <c r="D12" s="20" t="n">
        <v>75995</v>
      </c>
      <c r="E12" s="20" t="n">
        <v>77912</v>
      </c>
      <c r="F12" s="20" t="n">
        <v>75571</v>
      </c>
      <c r="G12" s="20" t="n">
        <v>79301</v>
      </c>
      <c r="H12" s="19" t="n">
        <v>74947</v>
      </c>
      <c r="I12" s="20" t="n">
        <v>75788</v>
      </c>
      <c r="J12" s="20" t="n">
        <v>75363</v>
      </c>
      <c r="K12" s="20" t="n">
        <v>75061</v>
      </c>
      <c r="L12" s="20" t="n">
        <v>75571</v>
      </c>
    </row>
    <row r="13">
      <c r="A13" s="18" t="inlineStr">
        <is>
          <t>무형자산</t>
        </is>
      </c>
      <c r="B13" s="10" t="n"/>
      <c r="C13" s="19" t="n">
        <v>6552</v>
      </c>
      <c r="D13" s="20" t="n">
        <v>6159</v>
      </c>
      <c r="E13" s="20" t="n">
        <v>5736</v>
      </c>
      <c r="F13" s="20" t="n">
        <v>5815</v>
      </c>
      <c r="G13" s="20" t="n">
        <v>5481</v>
      </c>
      <c r="H13" s="19" t="n">
        <v>9565</v>
      </c>
      <c r="I13" s="20" t="n">
        <v>8462</v>
      </c>
      <c r="J13" s="20" t="n">
        <v>7650</v>
      </c>
      <c r="K13" s="20" t="n">
        <v>6693</v>
      </c>
      <c r="L13" s="20" t="n">
        <v>5815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324495</v>
      </c>
      <c r="D16" s="12" t="n">
        <v>328991</v>
      </c>
      <c r="E16" s="12" t="n">
        <v>356717</v>
      </c>
      <c r="F16" s="12" t="n">
        <v>373668</v>
      </c>
      <c r="G16" s="12" t="n">
        <v>361068</v>
      </c>
      <c r="H16" s="11" t="n">
        <v>290899</v>
      </c>
      <c r="I16" s="12" t="n">
        <v>307390</v>
      </c>
      <c r="J16" s="12" t="n">
        <v>334787</v>
      </c>
      <c r="K16" s="12" t="n">
        <v>341347</v>
      </c>
      <c r="L16" s="12" t="n">
        <v>373668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103074</v>
      </c>
      <c r="D18" s="12" t="n">
        <v>104408</v>
      </c>
      <c r="E18" s="12" t="n">
        <v>121478</v>
      </c>
      <c r="F18" s="12" t="n">
        <v>126388</v>
      </c>
      <c r="G18" s="12" t="n">
        <v>111494</v>
      </c>
      <c r="H18" s="11" t="n">
        <v>104406</v>
      </c>
      <c r="I18" s="12" t="n">
        <v>118307</v>
      </c>
      <c r="J18" s="12" t="n">
        <v>124242</v>
      </c>
      <c r="K18" s="12" t="n">
        <v>118069</v>
      </c>
      <c r="L18" s="12" t="n">
        <v>126388</v>
      </c>
    </row>
    <row r="19">
      <c r="A19" s="18" t="inlineStr">
        <is>
          <t>매입채무</t>
        </is>
      </c>
      <c r="B19" s="10" t="n"/>
      <c r="C19" s="19" t="n">
        <v>27409</v>
      </c>
      <c r="D19" s="20" t="n">
        <v>28216</v>
      </c>
      <c r="E19" s="20" t="n">
        <v>30011</v>
      </c>
      <c r="F19" s="20" t="n">
        <v>33556</v>
      </c>
      <c r="G19" s="20" t="n">
        <v>27979</v>
      </c>
      <c r="H19" s="19" t="n">
        <v>34796</v>
      </c>
      <c r="I19" s="20" t="n">
        <v>38971</v>
      </c>
      <c r="J19" s="20" t="n">
        <v>35918</v>
      </c>
      <c r="K19" s="20" t="n">
        <v>34504</v>
      </c>
      <c r="L19" s="20" t="n">
        <v>33556</v>
      </c>
    </row>
    <row r="20">
      <c r="A20" s="18" t="inlineStr">
        <is>
          <t>단기차입금</t>
        </is>
      </c>
      <c r="B20" s="10" t="n"/>
      <c r="C20" s="19" t="n">
        <v>11926</v>
      </c>
      <c r="D20" s="20" t="n">
        <v>11987</v>
      </c>
      <c r="E20" s="20" t="n">
        <v>13588</v>
      </c>
      <c r="F20" s="20" t="n">
        <v>16340</v>
      </c>
      <c r="G20" s="20" t="n">
        <v>16256</v>
      </c>
      <c r="H20" s="19" t="n">
        <v>10255</v>
      </c>
      <c r="I20" s="20" t="n">
        <v>15514</v>
      </c>
      <c r="J20" s="20" t="n">
        <v>9912</v>
      </c>
      <c r="K20" s="20" t="n">
        <v>11095</v>
      </c>
      <c r="L20" s="20" t="n">
        <v>16340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5000</v>
      </c>
      <c r="I21" s="20" t="n">
        <v>0</v>
      </c>
      <c r="J21" s="20" t="n">
        <v>6000</v>
      </c>
      <c r="K21" s="20" t="n">
        <v>0</v>
      </c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81052</v>
      </c>
      <c r="D23" s="12" t="n">
        <v>78600</v>
      </c>
      <c r="E23" s="12" t="n">
        <v>78536</v>
      </c>
      <c r="F23" s="12" t="n">
        <v>68747</v>
      </c>
      <c r="G23" s="12" t="n">
        <v>68653</v>
      </c>
      <c r="H23" s="11" t="n">
        <v>81070</v>
      </c>
      <c r="I23" s="12" t="n">
        <v>78202</v>
      </c>
      <c r="J23" s="12" t="n">
        <v>81056</v>
      </c>
      <c r="K23" s="12" t="n">
        <v>81064</v>
      </c>
      <c r="L23" s="12" t="n">
        <v>68747</v>
      </c>
    </row>
    <row r="24">
      <c r="A24" s="18" t="inlineStr">
        <is>
          <t>장기차입금</t>
        </is>
      </c>
      <c r="B24" s="10" t="n"/>
      <c r="C24" s="19" t="n">
        <v>26985</v>
      </c>
      <c r="D24" s="20" t="n">
        <v>24544</v>
      </c>
      <c r="E24" s="20" t="n">
        <v>24186</v>
      </c>
      <c r="F24" s="20" t="n">
        <v>23064</v>
      </c>
      <c r="G24" s="20" t="n">
        <v>22613</v>
      </c>
      <c r="H24" s="19" t="n">
        <v>25210</v>
      </c>
      <c r="I24" s="20" t="n">
        <v>20995</v>
      </c>
      <c r="J24" s="20" t="n">
        <v>28767</v>
      </c>
      <c r="K24" s="20" t="n">
        <v>27470</v>
      </c>
      <c r="L24" s="20" t="n">
        <v>23064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6000</v>
      </c>
      <c r="I25" s="20" t="n">
        <v>6000</v>
      </c>
      <c r="J25" s="20" t="n">
        <v>0</v>
      </c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184126</v>
      </c>
      <c r="D27" s="12" t="n">
        <v>183008</v>
      </c>
      <c r="E27" s="12" t="n">
        <v>200015</v>
      </c>
      <c r="F27" s="12" t="n">
        <v>195136</v>
      </c>
      <c r="G27" s="12" t="n">
        <v>180147</v>
      </c>
      <c r="H27" s="11" t="n">
        <v>185477</v>
      </c>
      <c r="I27" s="12" t="n">
        <v>196509</v>
      </c>
      <c r="J27" s="12" t="n">
        <v>205298</v>
      </c>
      <c r="K27" s="12" t="n">
        <v>199134</v>
      </c>
      <c r="L27" s="12" t="n">
        <v>195136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136977</v>
      </c>
      <c r="D31" s="12" t="n">
        <v>142532</v>
      </c>
      <c r="E31" s="12" t="n">
        <v>153245</v>
      </c>
      <c r="F31" s="12" t="n">
        <v>174889</v>
      </c>
      <c r="G31" s="12" t="n">
        <v>177315</v>
      </c>
      <c r="H31" s="11" t="n">
        <v>101966</v>
      </c>
      <c r="I31" s="12" t="n">
        <v>107898</v>
      </c>
      <c r="J31" s="12" t="n">
        <v>126407</v>
      </c>
      <c r="K31" s="12" t="n">
        <v>138777</v>
      </c>
      <c r="L31" s="12" t="n">
        <v>174889</v>
      </c>
    </row>
    <row r="32">
      <c r="A32" s="18" t="inlineStr">
        <is>
          <t>자본금</t>
        </is>
      </c>
      <c r="B32" s="10" t="n"/>
      <c r="C32" s="19" t="n">
        <v>17070</v>
      </c>
      <c r="D32" s="20" t="n">
        <v>17070</v>
      </c>
      <c r="E32" s="20" t="n">
        <v>17070</v>
      </c>
      <c r="F32" s="20" t="n">
        <v>17070</v>
      </c>
      <c r="G32" s="20" t="n">
        <v>17070</v>
      </c>
      <c r="H32" s="19" t="n">
        <v>17070</v>
      </c>
      <c r="I32" s="20" t="n">
        <v>17070</v>
      </c>
      <c r="J32" s="20" t="n">
        <v>17070</v>
      </c>
      <c r="K32" s="20" t="n">
        <v>17070</v>
      </c>
      <c r="L32" s="20" t="n">
        <v>17070</v>
      </c>
    </row>
    <row r="33">
      <c r="A33" s="18" t="inlineStr">
        <is>
          <t>이익잉여금</t>
        </is>
      </c>
      <c r="B33" s="10" t="n"/>
      <c r="C33" s="19" t="n">
        <v>89746</v>
      </c>
      <c r="D33" s="20" t="n">
        <v>91307</v>
      </c>
      <c r="E33" s="20" t="n">
        <v>96785</v>
      </c>
      <c r="F33" s="20" t="n">
        <v>110774</v>
      </c>
      <c r="G33" s="20" t="n">
        <v>110843</v>
      </c>
      <c r="H33" s="19" t="n">
        <v>64844</v>
      </c>
      <c r="I33" s="20" t="n">
        <v>69568</v>
      </c>
      <c r="J33" s="20" t="n">
        <v>78642</v>
      </c>
      <c r="K33" s="20" t="n">
        <v>93273</v>
      </c>
      <c r="L33" s="20" t="n">
        <v>110774</v>
      </c>
    </row>
    <row r="34">
      <c r="A34" s="18" t="inlineStr">
        <is>
          <t>비지배지분</t>
        </is>
      </c>
      <c r="B34" s="10" t="n"/>
      <c r="C34" s="19" t="n">
        <v>3391</v>
      </c>
      <c r="D34" s="20" t="n">
        <v>3450</v>
      </c>
      <c r="E34" s="20" t="n">
        <v>3456</v>
      </c>
      <c r="F34" s="20" t="n">
        <v>3642</v>
      </c>
      <c r="G34" s="20" t="n">
        <v>3605</v>
      </c>
      <c r="H34" s="19" t="n">
        <v>3455</v>
      </c>
      <c r="I34" s="20" t="n">
        <v>2983</v>
      </c>
      <c r="J34" s="20" t="n">
        <v>3081</v>
      </c>
      <c r="K34" s="20" t="n">
        <v>3435</v>
      </c>
      <c r="L34" s="20" t="n">
        <v>3642</v>
      </c>
    </row>
    <row r="35">
      <c r="A35" s="9" t="inlineStr">
        <is>
          <t>자본총계</t>
        </is>
      </c>
      <c r="B35" s="10" t="n"/>
      <c r="C35" s="11" t="n">
        <v>140368</v>
      </c>
      <c r="D35" s="12" t="n">
        <v>145982</v>
      </c>
      <c r="E35" s="12" t="n">
        <v>156701</v>
      </c>
      <c r="F35" s="12" t="n">
        <v>178531</v>
      </c>
      <c r="G35" s="12" t="n">
        <v>180920</v>
      </c>
      <c r="H35" s="11" t="n">
        <v>105421</v>
      </c>
      <c r="I35" s="12" t="n">
        <v>110881</v>
      </c>
      <c r="J35" s="12" t="n">
        <v>129488</v>
      </c>
      <c r="K35" s="12" t="n">
        <v>142212</v>
      </c>
      <c r="L35" s="12" t="n">
        <v>178531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35608</v>
      </c>
      <c r="D37" s="12" t="n">
        <v>33449</v>
      </c>
      <c r="E37" s="12" t="n">
        <v>22281</v>
      </c>
      <c r="F37" s="12" t="n">
        <v>17498</v>
      </c>
      <c r="G37" s="12" t="n">
        <v>24928</v>
      </c>
      <c r="H37" s="11" t="n">
        <v>11389</v>
      </c>
      <c r="I37" s="12" t="n">
        <v>13742</v>
      </c>
      <c r="J37" s="12" t="n">
        <v>8968</v>
      </c>
      <c r="K37" s="12" t="n">
        <v>35454</v>
      </c>
      <c r="L37" s="12" t="n">
        <v>17498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5420</v>
      </c>
      <c r="D40" s="20" t="n">
        <v>5570</v>
      </c>
      <c r="E40" s="20" t="n">
        <v>5971</v>
      </c>
      <c r="F40" s="20" t="n">
        <v>6114</v>
      </c>
      <c r="G40" s="20" t="n">
        <v>7069</v>
      </c>
      <c r="H40" s="19" t="n">
        <v>2405</v>
      </c>
      <c r="I40" s="20" t="n">
        <v>2405</v>
      </c>
      <c r="J40" s="20" t="n">
        <v>2131</v>
      </c>
      <c r="K40" s="20" t="n">
        <v>3851</v>
      </c>
      <c r="L40" s="20" t="n">
        <v>6114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IFERROR(IF((IF(COUNT('연간'!G65:J65)&lt;4,"",SUM('연간'!G65:J65)))&lt;=0,"적자",C28/(IF(COUNT('연간'!G65:J65)&lt;4,"",SUM('연간'!G65:J65)))),"")</f>
        <v/>
      </c>
      <c r="D49" s="46">
        <f>IFERROR(IF((IF(COUNT('연간'!H65:K65)&lt;4,"",SUM('연간'!H65:K65)))&lt;=0,"적자",D28/(IF(COUNT('연간'!H65:K65)&lt;4,"",SUM('연간'!H65:K65)))),"")</f>
        <v/>
      </c>
      <c r="E49" s="46">
        <f>IFERROR(IF((IF(COUNT('연간'!I65:L65)&lt;4,"",SUM('연간'!I65:L65)))&lt;=0,"적자",E28/(IF(COUNT('연간'!I65:L65)&lt;4,"",SUM('연간'!I65:L65)))),"")</f>
        <v/>
      </c>
      <c r="F49" s="46">
        <f>IFERROR(IF((IF(COUNT('연간'!J65:M65)&lt;4,"",SUM('연간'!J65:M65)))&lt;=0,"적자",F28/(IF(COUNT('연간'!J65:M65)&lt;4,"",SUM('연간'!J65:M65)))),"")</f>
        <v/>
      </c>
      <c r="G49" s="46">
        <f>IFERROR(IF((IF(COUNT('연간'!K65:N65)&lt;4,"",SUM('연간'!K65:N65)))&lt;=0,"적자",G28/(IF(COUNT('연간'!K65:N65)&lt;4,"",SUM('연간'!K65:N65)))),"")</f>
        <v/>
      </c>
      <c r="H49" s="45">
        <f>IFERROR(IF(('연간'!T65)&lt;=0,"적자",H28/('연간'!T65)),"")</f>
        <v/>
      </c>
      <c r="I49" s="46">
        <f>IFERROR(IF(('연간'!U65)&lt;=0,"적자",I28/('연간'!U65)),"")</f>
        <v/>
      </c>
      <c r="J49" s="46">
        <f>IFERROR(IF(('연간'!V65)&lt;=0,"적자",J28/('연간'!V65)),"")</f>
        <v/>
      </c>
      <c r="K49" s="46">
        <f>IFERROR(IF(('연간'!W65)&lt;=0,"적자",K28/('연간'!W65)),"")</f>
        <v/>
      </c>
      <c r="L49" s="46">
        <f>IFERROR(IF(('연간'!X65)&lt;=0,"적자",L28/('연간'!X65)),"")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IFERROR((IF(COUNT('연간'!G65:J65)&lt;4,"",SUM('연간'!G65:J65)))/C31,"")</f>
        <v/>
      </c>
      <c r="D51" s="36">
        <f>IFERROR((IF(COUNT('연간'!H65:K65)&lt;4,"",SUM('연간'!H65:K65)))/D31,"")</f>
        <v/>
      </c>
      <c r="E51" s="36">
        <f>IFERROR((IF(COUNT('연간'!I65:L65)&lt;4,"",SUM('연간'!I65:L65)))/E31,"")</f>
        <v/>
      </c>
      <c r="F51" s="36">
        <f>IFERROR((IF(COUNT('연간'!J65:M65)&lt;4,"",SUM('연간'!J65:M65)))/F31,"")</f>
        <v/>
      </c>
      <c r="G51" s="36">
        <f>IFERROR((IF(COUNT('연간'!K65:N65)&lt;4,"",SUM('연간'!K65:N65)))/G31,"")</f>
        <v/>
      </c>
      <c r="H51" s="35">
        <f>IFERROR(('연간'!T65)/H31,"")</f>
        <v/>
      </c>
      <c r="I51" s="36">
        <f>IFERROR(('연간'!U65)/I31,"")</f>
        <v/>
      </c>
      <c r="J51" s="36">
        <f>IFERROR(('연간'!V65)/J31,"")</f>
        <v/>
      </c>
      <c r="K51" s="36">
        <f>IFERROR(('연간'!W65)/K31,"")</f>
        <v/>
      </c>
      <c r="L51" s="36">
        <f>IFERROR(('연간'!X65)/L31,"")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IFERROR((IF(COUNT('연간'!G64:J64)&lt;4,"",SUM('연간'!G64:J64)))/C16,"")</f>
        <v/>
      </c>
      <c r="D52" s="36">
        <f>IFERROR((IF(COUNT('연간'!H64:K64)&lt;4,"",SUM('연간'!H64:K64)))/D16,"")</f>
        <v/>
      </c>
      <c r="E52" s="36">
        <f>IFERROR((IF(COUNT('연간'!I64:L64)&lt;4,"",SUM('연간'!I64:L64)))/E16,"")</f>
        <v/>
      </c>
      <c r="F52" s="36">
        <f>IFERROR((IF(COUNT('연간'!J64:M64)&lt;4,"",SUM('연간'!J64:M64)))/F16,"")</f>
        <v/>
      </c>
      <c r="G52" s="36">
        <f>IFERROR((IF(COUNT('연간'!K64:N64)&lt;4,"",SUM('연간'!K64:N64)))/G16,"")</f>
        <v/>
      </c>
      <c r="H52" s="35">
        <f>IFERROR(('연간'!T64)/H16,"")</f>
        <v/>
      </c>
      <c r="I52" s="36">
        <f>IFERROR(('연간'!U64)/I16,"")</f>
        <v/>
      </c>
      <c r="J52" s="36">
        <f>IFERROR(('연간'!V64)/J16,"")</f>
        <v/>
      </c>
      <c r="K52" s="36">
        <f>IFERROR(('연간'!W64)/K16,"")</f>
        <v/>
      </c>
      <c r="L52" s="36">
        <f>IFERROR(('연간'!X64)/L16,"")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IFERROR((IF(COUNT('연간'!G33:J33)&lt;4,"",SUM('연간'!G33:J33)))/(IF(COUNT('연간'!G4:J4)&lt;4,"",SUM('연간'!G4:J4))),"")</f>
        <v/>
      </c>
      <c r="D54" s="36">
        <f>IFERROR((IF(COUNT('연간'!H33:K33)&lt;4,"",SUM('연간'!H33:K33)))/(IF(COUNT('연간'!H4:K4)&lt;4,"",SUM('연간'!H4:K4))),"")</f>
        <v/>
      </c>
      <c r="E54" s="36">
        <f>IFERROR((IF(COUNT('연간'!I33:L33)&lt;4,"",SUM('연간'!I33:L33)))/(IF(COUNT('연간'!I4:L4)&lt;4,"",SUM('연간'!I4:L4))),"")</f>
        <v/>
      </c>
      <c r="F54" s="36">
        <f>IFERROR((IF(COUNT('연간'!J33:M33)&lt;4,"",SUM('연간'!J33:M33)))/(IF(COUNT('연간'!J4:M4)&lt;4,"",SUM('연간'!J4:M4))),"")</f>
        <v/>
      </c>
      <c r="G54" s="36">
        <f>IFERROR((IF(COUNT('연간'!K33:N33)&lt;4,"",SUM('연간'!K33:N33)))/(IF(COUNT('연간'!K4:N4)&lt;4,"",SUM('연간'!K4:N4))),"")</f>
        <v/>
      </c>
      <c r="H54" s="35">
        <f>IFERROR(('연간'!T33)/('연간'!T4),"")</f>
        <v/>
      </c>
      <c r="I54" s="36">
        <f>IFERROR(('연간'!U33)/('연간'!U4),"")</f>
        <v/>
      </c>
      <c r="J54" s="36">
        <f>IFERROR(('연간'!V33)/('연간'!V4),"")</f>
        <v/>
      </c>
      <c r="K54" s="36">
        <f>IFERROR(('연간'!W33)/('연간'!W4),"")</f>
        <v/>
      </c>
      <c r="L54" s="36">
        <f>IFERROR(('연간'!X33)/('연간'!X4),"")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IFERROR((IF(COUNT('연간'!G64:J64)&lt;4,"",SUM('연간'!G64:J64)))/(IF(COUNT('연간'!G4:J4)&lt;4,"",SUM('연간'!G4:J4))),"")</f>
        <v/>
      </c>
      <c r="D56" s="36">
        <f>IFERROR((IF(COUNT('연간'!H64:K64)&lt;4,"",SUM('연간'!H64:K64)))/(IF(COUNT('연간'!H4:K4)&lt;4,"",SUM('연간'!H4:K4))),"")</f>
        <v/>
      </c>
      <c r="E56" s="36">
        <f>IFERROR((IF(COUNT('연간'!I64:L64)&lt;4,"",SUM('연간'!I64:L64)))/(IF(COUNT('연간'!I4:L4)&lt;4,"",SUM('연간'!I4:L4))),"")</f>
        <v/>
      </c>
      <c r="F56" s="36">
        <f>IFERROR((IF(COUNT('연간'!J64:M64)&lt;4,"",SUM('연간'!J64:M64)))/(IF(COUNT('연간'!J4:M4)&lt;4,"",SUM('연간'!J4:M4))),"")</f>
        <v/>
      </c>
      <c r="G56" s="36">
        <f>IFERROR((IF(COUNT('연간'!K64:N64)&lt;4,"",SUM('연간'!K64:N64)))/(IF(COUNT('연간'!K4:N4)&lt;4,"",SUM('연간'!K4:N4))),"")</f>
        <v/>
      </c>
      <c r="H56" s="35">
        <f>IFERROR(('연간'!T64)/('연간'!T4),"")</f>
        <v/>
      </c>
      <c r="I56" s="36">
        <f>IFERROR(('연간'!U64)/('연간'!U4),"")</f>
        <v/>
      </c>
      <c r="J56" s="36">
        <f>IFERROR(('연간'!V64)/('연간'!V4),"")</f>
        <v/>
      </c>
      <c r="K56" s="36">
        <f>IFERROR(('연간'!W64)/('연간'!W4),"")</f>
        <v/>
      </c>
      <c r="L56" s="36">
        <f>IFERROR(('연간'!X64)/('연간'!X4),"")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IFERROR(C9/(IF(COUNT('연간'!G32:J32)&lt;4,"",SUM('연간'!G32:J32)))*365,"")</f>
        <v/>
      </c>
      <c r="D60" s="48">
        <f>IFERROR(D9/(IF(COUNT('연간'!H32:K32)&lt;4,"",SUM('연간'!H32:K32)))*365,"")</f>
        <v/>
      </c>
      <c r="E60" s="48">
        <f>IFERROR(E9/(IF(COUNT('연간'!I32:L32)&lt;4,"",SUM('연간'!I32:L32)))*365,"")</f>
        <v/>
      </c>
      <c r="F60" s="48">
        <f>IFERROR(F9/(IF(COUNT('연간'!J32:M32)&lt;4,"",SUM('연간'!J32:M32)))*365,"")</f>
        <v/>
      </c>
      <c r="G60" s="48">
        <f>IFERROR(G9/(IF(COUNT('연간'!K32:N32)&lt;4,"",SUM('연간'!K32:N32)))*365,"")</f>
        <v/>
      </c>
      <c r="H60" s="47">
        <f>IFERROR(H9/('연간'!T32)*365,"")</f>
        <v/>
      </c>
      <c r="I60" s="48">
        <f>IFERROR(I9/('연간'!U32)*365,"")</f>
        <v/>
      </c>
      <c r="J60" s="48">
        <f>IFERROR(J9/('연간'!V32)*365,"")</f>
        <v/>
      </c>
      <c r="K60" s="48">
        <f>IFERROR(K9/('연간'!W32)*365,"")</f>
        <v/>
      </c>
      <c r="L60" s="48">
        <f>IFERROR(L9/('연간'!X32)*365,"")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IFERROR(C19/(IF(COUNT('연간'!G32:J32)&lt;4,"",SUM('연간'!G32:J32)))*365,"")</f>
        <v/>
      </c>
      <c r="D61" s="48">
        <f>IFERROR(D19/(IF(COUNT('연간'!H32:K32)&lt;4,"",SUM('연간'!H32:K32)))*365,"")</f>
        <v/>
      </c>
      <c r="E61" s="48">
        <f>IFERROR(E19/(IF(COUNT('연간'!I32:L32)&lt;4,"",SUM('연간'!I32:L32)))*365,"")</f>
        <v/>
      </c>
      <c r="F61" s="48">
        <f>IFERROR(F19/(IF(COUNT('연간'!J32:M32)&lt;4,"",SUM('연간'!J32:M32)))*365,"")</f>
        <v/>
      </c>
      <c r="G61" s="48">
        <f>IFERROR(G19/(IF(COUNT('연간'!K32:N32)&lt;4,"",SUM('연간'!K32:N32)))*365,"")</f>
        <v/>
      </c>
      <c r="H61" s="47">
        <f>IFERROR(H19/('연간'!T32)*365,"")</f>
        <v/>
      </c>
      <c r="I61" s="48">
        <f>IFERROR(I19/('연간'!U32)*365,"")</f>
        <v/>
      </c>
      <c r="J61" s="48">
        <f>IFERROR(J19/('연간'!V32)*365,"")</f>
        <v/>
      </c>
      <c r="K61" s="48">
        <f>IFERROR(K19/('연간'!W32)*365,"")</f>
        <v/>
      </c>
      <c r="L61" s="48">
        <f>IFERROR(L19/('연간'!X32)*365,"")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IF(C37="","",IFERROR(C37/(IF(COUNT('연간'!G64:J64)&lt;4,"",SUM('연간'!G64:J64))),""))</f>
        <v/>
      </c>
      <c r="D64" s="31">
        <f>IF(D37="","",IFERROR(D37/(IF(COUNT('연간'!H64:K64)&lt;4,"",SUM('연간'!H64:K64))),""))</f>
        <v/>
      </c>
      <c r="E64" s="31">
        <f>IF(E37="","",IFERROR(E37/(IF(COUNT('연간'!I64:L64)&lt;4,"",SUM('연간'!I64:L64))),""))</f>
        <v/>
      </c>
      <c r="F64" s="31">
        <f>IF(F37="","",IFERROR(F37/(IF(COUNT('연간'!J64:M64)&lt;4,"",SUM('연간'!J64:M64))),""))</f>
        <v/>
      </c>
      <c r="G64" s="31">
        <f>IF(G37="","",IFERROR(G37/(IF(COUNT('연간'!K64:N64)&lt;4,"",SUM('연간'!K64:N64))),""))</f>
        <v/>
      </c>
      <c r="H64" s="30">
        <f>IF(H37="","",IFERROR(H37/('연간'!T64),""))</f>
        <v/>
      </c>
      <c r="I64" s="31">
        <f>IF(I37="","",IFERROR(I37/('연간'!U64),""))</f>
        <v/>
      </c>
      <c r="J64" s="31">
        <f>IF(J37="","",IFERROR(J37/('연간'!V64),""))</f>
        <v/>
      </c>
      <c r="K64" s="31">
        <f>IF(K37="","",IFERROR(K37/('연간'!W64),""))</f>
        <v/>
      </c>
      <c r="L64" s="31">
        <f>IF(L37="","",IFERROR(L37/('연간'!X64),""))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IF(C40="","",IFERROR(C40/(IF(COUNT('연간'!G65:J65)&lt;4,"",SUM('연간'!G65:J65))),""))</f>
        <v/>
      </c>
      <c r="D67" s="36">
        <f>IF(D40="","",IFERROR(D40/(IF(COUNT('연간'!H65:K65)&lt;4,"",SUM('연간'!H65:K65))),""))</f>
        <v/>
      </c>
      <c r="E67" s="36">
        <f>IF(E40="","",IFERROR(E40/(IF(COUNT('연간'!I65:L65)&lt;4,"",SUM('연간'!I65:L65))),""))</f>
        <v/>
      </c>
      <c r="F67" s="36">
        <f>IF(F40="","",IFERROR(F40/(IF(COUNT('연간'!J65:M65)&lt;4,"",SUM('연간'!J65:M65))),""))</f>
        <v/>
      </c>
      <c r="G67" s="36">
        <f>IF(G40="","",IFERROR(G40/(IF(COUNT('연간'!K65:N65)&lt;4,"",SUM('연간'!K65:N65))),""))</f>
        <v/>
      </c>
      <c r="H67" s="35">
        <f>IF(H40="","",IFERROR(H40/('연간'!T65),""))</f>
        <v/>
      </c>
      <c r="I67" s="36">
        <f>IF(I40="","",IFERROR(I40/('연간'!U65),""))</f>
        <v/>
      </c>
      <c r="J67" s="36">
        <f>IF(J40="","",IFERROR(J40/('연간'!V65),""))</f>
        <v/>
      </c>
      <c r="K67" s="36">
        <f>IF(K40="","",IFERROR(K40/('연간'!W65),""))</f>
        <v/>
      </c>
      <c r="L67" s="36">
        <f>IF(L40="","",IFERROR(L40/('연간'!X65),""))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40904</v>
      </c>
      <c r="D71" s="20" t="n">
        <v>29231</v>
      </c>
      <c r="E71" s="20" t="n">
        <v>31217</v>
      </c>
      <c r="F71" s="20" t="n">
        <v>31826</v>
      </c>
      <c r="G71" s="20" t="n">
        <v>47045</v>
      </c>
      <c r="H71" s="20" t="n">
        <v>14070</v>
      </c>
      <c r="I71" s="20" t="n">
        <v>14917</v>
      </c>
      <c r="J71" s="20" t="n">
        <v>18984</v>
      </c>
      <c r="K71" s="20" t="n">
        <v>30679</v>
      </c>
      <c r="L71" s="20" t="n">
        <v>31826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65759</v>
      </c>
      <c r="D73" s="20" t="n">
        <v>77401</v>
      </c>
      <c r="E73" s="20" t="n">
        <v>85807</v>
      </c>
      <c r="F73" s="20" t="n">
        <v>121733</v>
      </c>
      <c r="G73" s="20" t="n">
        <v>81375</v>
      </c>
      <c r="H73" s="20" t="n">
        <v>93772</v>
      </c>
      <c r="I73" s="20" t="n">
        <v>99354</v>
      </c>
      <c r="J73" s="20" t="n">
        <v>106385</v>
      </c>
      <c r="K73" s="20" t="n">
        <v>104591</v>
      </c>
      <c r="L73" s="20" t="n">
        <v>121733</v>
      </c>
    </row>
    <row r="74">
      <c r="A74" s="18" t="inlineStr">
        <is>
          <t>전자기록채권</t>
        </is>
      </c>
      <c r="C74" s="20" t="n">
        <v>8353</v>
      </c>
      <c r="D74" s="20" t="n">
        <v>5951</v>
      </c>
      <c r="E74" s="20" t="n">
        <v>6538</v>
      </c>
      <c r="F74" s="20" t="n">
        <v>7865</v>
      </c>
      <c r="G74" s="20" t="n">
        <v>9261</v>
      </c>
      <c r="H74" s="20" t="n">
        <v>7034</v>
      </c>
      <c r="I74" s="20" t="n">
        <v>8760</v>
      </c>
      <c r="J74" s="20" t="n">
        <v>9317</v>
      </c>
      <c r="K74" s="20" t="n">
        <v>8046</v>
      </c>
      <c r="L74" s="20" t="n">
        <v>7865</v>
      </c>
    </row>
    <row r="75">
      <c r="A75" s="18" t="inlineStr">
        <is>
          <t>제품</t>
        </is>
      </c>
      <c r="F75" s="20" t="n">
        <v>2284</v>
      </c>
      <c r="H75" s="20" t="n">
        <v>4166</v>
      </c>
      <c r="I75" s="20" t="n">
        <v>2636</v>
      </c>
      <c r="J75" s="20" t="n">
        <v>2700</v>
      </c>
      <c r="K75" s="20" t="n">
        <v>3112</v>
      </c>
      <c r="L75" s="20" t="n">
        <v>2284</v>
      </c>
    </row>
    <row r="76">
      <c r="A76" s="18" t="inlineStr">
        <is>
          <t>상품·제품</t>
        </is>
      </c>
      <c r="C76" s="20" t="n">
        <v>9048</v>
      </c>
      <c r="D76" s="20" t="n">
        <v>8926</v>
      </c>
      <c r="E76" s="20" t="n">
        <v>9540</v>
      </c>
      <c r="F76" s="20" t="n">
        <v>10197</v>
      </c>
      <c r="G76" s="20" t="n">
        <v>10350</v>
      </c>
      <c r="H76" s="20" t="n">
        <v>10174</v>
      </c>
      <c r="I76" s="20" t="n">
        <v>10571</v>
      </c>
      <c r="J76" s="20" t="n">
        <v>10806</v>
      </c>
      <c r="K76" s="20" t="n">
        <v>8730</v>
      </c>
      <c r="L76" s="20" t="n">
        <v>10197</v>
      </c>
    </row>
    <row r="77">
      <c r="A77" s="18" t="inlineStr">
        <is>
          <t>재공품</t>
        </is>
      </c>
      <c r="C77" s="20" t="n">
        <v>52799</v>
      </c>
      <c r="D77" s="20" t="n">
        <v>54225</v>
      </c>
      <c r="E77" s="20" t="n">
        <v>64477</v>
      </c>
      <c r="F77" s="20" t="n">
        <v>45690</v>
      </c>
      <c r="G77" s="20" t="n">
        <v>51149</v>
      </c>
      <c r="H77" s="20" t="n">
        <v>32159</v>
      </c>
      <c r="I77" s="20" t="n">
        <v>36617</v>
      </c>
      <c r="J77" s="20" t="n">
        <v>41717</v>
      </c>
      <c r="K77" s="20" t="n">
        <v>46039</v>
      </c>
      <c r="L77" s="20" t="n">
        <v>45690</v>
      </c>
    </row>
    <row r="78">
      <c r="A78" s="18" t="inlineStr">
        <is>
          <t>원재료·저장품</t>
        </is>
      </c>
      <c r="C78" s="20" t="n">
        <v>12987</v>
      </c>
      <c r="D78" s="20" t="n">
        <v>12685</v>
      </c>
      <c r="E78" s="20" t="n">
        <v>13354</v>
      </c>
      <c r="F78" s="20" t="n">
        <v>13811</v>
      </c>
      <c r="G78" s="20" t="n">
        <v>15447</v>
      </c>
      <c r="H78" s="20" t="n">
        <v>8381</v>
      </c>
      <c r="I78" s="20" t="n">
        <v>11550</v>
      </c>
      <c r="J78" s="20" t="n">
        <v>14700</v>
      </c>
      <c r="K78" s="20" t="n">
        <v>13041</v>
      </c>
      <c r="L78" s="20" t="n">
        <v>13811</v>
      </c>
    </row>
    <row r="79">
      <c r="A79" s="18" t="inlineStr">
        <is>
          <t>기타</t>
        </is>
      </c>
      <c r="C79" s="20" t="n">
        <v>8980</v>
      </c>
      <c r="D79" s="20" t="n">
        <v>11074</v>
      </c>
      <c r="E79" s="20" t="n">
        <v>12843</v>
      </c>
      <c r="F79" s="20" t="n">
        <v>9695</v>
      </c>
      <c r="G79" s="20" t="n">
        <v>9745</v>
      </c>
      <c r="H79" s="20" t="n">
        <v>5890</v>
      </c>
      <c r="I79" s="20" t="n">
        <v>6163</v>
      </c>
      <c r="J79" s="20" t="n">
        <v>6893</v>
      </c>
      <c r="K79" s="20" t="n">
        <v>6508</v>
      </c>
      <c r="L79" s="20" t="n">
        <v>9695</v>
      </c>
    </row>
    <row r="80">
      <c r="A80" s="18" t="inlineStr">
        <is>
          <t>대손충당금</t>
        </is>
      </c>
      <c r="C80" s="20" t="n">
        <v>-496</v>
      </c>
      <c r="D80" s="20" t="n">
        <v>-498</v>
      </c>
      <c r="E80" s="20" t="n">
        <v>-522</v>
      </c>
      <c r="F80" s="20" t="n">
        <v>-548</v>
      </c>
      <c r="G80" s="20" t="n">
        <v>-550</v>
      </c>
      <c r="H80" s="20" t="n">
        <v>-188</v>
      </c>
      <c r="I80" s="20" t="n">
        <v>-184</v>
      </c>
      <c r="J80" s="20" t="n">
        <v>-302</v>
      </c>
      <c r="K80" s="20" t="n">
        <v>-519</v>
      </c>
      <c r="L80" s="20" t="n">
        <v>-548</v>
      </c>
    </row>
    <row r="81">
      <c r="A81" s="9" t="inlineStr">
        <is>
          <t>유동자산 합계</t>
        </is>
      </c>
      <c r="C81" s="12" t="n">
        <v>198337</v>
      </c>
      <c r="D81" s="12" t="n">
        <v>198997</v>
      </c>
      <c r="E81" s="12" t="n">
        <v>223257</v>
      </c>
      <c r="F81" s="12" t="n">
        <v>240271</v>
      </c>
      <c r="G81" s="12" t="n">
        <v>223824</v>
      </c>
      <c r="H81" s="12" t="n">
        <v>171294</v>
      </c>
      <c r="I81" s="12" t="n">
        <v>187751</v>
      </c>
      <c r="J81" s="12" t="n">
        <v>208503</v>
      </c>
      <c r="K81" s="12" t="n">
        <v>217116</v>
      </c>
      <c r="L81" s="12" t="n">
        <v>240271</v>
      </c>
    </row>
    <row r="82">
      <c r="A82" s="18" t="inlineStr">
        <is>
          <t>건물</t>
        </is>
      </c>
      <c r="F82" s="20" t="n">
        <v>28941</v>
      </c>
      <c r="H82" s="20" t="n">
        <v>30718</v>
      </c>
      <c r="I82" s="20" t="n">
        <v>29659</v>
      </c>
      <c r="J82" s="20" t="n">
        <v>28749</v>
      </c>
      <c r="K82" s="20" t="n">
        <v>28294</v>
      </c>
      <c r="L82" s="20" t="n">
        <v>28941</v>
      </c>
    </row>
    <row r="83">
      <c r="A83" s="18" t="inlineStr">
        <is>
          <t>구축물</t>
        </is>
      </c>
      <c r="F83" s="20" t="n">
        <v>1630</v>
      </c>
      <c r="H83" s="20" t="n">
        <v>1501</v>
      </c>
      <c r="I83" s="20" t="n">
        <v>1478</v>
      </c>
      <c r="J83" s="20" t="n">
        <v>1452</v>
      </c>
      <c r="K83" s="20" t="n">
        <v>1563</v>
      </c>
      <c r="L83" s="20" t="n">
        <v>1630</v>
      </c>
    </row>
    <row r="84">
      <c r="A84" s="18" t="inlineStr">
        <is>
          <t>기계장치</t>
        </is>
      </c>
      <c r="F84" s="20" t="n">
        <v>7078</v>
      </c>
      <c r="H84" s="20" t="n">
        <v>6164</v>
      </c>
      <c r="I84" s="20" t="n">
        <v>5851</v>
      </c>
      <c r="J84" s="20" t="n">
        <v>5851</v>
      </c>
      <c r="K84" s="20" t="n">
        <v>5923</v>
      </c>
      <c r="L84" s="20" t="n">
        <v>7078</v>
      </c>
    </row>
    <row r="85">
      <c r="A85" s="18" t="inlineStr">
        <is>
          <t>차량운반구</t>
        </is>
      </c>
      <c r="F85" s="20" t="n">
        <v>126</v>
      </c>
      <c r="H85" s="20" t="n">
        <v>58</v>
      </c>
      <c r="I85" s="20" t="n">
        <v>104</v>
      </c>
      <c r="J85" s="20" t="n">
        <v>78</v>
      </c>
      <c r="K85" s="20" t="n">
        <v>88</v>
      </c>
      <c r="L85" s="20" t="n">
        <v>126</v>
      </c>
    </row>
    <row r="86">
      <c r="A86" s="18" t="inlineStr">
        <is>
          <t>공구·기구·비품</t>
        </is>
      </c>
      <c r="F86" s="20" t="n">
        <v>1847</v>
      </c>
      <c r="H86" s="20" t="n">
        <v>1538</v>
      </c>
      <c r="I86" s="20" t="n">
        <v>1571</v>
      </c>
      <c r="J86" s="20" t="n">
        <v>1548</v>
      </c>
      <c r="K86" s="20" t="n">
        <v>1581</v>
      </c>
      <c r="L86" s="20" t="n">
        <v>1847</v>
      </c>
    </row>
    <row r="87">
      <c r="A87" s="18" t="inlineStr">
        <is>
          <t>건물·구축물</t>
        </is>
      </c>
      <c r="F87" s="20" t="n">
        <v>106266</v>
      </c>
      <c r="H87" s="20" t="n">
        <v>97947</v>
      </c>
      <c r="I87" s="20" t="n">
        <v>98385</v>
      </c>
      <c r="J87" s="20" t="n">
        <v>101483</v>
      </c>
      <c r="K87" s="20" t="n">
        <v>102731</v>
      </c>
      <c r="L87" s="20" t="n">
        <v>106266</v>
      </c>
    </row>
    <row r="88">
      <c r="A88" s="18" t="inlineStr">
        <is>
          <t>감가상각누계액 및 손상차손누계액</t>
        </is>
      </c>
      <c r="F88" s="20" t="n">
        <v>-68094</v>
      </c>
      <c r="H88" s="20" t="n">
        <v>-57650</v>
      </c>
      <c r="I88" s="20" t="n">
        <v>-59676</v>
      </c>
      <c r="J88" s="20" t="n">
        <v>-62350</v>
      </c>
      <c r="K88" s="20" t="n">
        <v>-64392</v>
      </c>
      <c r="L88" s="20" t="n">
        <v>-68094</v>
      </c>
    </row>
    <row r="89">
      <c r="A89" s="18" t="inlineStr">
        <is>
          <t>건물·구축물(순액)</t>
        </is>
      </c>
      <c r="C89" s="20" t="n">
        <v>37949</v>
      </c>
      <c r="D89" s="20" t="n">
        <v>37968</v>
      </c>
      <c r="E89" s="20" t="n">
        <v>38764</v>
      </c>
      <c r="F89" s="20" t="n">
        <v>38172</v>
      </c>
      <c r="G89" s="20" t="n">
        <v>41198</v>
      </c>
      <c r="H89" s="20" t="n">
        <v>40297</v>
      </c>
      <c r="I89" s="20" t="n">
        <v>38708</v>
      </c>
      <c r="J89" s="20" t="n">
        <v>39133</v>
      </c>
      <c r="K89" s="20" t="n">
        <v>38339</v>
      </c>
      <c r="L89" s="20" t="n">
        <v>38172</v>
      </c>
    </row>
    <row r="90">
      <c r="A90" s="18" t="inlineStr">
        <is>
          <t>기계장치·운반구</t>
        </is>
      </c>
      <c r="F90" s="20" t="n">
        <v>77873</v>
      </c>
      <c r="H90" s="20" t="n">
        <v>64996</v>
      </c>
      <c r="I90" s="20" t="n">
        <v>65960</v>
      </c>
      <c r="J90" s="20" t="n">
        <v>71589</v>
      </c>
      <c r="K90" s="20" t="n">
        <v>73459</v>
      </c>
      <c r="L90" s="20" t="n">
        <v>77873</v>
      </c>
    </row>
    <row r="91">
      <c r="A91" s="18" t="inlineStr">
        <is>
          <t>감가상각누계액 및 손상차손누계액</t>
        </is>
      </c>
      <c r="F91" s="20" t="n">
        <v>-63799</v>
      </c>
      <c r="H91" s="20" t="n">
        <v>-50701</v>
      </c>
      <c r="I91" s="20" t="n">
        <v>-52955</v>
      </c>
      <c r="J91" s="20" t="n">
        <v>-56296</v>
      </c>
      <c r="K91" s="20" t="n">
        <v>-58989</v>
      </c>
      <c r="L91" s="20" t="n">
        <v>-63799</v>
      </c>
    </row>
    <row r="92">
      <c r="A92" s="18" t="inlineStr">
        <is>
          <t>기계장치·운반구(순액)</t>
        </is>
      </c>
      <c r="C92" s="20" t="n">
        <v>13875</v>
      </c>
      <c r="D92" s="20" t="n">
        <v>13838</v>
      </c>
      <c r="E92" s="20" t="n">
        <v>15589</v>
      </c>
      <c r="F92" s="20" t="n">
        <v>14074</v>
      </c>
      <c r="G92" s="20" t="n">
        <v>14047</v>
      </c>
      <c r="H92" s="20" t="n">
        <v>14294</v>
      </c>
      <c r="I92" s="20" t="n">
        <v>13004</v>
      </c>
      <c r="J92" s="20" t="n">
        <v>15292</v>
      </c>
      <c r="K92" s="20" t="n">
        <v>14470</v>
      </c>
      <c r="L92" s="20" t="n">
        <v>14074</v>
      </c>
    </row>
    <row r="93">
      <c r="A93" s="18" t="inlineStr">
        <is>
          <t>토지</t>
        </is>
      </c>
      <c r="C93" s="20" t="n">
        <v>12541</v>
      </c>
      <c r="D93" s="20" t="n">
        <v>12548</v>
      </c>
      <c r="E93" s="20" t="n">
        <v>11959</v>
      </c>
      <c r="F93" s="20" t="n">
        <v>11959</v>
      </c>
      <c r="G93" s="20" t="n">
        <v>11961</v>
      </c>
      <c r="H93" s="20" t="n">
        <v>12955</v>
      </c>
      <c r="I93" s="20" t="n">
        <v>12697</v>
      </c>
      <c r="J93" s="20" t="n">
        <v>12542</v>
      </c>
      <c r="K93" s="20" t="n">
        <v>12542</v>
      </c>
      <c r="L93" s="20" t="n">
        <v>11959</v>
      </c>
    </row>
    <row r="94">
      <c r="A94" s="18" t="inlineStr">
        <is>
          <t>건설중인자산</t>
        </is>
      </c>
      <c r="C94" s="20" t="n">
        <v>5603</v>
      </c>
      <c r="D94" s="20" t="n">
        <v>6189</v>
      </c>
      <c r="E94" s="20" t="n">
        <v>5835</v>
      </c>
      <c r="F94" s="20" t="n">
        <v>5584</v>
      </c>
      <c r="G94" s="20" t="n">
        <v>6132</v>
      </c>
      <c r="H94" s="20" t="n">
        <v>2349</v>
      </c>
      <c r="I94" s="20" t="n">
        <v>6107</v>
      </c>
      <c r="J94" s="20" t="n">
        <v>2876</v>
      </c>
      <c r="K94" s="20" t="n">
        <v>4463</v>
      </c>
      <c r="L94" s="20" t="n">
        <v>5584</v>
      </c>
    </row>
    <row r="95">
      <c r="A95" s="18" t="inlineStr">
        <is>
          <t>기타</t>
        </is>
      </c>
      <c r="F95" s="20" t="n">
        <v>31420</v>
      </c>
      <c r="H95" s="20" t="n">
        <v>27220</v>
      </c>
      <c r="I95" s="20" t="n">
        <v>28129</v>
      </c>
      <c r="J95" s="20" t="n">
        <v>29326</v>
      </c>
      <c r="K95" s="20" t="n">
        <v>29731</v>
      </c>
      <c r="L95" s="20" t="n">
        <v>31420</v>
      </c>
    </row>
    <row r="96">
      <c r="A96" s="18" t="inlineStr">
        <is>
          <t>감가상각누계액 및 손상차손누계액</t>
        </is>
      </c>
      <c r="F96" s="20" t="n">
        <v>-25639</v>
      </c>
      <c r="H96" s="20" t="n">
        <v>-22169</v>
      </c>
      <c r="I96" s="20" t="n">
        <v>-22858</v>
      </c>
      <c r="J96" s="20" t="n">
        <v>-23808</v>
      </c>
      <c r="K96" s="20" t="n">
        <v>-24485</v>
      </c>
      <c r="L96" s="20" t="n">
        <v>-25639</v>
      </c>
    </row>
    <row r="97">
      <c r="A97" s="18" t="inlineStr">
        <is>
          <t>기타(순액)</t>
        </is>
      </c>
      <c r="C97" s="20" t="n">
        <v>5370</v>
      </c>
      <c r="D97" s="20" t="n">
        <v>5449</v>
      </c>
      <c r="E97" s="20" t="n">
        <v>5763</v>
      </c>
      <c r="F97" s="20" t="n">
        <v>5780</v>
      </c>
      <c r="G97" s="20" t="n">
        <v>5961</v>
      </c>
      <c r="H97" s="20" t="n">
        <v>5051</v>
      </c>
      <c r="I97" s="20" t="n">
        <v>5271</v>
      </c>
      <c r="J97" s="20" t="n">
        <v>5518</v>
      </c>
      <c r="K97" s="20" t="n">
        <v>5245</v>
      </c>
      <c r="L97" s="20" t="n">
        <v>5780</v>
      </c>
    </row>
    <row r="98">
      <c r="A98" s="18" t="inlineStr">
        <is>
          <t>유형자산 합계</t>
        </is>
      </c>
      <c r="C98" s="20" t="n">
        <v>75339</v>
      </c>
      <c r="D98" s="20" t="n">
        <v>75995</v>
      </c>
      <c r="E98" s="20" t="n">
        <v>77912</v>
      </c>
      <c r="F98" s="20" t="n">
        <v>75571</v>
      </c>
      <c r="G98" s="20" t="n">
        <v>79301</v>
      </c>
      <c r="H98" s="20" t="n">
        <v>74947</v>
      </c>
      <c r="I98" s="20" t="n">
        <v>75788</v>
      </c>
      <c r="J98" s="20" t="n">
        <v>75363</v>
      </c>
      <c r="K98" s="20" t="n">
        <v>75061</v>
      </c>
      <c r="L98" s="20" t="n">
        <v>75571</v>
      </c>
    </row>
    <row r="99">
      <c r="A99" s="18" t="inlineStr">
        <is>
          <t>소프트웨어</t>
        </is>
      </c>
      <c r="C99" s="20" t="n">
        <v>4747</v>
      </c>
      <c r="D99" s="20" t="n">
        <v>4529</v>
      </c>
      <c r="E99" s="20" t="n">
        <v>4248</v>
      </c>
      <c r="F99" s="20" t="n">
        <v>4523</v>
      </c>
      <c r="G99" s="20" t="n">
        <v>4373</v>
      </c>
      <c r="H99" s="20" t="n">
        <v>5325</v>
      </c>
      <c r="I99" s="20" t="n">
        <v>4862</v>
      </c>
      <c r="J99" s="20" t="n">
        <v>4774</v>
      </c>
      <c r="K99" s="20" t="n">
        <v>4692</v>
      </c>
      <c r="L99" s="20" t="n">
        <v>4523</v>
      </c>
    </row>
    <row r="100">
      <c r="A100" s="18" t="inlineStr">
        <is>
          <t>영업권</t>
        </is>
      </c>
      <c r="C100" s="20" t="n">
        <v>1234</v>
      </c>
      <c r="D100" s="20" t="n">
        <v>1075</v>
      </c>
      <c r="E100" s="20" t="n">
        <v>941</v>
      </c>
      <c r="F100" s="20" t="n">
        <v>775</v>
      </c>
      <c r="G100" s="20" t="n">
        <v>616</v>
      </c>
      <c r="H100" s="20" t="n">
        <v>3272</v>
      </c>
      <c r="I100" s="20" t="n">
        <v>2675</v>
      </c>
      <c r="J100" s="20" t="n">
        <v>2175</v>
      </c>
      <c r="K100" s="20" t="n">
        <v>1428</v>
      </c>
      <c r="L100" s="20" t="n">
        <v>775</v>
      </c>
    </row>
    <row r="101">
      <c r="A101" s="18" t="inlineStr">
        <is>
          <t>기타</t>
        </is>
      </c>
      <c r="C101" s="20" t="n">
        <v>570</v>
      </c>
      <c r="D101" s="20" t="n">
        <v>553</v>
      </c>
      <c r="E101" s="20" t="n">
        <v>546</v>
      </c>
      <c r="F101" s="20" t="n">
        <v>515</v>
      </c>
      <c r="G101" s="20" t="n">
        <v>490</v>
      </c>
      <c r="H101" s="20" t="n">
        <v>968</v>
      </c>
      <c r="I101" s="20" t="n">
        <v>925</v>
      </c>
      <c r="J101" s="20" t="n">
        <v>699</v>
      </c>
      <c r="K101" s="20" t="n">
        <v>571</v>
      </c>
      <c r="L101" s="20" t="n">
        <v>515</v>
      </c>
    </row>
    <row r="102">
      <c r="A102" s="18" t="inlineStr">
        <is>
          <t>무형자산 합계</t>
        </is>
      </c>
      <c r="C102" s="20" t="n">
        <v>6552</v>
      </c>
      <c r="D102" s="20" t="n">
        <v>6159</v>
      </c>
      <c r="E102" s="20" t="n">
        <v>5736</v>
      </c>
      <c r="F102" s="20" t="n">
        <v>5815</v>
      </c>
      <c r="G102" s="20" t="n">
        <v>5481</v>
      </c>
      <c r="H102" s="20" t="n">
        <v>9565</v>
      </c>
      <c r="I102" s="20" t="n">
        <v>8462</v>
      </c>
      <c r="J102" s="20" t="n">
        <v>7650</v>
      </c>
      <c r="K102" s="20" t="n">
        <v>6693</v>
      </c>
      <c r="L102" s="20" t="n">
        <v>5815</v>
      </c>
    </row>
    <row r="103">
      <c r="A103" s="18" t="inlineStr">
        <is>
          <t>투자유가증권</t>
        </is>
      </c>
      <c r="C103" s="20" t="n">
        <v>25837</v>
      </c>
      <c r="D103" s="20" t="n">
        <v>30193</v>
      </c>
      <c r="E103" s="20" t="n">
        <v>35042</v>
      </c>
      <c r="F103" s="20" t="n">
        <v>36928</v>
      </c>
      <c r="G103" s="20" t="n">
        <v>39192</v>
      </c>
      <c r="H103" s="20" t="n">
        <v>17132</v>
      </c>
      <c r="I103" s="20" t="n">
        <v>16696</v>
      </c>
      <c r="J103" s="20" t="n">
        <v>26558</v>
      </c>
      <c r="K103" s="20" t="n">
        <v>23498</v>
      </c>
      <c r="L103" s="20" t="n">
        <v>36928</v>
      </c>
    </row>
    <row r="104">
      <c r="A104" s="18" t="inlineStr">
        <is>
          <t>관계회사 주식</t>
        </is>
      </c>
      <c r="F104" s="20" t="n">
        <v>20946</v>
      </c>
      <c r="H104" s="20" t="n">
        <v>27146</v>
      </c>
      <c r="I104" s="20" t="n">
        <v>26526</v>
      </c>
      <c r="J104" s="20" t="n">
        <v>24240</v>
      </c>
      <c r="K104" s="20" t="n">
        <v>25040</v>
      </c>
      <c r="L104" s="20" t="n">
        <v>20946</v>
      </c>
    </row>
    <row r="105">
      <c r="A105" s="18" t="inlineStr">
        <is>
          <t>장기대여금</t>
        </is>
      </c>
      <c r="C105" s="20" t="n">
        <v>32</v>
      </c>
      <c r="D105" s="20" t="n">
        <v>33</v>
      </c>
      <c r="E105" s="20" t="n">
        <v>34</v>
      </c>
      <c r="F105" s="20" t="n">
        <v>34</v>
      </c>
      <c r="G105" s="20" t="n">
        <v>34</v>
      </c>
      <c r="H105" s="20" t="n">
        <v>36</v>
      </c>
      <c r="I105" s="20" t="n">
        <v>37</v>
      </c>
      <c r="J105" s="20" t="n">
        <v>30</v>
      </c>
      <c r="K105" s="20" t="n">
        <v>33</v>
      </c>
      <c r="L105" s="20" t="n">
        <v>34</v>
      </c>
    </row>
    <row r="106">
      <c r="A106" s="18" t="inlineStr">
        <is>
          <t>이연법인세자산</t>
        </is>
      </c>
      <c r="C106" s="20" t="n">
        <v>15846</v>
      </c>
      <c r="D106" s="20" t="n">
        <v>14366</v>
      </c>
      <c r="E106" s="20" t="n">
        <v>11194</v>
      </c>
      <c r="F106" s="20" t="n">
        <v>11425</v>
      </c>
      <c r="G106" s="20" t="n">
        <v>9374</v>
      </c>
      <c r="H106" s="20" t="n">
        <v>15914</v>
      </c>
      <c r="I106" s="20" t="n">
        <v>16535</v>
      </c>
      <c r="J106" s="20" t="n">
        <v>14377</v>
      </c>
      <c r="K106" s="20" t="n">
        <v>16467</v>
      </c>
      <c r="L106" s="20" t="n">
        <v>11425</v>
      </c>
    </row>
    <row r="107">
      <c r="A107" s="18" t="inlineStr">
        <is>
          <t>기타</t>
        </is>
      </c>
      <c r="C107" s="20" t="n">
        <v>2577</v>
      </c>
      <c r="D107" s="20" t="n">
        <v>3274</v>
      </c>
      <c r="E107" s="20" t="n">
        <v>3567</v>
      </c>
      <c r="F107" s="20" t="n">
        <v>3648</v>
      </c>
      <c r="G107" s="20" t="n">
        <v>3883</v>
      </c>
      <c r="H107" s="20" t="n">
        <v>2074</v>
      </c>
      <c r="I107" s="20" t="n">
        <v>2148</v>
      </c>
      <c r="J107" s="20" t="n">
        <v>2331</v>
      </c>
      <c r="K107" s="20" t="n">
        <v>2504</v>
      </c>
      <c r="L107" s="20" t="n">
        <v>3648</v>
      </c>
    </row>
    <row r="108">
      <c r="A108" s="18" t="inlineStr">
        <is>
          <t>대손충당금</t>
        </is>
      </c>
      <c r="C108" s="20" t="n">
        <v>-27</v>
      </c>
      <c r="D108" s="20" t="n">
        <v>-27</v>
      </c>
      <c r="E108" s="20" t="n">
        <v>-27</v>
      </c>
      <c r="F108" s="20" t="n">
        <v>-27</v>
      </c>
      <c r="G108" s="20" t="n">
        <v>-23</v>
      </c>
      <c r="H108" s="20" t="n">
        <v>-67</v>
      </c>
      <c r="I108" s="20" t="n">
        <v>-28</v>
      </c>
      <c r="J108" s="20" t="n">
        <v>-27</v>
      </c>
      <c r="K108" s="20" t="n">
        <v>-27</v>
      </c>
      <c r="L108" s="20" t="n">
        <v>-27</v>
      </c>
    </row>
    <row r="109">
      <c r="A109" s="18" t="inlineStr">
        <is>
          <t>투자 및 기타자산 합계</t>
        </is>
      </c>
      <c r="C109" s="20" t="n">
        <v>44266</v>
      </c>
      <c r="D109" s="20" t="n">
        <v>47839</v>
      </c>
      <c r="E109" s="20" t="n">
        <v>49811</v>
      </c>
      <c r="F109" s="20" t="n">
        <v>52009</v>
      </c>
      <c r="G109" s="20" t="n">
        <v>52461</v>
      </c>
      <c r="H109" s="20" t="n">
        <v>35091</v>
      </c>
      <c r="I109" s="20" t="n">
        <v>35388</v>
      </c>
      <c r="J109" s="20" t="n">
        <v>43270</v>
      </c>
      <c r="K109" s="20" t="n">
        <v>42476</v>
      </c>
      <c r="L109" s="20" t="n">
        <v>52009</v>
      </c>
    </row>
    <row r="110">
      <c r="A110" s="9" t="inlineStr">
        <is>
          <t>비유동자산 합계</t>
        </is>
      </c>
      <c r="C110" s="12" t="n">
        <v>126158</v>
      </c>
      <c r="D110" s="12" t="n">
        <v>129994</v>
      </c>
      <c r="E110" s="12" t="n">
        <v>133460</v>
      </c>
      <c r="F110" s="12" t="n">
        <v>133396</v>
      </c>
      <c r="G110" s="12" t="n">
        <v>137243</v>
      </c>
      <c r="H110" s="12" t="n">
        <v>119604</v>
      </c>
      <c r="I110" s="12" t="n">
        <v>119639</v>
      </c>
      <c r="J110" s="12" t="n">
        <v>126284</v>
      </c>
      <c r="K110" s="12" t="n">
        <v>124230</v>
      </c>
      <c r="L110" s="12" t="n">
        <v>133396</v>
      </c>
    </row>
    <row r="111">
      <c r="A111" s="9" t="inlineStr">
        <is>
          <t>자산 합계</t>
        </is>
      </c>
      <c r="C111" s="12" t="n">
        <v>324495</v>
      </c>
      <c r="D111" s="12" t="n">
        <v>328991</v>
      </c>
      <c r="E111" s="12" t="n">
        <v>356717</v>
      </c>
      <c r="F111" s="12" t="n">
        <v>373668</v>
      </c>
      <c r="G111" s="12" t="n">
        <v>361068</v>
      </c>
      <c r="H111" s="12" t="n">
        <v>290899</v>
      </c>
      <c r="I111" s="12" t="n">
        <v>307390</v>
      </c>
      <c r="J111" s="12" t="n">
        <v>334787</v>
      </c>
      <c r="K111" s="12" t="n">
        <v>341347</v>
      </c>
      <c r="L111" s="12" t="n">
        <v>373668</v>
      </c>
    </row>
    <row r="112">
      <c r="A112" s="18" t="inlineStr">
        <is>
          <t>지급어음</t>
        </is>
      </c>
      <c r="F112" s="20" t="n">
        <v>214</v>
      </c>
      <c r="H112" s="20" t="n">
        <v>317</v>
      </c>
      <c r="I112" s="20" t="n">
        <v>286</v>
      </c>
      <c r="J112" s="20" t="n">
        <v>170</v>
      </c>
      <c r="K112" s="20" t="n">
        <v>180</v>
      </c>
      <c r="L112" s="20" t="n">
        <v>214</v>
      </c>
    </row>
    <row r="113">
      <c r="A113" s="18" t="inlineStr">
        <is>
          <t>지급어음·매입채무</t>
        </is>
      </c>
      <c r="C113" s="20" t="n">
        <v>27409</v>
      </c>
      <c r="D113" s="20" t="n">
        <v>28216</v>
      </c>
      <c r="E113" s="20" t="n">
        <v>30011</v>
      </c>
      <c r="F113" s="20" t="n">
        <v>33556</v>
      </c>
      <c r="G113" s="20" t="n">
        <v>27979</v>
      </c>
      <c r="H113" s="20" t="n">
        <v>34796</v>
      </c>
      <c r="I113" s="20" t="n">
        <v>38971</v>
      </c>
      <c r="J113" s="20" t="n">
        <v>35918</v>
      </c>
      <c r="K113" s="20" t="n">
        <v>34504</v>
      </c>
      <c r="L113" s="20" t="n">
        <v>33556</v>
      </c>
    </row>
    <row r="114">
      <c r="A114" s="18" t="inlineStr">
        <is>
          <t>전자기록채무</t>
        </is>
      </c>
      <c r="C114" s="20" t="n">
        <v>2731</v>
      </c>
      <c r="D114" s="20" t="n">
        <v>2867</v>
      </c>
      <c r="E114" s="20" t="n">
        <v>3439</v>
      </c>
      <c r="F114" s="20" t="n">
        <v>4664</v>
      </c>
      <c r="G114" s="20" t="n">
        <v>5015</v>
      </c>
      <c r="H114" s="20" t="n">
        <v>4369</v>
      </c>
      <c r="I114" s="20" t="n">
        <v>3997</v>
      </c>
      <c r="J114" s="20" t="n">
        <v>4238</v>
      </c>
      <c r="K114" s="20" t="n">
        <v>2536</v>
      </c>
      <c r="L114" s="20" t="n">
        <v>4664</v>
      </c>
    </row>
    <row r="115">
      <c r="A115" s="18" t="inlineStr">
        <is>
          <t>매입채무</t>
        </is>
      </c>
      <c r="F115" s="20" t="n">
        <v>24447</v>
      </c>
      <c r="H115" s="20" t="n">
        <v>22064</v>
      </c>
      <c r="I115" s="20" t="n">
        <v>27832</v>
      </c>
      <c r="J115" s="20" t="n">
        <v>26513</v>
      </c>
      <c r="K115" s="20" t="n">
        <v>25048</v>
      </c>
      <c r="L115" s="20" t="n">
        <v>24447</v>
      </c>
    </row>
    <row r="116">
      <c r="A116" s="18" t="inlineStr">
        <is>
          <t>단기차입금</t>
        </is>
      </c>
      <c r="C116" s="20" t="n">
        <v>11926</v>
      </c>
      <c r="D116" s="20" t="n">
        <v>11987</v>
      </c>
      <c r="E116" s="20" t="n">
        <v>13588</v>
      </c>
      <c r="F116" s="20" t="n">
        <v>16340</v>
      </c>
      <c r="G116" s="20" t="n">
        <v>16256</v>
      </c>
      <c r="H116" s="20" t="n">
        <v>10255</v>
      </c>
      <c r="I116" s="20" t="n">
        <v>15514</v>
      </c>
      <c r="J116" s="20" t="n">
        <v>9912</v>
      </c>
      <c r="K116" s="20" t="n">
        <v>11095</v>
      </c>
      <c r="L116" s="20" t="n">
        <v>16340</v>
      </c>
    </row>
    <row r="117">
      <c r="A117" s="18" t="inlineStr">
        <is>
          <t>기업어음(CP)</t>
        </is>
      </c>
      <c r="C117" s="20" t="n">
        <v>0</v>
      </c>
      <c r="D117" s="20" t="n">
        <v>0</v>
      </c>
      <c r="E117" s="20" t="n">
        <v>12000</v>
      </c>
      <c r="F117" s="20" t="n">
        <v>5000</v>
      </c>
      <c r="G117" s="20" t="n">
        <v>0</v>
      </c>
      <c r="H117" s="20" t="n">
        <v>2000</v>
      </c>
      <c r="I117" s="20" t="n">
        <v>8000</v>
      </c>
      <c r="J117" s="20" t="n">
        <v>10000</v>
      </c>
      <c r="K117" s="20" t="n">
        <v>6000</v>
      </c>
      <c r="L117" s="20" t="n">
        <v>5000</v>
      </c>
    </row>
    <row r="118">
      <c r="A118" s="18" t="inlineStr">
        <is>
          <t>1년 내 상환 사채</t>
        </is>
      </c>
      <c r="H118" s="20" t="n">
        <v>5000</v>
      </c>
      <c r="I118" s="20" t="n">
        <v>0</v>
      </c>
      <c r="J118" s="20" t="n">
        <v>6000</v>
      </c>
      <c r="K118" s="20" t="n">
        <v>0</v>
      </c>
    </row>
    <row r="119">
      <c r="A119" s="18" t="inlineStr">
        <is>
          <t>미지급금</t>
        </is>
      </c>
      <c r="C119" s="20" t="n">
        <v>4403</v>
      </c>
      <c r="D119" s="20" t="n">
        <v>3815</v>
      </c>
      <c r="E119" s="20" t="n">
        <v>3903</v>
      </c>
      <c r="F119" s="20" t="n">
        <v>3502</v>
      </c>
      <c r="G119" s="20" t="n">
        <v>3565</v>
      </c>
      <c r="H119" s="20" t="n">
        <v>6405</v>
      </c>
      <c r="I119" s="20" t="n">
        <v>5268</v>
      </c>
      <c r="J119" s="20" t="n">
        <v>6413</v>
      </c>
      <c r="K119" s="20" t="n">
        <v>5141</v>
      </c>
      <c r="L119" s="20" t="n">
        <v>3502</v>
      </c>
    </row>
    <row r="120">
      <c r="A120" s="18" t="inlineStr">
        <is>
          <t>미지급법인세</t>
        </is>
      </c>
      <c r="C120" s="20" t="n">
        <v>1603</v>
      </c>
      <c r="D120" s="20" t="n">
        <v>1903</v>
      </c>
      <c r="E120" s="20" t="n">
        <v>1165</v>
      </c>
      <c r="F120" s="20" t="n">
        <v>6343</v>
      </c>
      <c r="G120" s="20" t="n">
        <v>2072</v>
      </c>
      <c r="H120" s="20" t="n">
        <v>1543</v>
      </c>
      <c r="I120" s="20" t="n">
        <v>3262</v>
      </c>
      <c r="J120" s="20" t="n">
        <v>3216</v>
      </c>
      <c r="K120" s="20" t="n">
        <v>4768</v>
      </c>
      <c r="L120" s="20" t="n">
        <v>6343</v>
      </c>
    </row>
    <row r="121">
      <c r="A121" s="18" t="inlineStr">
        <is>
          <t>선수금</t>
        </is>
      </c>
      <c r="H121" s="20" t="n">
        <v>0</v>
      </c>
    </row>
    <row r="122">
      <c r="A122" s="18" t="inlineStr">
        <is>
          <t>계약부채</t>
        </is>
      </c>
      <c r="C122" s="20" t="n">
        <v>29679</v>
      </c>
      <c r="D122" s="20" t="n">
        <v>28354</v>
      </c>
      <c r="E122" s="20" t="n">
        <v>30199</v>
      </c>
      <c r="F122" s="20" t="n">
        <v>23294</v>
      </c>
      <c r="G122" s="20" t="n">
        <v>28801</v>
      </c>
      <c r="H122" s="20" t="n">
        <v>11819</v>
      </c>
      <c r="I122" s="20" t="n">
        <v>16534</v>
      </c>
      <c r="J122" s="20" t="n">
        <v>19461</v>
      </c>
      <c r="K122" s="20" t="n">
        <v>21559</v>
      </c>
      <c r="L122" s="20" t="n">
        <v>23294</v>
      </c>
    </row>
    <row r="123">
      <c r="A123" s="18" t="inlineStr">
        <is>
          <t>예수금</t>
        </is>
      </c>
      <c r="F123" s="20" t="n">
        <v>26366</v>
      </c>
      <c r="H123" s="20" t="n">
        <v>20875</v>
      </c>
      <c r="I123" s="20" t="n">
        <v>20603</v>
      </c>
      <c r="J123" s="20" t="n">
        <v>20306</v>
      </c>
      <c r="K123" s="20" t="n">
        <v>26908</v>
      </c>
      <c r="L123" s="20" t="n">
        <v>26366</v>
      </c>
    </row>
    <row r="124">
      <c r="A124" s="18" t="inlineStr">
        <is>
          <t>상여충당금</t>
        </is>
      </c>
      <c r="C124" s="20" t="n">
        <v>4910</v>
      </c>
      <c r="D124" s="20" t="n">
        <v>9537</v>
      </c>
      <c r="E124" s="20" t="n">
        <v>5372</v>
      </c>
      <c r="F124" s="20" t="n">
        <v>10332</v>
      </c>
      <c r="G124" s="20" t="n">
        <v>5160</v>
      </c>
      <c r="H124" s="20" t="n">
        <v>7601</v>
      </c>
      <c r="I124" s="20" t="n">
        <v>7858</v>
      </c>
      <c r="J124" s="20" t="n">
        <v>8348</v>
      </c>
      <c r="K124" s="20" t="n">
        <v>9992</v>
      </c>
      <c r="L124" s="20" t="n">
        <v>10332</v>
      </c>
    </row>
    <row r="125">
      <c r="A125" s="18" t="inlineStr">
        <is>
          <t>제품보증 충당금</t>
        </is>
      </c>
      <c r="C125" s="20" t="n">
        <v>1503</v>
      </c>
      <c r="D125" s="20" t="n">
        <v>1486</v>
      </c>
      <c r="E125" s="20" t="n">
        <v>1620</v>
      </c>
      <c r="F125" s="20" t="n">
        <v>2666</v>
      </c>
      <c r="G125" s="20" t="n">
        <v>2513</v>
      </c>
      <c r="H125" s="20" t="n">
        <v>1108</v>
      </c>
      <c r="I125" s="20" t="n">
        <v>1104</v>
      </c>
      <c r="J125" s="20" t="n">
        <v>1281</v>
      </c>
      <c r="K125" s="20" t="n">
        <v>1481</v>
      </c>
      <c r="L125" s="20" t="n">
        <v>2666</v>
      </c>
    </row>
    <row r="126">
      <c r="A126" s="18" t="inlineStr">
        <is>
          <t>수주손실 충당금</t>
        </is>
      </c>
      <c r="C126" s="20" t="n">
        <v>638</v>
      </c>
      <c r="D126" s="20" t="n">
        <v>515</v>
      </c>
      <c r="E126" s="20" t="n">
        <v>587</v>
      </c>
      <c r="F126" s="20" t="n">
        <v>531</v>
      </c>
      <c r="G126" s="20" t="n">
        <v>514</v>
      </c>
      <c r="H126" s="20" t="n">
        <v>945</v>
      </c>
      <c r="I126" s="20" t="n">
        <v>590</v>
      </c>
      <c r="J126" s="20" t="n">
        <v>833</v>
      </c>
      <c r="K126" s="20" t="n">
        <v>588</v>
      </c>
      <c r="L126" s="20" t="n">
        <v>531</v>
      </c>
    </row>
    <row r="127">
      <c r="A127" s="18" t="inlineStr">
        <is>
          <t>기타</t>
        </is>
      </c>
      <c r="C127" s="20" t="n">
        <v>18267</v>
      </c>
      <c r="D127" s="20" t="n">
        <v>15725</v>
      </c>
      <c r="E127" s="20" t="n">
        <v>19587</v>
      </c>
      <c r="F127" s="20" t="n">
        <v>20156</v>
      </c>
      <c r="G127" s="20" t="n">
        <v>19615</v>
      </c>
      <c r="H127" s="20" t="n">
        <v>18560</v>
      </c>
      <c r="I127" s="20" t="n">
        <v>17204</v>
      </c>
      <c r="J127" s="20" t="n">
        <v>18618</v>
      </c>
      <c r="K127" s="20" t="n">
        <v>20401</v>
      </c>
      <c r="L127" s="20" t="n">
        <v>20156</v>
      </c>
    </row>
    <row r="128">
      <c r="A128" s="9" t="inlineStr">
        <is>
          <t>유동부채 합계</t>
        </is>
      </c>
      <c r="C128" s="12" t="n">
        <v>103074</v>
      </c>
      <c r="D128" s="12" t="n">
        <v>104408</v>
      </c>
      <c r="E128" s="12" t="n">
        <v>121478</v>
      </c>
      <c r="F128" s="12" t="n">
        <v>126388</v>
      </c>
      <c r="G128" s="12" t="n">
        <v>111494</v>
      </c>
      <c r="H128" s="12" t="n">
        <v>104406</v>
      </c>
      <c r="I128" s="12" t="n">
        <v>118307</v>
      </c>
      <c r="J128" s="12" t="n">
        <v>124242</v>
      </c>
      <c r="K128" s="12" t="n">
        <v>118069</v>
      </c>
      <c r="L128" s="12" t="n">
        <v>126388</v>
      </c>
    </row>
    <row r="129">
      <c r="A129" s="18" t="inlineStr">
        <is>
          <t>사채</t>
        </is>
      </c>
      <c r="H129" s="20" t="n">
        <v>6000</v>
      </c>
      <c r="I129" s="20" t="n">
        <v>6000</v>
      </c>
      <c r="J129" s="20" t="n">
        <v>0</v>
      </c>
    </row>
    <row r="130">
      <c r="A130" s="18" t="inlineStr">
        <is>
          <t>장기차입금</t>
        </is>
      </c>
      <c r="C130" s="20" t="n">
        <v>26985</v>
      </c>
      <c r="D130" s="20" t="n">
        <v>24544</v>
      </c>
      <c r="E130" s="20" t="n">
        <v>24186</v>
      </c>
      <c r="F130" s="20" t="n">
        <v>23064</v>
      </c>
      <c r="G130" s="20" t="n">
        <v>22613</v>
      </c>
      <c r="H130" s="20" t="n">
        <v>25210</v>
      </c>
      <c r="I130" s="20" t="n">
        <v>20995</v>
      </c>
      <c r="J130" s="20" t="n">
        <v>28767</v>
      </c>
      <c r="K130" s="20" t="n">
        <v>27470</v>
      </c>
      <c r="L130" s="20" t="n">
        <v>23064</v>
      </c>
    </row>
    <row r="131">
      <c r="A131" s="18" t="inlineStr">
        <is>
          <t>퇴직급여충당금</t>
        </is>
      </c>
      <c r="F131" s="20" t="n">
        <v>36352</v>
      </c>
      <c r="H131" s="20" t="n">
        <v>33267</v>
      </c>
      <c r="I131" s="20" t="n">
        <v>34292</v>
      </c>
      <c r="J131" s="20" t="n">
        <v>35381</v>
      </c>
      <c r="K131" s="20" t="n">
        <v>36003</v>
      </c>
      <c r="L131" s="20" t="n">
        <v>36352</v>
      </c>
    </row>
    <row r="132">
      <c r="A132" s="18" t="inlineStr">
        <is>
          <t>Provision For Loss On Guarantees</t>
        </is>
      </c>
      <c r="F132" s="20" t="n">
        <v>1984</v>
      </c>
      <c r="K132" s="20" t="n">
        <v>0</v>
      </c>
      <c r="L132" s="20" t="n">
        <v>1984</v>
      </c>
    </row>
    <row r="133">
      <c r="A133" s="18" t="inlineStr">
        <is>
          <t>퇴직급여부채</t>
        </is>
      </c>
      <c r="C133" s="20" t="n">
        <v>48997</v>
      </c>
      <c r="D133" s="20" t="n">
        <v>49020</v>
      </c>
      <c r="E133" s="20" t="n">
        <v>49269</v>
      </c>
      <c r="F133" s="20" t="n">
        <v>40807</v>
      </c>
      <c r="G133" s="20" t="n">
        <v>41163</v>
      </c>
      <c r="H133" s="20" t="n">
        <v>44808</v>
      </c>
      <c r="I133" s="20" t="n">
        <v>45995</v>
      </c>
      <c r="J133" s="20" t="n">
        <v>47445</v>
      </c>
      <c r="K133" s="20" t="n">
        <v>48579</v>
      </c>
      <c r="L133" s="20" t="n">
        <v>40807</v>
      </c>
    </row>
    <row r="134">
      <c r="A134" s="18" t="inlineStr">
        <is>
          <t>환경대책 충당금</t>
        </is>
      </c>
      <c r="C134" s="20" t="n">
        <v>77</v>
      </c>
      <c r="D134" s="20" t="n">
        <v>52</v>
      </c>
      <c r="E134" s="20" t="n">
        <v>37</v>
      </c>
      <c r="F134" s="20" t="n">
        <v>32</v>
      </c>
      <c r="G134" s="20" t="n">
        <v>29</v>
      </c>
      <c r="H134" s="20" t="n">
        <v>406</v>
      </c>
      <c r="I134" s="20" t="n">
        <v>313</v>
      </c>
      <c r="J134" s="20" t="n">
        <v>63</v>
      </c>
      <c r="K134" s="20" t="n">
        <v>79</v>
      </c>
      <c r="L134" s="20" t="n">
        <v>32</v>
      </c>
    </row>
    <row r="135">
      <c r="A135" s="18" t="inlineStr">
        <is>
          <t>기타</t>
        </is>
      </c>
      <c r="C135" s="20" t="n">
        <v>4991</v>
      </c>
      <c r="D135" s="20" t="n">
        <v>4982</v>
      </c>
      <c r="E135" s="20" t="n">
        <v>5043</v>
      </c>
      <c r="F135" s="20" t="n">
        <v>4844</v>
      </c>
      <c r="G135" s="20" t="n">
        <v>4847</v>
      </c>
      <c r="H135" s="20" t="n">
        <v>4645</v>
      </c>
      <c r="I135" s="20" t="n">
        <v>4897</v>
      </c>
      <c r="J135" s="20" t="n">
        <v>4780</v>
      </c>
      <c r="K135" s="20" t="n">
        <v>4935</v>
      </c>
      <c r="L135" s="20" t="n">
        <v>4844</v>
      </c>
    </row>
    <row r="136">
      <c r="A136" s="9" t="inlineStr">
        <is>
          <t>비유동부채 합계</t>
        </is>
      </c>
      <c r="C136" s="12" t="n">
        <v>81052</v>
      </c>
      <c r="D136" s="12" t="n">
        <v>78600</v>
      </c>
      <c r="E136" s="12" t="n">
        <v>78536</v>
      </c>
      <c r="F136" s="12" t="n">
        <v>68747</v>
      </c>
      <c r="G136" s="12" t="n">
        <v>68653</v>
      </c>
      <c r="H136" s="12" t="n">
        <v>81070</v>
      </c>
      <c r="I136" s="12" t="n">
        <v>78202</v>
      </c>
      <c r="J136" s="12" t="n">
        <v>81056</v>
      </c>
      <c r="K136" s="12" t="n">
        <v>81064</v>
      </c>
      <c r="L136" s="12" t="n">
        <v>68747</v>
      </c>
    </row>
    <row r="137">
      <c r="A137" s="9" t="inlineStr">
        <is>
          <t>부채 합계</t>
        </is>
      </c>
      <c r="C137" s="12" t="n">
        <v>184126</v>
      </c>
      <c r="D137" s="12" t="n">
        <v>183008</v>
      </c>
      <c r="E137" s="12" t="n">
        <v>200015</v>
      </c>
      <c r="F137" s="12" t="n">
        <v>195136</v>
      </c>
      <c r="G137" s="12" t="n">
        <v>180147</v>
      </c>
      <c r="H137" s="12" t="n">
        <v>185477</v>
      </c>
      <c r="I137" s="12" t="n">
        <v>196509</v>
      </c>
      <c r="J137" s="12" t="n">
        <v>205298</v>
      </c>
      <c r="K137" s="12" t="n">
        <v>199134</v>
      </c>
      <c r="L137" s="12" t="n">
        <v>195136</v>
      </c>
    </row>
    <row r="138">
      <c r="A138" s="18" t="inlineStr">
        <is>
          <t>자본금</t>
        </is>
      </c>
      <c r="C138" s="20" t="n">
        <v>17070</v>
      </c>
      <c r="D138" s="20" t="n">
        <v>17070</v>
      </c>
      <c r="E138" s="20" t="n">
        <v>17070</v>
      </c>
      <c r="F138" s="20" t="n">
        <v>17070</v>
      </c>
      <c r="G138" s="20" t="n">
        <v>17070</v>
      </c>
      <c r="H138" s="20" t="n">
        <v>17070</v>
      </c>
      <c r="I138" s="20" t="n">
        <v>17070</v>
      </c>
      <c r="J138" s="20" t="n">
        <v>17070</v>
      </c>
      <c r="K138" s="20" t="n">
        <v>17070</v>
      </c>
      <c r="L138" s="20" t="n">
        <v>17070</v>
      </c>
    </row>
    <row r="139">
      <c r="A139" s="18" t="inlineStr">
        <is>
          <t>자본준비금</t>
        </is>
      </c>
      <c r="F139" s="20" t="n">
        <v>5000</v>
      </c>
      <c r="H139" s="20" t="n">
        <v>5000</v>
      </c>
      <c r="I139" s="20" t="n">
        <v>5000</v>
      </c>
      <c r="J139" s="20" t="n">
        <v>5000</v>
      </c>
      <c r="K139" s="20" t="n">
        <v>5000</v>
      </c>
      <c r="L139" s="20" t="n">
        <v>5000</v>
      </c>
    </row>
    <row r="140">
      <c r="A140" s="18" t="inlineStr">
        <is>
          <t>기타자본잉여금</t>
        </is>
      </c>
      <c r="F140" s="20" t="n">
        <v>4381</v>
      </c>
      <c r="H140" s="20" t="n">
        <v>4381</v>
      </c>
      <c r="I140" s="20" t="n">
        <v>4381</v>
      </c>
      <c r="J140" s="20" t="n">
        <v>4381</v>
      </c>
      <c r="K140" s="20" t="n">
        <v>4381</v>
      </c>
      <c r="L140" s="20" t="n">
        <v>4381</v>
      </c>
    </row>
    <row r="141">
      <c r="A141" s="18" t="inlineStr">
        <is>
          <t>자본잉여금</t>
        </is>
      </c>
      <c r="C141" s="20" t="n">
        <v>10226</v>
      </c>
      <c r="D141" s="20" t="n">
        <v>10226</v>
      </c>
      <c r="E141" s="20" t="n">
        <v>10226</v>
      </c>
      <c r="F141" s="20" t="n">
        <v>10140</v>
      </c>
      <c r="G141" s="20" t="n">
        <v>10140</v>
      </c>
      <c r="H141" s="20" t="n">
        <v>10474</v>
      </c>
      <c r="I141" s="20" t="n">
        <v>10211</v>
      </c>
      <c r="J141" s="20" t="n">
        <v>10226</v>
      </c>
      <c r="K141" s="20" t="n">
        <v>10226</v>
      </c>
      <c r="L141" s="20" t="n">
        <v>10140</v>
      </c>
    </row>
    <row r="142">
      <c r="A142" s="18" t="inlineStr">
        <is>
          <t>이익준비금</t>
        </is>
      </c>
      <c r="F142" s="20" t="n">
        <v>3296</v>
      </c>
      <c r="H142" s="20" t="n">
        <v>3296</v>
      </c>
      <c r="I142" s="20" t="n">
        <v>3296</v>
      </c>
      <c r="J142" s="20" t="n">
        <v>3296</v>
      </c>
      <c r="K142" s="20" t="n">
        <v>3296</v>
      </c>
      <c r="L142" s="20" t="n">
        <v>3296</v>
      </c>
    </row>
    <row r="143">
      <c r="A143" s="18" t="inlineStr">
        <is>
          <t>고정자산 압축적립금</t>
        </is>
      </c>
      <c r="F143" s="20" t="n">
        <v>136</v>
      </c>
      <c r="H143" s="20" t="n">
        <v>139</v>
      </c>
      <c r="I143" s="20" t="n">
        <v>139</v>
      </c>
      <c r="J143" s="20" t="n">
        <v>139</v>
      </c>
      <c r="K143" s="20" t="n">
        <v>136</v>
      </c>
      <c r="L143" s="20" t="n">
        <v>136</v>
      </c>
    </row>
    <row r="144">
      <c r="A144" s="18" t="inlineStr">
        <is>
          <t>별도적립금</t>
        </is>
      </c>
      <c r="F144" s="20" t="n">
        <v>8263</v>
      </c>
      <c r="H144" s="20" t="n">
        <v>8263</v>
      </c>
      <c r="I144" s="20" t="n">
        <v>8263</v>
      </c>
      <c r="J144" s="20" t="n">
        <v>8263</v>
      </c>
      <c r="K144" s="20" t="n">
        <v>8263</v>
      </c>
      <c r="L144" s="20" t="n">
        <v>8263</v>
      </c>
    </row>
    <row r="145">
      <c r="A145" s="18" t="inlineStr">
        <is>
          <t>이월이익잉여금</t>
        </is>
      </c>
      <c r="F145" s="20" t="n">
        <v>54809</v>
      </c>
      <c r="H145" s="20" t="n">
        <v>36336</v>
      </c>
      <c r="I145" s="20" t="n">
        <v>38449</v>
      </c>
      <c r="J145" s="20" t="n">
        <v>43021</v>
      </c>
      <c r="K145" s="20" t="n">
        <v>46822</v>
      </c>
      <c r="L145" s="20" t="n">
        <v>54809</v>
      </c>
    </row>
    <row r="146">
      <c r="A146" s="18" t="inlineStr">
        <is>
          <t>이익잉여금</t>
        </is>
      </c>
      <c r="C146" s="20" t="n">
        <v>89746</v>
      </c>
      <c r="D146" s="20" t="n">
        <v>91307</v>
      </c>
      <c r="E146" s="20" t="n">
        <v>96785</v>
      </c>
      <c r="F146" s="20" t="n">
        <v>110774</v>
      </c>
      <c r="G146" s="20" t="n">
        <v>110843</v>
      </c>
      <c r="H146" s="20" t="n">
        <v>64844</v>
      </c>
      <c r="I146" s="20" t="n">
        <v>69568</v>
      </c>
      <c r="J146" s="20" t="n">
        <v>78642</v>
      </c>
      <c r="K146" s="20" t="n">
        <v>93273</v>
      </c>
      <c r="L146" s="20" t="n">
        <v>110774</v>
      </c>
    </row>
    <row r="147">
      <c r="A147" s="18" t="inlineStr">
        <is>
          <t>자기주식</t>
        </is>
      </c>
      <c r="C147" s="20" t="n">
        <v>-203</v>
      </c>
      <c r="D147" s="20" t="n">
        <v>-205</v>
      </c>
      <c r="E147" s="20" t="n">
        <v>-207</v>
      </c>
      <c r="F147" s="20" t="n">
        <v>-210</v>
      </c>
      <c r="G147" s="20" t="n">
        <v>-212</v>
      </c>
      <c r="H147" s="20" t="n">
        <v>-192</v>
      </c>
      <c r="I147" s="20" t="n">
        <v>-194</v>
      </c>
      <c r="J147" s="20" t="n">
        <v>-197</v>
      </c>
      <c r="K147" s="20" t="n">
        <v>-202</v>
      </c>
      <c r="L147" s="20" t="n">
        <v>-210</v>
      </c>
    </row>
    <row r="148">
      <c r="A148" s="9" t="inlineStr">
        <is>
          <t>주주자본 합계</t>
        </is>
      </c>
      <c r="C148" s="12" t="n">
        <v>116840</v>
      </c>
      <c r="D148" s="12" t="n">
        <v>118399</v>
      </c>
      <c r="E148" s="12" t="n">
        <v>123875</v>
      </c>
      <c r="F148" s="12" t="n">
        <v>137774</v>
      </c>
      <c r="G148" s="12" t="n">
        <v>137842</v>
      </c>
      <c r="H148" s="12" t="n">
        <v>92196</v>
      </c>
      <c r="I148" s="12" t="n">
        <v>96656</v>
      </c>
      <c r="J148" s="12" t="n">
        <v>105741</v>
      </c>
      <c r="K148" s="12" t="n">
        <v>120367</v>
      </c>
      <c r="L148" s="12" t="n">
        <v>137774</v>
      </c>
    </row>
    <row r="149">
      <c r="A149" s="18" t="inlineStr">
        <is>
          <t>기타유가증권 평가차액</t>
        </is>
      </c>
      <c r="C149" s="20" t="n">
        <v>12683</v>
      </c>
      <c r="D149" s="20" t="n">
        <v>15813</v>
      </c>
      <c r="E149" s="20" t="n">
        <v>19133</v>
      </c>
      <c r="F149" s="20" t="n">
        <v>20480</v>
      </c>
      <c r="G149" s="20" t="n">
        <v>22164</v>
      </c>
      <c r="H149" s="20" t="n">
        <v>6826</v>
      </c>
      <c r="I149" s="20" t="n">
        <v>6524</v>
      </c>
      <c r="J149" s="20" t="n">
        <v>13297</v>
      </c>
      <c r="K149" s="20" t="n">
        <v>11081</v>
      </c>
      <c r="L149" s="20" t="n">
        <v>20480</v>
      </c>
    </row>
    <row r="150">
      <c r="A150" s="18" t="inlineStr">
        <is>
          <t>이연헤지손익</t>
        </is>
      </c>
      <c r="H150" s="20" t="n">
        <v>5</v>
      </c>
      <c r="I150" s="20" t="n">
        <v>5</v>
      </c>
      <c r="J150" s="20" t="n">
        <v>0</v>
      </c>
    </row>
    <row r="151">
      <c r="A151" s="18" t="inlineStr">
        <is>
          <t>해외사업환산조정</t>
        </is>
      </c>
      <c r="C151" s="20" t="n">
        <v>7515</v>
      </c>
      <c r="D151" s="20" t="n">
        <v>8330</v>
      </c>
      <c r="E151" s="20" t="n">
        <v>10195</v>
      </c>
      <c r="F151" s="20" t="n">
        <v>10810</v>
      </c>
      <c r="G151" s="20" t="n">
        <v>11538</v>
      </c>
      <c r="H151" s="20" t="n">
        <v>3711</v>
      </c>
      <c r="I151" s="20" t="n">
        <v>5103</v>
      </c>
      <c r="J151" s="20" t="n">
        <v>7610</v>
      </c>
      <c r="K151" s="20" t="n">
        <v>7441</v>
      </c>
      <c r="L151" s="20" t="n">
        <v>10810</v>
      </c>
    </row>
    <row r="152">
      <c r="A152" s="18" t="inlineStr">
        <is>
          <t>퇴직급여 조정누계액</t>
        </is>
      </c>
      <c r="C152" s="20" t="n">
        <v>-61</v>
      </c>
      <c r="D152" s="20" t="n">
        <v>-10</v>
      </c>
      <c r="E152" s="20" t="n">
        <v>40</v>
      </c>
      <c r="F152" s="20" t="n">
        <v>5823</v>
      </c>
      <c r="G152" s="20" t="n">
        <v>5770</v>
      </c>
      <c r="H152" s="20" t="n">
        <v>-774</v>
      </c>
      <c r="I152" s="20" t="n">
        <v>-392</v>
      </c>
      <c r="J152" s="20" t="n">
        <v>-241</v>
      </c>
      <c r="K152" s="20" t="n">
        <v>-112</v>
      </c>
      <c r="L152" s="20" t="n">
        <v>5823</v>
      </c>
    </row>
    <row r="153">
      <c r="A153" s="18" t="inlineStr">
        <is>
          <t>기타포괄손익누계액 합계</t>
        </is>
      </c>
      <c r="C153" s="20" t="n">
        <v>20137</v>
      </c>
      <c r="D153" s="20" t="n">
        <v>24133</v>
      </c>
      <c r="E153" s="20" t="n">
        <v>29369</v>
      </c>
      <c r="F153" s="20" t="n">
        <v>37114</v>
      </c>
      <c r="G153" s="20" t="n">
        <v>39473</v>
      </c>
      <c r="H153" s="20" t="n">
        <v>9769</v>
      </c>
      <c r="I153" s="20" t="n">
        <v>11241</v>
      </c>
      <c r="J153" s="20" t="n">
        <v>20665</v>
      </c>
      <c r="K153" s="20" t="n">
        <v>18409</v>
      </c>
      <c r="L153" s="20" t="n">
        <v>37114</v>
      </c>
    </row>
    <row r="154">
      <c r="A154" s="18" t="inlineStr">
        <is>
          <t>비지배지분</t>
        </is>
      </c>
      <c r="C154" s="20" t="n">
        <v>3391</v>
      </c>
      <c r="D154" s="20" t="n">
        <v>3450</v>
      </c>
      <c r="E154" s="20" t="n">
        <v>3456</v>
      </c>
      <c r="F154" s="20" t="n">
        <v>3642</v>
      </c>
      <c r="G154" s="20" t="n">
        <v>3605</v>
      </c>
      <c r="H154" s="20" t="n">
        <v>3455</v>
      </c>
      <c r="I154" s="20" t="n">
        <v>2983</v>
      </c>
      <c r="J154" s="20" t="n">
        <v>3081</v>
      </c>
      <c r="K154" s="20" t="n">
        <v>3435</v>
      </c>
      <c r="L154" s="20" t="n">
        <v>3642</v>
      </c>
    </row>
    <row r="155">
      <c r="A155" s="9" t="inlineStr">
        <is>
          <t>순자산 합계</t>
        </is>
      </c>
      <c r="C155" s="12" t="n">
        <v>140368</v>
      </c>
      <c r="D155" s="12" t="n">
        <v>145982</v>
      </c>
      <c r="E155" s="12" t="n">
        <v>156701</v>
      </c>
      <c r="F155" s="12" t="n">
        <v>178531</v>
      </c>
      <c r="G155" s="12" t="n">
        <v>180920</v>
      </c>
      <c r="H155" s="12" t="n">
        <v>105421</v>
      </c>
      <c r="I155" s="12" t="n">
        <v>110881</v>
      </c>
      <c r="J155" s="12" t="n">
        <v>129488</v>
      </c>
      <c r="K155" s="12" t="n">
        <v>142212</v>
      </c>
      <c r="L155" s="12" t="n">
        <v>178531</v>
      </c>
    </row>
    <row r="156">
      <c r="A156" s="9" t="inlineStr">
        <is>
          <t>부채·순자산 합계</t>
        </is>
      </c>
      <c r="C156" s="12" t="n">
        <v>324495</v>
      </c>
      <c r="D156" s="12" t="n">
        <v>328991</v>
      </c>
      <c r="E156" s="12" t="n">
        <v>356717</v>
      </c>
      <c r="F156" s="12" t="n">
        <v>373668</v>
      </c>
      <c r="G156" s="12" t="n">
        <v>361068</v>
      </c>
      <c r="H156" s="12" t="n">
        <v>290899</v>
      </c>
      <c r="I156" s="12" t="n">
        <v>307390</v>
      </c>
      <c r="J156" s="12" t="n">
        <v>334787</v>
      </c>
      <c r="K156" s="12" t="n">
        <v>341347</v>
      </c>
      <c r="L156" s="12" t="n">
        <v>373668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https://www2.jpx.co.jp/disc/65080/140120260730503916.pdf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https://www2.jpx.co.jp/disc/65080/140120260513530176.pdf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https://www2.jpx.co.jp/disc/65080/140120260129542260.pdf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https://www2.jpx.co.jp/disc/65080/140120251029581933.pdf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https://www2.jpx.co.jp/disc/65080/140120250730524711.pdf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https://www2.jpx.co.jp/disc/65080/140120250512543228.pdf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https://www2.jpx.co.jp/disc/65080/140120250130558966.pdf</t>
        </is>
      </c>
    </row>
    <row r="11">
      <c r="A11" t="inlineStr">
        <is>
          <t>2024-10-28</t>
        </is>
      </c>
      <c r="B11" t="inlineStr">
        <is>
          <t>2025년 3월 결산기 2분기 결산단신</t>
        </is>
      </c>
      <c r="C11" t="inlineStr">
        <is>
          <t>https://www2.jpx.co.jp/disc/65080/140120241025503090.pdf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https://www2.jpx.co.jp/disc/65080/140120240730557620.pdf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https://www2.jpx.co.jp/disc/65080/140120240509585464.pdf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https://www2.jpx.co.jp/disc/65080/140120240131522574.pdf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https://www2.jpx.co.jp/disc/65080/140120231027573101.pdf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https://www2.jpx.co.jp/disc/65080/140120230728528765.pdf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https://www2.jpx.co.jp/disc/65080/140120230512569322.pdf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https://www2.jpx.co.jp/disc/65080/140120230131597121.pdf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https://www2.jpx.co.jp/disc/65080/140120221031553156.pdf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https://www2.jpx.co.jp/disc/65080/140120220513546776.pdf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https://www2.jpx.co.jp/disc/65080/140120210513416333.pdf</t>
        </is>
      </c>
    </row>
    <row r="22">
      <c r="A22" t="inlineStr">
        <is>
          <t>2020-05-13</t>
        </is>
      </c>
      <c r="B22" t="inlineStr">
        <is>
          <t>연간 결산단신</t>
        </is>
      </c>
      <c r="C22" t="inlineStr">
        <is>
          <t>https://www2.jpx.co.jp/disc/65080/140120200513412214.pdf</t>
        </is>
      </c>
    </row>
    <row r="23">
      <c r="A23" t="inlineStr">
        <is>
          <t>2019-05-14</t>
        </is>
      </c>
      <c r="B23" t="inlineStr">
        <is>
          <t>연간 결산단신</t>
        </is>
      </c>
      <c r="C23" t="inlineStr">
        <is>
          <t>https://www2.jpx.co.jp/disc/65080/140120190514425103.pdf</t>
        </is>
      </c>
    </row>
    <row r="24">
      <c r="A24" t="inlineStr">
        <is>
          <t>2018-05-14</t>
        </is>
      </c>
      <c r="B24" t="inlineStr">
        <is>
          <t>연간 결산단신</t>
        </is>
      </c>
      <c r="C24" t="inlineStr">
        <is>
          <t>https://www2.jpx.co.jp/disc/65080/140120180509431923.pdf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2026-10-25T17:45:40Z</dcterms:created>
  <dcterms:modified xmlns:dcterms="http://purl.org/dc/terms/" xmlns:xsi="http://www.w3.org/2001/XMLSchema-instance" xsi:type="dcterms:W3CDTF">2026-10-25T17:45:40Z</dcterms:modified>
</cp:coreProperties>
</file>