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2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6508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65515</v>
      </c>
      <c r="D4" s="12" t="n">
        <v>64871</v>
      </c>
      <c r="E4" s="12" t="n">
        <v>411</v>
      </c>
      <c r="F4" s="12" t="n">
        <v>54975</v>
      </c>
      <c r="G4" s="12" t="n">
        <v>65124</v>
      </c>
      <c r="H4" s="12" t="n">
        <v>70984</v>
      </c>
      <c r="I4" s="12" t="n">
        <v>110018</v>
      </c>
      <c r="J4" s="12" t="n">
        <v>58390</v>
      </c>
      <c r="K4" s="12" t="n">
        <v>72752</v>
      </c>
      <c r="L4" s="12" t="n">
        <v>72713</v>
      </c>
      <c r="M4" s="12" t="n">
        <v>122339</v>
      </c>
      <c r="N4" s="12" t="n">
        <v>73412</v>
      </c>
      <c r="O4" s="11" t="n">
        <v>148371</v>
      </c>
      <c r="P4" s="12" t="n">
        <v>164487</v>
      </c>
      <c r="Q4" s="12" t="n">
        <v>245033</v>
      </c>
      <c r="R4" s="12" t="n">
        <v>255748</v>
      </c>
      <c r="S4" s="12" t="n">
        <v>156039</v>
      </c>
      <c r="T4" s="12" t="n">
        <v>163369</v>
      </c>
      <c r="U4" s="12" t="n">
        <v>272578</v>
      </c>
      <c r="V4" s="12" t="n">
        <v>184329</v>
      </c>
      <c r="W4" s="12" t="n">
        <v>301101</v>
      </c>
      <c r="X4" s="12" t="n">
        <v>326194</v>
      </c>
      <c r="Y4" s="11">
        <f>IF(COUNT(Y7,Y10,Y13,Y16,Y19,Y22,Y25,Y28)=0,"",SUM(Y7,Y10,Y13,Y16,Y19,Y22,Y25,Y28))</f>
        <v/>
      </c>
      <c r="Z4" s="12">
        <f>IF(COUNT(Z7,Z10,Z13,Z16,Z19,Z22,Z25,Z28)=0,"",SUM(Z7,Z10,Z13,Z16,Z19,Z22,Z25,Z28))</f>
        <v/>
      </c>
      <c r="AA4" s="12">
        <f>IF(COUNT(AA7,AA10,AA13,AA16,AA19,AA22,AA25,AA28)=0,"",SUM(AA7,AA10,AA13,AA16,AA19,AA22,AA25,AA28))</f>
        <v/>
      </c>
      <c r="AB4" s="12">
        <f>IF(COUNT(AB7,AB10,AB13,AB16,AB19,AB22,AB25,AB28)=0,"",SUM(AB7,AB10,AB13,AB16,AB19,AB22,AB25,AB28))</f>
        <v/>
      </c>
      <c r="AC4" s="12">
        <f>IF(COUNT(AC7,AC10,AC13,AC16,AC19,AC22,AC25,AC28)=0,"",SUM(AC7,AC10,AC13,AC16,AC19,AC22,AC25,AC28))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PowerInfrastrucutureBusinessReportableSegmentMember</t>
        </is>
      </c>
      <c r="B7" s="10" t="n"/>
      <c r="C7" s="19" t="n">
        <v>17978</v>
      </c>
      <c r="D7" s="20" t="n">
        <v>21473</v>
      </c>
      <c r="E7" s="20" t="n">
        <v>25199</v>
      </c>
      <c r="F7" s="20" t="n">
        <v>18257</v>
      </c>
      <c r="G7" s="20" t="n">
        <v>16573</v>
      </c>
      <c r="H7" s="20" t="n">
        <v>23506</v>
      </c>
      <c r="I7" s="20" t="n">
        <v>27081</v>
      </c>
      <c r="J7" s="20" t="n">
        <v>19521</v>
      </c>
      <c r="K7" s="20" t="n">
        <v>23576</v>
      </c>
      <c r="L7" s="20" t="n">
        <v>25971</v>
      </c>
      <c r="M7" s="20" t="n">
        <v>31227</v>
      </c>
      <c r="N7" s="20" t="n">
        <v>27487</v>
      </c>
      <c r="O7" s="19" t="n"/>
      <c r="P7" s="20" t="n"/>
      <c r="Q7" s="20" t="n"/>
      <c r="R7" s="20" t="n"/>
      <c r="S7" s="20" t="n"/>
      <c r="T7" s="20" t="n"/>
      <c r="U7" s="20" t="n"/>
      <c r="V7" s="20" t="n">
        <v>77793</v>
      </c>
      <c r="W7" s="20" t="n">
        <v>85417</v>
      </c>
      <c r="X7" s="20" t="n">
        <v>100295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PublicIndustrialAndCommercialSectorBusinessReportableSegmentMember</t>
        </is>
      </c>
      <c r="B10" s="10" t="n"/>
      <c r="C10" s="19" t="n">
        <v>18823</v>
      </c>
      <c r="D10" s="20" t="n">
        <v>16182</v>
      </c>
      <c r="E10" s="20" t="n">
        <v>35342</v>
      </c>
      <c r="F10" s="20" t="n">
        <v>14636</v>
      </c>
      <c r="G10" s="20" t="n">
        <v>19721</v>
      </c>
      <c r="H10" s="20" t="n">
        <v>18234</v>
      </c>
      <c r="I10" s="20" t="n">
        <v>38026</v>
      </c>
      <c r="J10" s="20" t="n">
        <v>14130</v>
      </c>
      <c r="K10" s="20" t="n">
        <v>20641</v>
      </c>
      <c r="L10" s="20" t="n">
        <v>20795</v>
      </c>
      <c r="M10" s="20" t="n">
        <v>41036</v>
      </c>
      <c r="N10" s="20" t="n">
        <v>18975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84286</v>
      </c>
      <c r="W10" s="20" t="n">
        <v>90617</v>
      </c>
      <c r="X10" s="20" t="n">
        <v>96602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MobilityAndElectricalComponentsBusinessReportableSegmentMember</t>
        </is>
      </c>
      <c r="B13" s="10" t="n"/>
      <c r="C13" s="19" t="n">
        <v>19379</v>
      </c>
      <c r="D13" s="20" t="n">
        <v>17117</v>
      </c>
      <c r="E13" s="20" t="n">
        <v>21696</v>
      </c>
      <c r="F13" s="20" t="n">
        <v>14289</v>
      </c>
      <c r="G13" s="20" t="n">
        <v>17719</v>
      </c>
      <c r="H13" s="20" t="n">
        <v>18446</v>
      </c>
      <c r="I13" s="20" t="n">
        <v>20019</v>
      </c>
      <c r="J13" s="20" t="n">
        <v>15158</v>
      </c>
      <c r="K13" s="20" t="n">
        <v>17406</v>
      </c>
      <c r="L13" s="20" t="n">
        <v>13928</v>
      </c>
      <c r="M13" s="20" t="n">
        <v>21341</v>
      </c>
      <c r="N13" s="20" t="n">
        <v>17190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76755</v>
      </c>
      <c r="W13" s="20" t="n">
        <v>70473</v>
      </c>
      <c r="X13" s="20" t="n">
        <v>67833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FieldServiceEngineeringBusinessReportableSegmentMember</t>
        </is>
      </c>
      <c r="B16" s="10" t="n"/>
      <c r="C16" s="19" t="n">
        <v>7278</v>
      </c>
      <c r="D16" s="20" t="n">
        <v>7877</v>
      </c>
      <c r="E16" s="20" t="n">
        <v>19470</v>
      </c>
      <c r="F16" s="20" t="n">
        <v>6140</v>
      </c>
      <c r="G16" s="20" t="n">
        <v>9524</v>
      </c>
      <c r="H16" s="20" t="n">
        <v>9173</v>
      </c>
      <c r="I16" s="20" t="n">
        <v>22842</v>
      </c>
      <c r="J16" s="20" t="n">
        <v>7927</v>
      </c>
      <c r="K16" s="20" t="n">
        <v>9475</v>
      </c>
      <c r="L16" s="20" t="n">
        <v>10271</v>
      </c>
      <c r="M16" s="20" t="n">
        <v>26828</v>
      </c>
      <c r="N16" s="20" t="n">
        <v>8302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40659</v>
      </c>
      <c r="W16" s="20" t="n">
        <v>47679</v>
      </c>
      <c r="X16" s="20" t="n">
        <v>54501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RealEstateReportableSegmentsMember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3190</v>
      </c>
      <c r="W19" s="20" t="n">
        <v>3197</v>
      </c>
      <c r="X19" s="20" t="n">
        <v>3195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RealEstateReportableSegmentMember</t>
        </is>
      </c>
      <c r="B22" s="10" t="n"/>
      <c r="C22" s="19" t="n"/>
      <c r="D22" s="20" t="n"/>
      <c r="E22" s="20" t="n"/>
      <c r="F22" s="20" t="n">
        <v>798</v>
      </c>
      <c r="G22" s="20" t="n"/>
      <c r="H22" s="20" t="n"/>
      <c r="I22" s="20" t="n"/>
      <c r="J22" s="20" t="n">
        <v>799</v>
      </c>
      <c r="K22" s="20" t="n"/>
      <c r="L22" s="20" t="n"/>
      <c r="M22" s="20" t="n"/>
      <c r="N22" s="20" t="n">
        <v>801</v>
      </c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기타</t>
        </is>
      </c>
      <c r="B25" s="10" t="n"/>
      <c r="C25" s="19" t="n">
        <v>1259</v>
      </c>
      <c r="D25" s="20" t="n">
        <v>1423</v>
      </c>
      <c r="E25" s="20" t="n">
        <v>1459</v>
      </c>
      <c r="F25" s="20" t="n">
        <v>851</v>
      </c>
      <c r="G25" s="20" t="n">
        <v>789</v>
      </c>
      <c r="H25" s="20" t="n">
        <v>825</v>
      </c>
      <c r="I25" s="20" t="n">
        <v>1251</v>
      </c>
      <c r="J25" s="20" t="n">
        <v>853</v>
      </c>
      <c r="K25" s="20" t="n">
        <v>855</v>
      </c>
      <c r="L25" s="20" t="n">
        <v>950</v>
      </c>
      <c r="M25" s="20" t="n">
        <v>1108</v>
      </c>
      <c r="N25" s="20" t="n">
        <v>655</v>
      </c>
      <c r="O25" s="19" t="n"/>
      <c r="P25" s="20" t="n"/>
      <c r="Q25" s="20" t="n"/>
      <c r="R25" s="20" t="n"/>
      <c r="S25" s="20" t="n"/>
      <c r="T25" s="20" t="n"/>
      <c r="U25" s="20" t="n"/>
      <c r="V25" s="20" t="n">
        <v>5195</v>
      </c>
      <c r="W25" s="20" t="n">
        <v>3716</v>
      </c>
      <c r="X25" s="20" t="n">
        <v>3766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EntityTotalMember</t>
        </is>
      </c>
      <c r="B28" s="10" t="n"/>
      <c r="C28" s="19" t="n"/>
      <c r="D28" s="20" t="n"/>
      <c r="E28" s="20" t="n"/>
      <c r="F28" s="20" t="n">
        <v>54975</v>
      </c>
      <c r="G28" s="20" t="n"/>
      <c r="H28" s="20" t="n"/>
      <c r="I28" s="20" t="n"/>
      <c r="J28" s="20" t="n">
        <v>58390</v>
      </c>
      <c r="K28" s="20" t="n"/>
      <c r="L28" s="20" t="n"/>
      <c r="M28" s="20" t="n"/>
      <c r="N28" s="20" t="n">
        <v>73412</v>
      </c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매출원가</t>
        </is>
      </c>
      <c r="B31" s="16" t="n"/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18" t="inlineStr">
        <is>
          <t>전체 매출원가</t>
        </is>
      </c>
      <c r="B32" s="10" t="n"/>
      <c r="C32" s="19" t="n">
        <v>50482</v>
      </c>
      <c r="D32" s="20" t="n">
        <v>48721</v>
      </c>
      <c r="E32" s="20" t="n">
        <v>5535</v>
      </c>
      <c r="F32" s="20" t="n">
        <v>41575</v>
      </c>
      <c r="G32" s="20" t="n">
        <v>47859</v>
      </c>
      <c r="H32" s="20" t="n">
        <v>51712</v>
      </c>
      <c r="I32" s="20" t="n">
        <v>78363</v>
      </c>
      <c r="J32" s="20" t="n">
        <v>43139</v>
      </c>
      <c r="K32" s="20" t="n">
        <v>53697</v>
      </c>
      <c r="L32" s="20" t="n">
        <v>52055</v>
      </c>
      <c r="M32" s="20" t="n">
        <v>84756</v>
      </c>
      <c r="N32" s="20" t="n">
        <v>51657</v>
      </c>
      <c r="O32" s="19" t="n">
        <v>114567</v>
      </c>
      <c r="P32" s="20" t="n">
        <v>127327</v>
      </c>
      <c r="Q32" s="20" t="n">
        <v>185027</v>
      </c>
      <c r="R32" s="20" t="n">
        <v>192641</v>
      </c>
      <c r="S32" s="20" t="n">
        <v>121043</v>
      </c>
      <c r="T32" s="20" t="n">
        <v>127730</v>
      </c>
      <c r="U32" s="20" t="n">
        <v>209599</v>
      </c>
      <c r="V32" s="20" t="n">
        <v>148323</v>
      </c>
      <c r="W32" s="20" t="n">
        <v>219509</v>
      </c>
      <c r="X32" s="20" t="n">
        <v>233647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18" t="inlineStr">
        <is>
          <t>매출총이익</t>
        </is>
      </c>
      <c r="B34" s="10" t="n"/>
      <c r="C34" s="19">
        <f>IF(OR(C4="",C32=""),"",IFERROR(C4-C32,""))</f>
        <v/>
      </c>
      <c r="D34" s="20">
        <f>IF(OR(D4="",D32=""),"",IFERROR(D4-D32,""))</f>
        <v/>
      </c>
      <c r="E34" s="20">
        <f>IF(OR(E4="",E32=""),"",IFERROR(E4-E32,""))</f>
        <v/>
      </c>
      <c r="F34" s="20">
        <f>IF(OR(F4="",F32=""),"",IFERROR(F4-F32,""))</f>
        <v/>
      </c>
      <c r="G34" s="20">
        <f>IF(OR(G4="",G32=""),"",IFERROR(G4-G32,""))</f>
        <v/>
      </c>
      <c r="H34" s="20">
        <f>IF(OR(H4="",H32=""),"",IFERROR(H4-H32,""))</f>
        <v/>
      </c>
      <c r="I34" s="20">
        <f>IF(OR(I4="",I32=""),"",IFERROR(I4-I32,""))</f>
        <v/>
      </c>
      <c r="J34" s="20">
        <f>IF(OR(J4="",J32=""),"",IFERROR(J4-J32,""))</f>
        <v/>
      </c>
      <c r="K34" s="20">
        <f>IF(OR(K4="",K32=""),"",IFERROR(K4-K32,""))</f>
        <v/>
      </c>
      <c r="L34" s="20">
        <f>IF(OR(L4="",L32=""),"",IFERROR(L4-L32,""))</f>
        <v/>
      </c>
      <c r="M34" s="20">
        <f>IF(OR(M4="",M32=""),"",IFERROR(M4-M32,""))</f>
        <v/>
      </c>
      <c r="N34" s="20">
        <f>IF(OR(N4="",N32=""),"",IFERROR(N4-N32,""))</f>
        <v/>
      </c>
      <c r="O34" s="19">
        <f>IF(OR(O4="",O32=""),"",IFERROR(O4-O32,""))</f>
        <v/>
      </c>
      <c r="P34" s="20">
        <f>IF(OR(P4="",P32=""),"",IFERROR(P4-P32,""))</f>
        <v/>
      </c>
      <c r="Q34" s="20">
        <f>IF(OR(Q4="",Q32=""),"",IFERROR(Q4-Q32,""))</f>
        <v/>
      </c>
      <c r="R34" s="20">
        <f>IF(OR(R4="",R32=""),"",IFERROR(R4-R32,""))</f>
        <v/>
      </c>
      <c r="S34" s="20">
        <f>IF(OR(S4="",S32=""),"",IFERROR(S4-S32,""))</f>
        <v/>
      </c>
      <c r="T34" s="20">
        <f>IF(OR(T4="",T32=""),"",IFERROR(T4-T32,""))</f>
        <v/>
      </c>
      <c r="U34" s="20">
        <f>IF(OR(U4="",U32=""),"",IFERROR(U4-U32,""))</f>
        <v/>
      </c>
      <c r="V34" s="20">
        <f>IF(OR(V4="",V32=""),"",IFERROR(V4-V32,""))</f>
        <v/>
      </c>
      <c r="W34" s="20">
        <f>IF(OR(W4="",W32=""),"",IFERROR(W4-W32,""))</f>
        <v/>
      </c>
      <c r="X34" s="20">
        <f>IF(OR(X4="",X32=""),"",IFERROR(X4-X32,""))</f>
        <v/>
      </c>
      <c r="Y34" s="19" t="n"/>
      <c r="Z34" s="20" t="n"/>
      <c r="AA34" s="20" t="n"/>
      <c r="AB34" s="20" t="n"/>
      <c r="AC34" s="20" t="n"/>
    </row>
    <row r="35">
      <c r="A35" s="13" t="inlineStr">
        <is>
          <t>GPM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IF(OR(G34="",C34=""),"",IF(C34&lt;=0,"",IFERROR(G34/C34-1,"")))</f>
        <v/>
      </c>
      <c r="H36" s="15">
        <f>IF(OR(H34="",D34=""),"",IF(D34&lt;=0,"",IFERROR(H34/D34-1,"")))</f>
        <v/>
      </c>
      <c r="I36" s="15">
        <f>IF(OR(I34="",E34=""),"",IF(E34&lt;=0,"",IFERROR(I34/E34-1,"")))</f>
        <v/>
      </c>
      <c r="J36" s="15">
        <f>IF(OR(J34="",F34=""),"",IF(F34&lt;=0,"",IFERROR(J34/F34-1,"")))</f>
        <v/>
      </c>
      <c r="K36" s="15">
        <f>IF(OR(K34="",G34=""),"",IF(G34&lt;=0,"",IFERROR(K34/G34-1,"")))</f>
        <v/>
      </c>
      <c r="L36" s="15">
        <f>IF(OR(L34="",H34=""),"",IF(H34&lt;=0,"",IFERROR(L34/H34-1,"")))</f>
        <v/>
      </c>
      <c r="M36" s="15">
        <f>IF(OR(M34="",I34=""),"",IF(I34&lt;=0,"",IFERROR(M34/I34-1,"")))</f>
        <v/>
      </c>
      <c r="N36" s="15">
        <f>IF(OR(N34="",J34=""),"",IF(J34&lt;=0,"",IFERROR(N34/J34-1,"")))</f>
        <v/>
      </c>
      <c r="O36" s="14" t="n"/>
      <c r="P36" s="15">
        <f>IF(OR(P34="",O34=""),"",IF(O34&lt;=0,"",IFERROR(P34/O34-1,"")))</f>
        <v/>
      </c>
      <c r="Q36" s="15">
        <f>IF(OR(Q34="",P34=""),"",IF(P34&lt;=0,"",IFERROR(Q34/P34-1,"")))</f>
        <v/>
      </c>
      <c r="R36" s="15">
        <f>IF(OR(R34="",Q34=""),"",IF(Q34&lt;=0,"",IFERROR(R34/Q34-1,"")))</f>
        <v/>
      </c>
      <c r="S36" s="15">
        <f>IF(OR(S34="",R34=""),"",IF(R34&lt;=0,"",IFERROR(S34/R34-1,"")))</f>
        <v/>
      </c>
      <c r="T36" s="15">
        <f>IF(OR(T34="",S34=""),"",IF(S34&lt;=0,"",IFERROR(T34/S34-1,"")))</f>
        <v/>
      </c>
      <c r="U36" s="15">
        <f>IF(OR(U34="",T34=""),"",IF(T34&lt;=0,"",IFERROR(U34/T34-1,"")))</f>
        <v/>
      </c>
      <c r="V36" s="15">
        <f>IF(OR(V34="",U34=""),"",IF(U34&lt;=0,"",IFERROR(V34/U34-1,"")))</f>
        <v/>
      </c>
      <c r="W36" s="15">
        <f>IF(OR(W34="",V34=""),"",IF(V34&lt;=0,"",IFERROR(W34/V34-1,"")))</f>
        <v/>
      </c>
      <c r="X36" s="15">
        <f>IF(OR(X34="",W34=""),"",IF(W34&lt;=0,"",IFERROR(X34/W34-1,"")))</f>
        <v/>
      </c>
      <c r="Y36" s="14">
        <f>IF(OR(Y34="",X34=""),"",IF(X34&lt;=0,"",IFERROR(Y34/X34-1,"")))</f>
        <v/>
      </c>
      <c r="Z36" s="15">
        <f>IF(OR(Z34="",Y34=""),"",IF(Y34&lt;=0,"",IFERROR(Z34/Y34-1,"")))</f>
        <v/>
      </c>
      <c r="AA36" s="15">
        <f>IF(OR(AA34="",Z34=""),"",IF(Z34&lt;=0,"",IFERROR(AA34/Z34-1,"")))</f>
        <v/>
      </c>
      <c r="AB36" s="15">
        <f>IF(OR(AB34="",AA34=""),"",IF(AA34&lt;=0,"",IFERROR(AB34/AA34-1,"")))</f>
        <v/>
      </c>
      <c r="AC36" s="15">
        <f>IF(OR(AC34="",AB34=""),"",IF(AB34&lt;=0,"",IFERROR(AC34/AB34-1,"")))</f>
        <v/>
      </c>
    </row>
    <row r="37">
      <c r="A37" s="23" t="inlineStr">
        <is>
          <t>판매관리비</t>
        </is>
      </c>
      <c r="B37" s="23" t="n"/>
      <c r="C37" s="24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4" t="n"/>
      <c r="Z37" s="23" t="n"/>
      <c r="AA37" s="23" t="n"/>
      <c r="AB37" s="23" t="n"/>
      <c r="AC37" s="23" t="n"/>
    </row>
    <row r="38">
      <c r="A38" s="18" t="inlineStr">
        <is>
          <t>전체 판관비</t>
        </is>
      </c>
      <c r="B38" s="10" t="n"/>
      <c r="C38" s="19" t="n">
        <v>14026</v>
      </c>
      <c r="D38" s="20" t="n">
        <v>13864</v>
      </c>
      <c r="E38" s="20" t="n">
        <v>-5618</v>
      </c>
      <c r="F38" s="20" t="n">
        <v>14296</v>
      </c>
      <c r="G38" s="20" t="n">
        <v>14460</v>
      </c>
      <c r="H38" s="20" t="n">
        <v>15190</v>
      </c>
      <c r="I38" s="20" t="n">
        <v>16134</v>
      </c>
      <c r="J38" s="20" t="n">
        <v>14902</v>
      </c>
      <c r="K38" s="20" t="n">
        <v>16611</v>
      </c>
      <c r="L38" s="20" t="n">
        <v>16369</v>
      </c>
      <c r="M38" s="20" t="n">
        <v>17542</v>
      </c>
      <c r="N38" s="20" t="n">
        <v>17090</v>
      </c>
      <c r="O38" s="19" t="n">
        <v>31771</v>
      </c>
      <c r="P38" s="20" t="n">
        <v>32826</v>
      </c>
      <c r="Q38" s="20" t="n">
        <v>49669</v>
      </c>
      <c r="R38" s="20" t="n">
        <v>50381</v>
      </c>
      <c r="S38" s="20" t="n">
        <v>32123</v>
      </c>
      <c r="T38" s="20" t="n">
        <v>32540</v>
      </c>
      <c r="U38" s="20" t="n">
        <v>54439</v>
      </c>
      <c r="V38" s="20" t="n">
        <v>35592</v>
      </c>
      <c r="W38" s="20" t="n">
        <v>60080</v>
      </c>
      <c r="X38" s="20" t="n">
        <v>65424</v>
      </c>
      <c r="Y38" s="19" t="n"/>
      <c r="Z38" s="20" t="n"/>
      <c r="AA38" s="20" t="n"/>
      <c r="AB38" s="20" t="n"/>
      <c r="AC38" s="20" t="n"/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IF(OR(G38="",C38=""),"",IF(C38&lt;=0,"",IFERROR(G38/C38-1,"")))</f>
        <v/>
      </c>
      <c r="H39" s="15">
        <f>IF(OR(H38="",D38=""),"",IF(D38&lt;=0,"",IFERROR(H38/D38-1,"")))</f>
        <v/>
      </c>
      <c r="I39" s="15">
        <f>IF(OR(I38="",E38=""),"",IF(E38&lt;=0,"",IFERROR(I38/E38-1,"")))</f>
        <v/>
      </c>
      <c r="J39" s="15">
        <f>IF(OR(J38="",F38=""),"",IF(F38&lt;=0,"",IFERROR(J38/F38-1,"")))</f>
        <v/>
      </c>
      <c r="K39" s="15">
        <f>IF(OR(K38="",G38=""),"",IF(G38&lt;=0,"",IFERROR(K38/G38-1,"")))</f>
        <v/>
      </c>
      <c r="L39" s="15">
        <f>IF(OR(L38="",H38=""),"",IF(H38&lt;=0,"",IFERROR(L38/H38-1,"")))</f>
        <v/>
      </c>
      <c r="M39" s="15">
        <f>IF(OR(M38="",I38=""),"",IF(I38&lt;=0,"",IFERROR(M38/I38-1,"")))</f>
        <v/>
      </c>
      <c r="N39" s="15">
        <f>IF(OR(N38="",J38=""),"",IF(J38&lt;=0,"",IFERROR(N38/J38-1,"")))</f>
        <v/>
      </c>
      <c r="O39" s="14" t="n"/>
      <c r="P39" s="15">
        <f>IF(OR(P38="",O38=""),"",IF(O38&lt;=0,"",IFERROR(P38/O38-1,"")))</f>
        <v/>
      </c>
      <c r="Q39" s="15">
        <f>IF(OR(Q38="",P38=""),"",IF(P38&lt;=0,"",IFERROR(Q38/P38-1,"")))</f>
        <v/>
      </c>
      <c r="R39" s="15">
        <f>IF(OR(R38="",Q38=""),"",IF(Q38&lt;=0,"",IFERROR(R38/Q38-1,"")))</f>
        <v/>
      </c>
      <c r="S39" s="15">
        <f>IF(OR(S38="",R38=""),"",IF(R38&lt;=0,"",IFERROR(S38/R38-1,"")))</f>
        <v/>
      </c>
      <c r="T39" s="15">
        <f>IF(OR(T38="",S38=""),"",IF(S38&lt;=0,"",IFERROR(T38/S38-1,"")))</f>
        <v/>
      </c>
      <c r="U39" s="15">
        <f>IF(OR(U38="",T38=""),"",IF(T38&lt;=0,"",IFERROR(U38/T38-1,"")))</f>
        <v/>
      </c>
      <c r="V39" s="15">
        <f>IF(OR(V38="",U38=""),"",IF(U38&lt;=0,"",IFERROR(V38/U38-1,"")))</f>
        <v/>
      </c>
      <c r="W39" s="15">
        <f>IF(OR(W38="",V38=""),"",IF(V38&lt;=0,"",IFERROR(W38/V38-1,"")))</f>
        <v/>
      </c>
      <c r="X39" s="15">
        <f>IF(OR(X38="",W38=""),"",IF(W38&lt;=0,"",IFERROR(X38/W38-1,"")))</f>
        <v/>
      </c>
      <c r="Y39" s="14">
        <f>IF(OR(Y38="",X38=""),"",IF(X38&lt;=0,"",IFERROR(Y38/X38-1,"")))</f>
        <v/>
      </c>
      <c r="Z39" s="15">
        <f>IF(OR(Z38="",Y38=""),"",IF(Y38&lt;=0,"",IFERROR(Z38/Y38-1,"")))</f>
        <v/>
      </c>
      <c r="AA39" s="15">
        <f>IF(OR(AA38="",Z38=""),"",IF(Z38&lt;=0,"",IFERROR(AA38/Z38-1,"")))</f>
        <v/>
      </c>
      <c r="AB39" s="15">
        <f>IF(OR(AB38="",AA38=""),"",IF(AA38&lt;=0,"",IFERROR(AB38/AA38-1,"")))</f>
        <v/>
      </c>
      <c r="AC39" s="15">
        <f>IF(OR(AC38="",AB38=""),"",IF(AB38&lt;=0,"",IFERROR(AC38/AB38-1,"")))</f>
        <v/>
      </c>
    </row>
    <row r="40">
      <c r="A40" s="9" t="inlineStr">
        <is>
          <t>영업이익</t>
        </is>
      </c>
      <c r="B40" s="10" t="inlineStr">
        <is>
          <t>MW = 매출 × OPM</t>
        </is>
      </c>
      <c r="C40" s="11" t="n">
        <v>1008</v>
      </c>
      <c r="D40" s="12" t="n">
        <v>2287</v>
      </c>
      <c r="E40" s="12" t="n">
        <v>492</v>
      </c>
      <c r="F40" s="12" t="n">
        <v>-896</v>
      </c>
      <c r="G40" s="12" t="n">
        <v>2805</v>
      </c>
      <c r="H40" s="12" t="n">
        <v>4081</v>
      </c>
      <c r="I40" s="12" t="n">
        <v>15522</v>
      </c>
      <c r="J40" s="12" t="n">
        <v>348</v>
      </c>
      <c r="K40" s="12" t="n">
        <v>2444</v>
      </c>
      <c r="L40" s="12" t="n">
        <v>4290</v>
      </c>
      <c r="M40" s="12" t="n">
        <v>20040</v>
      </c>
      <c r="N40" s="12" t="n">
        <v>4664</v>
      </c>
      <c r="O40" s="11" t="n">
        <v>2032</v>
      </c>
      <c r="P40" s="12" t="n">
        <v>4333</v>
      </c>
      <c r="Q40" s="12" t="n">
        <v>10336</v>
      </c>
      <c r="R40" s="12" t="n">
        <v>12725</v>
      </c>
      <c r="S40" s="12" t="n">
        <v>2872</v>
      </c>
      <c r="T40" s="12" t="n">
        <v>3097</v>
      </c>
      <c r="U40" s="12" t="n">
        <v>8539</v>
      </c>
      <c r="V40" s="12" t="n">
        <v>413</v>
      </c>
      <c r="W40" s="12" t="n">
        <v>21512</v>
      </c>
      <c r="X40" s="12" t="n">
        <v>27122</v>
      </c>
      <c r="Y40" s="11">
        <f>IF(OR(Y4="",Y41=""),"",IFERROR(Y4*Y41,""))</f>
        <v/>
      </c>
      <c r="Z40" s="12">
        <f>IF(OR(Z4="",Z41=""),"",IFERROR(Z4*Z41,""))</f>
        <v/>
      </c>
      <c r="AA40" s="12">
        <f>IF(OR(AA4="",AA41=""),"",IFERROR(AA4*AA41,""))</f>
        <v/>
      </c>
      <c r="AB40" s="12">
        <f>IF(OR(AB4="",AB41=""),"",IFERROR(AB4*AB41,""))</f>
        <v/>
      </c>
      <c r="AC40" s="12">
        <f>IF(OR(AC4="",AC41=""),"",IFERROR(AC4*AC41,""))</f>
        <v/>
      </c>
    </row>
    <row r="41">
      <c r="A41" s="13" t="inlineStr">
        <is>
          <t>OPM</t>
        </is>
      </c>
      <c r="B41" s="10" t="inlineStr">
        <is>
          <t>MW 입력</t>
        </is>
      </c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 t="n"/>
      <c r="Z41" s="26" t="n"/>
      <c r="AA41" s="26" t="n"/>
      <c r="AB41" s="26" t="n"/>
      <c r="AC41" s="26" t="n"/>
    </row>
    <row r="42">
      <c r="A42" s="13" t="inlineStr">
        <is>
          <t>증가율</t>
        </is>
      </c>
      <c r="B42" s="10" t="n"/>
      <c r="C42" s="14" t="n"/>
      <c r="D42" s="15" t="n"/>
      <c r="E42" s="15" t="n"/>
      <c r="F42" s="15" t="n"/>
      <c r="G42" s="15">
        <f>IF(OR(G40="",C40=""),"",IFERROR(G40/C40-1,""))</f>
        <v/>
      </c>
      <c r="H42" s="15">
        <f>IF(OR(H40="",D40=""),"",IFERROR(H40/D40-1,""))</f>
        <v/>
      </c>
      <c r="I42" s="15">
        <f>IF(OR(I40="",E40=""),"",IFERROR(I40/E40-1,""))</f>
        <v/>
      </c>
      <c r="J42" s="15">
        <f>IF(OR(J40="",F40=""),"",IFERROR(J40/F40-1,""))</f>
        <v/>
      </c>
      <c r="K42" s="15">
        <f>IF(OR(K40="",G40=""),"",IFERROR(K40/G40-1,""))</f>
        <v/>
      </c>
      <c r="L42" s="15">
        <f>IF(OR(L40="",H40=""),"",IFERROR(L40/H40-1,""))</f>
        <v/>
      </c>
      <c r="M42" s="15">
        <f>IF(OR(M40="",I40=""),"",IFERROR(M40/I40-1,""))</f>
        <v/>
      </c>
      <c r="N42" s="15">
        <f>IF(OR(N40="",J40=""),"",IFERROR(N40/J40-1,""))</f>
        <v/>
      </c>
      <c r="O42" s="14" t="n"/>
      <c r="P42" s="15">
        <f>IF(OR(P40="",O40=""),"",IFERROR(P40/O40-1,""))</f>
        <v/>
      </c>
      <c r="Q42" s="15">
        <f>IF(OR(Q40="",P40=""),"",IFERROR(Q40/P40-1,""))</f>
        <v/>
      </c>
      <c r="R42" s="15">
        <f>IF(OR(R40="",Q40=""),"",IFERROR(R40/Q40-1,""))</f>
        <v/>
      </c>
      <c r="S42" s="15">
        <f>IF(OR(S40="",R40=""),"",IFERROR(S40/R40-1,""))</f>
        <v/>
      </c>
      <c r="T42" s="15">
        <f>IF(OR(T40="",S40=""),"",IFERROR(T40/S40-1,""))</f>
        <v/>
      </c>
      <c r="U42" s="15">
        <f>IF(OR(U40="",T40=""),"",IFERROR(U40/T40-1,""))</f>
        <v/>
      </c>
      <c r="V42" s="15">
        <f>IF(OR(V40="",U40=""),"",IFERROR(V40/U40-1,""))</f>
        <v/>
      </c>
      <c r="W42" s="15">
        <f>IF(OR(W40="",V40=""),"",IFERROR(W40/V40-1,""))</f>
        <v/>
      </c>
      <c r="X42" s="15">
        <f>IF(OR(X40="",W40=""),"",IFERROR(X40/W40-1,""))</f>
        <v/>
      </c>
      <c r="Y42" s="14">
        <f>IF(OR(Y40="",X40=""),"",IFERROR(Y40/X40-1,""))</f>
        <v/>
      </c>
      <c r="Z42" s="15">
        <f>IF(OR(Z40="",Y40=""),"",IFERROR(Z40/Y40-1,""))</f>
        <v/>
      </c>
      <c r="AA42" s="15">
        <f>IF(OR(AA40="",Z40=""),"",IFERROR(AA40/Z40-1,""))</f>
        <v/>
      </c>
      <c r="AB42" s="15">
        <f>IF(OR(AB40="",AA40=""),"",IFERROR(AB40/AA40-1,""))</f>
        <v/>
      </c>
      <c r="AC42" s="15">
        <f>IF(OR(AC40="",AB40=""),"",IFERROR(AC40/AB40-1,""))</f>
        <v/>
      </c>
    </row>
    <row r="43">
      <c r="A43" s="16" t="inlineStr">
        <is>
          <t>비용의 성격별 분류</t>
        </is>
      </c>
      <c r="B43" s="16" t="inlineStr">
        <is>
          <t>참고 데이터</t>
        </is>
      </c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9" t="inlineStr">
        <is>
          <t>총 판관비</t>
        </is>
      </c>
      <c r="B44" s="10" t="n"/>
      <c r="C44" s="11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1">
        <f>IF(O38="","",O38)</f>
        <v/>
      </c>
      <c r="P44" s="12">
        <f>IF(P38="","",P38)</f>
        <v/>
      </c>
      <c r="Q44" s="12">
        <f>IF(Q38="","",Q38)</f>
        <v/>
      </c>
      <c r="R44" s="12">
        <f>IF(R38="","",R38)</f>
        <v/>
      </c>
      <c r="S44" s="12">
        <f>IF(S38="","",S38)</f>
        <v/>
      </c>
      <c r="T44" s="12">
        <f>IF(T38="","",T38)</f>
        <v/>
      </c>
      <c r="U44" s="12">
        <f>IF(U38="","",U38)</f>
        <v/>
      </c>
      <c r="V44" s="12">
        <f>IF(V38="","",V38)</f>
        <v/>
      </c>
      <c r="W44" s="12">
        <f>IF(W38="","",W38)</f>
        <v/>
      </c>
      <c r="X44" s="12">
        <f>IF(X38="","",X38)</f>
        <v/>
      </c>
      <c r="Y44" s="11" t="n"/>
      <c r="Z44" s="12" t="n"/>
      <c r="AA44" s="12" t="n"/>
      <c r="AB44" s="12" t="n"/>
      <c r="AC44" s="12" t="n"/>
    </row>
    <row r="45">
      <c r="A45" s="18" t="inlineStr">
        <is>
          <t>급여</t>
        </is>
      </c>
      <c r="B45" s="10" t="inlineStr">
        <is>
          <t>고정비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감가상각비</t>
        </is>
      </c>
      <c r="B47" s="10" t="inlineStr">
        <is>
          <t>고정비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>
        <v>2921</v>
      </c>
      <c r="P47" s="20" t="n">
        <v>3012</v>
      </c>
      <c r="Q47" s="20" t="n">
        <v>2893</v>
      </c>
      <c r="R47" s="20" t="n">
        <v>3114</v>
      </c>
      <c r="S47" s="20" t="n">
        <v>3247</v>
      </c>
      <c r="T47" s="20" t="n">
        <v>3239</v>
      </c>
      <c r="U47" s="20" t="n">
        <v>3163</v>
      </c>
      <c r="V47" s="20" t="n">
        <v>3174</v>
      </c>
      <c r="W47" s="20" t="n">
        <v>3084</v>
      </c>
      <c r="X47" s="20" t="n">
        <v>3147</v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8" t="inlineStr">
        <is>
          <t>지급수수료</t>
        </is>
      </c>
      <c r="B49" s="10" t="inlineStr">
        <is>
          <t>고정비</t>
        </is>
      </c>
      <c r="C49" s="19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9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19" t="n"/>
      <c r="Z49" s="20" t="n"/>
      <c r="AA49" s="20" t="n"/>
      <c r="AB49" s="20" t="n"/>
      <c r="AC49" s="20" t="n"/>
    </row>
    <row r="50">
      <c r="A50" s="13" t="inlineStr">
        <is>
          <t>% of Sales</t>
        </is>
      </c>
      <c r="B50" s="10" t="n"/>
      <c r="C50" s="14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14" t="n"/>
      <c r="Z50" s="15" t="n"/>
      <c r="AA50" s="15" t="n"/>
      <c r="AB50" s="15" t="n"/>
      <c r="AC50" s="15" t="n"/>
    </row>
    <row r="51">
      <c r="A51" s="18" t="inlineStr">
        <is>
          <t>연구개발비</t>
        </is>
      </c>
      <c r="B51" s="10" t="inlineStr">
        <is>
          <t>변동비</t>
        </is>
      </c>
      <c r="C51" s="19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19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9" t="n"/>
      <c r="Z51" s="20" t="n"/>
      <c r="AA51" s="20" t="n"/>
      <c r="AB51" s="20" t="n"/>
      <c r="AC51" s="20" t="n"/>
    </row>
    <row r="52">
      <c r="A52" s="13" t="inlineStr">
        <is>
          <t>% of Sales</t>
        </is>
      </c>
      <c r="B52" s="10" t="n"/>
      <c r="C52" s="14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14" t="n"/>
      <c r="Z52" s="15" t="n"/>
      <c r="AA52" s="15" t="n"/>
      <c r="AB52" s="15" t="n"/>
      <c r="AC52" s="15" t="n"/>
    </row>
    <row r="53">
      <c r="A53" s="18" t="inlineStr">
        <is>
          <t>기타비용</t>
        </is>
      </c>
      <c r="B53" s="10" t="inlineStr">
        <is>
          <t>변동비</t>
        </is>
      </c>
      <c r="C53" s="19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9">
        <f>IF(OR(O44="",O45="",O47="",O49="",O51=""),"",IFERROR(O44-O45-O47-O49-O51,""))</f>
        <v/>
      </c>
      <c r="P53" s="20">
        <f>IF(OR(P44="",P45="",P47="",P49="",P51=""),"",IFERROR(P44-P45-P47-P49-P51,""))</f>
        <v/>
      </c>
      <c r="Q53" s="20">
        <f>IF(OR(Q44="",Q45="",Q47="",Q49="",Q51=""),"",IFERROR(Q44-Q45-Q47-Q49-Q51,""))</f>
        <v/>
      </c>
      <c r="R53" s="20">
        <f>IF(OR(R44="",R45="",R47="",R49="",R51=""),"",IFERROR(R44-R45-R47-R49-R51,""))</f>
        <v/>
      </c>
      <c r="S53" s="20">
        <f>IF(OR(S44="",S45="",S47="",S49="",S51=""),"",IFERROR(S44-S45-S47-S49-S51,""))</f>
        <v/>
      </c>
      <c r="T53" s="20">
        <f>IF(OR(T44="",T45="",T47="",T49="",T51=""),"",IFERROR(T44-T45-T47-T49-T51,""))</f>
        <v/>
      </c>
      <c r="U53" s="20">
        <f>IF(OR(U44="",U45="",U47="",U49="",U51=""),"",IFERROR(U44-U45-U47-U49-U51,""))</f>
        <v/>
      </c>
      <c r="V53" s="20">
        <f>IF(OR(V44="",V45="",V47="",V49="",V51=""),"",IFERROR(V44-V45-V47-V49-V51,""))</f>
        <v/>
      </c>
      <c r="W53" s="20">
        <f>IF(OR(W44="",W45="",W47="",W49="",W51=""),"",IFERROR(W44-W45-W47-W49-W51,""))</f>
        <v/>
      </c>
      <c r="X53" s="20">
        <f>IF(OR(X44="",X45="",X47="",X49="",X51=""),"",IFERROR(X44-X45-X47-X49-X51,""))</f>
        <v/>
      </c>
      <c r="Y53" s="19" t="n"/>
      <c r="Z53" s="20" t="n"/>
      <c r="AA53" s="20" t="n"/>
      <c r="AB53" s="20" t="n"/>
      <c r="AC53" s="20" t="n"/>
    </row>
    <row r="54">
      <c r="A54" s="13" t="inlineStr">
        <is>
          <t>% of Sales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14" t="n"/>
      <c r="Z54" s="15" t="n"/>
      <c r="AA54" s="15" t="n"/>
      <c r="AB54" s="15" t="n"/>
      <c r="AC54" s="15" t="n"/>
    </row>
    <row r="55">
      <c r="A55" s="16" t="inlineStr">
        <is>
          <t>당기순이익 추정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특별이익</t>
        </is>
      </c>
      <c r="B56" s="10" t="n"/>
      <c r="C56" s="19" t="n">
        <v>0</v>
      </c>
      <c r="D56" s="20" t="n">
        <v>3444</v>
      </c>
      <c r="E56" s="20" t="n">
        <v>543</v>
      </c>
      <c r="F56" s="20" t="n">
        <v>1274</v>
      </c>
      <c r="G56" s="20" t="n">
        <v>0</v>
      </c>
      <c r="H56" s="20" t="n">
        <v>745</v>
      </c>
      <c r="I56" s="20" t="n">
        <v>1081</v>
      </c>
      <c r="J56" s="20" t="n">
        <v>0</v>
      </c>
      <c r="K56" s="20" t="n">
        <v>14</v>
      </c>
      <c r="L56" s="20" t="n">
        <v>5484</v>
      </c>
      <c r="M56" s="20" t="n">
        <v>953</v>
      </c>
      <c r="N56" s="20" t="n">
        <v>1597</v>
      </c>
      <c r="O56" s="19" t="n">
        <v>395</v>
      </c>
      <c r="P56" s="20" t="n">
        <v>487</v>
      </c>
      <c r="Q56" s="20" t="n">
        <v>432</v>
      </c>
      <c r="R56" s="20" t="n">
        <v>366</v>
      </c>
      <c r="S56" s="20" t="n">
        <v>3737</v>
      </c>
      <c r="T56" s="20" t="n">
        <v>2726</v>
      </c>
      <c r="U56" s="20" t="n">
        <v>2081</v>
      </c>
      <c r="V56" s="20" t="n">
        <v>3988</v>
      </c>
      <c r="W56" s="20" t="n">
        <v>3100</v>
      </c>
      <c r="X56" s="20" t="n">
        <v>6451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inlineStr">
        <is>
          <t>MW = 최근 3년 평균</t>
        </is>
      </c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18" t="inlineStr">
        <is>
          <t>특별손실</t>
        </is>
      </c>
      <c r="B58" s="10" t="n"/>
      <c r="C58" s="19" t="n">
        <v>281</v>
      </c>
      <c r="D58" s="20" t="n">
        <v>747</v>
      </c>
      <c r="E58" s="20" t="n">
        <v>1020</v>
      </c>
      <c r="F58" s="20" t="n">
        <v>67</v>
      </c>
      <c r="G58" s="20" t="n">
        <v>99</v>
      </c>
      <c r="H58" s="20" t="n">
        <v>106</v>
      </c>
      <c r="I58" s="20" t="n">
        <v>184</v>
      </c>
      <c r="J58" s="20" t="n">
        <v>8</v>
      </c>
      <c r="K58" s="20" t="n">
        <v>218</v>
      </c>
      <c r="L58" s="20" t="n">
        <v>-8</v>
      </c>
      <c r="M58" s="20" t="n">
        <v>3303</v>
      </c>
      <c r="N58" s="20" t="n">
        <v>46</v>
      </c>
      <c r="O58" s="19" t="n">
        <v>665</v>
      </c>
      <c r="P58" s="20" t="n">
        <v>274</v>
      </c>
      <c r="Q58" s="20" t="n">
        <v>288</v>
      </c>
      <c r="R58" s="20" t="n">
        <v>407</v>
      </c>
      <c r="S58" s="20" t="n">
        <v>2692</v>
      </c>
      <c r="T58" s="20" t="n">
        <v>2451</v>
      </c>
      <c r="U58" s="20" t="n">
        <v>507</v>
      </c>
      <c r="V58" s="20" t="n">
        <v>2070</v>
      </c>
      <c r="W58" s="20" t="n">
        <v>456</v>
      </c>
      <c r="X58" s="20" t="n">
        <v>3521</v>
      </c>
      <c r="Y58" s="19">
        <f>IF(OR(Y4="",Y59=""),"",IFERROR(Y4*Y59,""))</f>
        <v/>
      </c>
      <c r="Z58" s="20">
        <f>IF(OR(Z4="",Z59=""),"",IFERROR(Z4*Z59,""))</f>
        <v/>
      </c>
      <c r="AA58" s="20">
        <f>IF(OR(AA4="",AA59=""),"",IFERROR(AA4*AA59,""))</f>
        <v/>
      </c>
      <c r="AB58" s="20">
        <f>IF(OR(AB4="",AB59=""),"",IFERROR(AB4*AB59,""))</f>
        <v/>
      </c>
      <c r="AC58" s="20">
        <f>IF(OR(AC4="",AC59=""),"",IFERROR(AC4*AC59,""))</f>
        <v/>
      </c>
    </row>
    <row r="59">
      <c r="A59" s="13" t="inlineStr">
        <is>
          <t>% of Sales</t>
        </is>
      </c>
      <c r="B59" s="10" t="n"/>
      <c r="C59" s="14">
        <f>IF(OR(C58="",C4=""),"",IFERROR(C58/C4,""))</f>
        <v/>
      </c>
      <c r="D59" s="15">
        <f>IF(OR(D58="",D4=""),"",IFERROR(D58/D4,""))</f>
        <v/>
      </c>
      <c r="E59" s="15">
        <f>IF(OR(E58="",E4=""),"",IFERROR(E58/E4,""))</f>
        <v/>
      </c>
      <c r="F59" s="15">
        <f>IF(OR(F58="",F4=""),"",IFERROR(F58/F4,""))</f>
        <v/>
      </c>
      <c r="G59" s="15">
        <f>IF(OR(G58="",G4=""),"",IFERROR(G58/G4,""))</f>
        <v/>
      </c>
      <c r="H59" s="15">
        <f>IF(OR(H58="",H4=""),"",IFERROR(H58/H4,""))</f>
        <v/>
      </c>
      <c r="I59" s="15">
        <f>IF(OR(I58="",I4=""),"",IFERROR(I58/I4,""))</f>
        <v/>
      </c>
      <c r="J59" s="15">
        <f>IF(OR(J58="",J4=""),"",IFERROR(J58/J4,""))</f>
        <v/>
      </c>
      <c r="K59" s="15">
        <f>IF(OR(K58="",K4=""),"",IFERROR(K58/K4,""))</f>
        <v/>
      </c>
      <c r="L59" s="15">
        <f>IF(OR(L58="",L4=""),"",IFERROR(L58/L4,""))</f>
        <v/>
      </c>
      <c r="M59" s="15">
        <f>IF(OR(M58="",M4=""),"",IFERROR(M58/M4,""))</f>
        <v/>
      </c>
      <c r="N59" s="15">
        <f>IF(OR(N58="",N4=""),"",IFERROR(N58/N4,""))</f>
        <v/>
      </c>
      <c r="O59" s="14">
        <f>IF(OR(O58="",O4=""),"",IFERROR(O58/O4,""))</f>
        <v/>
      </c>
      <c r="P59" s="15">
        <f>IF(OR(P58="",P4=""),"",IFERROR(P58/P4,""))</f>
        <v/>
      </c>
      <c r="Q59" s="15">
        <f>IF(OR(Q58="",Q4=""),"",IFERROR(Q58/Q4,""))</f>
        <v/>
      </c>
      <c r="R59" s="15">
        <f>IF(OR(R58="",R4=""),"",IFERROR(R58/R4,""))</f>
        <v/>
      </c>
      <c r="S59" s="15">
        <f>IF(OR(S58="",S4=""),"",IFERROR(S58/S4,""))</f>
        <v/>
      </c>
      <c r="T59" s="15">
        <f>IF(OR(T58="",T4=""),"",IFERROR(T58/T4,""))</f>
        <v/>
      </c>
      <c r="U59" s="15">
        <f>IF(OR(U58="",U4=""),"",IFERROR(U58/U4,""))</f>
        <v/>
      </c>
      <c r="V59" s="15">
        <f>IF(OR(V58="",V4=""),"",IFERROR(V58/V4,""))</f>
        <v/>
      </c>
      <c r="W59" s="15">
        <f>IF(OR(W58="",W4=""),"",IFERROR(W58/W4,""))</f>
        <v/>
      </c>
      <c r="X59" s="15">
        <f>IF(OR(X58="",X4=""),"",IFERROR(X58/X4,""))</f>
        <v/>
      </c>
      <c r="Y59" s="25">
        <f>IFERROR(AVERAGE(V59,W59,X59),"")</f>
        <v/>
      </c>
      <c r="Z59" s="26">
        <f>Y59</f>
        <v/>
      </c>
      <c r="AA59" s="26">
        <f>Z59</f>
        <v/>
      </c>
      <c r="AB59" s="26">
        <f>AA59</f>
        <v/>
      </c>
      <c r="AC59" s="26">
        <f>AB59</f>
        <v/>
      </c>
    </row>
    <row r="60">
      <c r="A60" s="18" t="inlineStr">
        <is>
          <t>영업외수익</t>
        </is>
      </c>
      <c r="B60" s="10" t="n"/>
      <c r="C60" s="19" t="n">
        <v>475</v>
      </c>
      <c r="D60" s="20" t="n">
        <v>201</v>
      </c>
      <c r="E60" s="20" t="n">
        <v>6021</v>
      </c>
      <c r="F60" s="20" t="n">
        <v>1502</v>
      </c>
      <c r="G60" s="20" t="n">
        <v>-416</v>
      </c>
      <c r="H60" s="20" t="n">
        <v>1049</v>
      </c>
      <c r="I60" s="20" t="n">
        <v>35</v>
      </c>
      <c r="J60" s="20" t="n">
        <v>768</v>
      </c>
      <c r="K60" s="20" t="n">
        <v>403</v>
      </c>
      <c r="L60" s="20" t="n">
        <v>1356</v>
      </c>
      <c r="M60" s="20" t="n">
        <v>715</v>
      </c>
      <c r="N60" s="20" t="n">
        <v>1163</v>
      </c>
      <c r="O60" s="19" t="n">
        <v>4645</v>
      </c>
      <c r="P60" s="20" t="n">
        <v>4853</v>
      </c>
      <c r="Q60" s="20" t="n">
        <v>1681</v>
      </c>
      <c r="R60" s="20" t="n">
        <v>1485</v>
      </c>
      <c r="S60" s="20" t="n">
        <v>7239</v>
      </c>
      <c r="T60" s="20" t="n">
        <v>7659</v>
      </c>
      <c r="U60" s="20" t="n">
        <v>1768</v>
      </c>
      <c r="V60" s="20" t="n">
        <v>7801</v>
      </c>
      <c r="W60" s="20" t="n">
        <v>2170</v>
      </c>
      <c r="X60" s="20" t="n">
        <v>3242</v>
      </c>
      <c r="Y60" s="19">
        <f>IF(OR(Y4="",Y61=""),"",IFERROR(Y4*Y61,""))</f>
        <v/>
      </c>
      <c r="Z60" s="20">
        <f>IF(OR(Z4="",Z61=""),"",IFERROR(Z4*Z61,""))</f>
        <v/>
      </c>
      <c r="AA60" s="20">
        <f>IF(OR(AA4="",AA61=""),"",IFERROR(AA4*AA61,""))</f>
        <v/>
      </c>
      <c r="AB60" s="20">
        <f>IF(OR(AB4="",AB61=""),"",IFERROR(AB4*AB61,""))</f>
        <v/>
      </c>
      <c r="AC60" s="20">
        <f>IF(OR(AC4="",AC61=""),"",IFERROR(AC4*AC61,""))</f>
        <v/>
      </c>
    </row>
    <row r="61">
      <c r="A61" s="13" t="inlineStr">
        <is>
          <t>% of Sales</t>
        </is>
      </c>
      <c r="B61" s="10" t="n"/>
      <c r="C61" s="14">
        <f>IF(OR(C60="",C4=""),"",IFERROR(C60/C4,""))</f>
        <v/>
      </c>
      <c r="D61" s="15">
        <f>IF(OR(D60="",D4=""),"",IFERROR(D60/D4,""))</f>
        <v/>
      </c>
      <c r="E61" s="15">
        <f>IF(OR(E60="",E4=""),"",IFERROR(E60/E4,""))</f>
        <v/>
      </c>
      <c r="F61" s="15">
        <f>IF(OR(F60="",F4=""),"",IFERROR(F60/F4,""))</f>
        <v/>
      </c>
      <c r="G61" s="15">
        <f>IF(OR(G60="",G4=""),"",IFERROR(G60/G4,""))</f>
        <v/>
      </c>
      <c r="H61" s="15">
        <f>IF(OR(H60="",H4=""),"",IFERROR(H60/H4,""))</f>
        <v/>
      </c>
      <c r="I61" s="15">
        <f>IF(OR(I60="",I4=""),"",IFERROR(I60/I4,""))</f>
        <v/>
      </c>
      <c r="J61" s="15">
        <f>IF(OR(J60="",J4=""),"",IFERROR(J60/J4,""))</f>
        <v/>
      </c>
      <c r="K61" s="15">
        <f>IF(OR(K60="",K4=""),"",IFERROR(K60/K4,""))</f>
        <v/>
      </c>
      <c r="L61" s="15">
        <f>IF(OR(L60="",L4=""),"",IFERROR(L60/L4,""))</f>
        <v/>
      </c>
      <c r="M61" s="15">
        <f>IF(OR(M60="",M4=""),"",IFERROR(M60/M4,""))</f>
        <v/>
      </c>
      <c r="N61" s="15">
        <f>IF(OR(N60="",N4=""),"",IFERROR(N60/N4,""))</f>
        <v/>
      </c>
      <c r="O61" s="14">
        <f>IF(OR(O60="",O4=""),"",IFERROR(O60/O4,""))</f>
        <v/>
      </c>
      <c r="P61" s="15">
        <f>IF(OR(P60="",P4=""),"",IFERROR(P60/P4,""))</f>
        <v/>
      </c>
      <c r="Q61" s="15">
        <f>IF(OR(Q60="",Q4=""),"",IFERROR(Q60/Q4,""))</f>
        <v/>
      </c>
      <c r="R61" s="15">
        <f>IF(OR(R60="",R4=""),"",IFERROR(R60/R4,""))</f>
        <v/>
      </c>
      <c r="S61" s="15">
        <f>IF(OR(S60="",S4=""),"",IFERROR(S60/S4,""))</f>
        <v/>
      </c>
      <c r="T61" s="15">
        <f>IF(OR(T60="",T4=""),"",IFERROR(T60/T4,""))</f>
        <v/>
      </c>
      <c r="U61" s="15">
        <f>IF(OR(U60="",U4=""),"",IFERROR(U60/U4,""))</f>
        <v/>
      </c>
      <c r="V61" s="15">
        <f>IF(OR(V60="",V4=""),"",IFERROR(V60/V4,""))</f>
        <v/>
      </c>
      <c r="W61" s="15">
        <f>IF(OR(W60="",W4=""),"",IFERROR(W60/W4,""))</f>
        <v/>
      </c>
      <c r="X61" s="15">
        <f>IF(OR(X60="",X4=""),"",IFERROR(X60/X4,""))</f>
        <v/>
      </c>
      <c r="Y61" s="25">
        <f>IFERROR(AVERAGE(V61,W61,X61),"")</f>
        <v/>
      </c>
      <c r="Z61" s="26">
        <f>Y61</f>
        <v/>
      </c>
      <c r="AA61" s="26">
        <f>Z61</f>
        <v/>
      </c>
      <c r="AB61" s="26">
        <f>AA61</f>
        <v/>
      </c>
      <c r="AC61" s="26">
        <f>AB61</f>
        <v/>
      </c>
    </row>
    <row r="62">
      <c r="A62" s="18" t="inlineStr">
        <is>
          <t>영업외비용</t>
        </is>
      </c>
      <c r="B62" s="10" t="n"/>
      <c r="C62" s="19" t="n">
        <v>457</v>
      </c>
      <c r="D62" s="20" t="n">
        <v>440</v>
      </c>
      <c r="E62" s="20" t="n">
        <v>1778</v>
      </c>
      <c r="F62" s="20" t="n">
        <v>391</v>
      </c>
      <c r="G62" s="20" t="n">
        <v>861</v>
      </c>
      <c r="H62" s="20" t="n">
        <v>152</v>
      </c>
      <c r="I62" s="20" t="n">
        <v>1086</v>
      </c>
      <c r="J62" s="20" t="n">
        <v>543</v>
      </c>
      <c r="K62" s="20" t="n">
        <v>246</v>
      </c>
      <c r="L62" s="20" t="n">
        <v>535</v>
      </c>
      <c r="M62" s="20" t="n">
        <v>1151</v>
      </c>
      <c r="N62" s="20" t="n">
        <v>375</v>
      </c>
      <c r="O62" s="19" t="n">
        <v>2981</v>
      </c>
      <c r="P62" s="20" t="n">
        <v>3312</v>
      </c>
      <c r="Q62" s="20" t="n">
        <v>1889</v>
      </c>
      <c r="R62" s="20" t="n">
        <v>2729</v>
      </c>
      <c r="S62" s="20" t="n">
        <v>3007</v>
      </c>
      <c r="T62" s="20" t="n">
        <v>3026</v>
      </c>
      <c r="U62" s="20" t="n">
        <v>1484</v>
      </c>
      <c r="V62" s="20" t="n">
        <v>3053</v>
      </c>
      <c r="W62" s="20" t="n">
        <v>2490</v>
      </c>
      <c r="X62" s="20" t="n">
        <v>2475</v>
      </c>
      <c r="Y62" s="19">
        <f>IF(OR(Y4="",Y63=""),"",IFERROR(Y4*Y63,""))</f>
        <v/>
      </c>
      <c r="Z62" s="20">
        <f>IF(OR(Z4="",Z63=""),"",IFERROR(Z4*Z63,""))</f>
        <v/>
      </c>
      <c r="AA62" s="20">
        <f>IF(OR(AA4="",AA63=""),"",IFERROR(AA4*AA63,""))</f>
        <v/>
      </c>
      <c r="AB62" s="20">
        <f>IF(OR(AB4="",AB63=""),"",IFERROR(AB4*AB63,""))</f>
        <v/>
      </c>
      <c r="AC62" s="20">
        <f>IF(OR(AC4="",AC63=""),"",IFERROR(AC4*AC63,""))</f>
        <v/>
      </c>
    </row>
    <row r="63">
      <c r="A63" s="13" t="inlineStr">
        <is>
          <t>% of Sales</t>
        </is>
      </c>
      <c r="B63" s="10" t="n"/>
      <c r="C63" s="14">
        <f>IF(OR(C62="",C4=""),"",IFERROR(C62/C4,""))</f>
        <v/>
      </c>
      <c r="D63" s="15">
        <f>IF(OR(D62="",D4=""),"",IFERROR(D62/D4,""))</f>
        <v/>
      </c>
      <c r="E63" s="15">
        <f>IF(OR(E62="",E4=""),"",IFERROR(E62/E4,""))</f>
        <v/>
      </c>
      <c r="F63" s="15">
        <f>IF(OR(F62="",F4=""),"",IFERROR(F62/F4,""))</f>
        <v/>
      </c>
      <c r="G63" s="15">
        <f>IF(OR(G62="",G4=""),"",IFERROR(G62/G4,""))</f>
        <v/>
      </c>
      <c r="H63" s="15">
        <f>IF(OR(H62="",H4=""),"",IFERROR(H62/H4,""))</f>
        <v/>
      </c>
      <c r="I63" s="15">
        <f>IF(OR(I62="",I4=""),"",IFERROR(I62/I4,""))</f>
        <v/>
      </c>
      <c r="J63" s="15">
        <f>IF(OR(J62="",J4=""),"",IFERROR(J62/J4,""))</f>
        <v/>
      </c>
      <c r="K63" s="15">
        <f>IF(OR(K62="",K4=""),"",IFERROR(K62/K4,""))</f>
        <v/>
      </c>
      <c r="L63" s="15">
        <f>IF(OR(L62="",L4=""),"",IFERROR(L62/L4,""))</f>
        <v/>
      </c>
      <c r="M63" s="15">
        <f>IF(OR(M62="",M4=""),"",IFERROR(M62/M4,""))</f>
        <v/>
      </c>
      <c r="N63" s="15">
        <f>IF(OR(N62="",N4=""),"",IFERROR(N62/N4,""))</f>
        <v/>
      </c>
      <c r="O63" s="14">
        <f>IF(OR(O62="",O4=""),"",IFERROR(O62/O4,""))</f>
        <v/>
      </c>
      <c r="P63" s="15">
        <f>IF(OR(P62="",P4=""),"",IFERROR(P62/P4,""))</f>
        <v/>
      </c>
      <c r="Q63" s="15">
        <f>IF(OR(Q62="",Q4=""),"",IFERROR(Q62/Q4,""))</f>
        <v/>
      </c>
      <c r="R63" s="15">
        <f>IF(OR(R62="",R4=""),"",IFERROR(R62/R4,""))</f>
        <v/>
      </c>
      <c r="S63" s="15">
        <f>IF(OR(S62="",S4=""),"",IFERROR(S62/S4,""))</f>
        <v/>
      </c>
      <c r="T63" s="15">
        <f>IF(OR(T62="",T4=""),"",IFERROR(T62/T4,""))</f>
        <v/>
      </c>
      <c r="U63" s="15">
        <f>IF(OR(U62="",U4=""),"",IFERROR(U62/U4,""))</f>
        <v/>
      </c>
      <c r="V63" s="15">
        <f>IF(OR(V62="",V4=""),"",IFERROR(V62/V4,""))</f>
        <v/>
      </c>
      <c r="W63" s="15">
        <f>IF(OR(W62="",W4=""),"",IFERROR(W62/W4,""))</f>
        <v/>
      </c>
      <c r="X63" s="15">
        <f>IF(OR(X62="",X4=""),"",IFERROR(X62/X4,""))</f>
        <v/>
      </c>
      <c r="Y63" s="25">
        <f>IFERROR(AVERAGE(V63,W63,X63),"")</f>
        <v/>
      </c>
      <c r="Z63" s="26">
        <f>Y63</f>
        <v/>
      </c>
      <c r="AA63" s="26">
        <f>Z63</f>
        <v/>
      </c>
      <c r="AB63" s="26">
        <f>AA63</f>
        <v/>
      </c>
      <c r="AC63" s="26">
        <f>AB63</f>
        <v/>
      </c>
    </row>
    <row r="64">
      <c r="A64" s="9" t="inlineStr">
        <is>
          <t>법인세비용차감전순이익(손실)</t>
        </is>
      </c>
      <c r="B64" s="10" t="n"/>
      <c r="C64" s="11" t="n">
        <v>744</v>
      </c>
      <c r="D64" s="12" t="n">
        <v>4744</v>
      </c>
      <c r="E64" s="12" t="n">
        <v>4260</v>
      </c>
      <c r="F64" s="12" t="n">
        <v>1420</v>
      </c>
      <c r="G64" s="12" t="n">
        <v>1430</v>
      </c>
      <c r="H64" s="12" t="n">
        <v>5619</v>
      </c>
      <c r="I64" s="12" t="n">
        <v>15367</v>
      </c>
      <c r="J64" s="12" t="n">
        <v>565</v>
      </c>
      <c r="K64" s="12" t="n">
        <v>2397</v>
      </c>
      <c r="L64" s="12" t="n">
        <v>10604</v>
      </c>
      <c r="M64" s="12" t="n">
        <v>17254</v>
      </c>
      <c r="N64" s="12" t="n">
        <v>7002</v>
      </c>
      <c r="O64" s="11" t="n">
        <v>3426</v>
      </c>
      <c r="P64" s="12" t="n">
        <v>6088</v>
      </c>
      <c r="Q64" s="12" t="n">
        <v>10272</v>
      </c>
      <c r="R64" s="12" t="n">
        <v>11441</v>
      </c>
      <c r="S64" s="12" t="n">
        <v>8150</v>
      </c>
      <c r="T64" s="12" t="n">
        <v>8005</v>
      </c>
      <c r="U64" s="12" t="n">
        <v>10397</v>
      </c>
      <c r="V64" s="12" t="n">
        <v>7079</v>
      </c>
      <c r="W64" s="12" t="n">
        <v>23836</v>
      </c>
      <c r="X64" s="12" t="n">
        <v>30820</v>
      </c>
      <c r="Y64" s="11">
        <f>IF(OR(Y40=""),"",IFERROR(Y40+N(Y56)-N(Y58)+N(Y60)-N(Y62),""))</f>
        <v/>
      </c>
      <c r="Z64" s="12">
        <f>IF(OR(Z40=""),"",IFERROR(Z40+N(Z56)-N(Z58)+N(Z60)-N(Z62),""))</f>
        <v/>
      </c>
      <c r="AA64" s="12">
        <f>IF(OR(AA40=""),"",IFERROR(AA40+N(AA56)-N(AA58)+N(AA60)-N(AA62),""))</f>
        <v/>
      </c>
      <c r="AB64" s="12">
        <f>IF(OR(AB40=""),"",IFERROR(AB40+N(AB56)-N(AB58)+N(AB60)-N(AB62),""))</f>
        <v/>
      </c>
      <c r="AC64" s="12">
        <f>IF(OR(AC40=""),"",IFERROR(AC40+N(AC56)-N(AC58)+N(AC60)-N(AC62),""))</f>
        <v/>
      </c>
    </row>
    <row r="65">
      <c r="A65" s="13" t="inlineStr">
        <is>
          <t>YoY</t>
        </is>
      </c>
      <c r="B65" s="10" t="n"/>
      <c r="C65" s="14" t="n"/>
      <c r="D65" s="15" t="n"/>
      <c r="E65" s="15" t="n"/>
      <c r="F65" s="15" t="n"/>
      <c r="G65" s="15">
        <f>IF(OR(G64="",C64=""),"",IF(C64&lt;=0,"",IFERROR(G64/C64-1,"")))</f>
        <v/>
      </c>
      <c r="H65" s="15">
        <f>IF(OR(H64="",D64=""),"",IF(D64&lt;=0,"",IFERROR(H64/D64-1,"")))</f>
        <v/>
      </c>
      <c r="I65" s="15">
        <f>IF(OR(I64="",E64=""),"",IF(E64&lt;=0,"",IFERROR(I64/E64-1,"")))</f>
        <v/>
      </c>
      <c r="J65" s="15">
        <f>IF(OR(J64="",F64=""),"",IF(F64&lt;=0,"",IFERROR(J64/F64-1,"")))</f>
        <v/>
      </c>
      <c r="K65" s="15">
        <f>IF(OR(K64="",G64=""),"",IF(G64&lt;=0,"",IFERROR(K64/G64-1,"")))</f>
        <v/>
      </c>
      <c r="L65" s="15">
        <f>IF(OR(L64="",H64=""),"",IF(H64&lt;=0,"",IFERROR(L64/H64-1,"")))</f>
        <v/>
      </c>
      <c r="M65" s="15">
        <f>IF(OR(M64="",I64=""),"",IF(I64&lt;=0,"",IFERROR(M64/I64-1,"")))</f>
        <v/>
      </c>
      <c r="N65" s="15">
        <f>IF(OR(N64="",J64=""),"",IF(J64&lt;=0,"",IFERROR(N64/J64-1,"")))</f>
        <v/>
      </c>
      <c r="O65" s="14" t="n"/>
      <c r="P65" s="15">
        <f>IF(OR(P64="",O64=""),"",IF(O64&lt;=0,"",IFERROR(P64/O64-1,"")))</f>
        <v/>
      </c>
      <c r="Q65" s="15">
        <f>IF(OR(Q64="",P64=""),"",IF(P64&lt;=0,"",IFERROR(Q64/P64-1,"")))</f>
        <v/>
      </c>
      <c r="R65" s="15">
        <f>IF(OR(R64="",Q64=""),"",IF(Q64&lt;=0,"",IFERROR(R64/Q64-1,"")))</f>
        <v/>
      </c>
      <c r="S65" s="15">
        <f>IF(OR(S64="",R64=""),"",IF(R64&lt;=0,"",IFERROR(S64/R64-1,"")))</f>
        <v/>
      </c>
      <c r="T65" s="15">
        <f>IF(OR(T64="",S64=""),"",IF(S64&lt;=0,"",IFERROR(T64/S64-1,"")))</f>
        <v/>
      </c>
      <c r="U65" s="15">
        <f>IF(OR(U64="",T64=""),"",IF(T64&lt;=0,"",IFERROR(U64/T64-1,"")))</f>
        <v/>
      </c>
      <c r="V65" s="15">
        <f>IF(OR(V64="",U64=""),"",IF(U64&lt;=0,"",IFERROR(V64/U64-1,"")))</f>
        <v/>
      </c>
      <c r="W65" s="15">
        <f>IF(OR(W64="",V64=""),"",IF(V64&lt;=0,"",IFERROR(W64/V64-1,"")))</f>
        <v/>
      </c>
      <c r="X65" s="15">
        <f>IF(OR(X64="",W64=""),"",IF(W64&lt;=0,"",IFERROR(X64/W64-1,"")))</f>
        <v/>
      </c>
      <c r="Y65" s="14">
        <f>IF(OR(Y64="",X64=""),"",IF(X64&lt;=0,"",IFERROR(Y64/X64-1,"")))</f>
        <v/>
      </c>
      <c r="Z65" s="15">
        <f>IF(OR(Z64="",Y64=""),"",IF(Y64&lt;=0,"",IFERROR(Z64/Y64-1,"")))</f>
        <v/>
      </c>
      <c r="AA65" s="15">
        <f>IF(OR(AA64="",Z64=""),"",IF(Z64&lt;=0,"",IFERROR(AA64/Z64-1,"")))</f>
        <v/>
      </c>
      <c r="AB65" s="15">
        <f>IF(OR(AB64="",AA64=""),"",IF(AA64&lt;=0,"",IFERROR(AB64/AA64-1,"")))</f>
        <v/>
      </c>
      <c r="AC65" s="15">
        <f>IF(OR(AC64="",AB64=""),"",IF(AB64&lt;=0,"",IFERROR(AC64/AB64-1,"")))</f>
        <v/>
      </c>
    </row>
    <row r="66">
      <c r="A66" s="18" t="inlineStr">
        <is>
          <t>법인세비용(수익)</t>
        </is>
      </c>
      <c r="B66" s="10" t="n"/>
      <c r="C66" s="19" t="n">
        <v>257</v>
      </c>
      <c r="D66" s="20" t="n">
        <v>1450</v>
      </c>
      <c r="E66" s="20" t="n">
        <v>-787</v>
      </c>
      <c r="F66" s="20" t="n">
        <v>374</v>
      </c>
      <c r="G66" s="20" t="n">
        <v>361</v>
      </c>
      <c r="H66" s="20" t="n">
        <v>1550</v>
      </c>
      <c r="I66" s="20" t="n">
        <v>2676</v>
      </c>
      <c r="J66" s="20" t="n">
        <v>90</v>
      </c>
      <c r="K66" s="20" t="n">
        <v>763</v>
      </c>
      <c r="L66" s="20" t="n">
        <v>2892</v>
      </c>
      <c r="M66" s="20" t="n">
        <v>3069</v>
      </c>
      <c r="N66" s="20" t="n">
        <v>1904</v>
      </c>
      <c r="O66" s="19" t="n">
        <v>1</v>
      </c>
      <c r="P66" s="20" t="n">
        <v>674</v>
      </c>
      <c r="Q66" s="20" t="n">
        <v>2824</v>
      </c>
      <c r="R66" s="20" t="n">
        <v>3062</v>
      </c>
      <c r="S66" s="20" t="n">
        <v>1009</v>
      </c>
      <c r="T66" s="20" t="n">
        <v>425</v>
      </c>
      <c r="U66" s="20" t="n">
        <v>3136</v>
      </c>
      <c r="V66" s="20" t="n">
        <v>375</v>
      </c>
      <c r="W66" s="20" t="n">
        <v>4961</v>
      </c>
      <c r="X66" s="20" t="n">
        <v>6814</v>
      </c>
      <c r="Y66" s="19">
        <f>IF(OR(Y64="",Y67=""),"",IFERROR(MAX(Y64,0)*Y67,""))</f>
        <v/>
      </c>
      <c r="Z66" s="20">
        <f>IF(OR(Z64="",Z67=""),"",IFERROR(MAX(Z64,0)*Z67,""))</f>
        <v/>
      </c>
      <c r="AA66" s="20">
        <f>IF(OR(AA64="",AA67=""),"",IFERROR(MAX(AA64,0)*AA67,""))</f>
        <v/>
      </c>
      <c r="AB66" s="20">
        <f>IF(OR(AB64="",AB67=""),"",IFERROR(MAX(AB64,0)*AB67,""))</f>
        <v/>
      </c>
      <c r="AC66" s="20">
        <f>IF(OR(AC64="",AC67=""),"",IFERROR(MAX(AC64,0)*AC67,""))</f>
        <v/>
      </c>
    </row>
    <row r="67">
      <c r="A67" s="13" t="inlineStr">
        <is>
          <t>법인세율</t>
        </is>
      </c>
      <c r="B67" s="10" t="inlineStr">
        <is>
          <t>MW 기본 30%</t>
        </is>
      </c>
      <c r="C67" s="14">
        <f>IF(OR(C66="",C64=""),"",IFERROR(C66/C64,""))</f>
        <v/>
      </c>
      <c r="D67" s="15">
        <f>IF(OR(D66="",D64=""),"",IFERROR(D66/D64,""))</f>
        <v/>
      </c>
      <c r="E67" s="15">
        <f>IF(OR(E66="",E64=""),"",IFERROR(E66/E64,""))</f>
        <v/>
      </c>
      <c r="F67" s="15">
        <f>IF(OR(F66="",F64=""),"",IFERROR(F66/F64,""))</f>
        <v/>
      </c>
      <c r="G67" s="15">
        <f>IF(OR(G66="",G64=""),"",IFERROR(G66/G64,""))</f>
        <v/>
      </c>
      <c r="H67" s="15">
        <f>IF(OR(H66="",H64=""),"",IFERROR(H66/H64,""))</f>
        <v/>
      </c>
      <c r="I67" s="15">
        <f>IF(OR(I66="",I64=""),"",IFERROR(I66/I64,""))</f>
        <v/>
      </c>
      <c r="J67" s="15">
        <f>IF(OR(J66="",J64=""),"",IFERROR(J66/J64,""))</f>
        <v/>
      </c>
      <c r="K67" s="15">
        <f>IF(OR(K66="",K64=""),"",IFERROR(K66/K64,""))</f>
        <v/>
      </c>
      <c r="L67" s="15">
        <f>IF(OR(L66="",L64=""),"",IFERROR(L66/L64,""))</f>
        <v/>
      </c>
      <c r="M67" s="15">
        <f>IF(OR(M66="",M64=""),"",IFERROR(M66/M64,""))</f>
        <v/>
      </c>
      <c r="N67" s="15">
        <f>IF(OR(N66="",N64=""),"",IFERROR(N66/N64,""))</f>
        <v/>
      </c>
      <c r="O67" s="14">
        <f>IF(OR(O66="",O64=""),"",IFERROR(O66/O64,""))</f>
        <v/>
      </c>
      <c r="P67" s="15">
        <f>IF(OR(P66="",P64=""),"",IFERROR(P66/P64,""))</f>
        <v/>
      </c>
      <c r="Q67" s="15">
        <f>IF(OR(Q66="",Q64=""),"",IFERROR(Q66/Q64,""))</f>
        <v/>
      </c>
      <c r="R67" s="15">
        <f>IF(OR(R66="",R64=""),"",IFERROR(R66/R64,""))</f>
        <v/>
      </c>
      <c r="S67" s="15">
        <f>IF(OR(S66="",S64=""),"",IFERROR(S66/S64,""))</f>
        <v/>
      </c>
      <c r="T67" s="15">
        <f>IF(OR(T66="",T64=""),"",IFERROR(T66/T64,""))</f>
        <v/>
      </c>
      <c r="U67" s="15">
        <f>IF(OR(U66="",U64=""),"",IFERROR(U66/U64,""))</f>
        <v/>
      </c>
      <c r="V67" s="15">
        <f>IF(OR(V66="",V64=""),"",IFERROR(V66/V64,""))</f>
        <v/>
      </c>
      <c r="W67" s="15">
        <f>IF(OR(W66="",W64=""),"",IFERROR(W66/W64,""))</f>
        <v/>
      </c>
      <c r="X67" s="15">
        <f>IF(OR(X66="",X64=""),"",IFERROR(X66/X64,""))</f>
        <v/>
      </c>
      <c r="Y67" s="25" t="n">
        <v>0.3</v>
      </c>
      <c r="Z67" s="26" t="n">
        <v>0.3</v>
      </c>
      <c r="AA67" s="26" t="n">
        <v>0.3</v>
      </c>
      <c r="AB67" s="26" t="n">
        <v>0.3</v>
      </c>
      <c r="AC67" s="26" t="n">
        <v>0.3</v>
      </c>
    </row>
    <row r="68">
      <c r="A68" s="9" t="inlineStr">
        <is>
          <t>당기순이익(손실)</t>
        </is>
      </c>
      <c r="B68" s="10" t="n"/>
      <c r="C68" s="11" t="n">
        <v>486</v>
      </c>
      <c r="D68" s="12" t="n">
        <v>3293</v>
      </c>
      <c r="E68" s="12" t="n">
        <v>5048</v>
      </c>
      <c r="F68" s="12" t="n">
        <v>1045</v>
      </c>
      <c r="G68" s="12" t="n">
        <v>1070</v>
      </c>
      <c r="H68" s="12" t="n">
        <v>4069</v>
      </c>
      <c r="I68" s="12" t="n">
        <v>12690</v>
      </c>
      <c r="J68" s="12" t="n">
        <v>474</v>
      </c>
      <c r="K68" s="12" t="n">
        <v>1635</v>
      </c>
      <c r="L68" s="12" t="n">
        <v>7711</v>
      </c>
      <c r="M68" s="12" t="n">
        <v>14185</v>
      </c>
      <c r="N68" s="12" t="n">
        <v>5098</v>
      </c>
      <c r="O68" s="11" t="n">
        <v>3425</v>
      </c>
      <c r="P68" s="12" t="n">
        <v>5413</v>
      </c>
      <c r="Q68" s="12" t="n">
        <v>7448</v>
      </c>
      <c r="R68" s="12" t="n">
        <v>8378</v>
      </c>
      <c r="S68" s="12" t="n">
        <v>7140</v>
      </c>
      <c r="T68" s="12" t="n">
        <v>7580</v>
      </c>
      <c r="U68" s="12" t="n">
        <v>7260</v>
      </c>
      <c r="V68" s="12" t="n">
        <v>6704</v>
      </c>
      <c r="W68" s="12" t="n">
        <v>18874</v>
      </c>
      <c r="X68" s="12" t="n">
        <v>24005</v>
      </c>
      <c r="Y68" s="11">
        <f>IF(OR(Y64=""),"",IFERROR(Y64-Y66,""))</f>
        <v/>
      </c>
      <c r="Z68" s="12">
        <f>IF(OR(Z64=""),"",IFERROR(Z64-Z66,""))</f>
        <v/>
      </c>
      <c r="AA68" s="12">
        <f>IF(OR(AA64=""),"",IFERROR(AA64-AA66,""))</f>
        <v/>
      </c>
      <c r="AB68" s="12">
        <f>IF(OR(AB64=""),"",IFERROR(AB64-AB66,""))</f>
        <v/>
      </c>
      <c r="AC68" s="12">
        <f>IF(OR(AC64=""),"",IFERROR(AC64-AC66,""))</f>
        <v/>
      </c>
    </row>
    <row r="69">
      <c r="A69" s="13" t="inlineStr">
        <is>
          <t>YoY</t>
        </is>
      </c>
      <c r="B69" s="10" t="n"/>
      <c r="C69" s="14" t="n"/>
      <c r="D69" s="15" t="n"/>
      <c r="E69" s="15" t="n"/>
      <c r="F69" s="15" t="n"/>
      <c r="G69" s="15">
        <f>IF(OR(G68="",C68=""),"",IF(C68&lt;=0,"",IFERROR(G68/C68-1,"")))</f>
        <v/>
      </c>
      <c r="H69" s="15">
        <f>IF(OR(H68="",D68=""),"",IF(D68&lt;=0,"",IFERROR(H68/D68-1,"")))</f>
        <v/>
      </c>
      <c r="I69" s="15">
        <f>IF(OR(I68="",E68=""),"",IF(E68&lt;=0,"",IFERROR(I68/E68-1,"")))</f>
        <v/>
      </c>
      <c r="J69" s="15">
        <f>IF(OR(J68="",F68=""),"",IF(F68&lt;=0,"",IFERROR(J68/F68-1,"")))</f>
        <v/>
      </c>
      <c r="K69" s="15">
        <f>IF(OR(K68="",G68=""),"",IF(G68&lt;=0,"",IFERROR(K68/G68-1,"")))</f>
        <v/>
      </c>
      <c r="L69" s="15">
        <f>IF(OR(L68="",H68=""),"",IF(H68&lt;=0,"",IFERROR(L68/H68-1,"")))</f>
        <v/>
      </c>
      <c r="M69" s="15">
        <f>IF(OR(M68="",I68=""),"",IF(I68&lt;=0,"",IFERROR(M68/I68-1,"")))</f>
        <v/>
      </c>
      <c r="N69" s="15">
        <f>IF(OR(N68="",J68=""),"",IF(J68&lt;=0,"",IFERROR(N68/J68-1,"")))</f>
        <v/>
      </c>
      <c r="O69" s="14" t="n"/>
      <c r="P69" s="15">
        <f>IF(OR(P68="",O68=""),"",IF(O68&lt;=0,"",IFERROR(P68/O68-1,"")))</f>
        <v/>
      </c>
      <c r="Q69" s="15">
        <f>IF(OR(Q68="",P68=""),"",IF(P68&lt;=0,"",IFERROR(Q68/P68-1,"")))</f>
        <v/>
      </c>
      <c r="R69" s="15">
        <f>IF(OR(R68="",Q68=""),"",IF(Q68&lt;=0,"",IFERROR(R68/Q68-1,"")))</f>
        <v/>
      </c>
      <c r="S69" s="15">
        <f>IF(OR(S68="",R68=""),"",IF(R68&lt;=0,"",IFERROR(S68/R68-1,"")))</f>
        <v/>
      </c>
      <c r="T69" s="15">
        <f>IF(OR(T68="",S68=""),"",IF(S68&lt;=0,"",IFERROR(T68/S68-1,"")))</f>
        <v/>
      </c>
      <c r="U69" s="15">
        <f>IF(OR(U68="",T68=""),"",IF(T68&lt;=0,"",IFERROR(U68/T68-1,"")))</f>
        <v/>
      </c>
      <c r="V69" s="15">
        <f>IF(OR(V68="",U68=""),"",IF(U68&lt;=0,"",IFERROR(V68/U68-1,"")))</f>
        <v/>
      </c>
      <c r="W69" s="15">
        <f>IF(OR(W68="",V68=""),"",IF(V68&lt;=0,"",IFERROR(W68/V68-1,"")))</f>
        <v/>
      </c>
      <c r="X69" s="15">
        <f>IF(OR(X68="",W68=""),"",IF(W68&lt;=0,"",IFERROR(X68/W68-1,"")))</f>
        <v/>
      </c>
      <c r="Y69" s="14">
        <f>IF(OR(Y68="",X68=""),"",IF(X68&lt;=0,"",IFERROR(Y68/X68-1,"")))</f>
        <v/>
      </c>
      <c r="Z69" s="15">
        <f>IF(OR(Z68="",Y68=""),"",IF(Y68&lt;=0,"",IFERROR(Z68/Y68-1,"")))</f>
        <v/>
      </c>
      <c r="AA69" s="15">
        <f>IF(OR(AA68="",Z68=""),"",IF(Z68&lt;=0,"",IFERROR(AA68/Z68-1,"")))</f>
        <v/>
      </c>
      <c r="AB69" s="15">
        <f>IF(OR(AB68="",AA68=""),"",IF(AA68&lt;=0,"",IFERROR(AB68/AA68-1,"")))</f>
        <v/>
      </c>
      <c r="AC69" s="15">
        <f>IF(OR(AC68="",AB68=""),"",IF(AB68&lt;=0,"",IFERROR(AC68/AB68-1,"")))</f>
        <v/>
      </c>
    </row>
    <row r="70">
      <c r="A70" s="9" t="inlineStr">
        <is>
          <t>지배주주 순이익</t>
        </is>
      </c>
      <c r="B70" s="10" t="n"/>
      <c r="C70" s="11" t="n">
        <v>486</v>
      </c>
      <c r="D70" s="12" t="n">
        <v>3257</v>
      </c>
      <c r="E70" s="12" t="n">
        <v>9564</v>
      </c>
      <c r="F70" s="12" t="n">
        <v>1017</v>
      </c>
      <c r="G70" s="12" t="n">
        <v>1077</v>
      </c>
      <c r="H70" s="12" t="n">
        <v>3837</v>
      </c>
      <c r="I70" s="12" t="n">
        <v>12556</v>
      </c>
      <c r="J70" s="12" t="n">
        <v>465</v>
      </c>
      <c r="K70" s="12" t="n">
        <v>1561</v>
      </c>
      <c r="L70" s="12" t="n">
        <v>7611</v>
      </c>
      <c r="M70" s="12" t="n">
        <v>13988</v>
      </c>
      <c r="N70" s="12" t="n">
        <v>5059</v>
      </c>
      <c r="O70" s="11" t="n">
        <v>5743</v>
      </c>
      <c r="P70" s="12" t="n">
        <v>7056</v>
      </c>
      <c r="Q70" s="12" t="n">
        <v>7653</v>
      </c>
      <c r="R70" s="12" t="n">
        <v>8208</v>
      </c>
      <c r="S70" s="12" t="n">
        <v>7303</v>
      </c>
      <c r="T70" s="12" t="n">
        <v>6733</v>
      </c>
      <c r="U70" s="12" t="n">
        <v>7128</v>
      </c>
      <c r="V70" s="12" t="n">
        <v>11205</v>
      </c>
      <c r="W70" s="12" t="n">
        <v>18487</v>
      </c>
      <c r="X70" s="12" t="n">
        <v>23625</v>
      </c>
      <c r="Y70" s="11">
        <f>IF(OR(Y68="",Y71=""),"",IFERROR(Y68*Y71,""))</f>
        <v/>
      </c>
      <c r="Z70" s="12">
        <f>IF(OR(Z68="",Z71=""),"",IFERROR(Z68*Z71,""))</f>
        <v/>
      </c>
      <c r="AA70" s="12">
        <f>IF(OR(AA68="",AA71=""),"",IFERROR(AA68*AA71,""))</f>
        <v/>
      </c>
      <c r="AB70" s="12">
        <f>IF(OR(AB68="",AB71=""),"",IFERROR(AB68*AB71,""))</f>
        <v/>
      </c>
      <c r="AC70" s="12">
        <f>IF(OR(AC68="",AC71=""),"",IFERROR(AC68*AC71,""))</f>
        <v/>
      </c>
    </row>
    <row r="71">
      <c r="A71" s="13" t="inlineStr">
        <is>
          <t>지배주주 순이익률</t>
        </is>
      </c>
      <c r="B71" s="10" t="inlineStr">
        <is>
          <t>MW 기본 100%</t>
        </is>
      </c>
      <c r="C71" s="14">
        <f>IF(OR(C70="",C68=""),"",IFERROR(C70/C68,""))</f>
        <v/>
      </c>
      <c r="D71" s="15">
        <f>IF(OR(D70="",D68=""),"",IFERROR(D70/D68,""))</f>
        <v/>
      </c>
      <c r="E71" s="15">
        <f>IF(OR(E70="",E68=""),"",IFERROR(E70/E68,""))</f>
        <v/>
      </c>
      <c r="F71" s="15">
        <f>IF(OR(F70="",F68=""),"",IFERROR(F70/F68,""))</f>
        <v/>
      </c>
      <c r="G71" s="15">
        <f>IF(OR(G70="",G68=""),"",IFERROR(G70/G68,""))</f>
        <v/>
      </c>
      <c r="H71" s="15">
        <f>IF(OR(H70="",H68=""),"",IFERROR(H70/H68,""))</f>
        <v/>
      </c>
      <c r="I71" s="15">
        <f>IF(OR(I70="",I68=""),"",IFERROR(I70/I68,""))</f>
        <v/>
      </c>
      <c r="J71" s="15">
        <f>IF(OR(J70="",J68=""),"",IFERROR(J70/J68,""))</f>
        <v/>
      </c>
      <c r="K71" s="15">
        <f>IF(OR(K70="",K68=""),"",IFERROR(K70/K68,""))</f>
        <v/>
      </c>
      <c r="L71" s="15">
        <f>IF(OR(L70="",L68=""),"",IFERROR(L70/L68,""))</f>
        <v/>
      </c>
      <c r="M71" s="15">
        <f>IF(OR(M70="",M68=""),"",IFERROR(M70/M68,""))</f>
        <v/>
      </c>
      <c r="N71" s="15">
        <f>IF(OR(N70="",N68=""),"",IFERROR(N70/N68,""))</f>
        <v/>
      </c>
      <c r="O71" s="14">
        <f>IF(OR(O70="",O68=""),"",IFERROR(O70/O68,""))</f>
        <v/>
      </c>
      <c r="P71" s="15">
        <f>IF(OR(P70="",P68=""),"",IFERROR(P70/P68,""))</f>
        <v/>
      </c>
      <c r="Q71" s="15">
        <f>IF(OR(Q70="",Q68=""),"",IFERROR(Q70/Q68,""))</f>
        <v/>
      </c>
      <c r="R71" s="15">
        <f>IF(OR(R70="",R68=""),"",IFERROR(R70/R68,""))</f>
        <v/>
      </c>
      <c r="S71" s="15">
        <f>IF(OR(S70="",S68=""),"",IFERROR(S70/S68,""))</f>
        <v/>
      </c>
      <c r="T71" s="15">
        <f>IF(OR(T70="",T68=""),"",IFERROR(T70/T68,""))</f>
        <v/>
      </c>
      <c r="U71" s="15">
        <f>IF(OR(U70="",U68=""),"",IFERROR(U70/U68,""))</f>
        <v/>
      </c>
      <c r="V71" s="15">
        <f>IF(OR(V70="",V68=""),"",IFERROR(V70/V68,""))</f>
        <v/>
      </c>
      <c r="W71" s="15">
        <f>IF(OR(W70="",W68=""),"",IFERROR(W70/W68,""))</f>
        <v/>
      </c>
      <c r="X71" s="15">
        <f>IF(OR(X70="",X68=""),"",IFERROR(X70/X68,""))</f>
        <v/>
      </c>
      <c r="Y71" s="25" t="n">
        <v>1</v>
      </c>
      <c r="Z71" s="26" t="n">
        <v>1</v>
      </c>
      <c r="AA71" s="26" t="n">
        <v>1</v>
      </c>
      <c r="AB71" s="26" t="n">
        <v>1</v>
      </c>
      <c r="AC71" s="26" t="n">
        <v>1</v>
      </c>
    </row>
    <row r="72">
      <c r="A72" s="13" t="inlineStr">
        <is>
          <t>지배주주 순이익 YoY</t>
        </is>
      </c>
      <c r="B72" s="10" t="n"/>
      <c r="C72" s="14" t="n"/>
      <c r="D72" s="15" t="n"/>
      <c r="E72" s="15" t="n"/>
      <c r="F72" s="15" t="n"/>
      <c r="G72" s="15">
        <f>IF(OR(G70="",C70=""),"",IF(C70&lt;=0,"",IFERROR(G70/C70-1,"")))</f>
        <v/>
      </c>
      <c r="H72" s="15">
        <f>IF(OR(H70="",D70=""),"",IF(D70&lt;=0,"",IFERROR(H70/D70-1,"")))</f>
        <v/>
      </c>
      <c r="I72" s="15">
        <f>IF(OR(I70="",E70=""),"",IF(E70&lt;=0,"",IFERROR(I70/E70-1,"")))</f>
        <v/>
      </c>
      <c r="J72" s="15">
        <f>IF(OR(J70="",F70=""),"",IF(F70&lt;=0,"",IFERROR(J70/F70-1,"")))</f>
        <v/>
      </c>
      <c r="K72" s="15">
        <f>IF(OR(K70="",G70=""),"",IF(G70&lt;=0,"",IFERROR(K70/G70-1,"")))</f>
        <v/>
      </c>
      <c r="L72" s="15">
        <f>IF(OR(L70="",H70=""),"",IF(H70&lt;=0,"",IFERROR(L70/H70-1,"")))</f>
        <v/>
      </c>
      <c r="M72" s="15">
        <f>IF(OR(M70="",I70=""),"",IF(I70&lt;=0,"",IFERROR(M70/I70-1,"")))</f>
        <v/>
      </c>
      <c r="N72" s="15">
        <f>IF(OR(N70="",J70=""),"",IF(J70&lt;=0,"",IFERROR(N70/J70-1,"")))</f>
        <v/>
      </c>
      <c r="O72" s="14" t="n"/>
      <c r="P72" s="15">
        <f>IF(OR(P70="",O70=""),"",IF(O70&lt;=0,"",IFERROR(P70/O70-1,"")))</f>
        <v/>
      </c>
      <c r="Q72" s="15">
        <f>IF(OR(Q70="",P70=""),"",IF(P70&lt;=0,"",IFERROR(Q70/P70-1,"")))</f>
        <v/>
      </c>
      <c r="R72" s="15">
        <f>IF(OR(R70="",Q70=""),"",IF(Q70&lt;=0,"",IFERROR(R70/Q70-1,"")))</f>
        <v/>
      </c>
      <c r="S72" s="15">
        <f>IF(OR(S70="",R70=""),"",IF(R70&lt;=0,"",IFERROR(S70/R70-1,"")))</f>
        <v/>
      </c>
      <c r="T72" s="15">
        <f>IF(OR(T70="",S70=""),"",IF(S70&lt;=0,"",IFERROR(T70/S70-1,"")))</f>
        <v/>
      </c>
      <c r="U72" s="15">
        <f>IF(OR(U70="",T70=""),"",IF(T70&lt;=0,"",IFERROR(U70/T70-1,"")))</f>
        <v/>
      </c>
      <c r="V72" s="15">
        <f>IF(OR(V70="",U70=""),"",IF(U70&lt;=0,"",IFERROR(V70/U70-1,"")))</f>
        <v/>
      </c>
      <c r="W72" s="15">
        <f>IF(OR(W70="",V70=""),"",IF(V70&lt;=0,"",IFERROR(W70/V70-1,"")))</f>
        <v/>
      </c>
      <c r="X72" s="15">
        <f>IF(OR(X70="",W70=""),"",IF(W70&lt;=0,"",IFERROR(X70/W70-1,"")))</f>
        <v/>
      </c>
      <c r="Y72" s="14">
        <f>IF(OR(Y70="",X70=""),"",IF(X70&lt;=0,"",IFERROR(Y70/X70-1,"")))</f>
        <v/>
      </c>
      <c r="Z72" s="15">
        <f>IF(OR(Z70="",Y70=""),"",IF(Y70&lt;=0,"",IFERROR(Z70/Y70-1,"")))</f>
        <v/>
      </c>
      <c r="AA72" s="15">
        <f>IF(OR(AA70="",Z70=""),"",IF(Z70&lt;=0,"",IFERROR(AA70/Z70-1,"")))</f>
        <v/>
      </c>
      <c r="AB72" s="15">
        <f>IF(OR(AB70="",AA70=""),"",IF(AA70&lt;=0,"",IFERROR(AB70/AA70-1,"")))</f>
        <v/>
      </c>
      <c r="AC72" s="15">
        <f>IF(OR(AC70="",AB70=""),"",IF(AB70&lt;=0,"",IFERROR(AC70/AB70-1,"")))</f>
        <v/>
      </c>
    </row>
    <row r="73">
      <c r="A73" s="16" t="inlineStr">
        <is>
          <t>목표주가 산출</t>
        </is>
      </c>
      <c r="B73" s="16" t="n"/>
      <c r="C73" s="17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7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7" t="n"/>
      <c r="Z73" s="16" t="n"/>
      <c r="AA73" s="16" t="n"/>
      <c r="AB73" s="16" t="n"/>
      <c r="AC73" s="16" t="n"/>
    </row>
    <row r="74">
      <c r="A74" s="18" t="inlineStr">
        <is>
          <t>현재 주가 (2026.10.28)</t>
        </is>
      </c>
      <c r="B74" s="27" t="n">
        <v>10610</v>
      </c>
      <c r="C74" s="28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8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8" t="n"/>
      <c r="Z74" s="29" t="n"/>
      <c r="AA74" s="29" t="n"/>
      <c r="AB74" s="29" t="n"/>
      <c r="AC74" s="29" t="n"/>
    </row>
    <row r="75">
      <c r="A75" s="18" t="inlineStr">
        <is>
          <t>발행주식수 (보통주)</t>
        </is>
      </c>
      <c r="B75" s="27" t="n">
        <v>45527540</v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8" t="n"/>
      <c r="Z75" s="29" t="n"/>
      <c r="AA75" s="29" t="n"/>
      <c r="AB75" s="29" t="n"/>
      <c r="AC75" s="29" t="n"/>
    </row>
    <row r="76">
      <c r="A76" s="18" t="inlineStr">
        <is>
          <t>시가총액 (백만엔)</t>
        </is>
      </c>
      <c r="B76" s="12">
        <f>IF(OR(B74="",B75=""),"",B74*B75/1000000.0)</f>
        <v/>
      </c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19" t="n"/>
      <c r="Z76" s="20" t="n"/>
      <c r="AA76" s="20" t="n"/>
      <c r="AB76" s="20" t="n"/>
      <c r="AC76" s="20" t="n"/>
    </row>
    <row r="77">
      <c r="A77" s="13" t="inlineStr">
        <is>
          <t>OPM</t>
        </is>
      </c>
      <c r="B77" s="10" t="n"/>
      <c r="C77" s="14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4">
        <f>IF(O41="","",O41)</f>
        <v/>
      </c>
      <c r="P77" s="15">
        <f>IF(P41="","",P41)</f>
        <v/>
      </c>
      <c r="Q77" s="15">
        <f>IF(Q41="","",Q41)</f>
        <v/>
      </c>
      <c r="R77" s="15">
        <f>IF(R41="","",R41)</f>
        <v/>
      </c>
      <c r="S77" s="15">
        <f>IF(S41="","",S41)</f>
        <v/>
      </c>
      <c r="T77" s="15">
        <f>IF(T41="","",T41)</f>
        <v/>
      </c>
      <c r="U77" s="15">
        <f>IF(U41="","",U41)</f>
        <v/>
      </c>
      <c r="V77" s="15">
        <f>IF(V41="","",V41)</f>
        <v/>
      </c>
      <c r="W77" s="15">
        <f>IF(W41="","",W41)</f>
        <v/>
      </c>
      <c r="X77" s="15">
        <f>IF(X41="","",X41)</f>
        <v/>
      </c>
      <c r="Y77" s="14">
        <f>IF(Y41="","",Y41)</f>
        <v/>
      </c>
      <c r="Z77" s="15">
        <f>IF(Z41="","",Z41)</f>
        <v/>
      </c>
      <c r="AA77" s="15">
        <f>IF(AA41="","",AA41)</f>
        <v/>
      </c>
      <c r="AB77" s="15">
        <f>IF(AB41="","",AB41)</f>
        <v/>
      </c>
      <c r="AC77" s="15">
        <f>IF(AC41="","",AC41)</f>
        <v/>
      </c>
    </row>
    <row r="78">
      <c r="A78" s="13" t="inlineStr">
        <is>
          <t>지배주주 순이익 증가율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>
        <f>IF(OR(P70="",O70=""),"",IFERROR(P70/O70-1,""))</f>
        <v/>
      </c>
      <c r="Q78" s="15">
        <f>IF(OR(Q70="",P70=""),"",IFERROR(Q70/P70-1,""))</f>
        <v/>
      </c>
      <c r="R78" s="15">
        <f>IF(OR(R70="",Q70=""),"",IFERROR(R70/Q70-1,""))</f>
        <v/>
      </c>
      <c r="S78" s="15">
        <f>IF(OR(S70="",R70=""),"",IFERROR(S70/R70-1,""))</f>
        <v/>
      </c>
      <c r="T78" s="15">
        <f>IF(OR(T70="",S70=""),"",IFERROR(T70/S70-1,""))</f>
        <v/>
      </c>
      <c r="U78" s="15">
        <f>IF(OR(U70="",T70=""),"",IFERROR(U70/T70-1,""))</f>
        <v/>
      </c>
      <c r="V78" s="15">
        <f>IF(OR(V70="",U70=""),"",IFERROR(V70/U70-1,""))</f>
        <v/>
      </c>
      <c r="W78" s="15">
        <f>IF(OR(W70="",V70=""),"",IFERROR(W70/V70-1,""))</f>
        <v/>
      </c>
      <c r="X78" s="15">
        <f>IF(OR(X70="",W70=""),"",IFERROR(X70/W70-1,""))</f>
        <v/>
      </c>
      <c r="Y78" s="14">
        <f>IF(OR(Y70="",X70=""),"",IFERROR(Y70/X70-1,""))</f>
        <v/>
      </c>
      <c r="Z78" s="15">
        <f>IF(OR(Z70="",Y70=""),"",IFERROR(Z70/Y70-1,""))</f>
        <v/>
      </c>
      <c r="AA78" s="15">
        <f>IF(OR(AA70="",Z70=""),"",IFERROR(AA70/Z70-1,""))</f>
        <v/>
      </c>
      <c r="AB78" s="15">
        <f>IF(OR(AB70="",AA70=""),"",IFERROR(AB70/AA70-1,""))</f>
        <v/>
      </c>
      <c r="AC78" s="15">
        <f>IF(OR(AC70="",AB70=""),"",IFERROR(AC70/AB70-1,""))</f>
        <v/>
      </c>
    </row>
    <row r="79">
      <c r="A79" s="18" t="inlineStr">
        <is>
          <t>P/E (현재 주가)</t>
        </is>
      </c>
      <c r="B79" s="10" t="inlineStr">
        <is>
          <t>시총 ÷ 지배순이익</t>
        </is>
      </c>
      <c r="C79" s="30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0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>
        <f>IF(OR($B$76="",X70=""),"",IFERROR($B$76/X70,""))</f>
        <v/>
      </c>
      <c r="Y79" s="30">
        <f>IF(OR($B$76="",Y70=""),"",IFERROR($B$76/Y70,""))</f>
        <v/>
      </c>
      <c r="Z79" s="31">
        <f>IF(OR($B$76="",Z70=""),"",IFERROR($B$76/Z70,""))</f>
        <v/>
      </c>
      <c r="AA79" s="31">
        <f>IF(OR($B$76="",AA70=""),"",IFERROR($B$76/AA70,""))</f>
        <v/>
      </c>
      <c r="AB79" s="31">
        <f>IF(OR($B$76="",AB70=""),"",IFERROR($B$76/AB70,""))</f>
        <v/>
      </c>
      <c r="AC79" s="31">
        <f>IF(OR($B$76="",AC70=""),"",IFERROR($B$76/AC70,""))</f>
        <v/>
      </c>
    </row>
    <row r="80">
      <c r="A80" s="18" t="inlineStr">
        <is>
          <t>Target P/E</t>
        </is>
      </c>
      <c r="B80" s="10" t="inlineStr">
        <is>
          <t>직접 입력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0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2" t="n"/>
      <c r="Z80" s="33" t="n"/>
      <c r="AA80" s="33" t="n"/>
      <c r="AB80" s="33" t="n"/>
      <c r="AC80" s="33" t="n"/>
    </row>
    <row r="81">
      <c r="A81" s="18" t="inlineStr">
        <is>
          <t>EPS</t>
        </is>
      </c>
      <c r="B81" s="10" t="inlineStr">
        <is>
          <t>지배순이익 ÷ 주식수</t>
        </is>
      </c>
      <c r="C81" s="28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8">
        <f>IF(OR(O70="",$B$75=""),"",IFERROR(O70*1000000.0/$B$75,""))</f>
        <v/>
      </c>
      <c r="P81" s="29">
        <f>IF(OR(P70="",$B$75=""),"",IFERROR(P70*1000000.0/$B$75,""))</f>
        <v/>
      </c>
      <c r="Q81" s="29">
        <f>IF(OR(Q70="",$B$75=""),"",IFERROR(Q70*1000000.0/$B$75,""))</f>
        <v/>
      </c>
      <c r="R81" s="29">
        <f>IF(OR(R70="",$B$75=""),"",IFERROR(R70*1000000.0/$B$75,""))</f>
        <v/>
      </c>
      <c r="S81" s="29">
        <f>IF(OR(S70="",$B$75=""),"",IFERROR(S70*1000000.0/$B$75,""))</f>
        <v/>
      </c>
      <c r="T81" s="29">
        <f>IF(OR(T70="",$B$75=""),"",IFERROR(T70*1000000.0/$B$75,""))</f>
        <v/>
      </c>
      <c r="U81" s="29">
        <f>IF(OR(U70="",$B$75=""),"",IFERROR(U70*1000000.0/$B$75,""))</f>
        <v/>
      </c>
      <c r="V81" s="29">
        <f>IF(OR(V70="",$B$75=""),"",IFERROR(V70*1000000.0/$B$75,""))</f>
        <v/>
      </c>
      <c r="W81" s="29">
        <f>IF(OR(W70="",$B$75=""),"",IFERROR(W70*1000000.0/$B$75,""))</f>
        <v/>
      </c>
      <c r="X81" s="29">
        <f>IF(OR(X70="",$B$75=""),"",IFERROR(X70*1000000.0/$B$75,""))</f>
        <v/>
      </c>
      <c r="Y81" s="28">
        <f>IF(OR(Y70="",$B$75=""),"",IFERROR(Y70*1000000.0/$B$75,""))</f>
        <v/>
      </c>
      <c r="Z81" s="29">
        <f>IF(OR(Z70="",$B$75=""),"",IFERROR(Z70*1000000.0/$B$75,""))</f>
        <v/>
      </c>
      <c r="AA81" s="29">
        <f>IF(OR(AA70="",$B$75=""),"",IFERROR(AA70*1000000.0/$B$75,""))</f>
        <v/>
      </c>
      <c r="AB81" s="29">
        <f>IF(OR(AB70="",$B$75=""),"",IFERROR(AB70*1000000.0/$B$75,""))</f>
        <v/>
      </c>
      <c r="AC81" s="29">
        <f>IF(OR(AC70="",$B$75=""),"",IFERROR(AC70*1000000.0/$B$75,""))</f>
        <v/>
      </c>
    </row>
    <row r="82">
      <c r="A82" s="9" t="inlineStr">
        <is>
          <t>목표주가</t>
        </is>
      </c>
      <c r="B82" s="10" t="n"/>
      <c r="C82" s="34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34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34">
        <f>IF(OR(Y81="",Y80=""),"",IFERROR(Y81*Y80,""))</f>
        <v/>
      </c>
      <c r="Z82" s="27">
        <f>IF(OR(Z81="",Z80=""),"",IFERROR(Z81*Z80,""))</f>
        <v/>
      </c>
      <c r="AA82" s="27">
        <f>IF(OR(AA81="",AA80=""),"",IFERROR(AA81*AA80,""))</f>
        <v/>
      </c>
      <c r="AB82" s="27">
        <f>IF(OR(AB81="",AB80=""),"",IFERROR(AB81*AB80,""))</f>
        <v/>
      </c>
      <c r="AC82" s="27">
        <f>IF(OR(AC81="",AC80=""),"",IFERROR(AC81*AC80,""))</f>
        <v/>
      </c>
    </row>
    <row r="83">
      <c r="A83" s="18" t="inlineStr">
        <is>
          <t>상승여력</t>
        </is>
      </c>
      <c r="B83" s="10" t="n"/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5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7">
        <f>IF(OR(Y82="",$B$74=""),"",IFERROR(Y82/$B$74-1,""))</f>
        <v/>
      </c>
      <c r="Z83" s="38">
        <f>IF(OR(Z82="",$B$74=""),"",IFERROR(Z82/$B$74-1,""))</f>
        <v/>
      </c>
      <c r="AA83" s="38">
        <f>IF(OR(AA82="",$B$74=""),"",IFERROR(AA82/$B$74-1,""))</f>
        <v/>
      </c>
      <c r="AB83" s="38">
        <f>IF(OR(AB82="",$B$74=""),"",IFERROR(AB82/$B$74-1,""))</f>
        <v/>
      </c>
      <c r="AC83" s="38">
        <f>IF(OR(AC82="",$B$74=""),"",IFERROR(AC82/$B$74-1,""))</f>
        <v/>
      </c>
    </row>
    <row r="84">
      <c r="A84" s="16" t="inlineStr">
        <is>
          <t>자산가치 산출</t>
        </is>
      </c>
      <c r="B84" s="16" t="inlineStr">
        <is>
          <t>최신 분기 BS</t>
        </is>
      </c>
      <c r="C84" s="17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7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7" t="n"/>
      <c r="Z84" s="16" t="n"/>
      <c r="AA84" s="16" t="n"/>
      <c r="AB84" s="16" t="n"/>
      <c r="AC84" s="16" t="n"/>
    </row>
    <row r="85">
      <c r="A85" s="18" t="inlineStr">
        <is>
          <t>현금및현금성자산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'재무상태표'!G6</f>
        <v/>
      </c>
      <c r="Y85" s="19">
        <f>'재무상태표'!G6</f>
        <v/>
      </c>
      <c r="Z85" s="20">
        <f>'재무상태표'!G6</f>
        <v/>
      </c>
      <c r="AA85" s="20">
        <f>'재무상태표'!G6</f>
        <v/>
      </c>
      <c r="AB85" s="20">
        <f>'재무상태표'!G6</f>
        <v/>
      </c>
      <c r="AC85" s="20">
        <f>'재무상태표'!G6</f>
        <v/>
      </c>
    </row>
    <row r="86">
      <c r="A86" s="18" t="inlineStr">
        <is>
          <t>단기금융상품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'재무상태표'!G7</f>
        <v/>
      </c>
      <c r="Y86" s="19">
        <f>'재무상태표'!G7</f>
        <v/>
      </c>
      <c r="Z86" s="20">
        <f>'재무상태표'!G7</f>
        <v/>
      </c>
      <c r="AA86" s="20">
        <f>'재무상태표'!G7</f>
        <v/>
      </c>
      <c r="AB86" s="20">
        <f>'재무상태표'!G7</f>
        <v/>
      </c>
      <c r="AC86" s="20">
        <f>'재무상태표'!G7</f>
        <v/>
      </c>
    </row>
    <row r="87">
      <c r="A87" s="18" t="inlineStr">
        <is>
          <t>투자부동산</t>
        </is>
      </c>
      <c r="B87" s="10" t="n"/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>
        <f>'재무상태표'!G14</f>
        <v/>
      </c>
      <c r="Y87" s="19">
        <f>'재무상태표'!G14</f>
        <v/>
      </c>
      <c r="Z87" s="20">
        <f>'재무상태표'!G14</f>
        <v/>
      </c>
      <c r="AA87" s="20">
        <f>'재무상태표'!G14</f>
        <v/>
      </c>
      <c r="AB87" s="20">
        <f>'재무상태표'!G14</f>
        <v/>
      </c>
      <c r="AC87" s="20">
        <f>'재무상태표'!G14</f>
        <v/>
      </c>
    </row>
    <row r="88">
      <c r="A88" s="18" t="inlineStr">
        <is>
          <t>지배자본</t>
        </is>
      </c>
      <c r="B88" s="10" t="n"/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>
        <f>'재무상태표'!G31</f>
        <v/>
      </c>
      <c r="Y88" s="19">
        <f>'재무상태표'!G31</f>
        <v/>
      </c>
      <c r="Z88" s="20">
        <f>'재무상태표'!G31</f>
        <v/>
      </c>
      <c r="AA88" s="20">
        <f>'재무상태표'!G31</f>
        <v/>
      </c>
      <c r="AB88" s="20">
        <f>'재무상태표'!G31</f>
        <v/>
      </c>
      <c r="AC88" s="20">
        <f>'재무상태표'!G31</f>
        <v/>
      </c>
    </row>
    <row r="89">
      <c r="A89" s="18" t="inlineStr">
        <is>
          <t>부채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>
        <f>'재무상태표'!G27</f>
        <v/>
      </c>
      <c r="Y89" s="19">
        <f>'재무상태표'!G27</f>
        <v/>
      </c>
      <c r="Z89" s="20">
        <f>'재무상태표'!G27</f>
        <v/>
      </c>
      <c r="AA89" s="20">
        <f>'재무상태표'!G27</f>
        <v/>
      </c>
      <c r="AB89" s="20">
        <f>'재무상태표'!G27</f>
        <v/>
      </c>
      <c r="AC89" s="20">
        <f>'재무상태표'!G27</f>
        <v/>
      </c>
    </row>
    <row r="90">
      <c r="A90" s="13" t="inlineStr">
        <is>
          <t>부채비율</t>
        </is>
      </c>
      <c r="B90" s="10" t="n"/>
      <c r="C90" s="14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4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>
        <f>IF(OR(X89="",X88=""),"",IFERROR(X89/X88,""))</f>
        <v/>
      </c>
      <c r="Y90" s="14">
        <f>IF(OR(Y89="",Y88=""),"",IFERROR(Y89/Y88,""))</f>
        <v/>
      </c>
      <c r="Z90" s="15">
        <f>IF(OR(Z89="",Z88=""),"",IFERROR(Z89/Z88,""))</f>
        <v/>
      </c>
      <c r="AA90" s="15">
        <f>IF(OR(AA89="",AA88=""),"",IFERROR(AA89/AA88,""))</f>
        <v/>
      </c>
      <c r="AB90" s="15">
        <f>IF(OR(AB89="",AB88=""),"",IFERROR(AB89/AB88,""))</f>
        <v/>
      </c>
      <c r="AC90" s="15">
        <f>IF(OR(AC89="",AC88=""),"",IFERROR(AC89/AC88,""))</f>
        <v/>
      </c>
    </row>
    <row r="91">
      <c r="A91" s="9" t="inlineStr">
        <is>
          <t>자산가치</t>
        </is>
      </c>
      <c r="B91" s="10" t="inlineStr">
        <is>
          <t>현금+단기금융+투자부동산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>
        <f>SUM(X85,X86,X87)</f>
        <v/>
      </c>
      <c r="Y91" s="11">
        <f>SUM(Y85,Y86,Y87)</f>
        <v/>
      </c>
      <c r="Z91" s="12">
        <f>SUM(Z85,Z86,Z87)</f>
        <v/>
      </c>
      <c r="AA91" s="12">
        <f>SUM(AA85,AA86,AA87)</f>
        <v/>
      </c>
      <c r="AB91" s="12">
        <f>SUM(AB85,AB86,AB87)</f>
        <v/>
      </c>
      <c r="AC91" s="12">
        <f>SUM(AC85,AC86,AC87)</f>
        <v/>
      </c>
    </row>
    <row r="92">
      <c r="A92" s="16" t="inlineStr">
        <is>
          <t>기업가치 산출</t>
        </is>
      </c>
      <c r="B92" s="16" t="n"/>
      <c r="C92" s="17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7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7" t="n"/>
      <c r="Z92" s="16" t="n"/>
      <c r="AA92" s="16" t="n"/>
      <c r="AB92" s="16" t="n"/>
      <c r="AC92" s="16" t="n"/>
    </row>
    <row r="93">
      <c r="A93" s="18" t="inlineStr">
        <is>
          <t>목표 시가총액 (P/E)</t>
        </is>
      </c>
      <c r="B93" s="10" t="inlineStr">
        <is>
          <t>지배순이익 × Target P/E</t>
        </is>
      </c>
      <c r="C93" s="19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19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19">
        <f>IF(OR(Y70="",Y80=""),"",IFERROR(Y70*Y80,""))</f>
        <v/>
      </c>
      <c r="Z93" s="20">
        <f>IF(OR(Z70="",Z80=""),"",IFERROR(Z70*Z80,""))</f>
        <v/>
      </c>
      <c r="AA93" s="20">
        <f>IF(OR(AA70="",AA80=""),"",IFERROR(AA70*AA80,""))</f>
        <v/>
      </c>
      <c r="AB93" s="20">
        <f>IF(OR(AB70="",AB80=""),"",IFERROR(AB70*AB80,""))</f>
        <v/>
      </c>
      <c r="AC93" s="20">
        <f>IF(OR(AC70="",AC80=""),"",IFERROR(AC70*AC80,""))</f>
        <v/>
      </c>
    </row>
    <row r="94">
      <c r="A94" s="9" t="inlineStr">
        <is>
          <t>기업가치</t>
        </is>
      </c>
      <c r="B94" s="10" t="inlineStr">
        <is>
          <t>목표시총 + 자산가치</t>
        </is>
      </c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1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1">
        <f>IF(OR(Y93=""),"",IFERROR(Y93+Y91,""))</f>
        <v/>
      </c>
      <c r="Z94" s="12">
        <f>IF(OR(Z93=""),"",IFERROR(Z93+Z91,""))</f>
        <v/>
      </c>
      <c r="AA94" s="12">
        <f>IF(OR(AA93=""),"",IFERROR(AA93+AA91,""))</f>
        <v/>
      </c>
      <c r="AB94" s="12">
        <f>IF(OR(AB93=""),"",IFERROR(AB93+AB91,""))</f>
        <v/>
      </c>
      <c r="AC94" s="12">
        <f>IF(OR(AC93=""),"",IFERROR(AC93+AC91,""))</f>
        <v/>
      </c>
    </row>
    <row r="95">
      <c r="A95" s="18" t="inlineStr">
        <is>
          <t>현재 시가총액</t>
        </is>
      </c>
      <c r="B95" s="10" t="n"/>
      <c r="C95" s="19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19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19">
        <f>$B$76</f>
        <v/>
      </c>
      <c r="Z95" s="20">
        <f>$B$76</f>
        <v/>
      </c>
      <c r="AA95" s="20">
        <f>$B$76</f>
        <v/>
      </c>
      <c r="AB95" s="20">
        <f>$B$76</f>
        <v/>
      </c>
      <c r="AC95" s="20">
        <f>$B$76</f>
        <v/>
      </c>
    </row>
    <row r="96">
      <c r="A96" s="18" t="inlineStr">
        <is>
          <t>상승여력</t>
        </is>
      </c>
      <c r="B96" s="10" t="n"/>
      <c r="C96" s="35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5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7">
        <f>IF(OR(Y94="",Y95=""),"",IFERROR(Y94/Y95-1,""))</f>
        <v/>
      </c>
      <c r="Z96" s="38">
        <f>IF(OR(Z94="",Z95=""),"",IFERROR(Z94/Z95-1,""))</f>
        <v/>
      </c>
      <c r="AA96" s="38">
        <f>IF(OR(AA94="",AA95=""),"",IFERROR(AA94/AA95-1,""))</f>
        <v/>
      </c>
      <c r="AB96" s="38">
        <f>IF(OR(AB94="",AB95=""),"",IFERROR(AB94/AB95-1,""))</f>
        <v/>
      </c>
      <c r="AC96" s="38">
        <f>IF(OR(AC94="",AC95=""),"",IFERROR(AC94/AC95-1,""))</f>
        <v/>
      </c>
    </row>
    <row r="97">
      <c r="C97" s="39" t="n"/>
      <c r="O97" s="39" t="n"/>
      <c r="Y97" s="39" t="n"/>
    </row>
    <row r="98">
      <c r="A98" s="40" t="inlineStr">
        <is>
          <t>출처</t>
        </is>
      </c>
      <c r="C98" s="39" t="n"/>
      <c r="O98" s="39" t="n"/>
      <c r="Y98" s="39" t="n"/>
    </row>
    <row r="99">
      <c r="A99" s="41" t="inlineStr">
        <is>
          <t>결산단신 XBRL(TDnet·JPX 보관소) — 쓴 문서는 '출처' 시트</t>
        </is>
      </c>
      <c r="C99" s="39" t="n"/>
      <c r="O99" s="39" t="n"/>
      <c r="Y99" s="39" t="n"/>
    </row>
    <row r="100">
      <c r="A100" s="41" t="inlineStr">
        <is>
          <t>분기 = 누계에서 앞 분기를 뺀 3개월 값</t>
        </is>
      </c>
      <c r="C100" s="39" t="n"/>
      <c r="O100" s="39" t="n"/>
      <c r="Y100" s="39" t="n"/>
    </row>
    <row r="101">
      <c r="A101" s="41" t="inlineStr">
        <is>
          <t>주가: 야후 파이낸스 일봉 2026.10.28</t>
        </is>
      </c>
      <c r="C101" s="39" t="n"/>
      <c r="O101" s="39" t="n"/>
      <c r="Y101" s="39" t="n"/>
    </row>
    <row r="103">
      <c r="A103" s="16" t="inlineStr">
        <is>
          <t>손익계산서 · 전 항목</t>
        </is>
      </c>
      <c r="B103" s="42" t="inlineStr">
        <is>
          <t>분기 = 3개월 단독</t>
        </is>
      </c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</row>
    <row r="104">
      <c r="A104" s="5" t="inlineStr">
        <is>
          <t>항목</t>
        </is>
      </c>
      <c r="B104" s="5" t="inlineStr">
        <is>
          <t>참고</t>
        </is>
      </c>
      <c r="C104" s="5" t="inlineStr">
        <is>
          <t>2024.2Q</t>
        </is>
      </c>
      <c r="D104" s="5" t="inlineStr">
        <is>
          <t>2024.3Q</t>
        </is>
      </c>
      <c r="E104" s="5" t="inlineStr">
        <is>
          <t>2024.4Q</t>
        </is>
      </c>
      <c r="F104" s="5" t="inlineStr">
        <is>
          <t>2025.1Q</t>
        </is>
      </c>
      <c r="G104" s="5" t="inlineStr">
        <is>
          <t>2025.2Q</t>
        </is>
      </c>
      <c r="H104" s="5" t="inlineStr">
        <is>
          <t>2025.3Q</t>
        </is>
      </c>
      <c r="I104" s="5" t="inlineStr">
        <is>
          <t>2025.4Q</t>
        </is>
      </c>
      <c r="J104" s="5" t="inlineStr">
        <is>
          <t>2026.1Q</t>
        </is>
      </c>
      <c r="K104" s="5" t="inlineStr">
        <is>
          <t>2026.2Q</t>
        </is>
      </c>
      <c r="L104" s="5" t="inlineStr">
        <is>
          <t>2026.3Q</t>
        </is>
      </c>
      <c r="M104" s="5" t="inlineStr">
        <is>
          <t>2026.4Q</t>
        </is>
      </c>
      <c r="N104" s="5" t="inlineStr">
        <is>
          <t>2027.1Q</t>
        </is>
      </c>
      <c r="O104" s="5" t="inlineStr">
        <is>
          <t>2017</t>
        </is>
      </c>
      <c r="P104" s="5" t="inlineStr">
        <is>
          <t>2018</t>
        </is>
      </c>
      <c r="Q104" s="5" t="inlineStr">
        <is>
          <t>2019</t>
        </is>
      </c>
      <c r="R104" s="5" t="inlineStr">
        <is>
          <t>2020</t>
        </is>
      </c>
      <c r="S104" s="5" t="inlineStr">
        <is>
          <t>2021</t>
        </is>
      </c>
      <c r="T104" s="5" t="inlineStr">
        <is>
          <t>2022</t>
        </is>
      </c>
      <c r="U104" s="5" t="inlineStr">
        <is>
          <t>2023</t>
        </is>
      </c>
      <c r="V104" s="5" t="inlineStr">
        <is>
          <t>2024</t>
        </is>
      </c>
      <c r="W104" s="5" t="inlineStr">
        <is>
          <t>2025</t>
        </is>
      </c>
      <c r="X104" s="5" t="inlineStr">
        <is>
          <t>2026</t>
        </is>
      </c>
      <c r="Y104" s="5" t="inlineStr">
        <is>
          <t>2027(MW)</t>
        </is>
      </c>
      <c r="Z104" s="5" t="inlineStr">
        <is>
          <t>2028(MW)</t>
        </is>
      </c>
      <c r="AA104" s="5" t="inlineStr">
        <is>
          <t>2029(MW)</t>
        </is>
      </c>
      <c r="AB104" s="5" t="inlineStr">
        <is>
          <t>2030(MW)</t>
        </is>
      </c>
      <c r="AC104" s="5" t="inlineStr">
        <is>
          <t>2031(MW)</t>
        </is>
      </c>
    </row>
    <row r="105">
      <c r="A105" s="9" t="inlineStr">
        <is>
          <t>매출액</t>
        </is>
      </c>
      <c r="C105" s="12" t="n">
        <v>65515</v>
      </c>
      <c r="D105" s="12" t="n">
        <v>64871</v>
      </c>
      <c r="E105" s="12" t="n">
        <v>411</v>
      </c>
      <c r="F105" s="12" t="n">
        <v>54975</v>
      </c>
      <c r="G105" s="12" t="n">
        <v>65124</v>
      </c>
      <c r="H105" s="12" t="n">
        <v>70984</v>
      </c>
      <c r="I105" s="12" t="n">
        <v>110018</v>
      </c>
      <c r="J105" s="12" t="n">
        <v>58390</v>
      </c>
      <c r="K105" s="12" t="n">
        <v>72752</v>
      </c>
      <c r="L105" s="12" t="n">
        <v>72713</v>
      </c>
      <c r="M105" s="12" t="n">
        <v>122339</v>
      </c>
      <c r="N105" s="12" t="n">
        <v>73412</v>
      </c>
      <c r="T105" s="12" t="n">
        <v>4928</v>
      </c>
      <c r="U105" s="12" t="n">
        <v>102569</v>
      </c>
      <c r="V105" s="12" t="n">
        <v>411</v>
      </c>
      <c r="W105" s="12" t="n">
        <v>110018</v>
      </c>
      <c r="X105" s="12" t="n">
        <v>122339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IF(OR(G105="",C105=""),"",IF(C105&lt;=0,"",IFERROR(G105/C105-1,"")))</f>
        <v/>
      </c>
      <c r="H106" s="15">
        <f>IF(OR(H105="",D105=""),"",IF(D105&lt;=0,"",IFERROR(H105/D105-1,"")))</f>
        <v/>
      </c>
      <c r="I106" s="15">
        <f>IF(OR(I105="",E105=""),"",IF(E105&lt;=0,"",IFERROR(I105/E105-1,"")))</f>
        <v/>
      </c>
      <c r="J106" s="15">
        <f>IF(OR(J105="",F105=""),"",IF(F105&lt;=0,"",IFERROR(J105/F105-1,"")))</f>
        <v/>
      </c>
      <c r="K106" s="15">
        <f>IF(OR(K105="",G105=""),"",IF(G105&lt;=0,"",IFERROR(K105/G105-1,"")))</f>
        <v/>
      </c>
      <c r="L106" s="15">
        <f>IF(OR(L105="",H105=""),"",IF(H105&lt;=0,"",IFERROR(L105/H105-1,"")))</f>
        <v/>
      </c>
      <c r="M106" s="15">
        <f>IF(OR(M105="",I105=""),"",IF(I105&lt;=0,"",IFERROR(M105/I105-1,"")))</f>
        <v/>
      </c>
      <c r="N106" s="15">
        <f>IF(OR(N105="",J105=""),"",IF(J105&lt;=0,"",IFERROR(N105/J105-1,"")))</f>
        <v/>
      </c>
      <c r="T106" s="15">
        <f>IF(OR(T105="",S105=""),"",IF(S105&lt;=0,"",IFERROR(T105/S105-1,"")))</f>
        <v/>
      </c>
      <c r="U106" s="15">
        <f>IF(OR(U105="",T105=""),"",IF(T105&lt;=0,"",IFERROR(U105/T105-1,"")))</f>
        <v/>
      </c>
      <c r="V106" s="15">
        <f>IF(OR(V105="",U105=""),"",IF(U105&lt;=0,"",IFERROR(V105/U105-1,"")))</f>
        <v/>
      </c>
      <c r="W106" s="15">
        <f>IF(OR(W105="",V105=""),"",IF(V105&lt;=0,"",IFERROR(W105/V105-1,"")))</f>
        <v/>
      </c>
      <c r="X106" s="15">
        <f>IF(OR(X105="",W105=""),"",IF(W105&lt;=0,"",IFERROR(X105/W105-1,"")))</f>
        <v/>
      </c>
    </row>
    <row r="107">
      <c r="A107" s="18" t="inlineStr">
        <is>
          <t>매출원가</t>
        </is>
      </c>
      <c r="C107" s="20" t="n">
        <v>50482</v>
      </c>
      <c r="D107" s="20" t="n">
        <v>48721</v>
      </c>
      <c r="E107" s="20" t="n">
        <v>5535</v>
      </c>
      <c r="F107" s="20" t="n">
        <v>41575</v>
      </c>
      <c r="G107" s="20" t="n">
        <v>47859</v>
      </c>
      <c r="H107" s="20" t="n">
        <v>51712</v>
      </c>
      <c r="I107" s="20" t="n">
        <v>78363</v>
      </c>
      <c r="J107" s="20" t="n">
        <v>43139</v>
      </c>
      <c r="K107" s="20" t="n">
        <v>53697</v>
      </c>
      <c r="L107" s="20" t="n">
        <v>52055</v>
      </c>
      <c r="M107" s="20" t="n">
        <v>84756</v>
      </c>
      <c r="N107" s="20" t="n">
        <v>51657</v>
      </c>
      <c r="T107" s="20" t="n">
        <v>5947</v>
      </c>
      <c r="U107" s="20" t="n">
        <v>75442</v>
      </c>
      <c r="V107" s="20" t="n">
        <v>5535</v>
      </c>
      <c r="W107" s="20" t="n">
        <v>78363</v>
      </c>
      <c r="X107" s="20" t="n">
        <v>84756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IF(OR(G107="",C107=""),"",IF(G107*C107&lt;=0,"",IFERROR(G107/C107-1,"")))</f>
        <v/>
      </c>
      <c r="H108" s="15">
        <f>IF(OR(H107="",D107=""),"",IF(H107*D107&lt;=0,"",IFERROR(H107/D107-1,"")))</f>
        <v/>
      </c>
      <c r="I108" s="15">
        <f>IF(OR(I107="",E107=""),"",IF(I107*E107&lt;=0,"",IFERROR(I107/E107-1,"")))</f>
        <v/>
      </c>
      <c r="J108" s="15">
        <f>IF(OR(J107="",F107=""),"",IF(J107*F107&lt;=0,"",IFERROR(J107/F107-1,"")))</f>
        <v/>
      </c>
      <c r="K108" s="15">
        <f>IF(OR(K107="",G107=""),"",IF(K107*G107&lt;=0,"",IFERROR(K107/G107-1,"")))</f>
        <v/>
      </c>
      <c r="L108" s="15">
        <f>IF(OR(L107="",H107=""),"",IF(L107*H107&lt;=0,"",IFERROR(L107/H107-1,"")))</f>
        <v/>
      </c>
      <c r="M108" s="15">
        <f>IF(OR(M107="",I107=""),"",IF(M107*I107&lt;=0,"",IFERROR(M107/I107-1,"")))</f>
        <v/>
      </c>
      <c r="N108" s="15">
        <f>IF(OR(N107="",J107=""),"",IF(N107*J107&lt;=0,"",IFERROR(N107/J107-1,"")))</f>
        <v/>
      </c>
      <c r="T108" s="15">
        <f>IF(OR(T107="",S107=""),"",IF(T107*S107&lt;=0,"",IFERROR(T107/S107-1,"")))</f>
        <v/>
      </c>
      <c r="U108" s="15">
        <f>IF(OR(U107="",T107=""),"",IF(U107*T107&lt;=0,"",IFERROR(U107/T107-1,"")))</f>
        <v/>
      </c>
      <c r="V108" s="15">
        <f>IF(OR(V107="",U107=""),"",IF(V107*U107&lt;=0,"",IFERROR(V107/U107-1,"")))</f>
        <v/>
      </c>
      <c r="W108" s="15">
        <f>IF(OR(W107="",V107=""),"",IF(W107*V107&lt;=0,"",IFERROR(W107/V107-1,"")))</f>
        <v/>
      </c>
      <c r="X108" s="15">
        <f>IF(OR(X107="",W107=""),"",IF(X107*W107&lt;=0,"",IFERROR(X107/W107-1,"")))</f>
        <v/>
      </c>
    </row>
    <row r="109">
      <c r="A109" s="9" t="inlineStr">
        <is>
          <t>매출총이익</t>
        </is>
      </c>
      <c r="C109" s="12" t="n">
        <v>15034</v>
      </c>
      <c r="D109" s="12" t="n">
        <v>16150</v>
      </c>
      <c r="E109" s="12" t="n">
        <v>-5125</v>
      </c>
      <c r="F109" s="12" t="n">
        <v>13400</v>
      </c>
      <c r="G109" s="12" t="n">
        <v>17265</v>
      </c>
      <c r="H109" s="12" t="n">
        <v>19272</v>
      </c>
      <c r="I109" s="12" t="n">
        <v>31655</v>
      </c>
      <c r="J109" s="12" t="n">
        <v>15251</v>
      </c>
      <c r="K109" s="12" t="n">
        <v>19054</v>
      </c>
      <c r="L109" s="12" t="n">
        <v>20659</v>
      </c>
      <c r="M109" s="12" t="n">
        <v>37582</v>
      </c>
      <c r="N109" s="12" t="n">
        <v>21755</v>
      </c>
      <c r="T109" s="12" t="n">
        <v>-1020</v>
      </c>
      <c r="U109" s="12" t="n">
        <v>27128</v>
      </c>
      <c r="V109" s="12" t="n">
        <v>-5125</v>
      </c>
      <c r="W109" s="12" t="n">
        <v>31655</v>
      </c>
      <c r="X109" s="12" t="n">
        <v>37582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IF(OR(G109="",C109=""),"",IF(C109&lt;=0,"",IFERROR(G109/C109-1,"")))</f>
        <v/>
      </c>
      <c r="H110" s="15">
        <f>IF(OR(H109="",D109=""),"",IF(D109&lt;=0,"",IFERROR(H109/D109-1,"")))</f>
        <v/>
      </c>
      <c r="I110" s="15">
        <f>IF(OR(I109="",E109=""),"",IF(E109&lt;=0,"",IFERROR(I109/E109-1,"")))</f>
        <v/>
      </c>
      <c r="J110" s="15">
        <f>IF(OR(J109="",F109=""),"",IF(F109&lt;=0,"",IFERROR(J109/F109-1,"")))</f>
        <v/>
      </c>
      <c r="K110" s="15">
        <f>IF(OR(K109="",G109=""),"",IF(G109&lt;=0,"",IFERROR(K109/G109-1,"")))</f>
        <v/>
      </c>
      <c r="L110" s="15">
        <f>IF(OR(L109="",H109=""),"",IF(H109&lt;=0,"",IFERROR(L109/H109-1,"")))</f>
        <v/>
      </c>
      <c r="M110" s="15">
        <f>IF(OR(M109="",I109=""),"",IF(I109&lt;=0,"",IFERROR(M109/I109-1,"")))</f>
        <v/>
      </c>
      <c r="N110" s="15">
        <f>IF(OR(N109="",J109=""),"",IF(J109&lt;=0,"",IFERROR(N109/J109-1,"")))</f>
        <v/>
      </c>
      <c r="T110" s="15">
        <f>IF(OR(T109="",S109=""),"",IF(S109&lt;=0,"",IFERROR(T109/S109-1,"")))</f>
        <v/>
      </c>
      <c r="U110" s="15">
        <f>IF(OR(U109="",T109=""),"",IF(T109&lt;=0,"",IFERROR(U109/T109-1,"")))</f>
        <v/>
      </c>
      <c r="V110" s="15">
        <f>IF(OR(V109="",U109=""),"",IF(U109&lt;=0,"",IFERROR(V109/U109-1,"")))</f>
        <v/>
      </c>
      <c r="W110" s="15">
        <f>IF(OR(W109="",V109=""),"",IF(V109&lt;=0,"",IFERROR(W109/V109-1,"")))</f>
        <v/>
      </c>
      <c r="X110" s="15">
        <f>IF(OR(X109="",W109=""),"",IF(W109&lt;=0,"",IFERROR(X109/W109-1,"")))</f>
        <v/>
      </c>
    </row>
    <row r="111">
      <c r="A111" s="18" t="inlineStr">
        <is>
          <t>판매비와 관리비</t>
        </is>
      </c>
      <c r="C111" s="20" t="n">
        <v>14026</v>
      </c>
      <c r="D111" s="20" t="n">
        <v>13864</v>
      </c>
      <c r="E111" s="20" t="n">
        <v>-5618</v>
      </c>
      <c r="F111" s="20" t="n">
        <v>14296</v>
      </c>
      <c r="G111" s="20" t="n">
        <v>14460</v>
      </c>
      <c r="H111" s="20" t="n">
        <v>15190</v>
      </c>
      <c r="I111" s="20" t="n">
        <v>16134</v>
      </c>
      <c r="J111" s="20" t="n">
        <v>14902</v>
      </c>
      <c r="K111" s="20" t="n">
        <v>16611</v>
      </c>
      <c r="L111" s="20" t="n">
        <v>16369</v>
      </c>
      <c r="M111" s="20" t="n">
        <v>17542</v>
      </c>
      <c r="N111" s="20" t="n">
        <v>17090</v>
      </c>
      <c r="T111" s="20" t="n">
        <v>-5239</v>
      </c>
      <c r="U111" s="20" t="n">
        <v>13895</v>
      </c>
      <c r="V111" s="20" t="n">
        <v>-5618</v>
      </c>
      <c r="W111" s="20" t="n">
        <v>16134</v>
      </c>
      <c r="X111" s="20" t="n">
        <v>17542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9" t="inlineStr">
        <is>
          <t>영업이익</t>
        </is>
      </c>
      <c r="C113" s="12" t="n">
        <v>1008</v>
      </c>
      <c r="D113" s="12" t="n">
        <v>2287</v>
      </c>
      <c r="E113" s="12" t="n">
        <v>492</v>
      </c>
      <c r="F113" s="12" t="n">
        <v>-896</v>
      </c>
      <c r="G113" s="12" t="n">
        <v>2805</v>
      </c>
      <c r="H113" s="12" t="n">
        <v>4081</v>
      </c>
      <c r="I113" s="12" t="n">
        <v>15522</v>
      </c>
      <c r="J113" s="12" t="n">
        <v>348</v>
      </c>
      <c r="K113" s="12" t="n">
        <v>2444</v>
      </c>
      <c r="L113" s="12" t="n">
        <v>4290</v>
      </c>
      <c r="M113" s="12" t="n">
        <v>20040</v>
      </c>
      <c r="N113" s="12" t="n">
        <v>4664</v>
      </c>
      <c r="T113" s="12" t="n">
        <v>4218</v>
      </c>
      <c r="U113" s="12" t="n">
        <v>13231</v>
      </c>
      <c r="V113" s="12" t="n">
        <v>492</v>
      </c>
      <c r="W113" s="12" t="n">
        <v>15522</v>
      </c>
      <c r="X113" s="12" t="n">
        <v>20040</v>
      </c>
    </row>
    <row r="114">
      <c r="A114" s="43" t="inlineStr">
        <is>
          <t>OPM</t>
        </is>
      </c>
      <c r="B114" s="3" t="inlineStr">
        <is>
          <t>영업이익 ÷ 매출</t>
        </is>
      </c>
      <c r="C114" s="15">
        <f>IF(OR(C113="",C105=""),"",IF(C105&lt;=0,"",IFERROR(C113/C105,"")))</f>
        <v/>
      </c>
      <c r="D114" s="15">
        <f>IF(OR(D113="",D105=""),"",IF(D105&lt;=0,"",IFERROR(D113/D105,"")))</f>
        <v/>
      </c>
      <c r="E114" s="15">
        <f>IF(OR(E113="",E105=""),"",IF(E105&lt;=0,"",IFERROR(E113/E105,"")))</f>
        <v/>
      </c>
      <c r="F114" s="15">
        <f>IF(OR(F113="",F105=""),"",IF(F105&lt;=0,"",IFERROR(F113/F105,"")))</f>
        <v/>
      </c>
      <c r="G114" s="15">
        <f>IF(OR(G113="",G105=""),"",IF(G105&lt;=0,"",IFERROR(G113/G105,"")))</f>
        <v/>
      </c>
      <c r="H114" s="15">
        <f>IF(OR(H113="",H105=""),"",IF(H105&lt;=0,"",IFERROR(H113/H105,"")))</f>
        <v/>
      </c>
      <c r="I114" s="15">
        <f>IF(OR(I113="",I105=""),"",IF(I105&lt;=0,"",IFERROR(I113/I105,"")))</f>
        <v/>
      </c>
      <c r="J114" s="15">
        <f>IF(OR(J113="",J105=""),"",IF(J105&lt;=0,"",IFERROR(J113/J105,"")))</f>
        <v/>
      </c>
      <c r="K114" s="15">
        <f>IF(OR(K113="",K105=""),"",IF(K105&lt;=0,"",IFERROR(K113/K105,"")))</f>
        <v/>
      </c>
      <c r="L114" s="15">
        <f>IF(OR(L113="",L105=""),"",IF(L105&lt;=0,"",IFERROR(L113/L105,"")))</f>
        <v/>
      </c>
      <c r="M114" s="15">
        <f>IF(OR(M113="",M105=""),"",IF(M105&lt;=0,"",IFERROR(M113/M105,"")))</f>
        <v/>
      </c>
      <c r="N114" s="15">
        <f>IF(OR(N113="",N105=""),"",IF(N105&lt;=0,"",IFERROR(N113/N105,"")))</f>
        <v/>
      </c>
      <c r="T114" s="15">
        <f>IF(OR(T113="",T105=""),"",IF(T105&lt;=0,"",IFERROR(T113/T105,"")))</f>
        <v/>
      </c>
      <c r="U114" s="15">
        <f>IF(OR(U113="",U105=""),"",IF(U105&lt;=0,"",IFERROR(U113/U105,"")))</f>
        <v/>
      </c>
      <c r="V114" s="15">
        <f>IF(OR(V113="",V105=""),"",IF(V105&lt;=0,"",IFERROR(V113/V105,"")))</f>
        <v/>
      </c>
      <c r="W114" s="15">
        <f>IF(OR(W113="",W105=""),"",IF(W105&lt;=0,"",IFERROR(W113/W105,"")))</f>
        <v/>
      </c>
      <c r="X114" s="15">
        <f>IF(OR(X113="",X105=""),"",IF(X105&lt;=0,"",IFERROR(X113/X105,"")))</f>
        <v/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IF(OR(G113="",C113=""),"",IF(C113&lt;=0,"",IFERROR(G113/C113-1,"")))</f>
        <v/>
      </c>
      <c r="H115" s="15">
        <f>IF(OR(H113="",D113=""),"",IF(D113&lt;=0,"",IFERROR(H113/D113-1,"")))</f>
        <v/>
      </c>
      <c r="I115" s="15">
        <f>IF(OR(I113="",E113=""),"",IF(E113&lt;=0,"",IFERROR(I113/E113-1,"")))</f>
        <v/>
      </c>
      <c r="J115" s="15">
        <f>IF(OR(J113="",F113=""),"",IF(F113&lt;=0,"",IFERROR(J113/F113-1,"")))</f>
        <v/>
      </c>
      <c r="K115" s="15">
        <f>IF(OR(K113="",G113=""),"",IF(G113&lt;=0,"",IFERROR(K113/G113-1,"")))</f>
        <v/>
      </c>
      <c r="L115" s="15">
        <f>IF(OR(L113="",H113=""),"",IF(H113&lt;=0,"",IFERROR(L113/H113-1,"")))</f>
        <v/>
      </c>
      <c r="M115" s="15">
        <f>IF(OR(M113="",I113=""),"",IF(I113&lt;=0,"",IFERROR(M113/I113-1,"")))</f>
        <v/>
      </c>
      <c r="N115" s="15">
        <f>IF(OR(N113="",J113=""),"",IF(J113&lt;=0,"",IFERROR(N113/J113-1,"")))</f>
        <v/>
      </c>
      <c r="T115" s="15">
        <f>IF(OR(T113="",S113=""),"",IF(S113&lt;=0,"",IFERROR(T113/S113-1,"")))</f>
        <v/>
      </c>
      <c r="U115" s="15">
        <f>IF(OR(U113="",T113=""),"",IF(T113&lt;=0,"",IFERROR(U113/T113-1,"")))</f>
        <v/>
      </c>
      <c r="V115" s="15">
        <f>IF(OR(V113="",U113=""),"",IF(U113&lt;=0,"",IFERROR(V113/U113-1,"")))</f>
        <v/>
      </c>
      <c r="W115" s="15">
        <f>IF(OR(W113="",V113=""),"",IF(V113&lt;=0,"",IFERROR(W113/V113-1,"")))</f>
        <v/>
      </c>
      <c r="X115" s="15">
        <f>IF(OR(X113="",W113=""),"",IF(W113&lt;=0,"",IFERROR(X113/W113-1,"")))</f>
        <v/>
      </c>
    </row>
    <row r="116">
      <c r="A116" s="18" t="inlineStr">
        <is>
          <t>이자수익</t>
        </is>
      </c>
      <c r="C116" s="20" t="n">
        <v>25</v>
      </c>
      <c r="D116" s="20" t="n">
        <v>46</v>
      </c>
      <c r="E116" s="20" t="n">
        <v>-7</v>
      </c>
      <c r="F116" s="20" t="n">
        <v>64</v>
      </c>
      <c r="G116" s="20" t="n">
        <v>71</v>
      </c>
      <c r="H116" s="20" t="n">
        <v>97</v>
      </c>
      <c r="I116" s="20" t="n">
        <v>-144</v>
      </c>
      <c r="J116" s="20" t="n">
        <v>75</v>
      </c>
      <c r="K116" s="20" t="n">
        <v>79</v>
      </c>
      <c r="L116" s="20" t="n">
        <v>58</v>
      </c>
      <c r="M116" s="20" t="n">
        <v>-81</v>
      </c>
      <c r="N116" s="20" t="n">
        <v>63</v>
      </c>
      <c r="T116" s="20" t="n">
        <v>20</v>
      </c>
      <c r="U116" s="20" t="n">
        <v>33</v>
      </c>
      <c r="V116" s="20" t="n">
        <v>-7</v>
      </c>
      <c r="W116" s="20" t="n">
        <v>-144</v>
      </c>
      <c r="X116" s="20" t="n">
        <v>-81</v>
      </c>
    </row>
    <row r="117">
      <c r="A117" s="18" t="inlineStr">
        <is>
          <t>배당금수익</t>
        </is>
      </c>
      <c r="C117" s="20" t="n">
        <v>2</v>
      </c>
      <c r="D117" s="20" t="n">
        <v>266</v>
      </c>
      <c r="E117" s="20" t="n">
        <v>4706</v>
      </c>
      <c r="F117" s="20" t="n">
        <v>485</v>
      </c>
      <c r="G117" s="20" t="n">
        <v>3</v>
      </c>
      <c r="H117" s="20" t="n">
        <v>302</v>
      </c>
      <c r="I117" s="20" t="n">
        <v>5473</v>
      </c>
      <c r="J117" s="20" t="n">
        <v>497</v>
      </c>
      <c r="K117" s="20" t="n">
        <v>47</v>
      </c>
      <c r="L117" s="20" t="n">
        <v>361</v>
      </c>
      <c r="M117" s="20" t="n">
        <v>13133</v>
      </c>
      <c r="N117" s="20" t="n">
        <v>605</v>
      </c>
      <c r="T117" s="20" t="n">
        <v>4799</v>
      </c>
      <c r="U117" s="20" t="n">
        <v>4295</v>
      </c>
      <c r="V117" s="20" t="n">
        <v>4706</v>
      </c>
      <c r="W117" s="20" t="n">
        <v>5473</v>
      </c>
      <c r="X117" s="20" t="n">
        <v>13133</v>
      </c>
    </row>
    <row r="118">
      <c r="A118" s="18" t="inlineStr">
        <is>
          <t>임대료 수익</t>
        </is>
      </c>
      <c r="C118" s="20" t="n">
        <v>24</v>
      </c>
      <c r="D118" s="20" t="n">
        <v>24</v>
      </c>
      <c r="E118" s="20" t="n">
        <v>22</v>
      </c>
      <c r="F118" s="20" t="n">
        <v>21</v>
      </c>
      <c r="G118" s="20" t="n">
        <v>21</v>
      </c>
      <c r="H118" s="20" t="n">
        <v>24</v>
      </c>
      <c r="I118" s="20" t="n">
        <v>22</v>
      </c>
      <c r="J118" s="20" t="n">
        <v>21</v>
      </c>
      <c r="K118" s="20" t="n">
        <v>21</v>
      </c>
      <c r="L118" s="20" t="n">
        <v>20</v>
      </c>
      <c r="M118" s="20" t="n">
        <v>20</v>
      </c>
      <c r="N118" s="20" t="n">
        <v>21</v>
      </c>
      <c r="T118" s="20" t="n">
        <v>24</v>
      </c>
      <c r="U118" s="20" t="n">
        <v>24</v>
      </c>
      <c r="V118" s="20" t="n">
        <v>22</v>
      </c>
      <c r="W118" s="20" t="n">
        <v>22</v>
      </c>
      <c r="X118" s="20" t="n">
        <v>20</v>
      </c>
    </row>
    <row r="119">
      <c r="A119" s="18" t="inlineStr">
        <is>
          <t>외환차익</t>
        </is>
      </c>
      <c r="C119" s="20" t="n">
        <v>239</v>
      </c>
      <c r="D119" s="20" t="n">
        <v>-341</v>
      </c>
      <c r="E119" s="20" t="n">
        <v>385</v>
      </c>
      <c r="F119" s="20" t="n">
        <v>711</v>
      </c>
      <c r="G119" s="20" t="n">
        <v>-711</v>
      </c>
      <c r="H119" s="20" t="n">
        <v>318</v>
      </c>
      <c r="I119" s="20" t="n">
        <v>-318</v>
      </c>
      <c r="J119" s="20" t="n">
        <v>0</v>
      </c>
      <c r="M119" s="20" t="n">
        <v>183</v>
      </c>
      <c r="N119" s="20" t="n">
        <v>201</v>
      </c>
      <c r="T119" s="20" t="n">
        <v>359</v>
      </c>
      <c r="U119" s="20" t="n">
        <v>-34</v>
      </c>
      <c r="V119" s="20" t="n">
        <v>385</v>
      </c>
      <c r="W119" s="20" t="n">
        <v>-318</v>
      </c>
      <c r="X119" s="20" t="n">
        <v>183</v>
      </c>
    </row>
    <row r="120">
      <c r="A120" s="18" t="inlineStr">
        <is>
          <t>기타</t>
        </is>
      </c>
      <c r="C120" s="20" t="n">
        <v>183</v>
      </c>
      <c r="D120" s="20" t="n">
        <v>207</v>
      </c>
      <c r="E120" s="20" t="n">
        <v>1762</v>
      </c>
      <c r="F120" s="20" t="n">
        <v>219</v>
      </c>
      <c r="G120" s="20" t="n">
        <v>200</v>
      </c>
      <c r="H120" s="20" t="n">
        <v>308</v>
      </c>
      <c r="I120" s="20" t="n">
        <v>-207</v>
      </c>
      <c r="J120" s="20" t="n">
        <v>173</v>
      </c>
      <c r="K120" s="20" t="n">
        <v>257</v>
      </c>
      <c r="L120" s="20" t="n">
        <v>326</v>
      </c>
      <c r="M120" s="20" t="n">
        <v>-168</v>
      </c>
      <c r="N120" s="20" t="n">
        <v>271</v>
      </c>
      <c r="T120" s="20" t="n">
        <v>1854</v>
      </c>
      <c r="U120" s="20" t="n">
        <v>-31</v>
      </c>
      <c r="V120" s="20" t="n">
        <v>1762</v>
      </c>
      <c r="W120" s="20" t="n">
        <v>-207</v>
      </c>
      <c r="X120" s="20" t="n">
        <v>-168</v>
      </c>
    </row>
    <row r="121">
      <c r="A121" s="18" t="inlineStr">
        <is>
          <t>영업외수익 합계</t>
        </is>
      </c>
      <c r="C121" s="20" t="n">
        <v>475</v>
      </c>
      <c r="D121" s="20" t="n">
        <v>201</v>
      </c>
      <c r="E121" s="20" t="n">
        <v>6021</v>
      </c>
      <c r="F121" s="20" t="n">
        <v>1502</v>
      </c>
      <c r="G121" s="20" t="n">
        <v>-416</v>
      </c>
      <c r="H121" s="20" t="n">
        <v>1049</v>
      </c>
      <c r="I121" s="20" t="n">
        <v>35</v>
      </c>
      <c r="J121" s="20" t="n">
        <v>768</v>
      </c>
      <c r="K121" s="20" t="n">
        <v>403</v>
      </c>
      <c r="L121" s="20" t="n">
        <v>1356</v>
      </c>
      <c r="M121" s="20" t="n">
        <v>715</v>
      </c>
      <c r="N121" s="20" t="n">
        <v>1163</v>
      </c>
      <c r="T121" s="20" t="n">
        <v>6393</v>
      </c>
      <c r="U121" s="20" t="n">
        <v>268</v>
      </c>
      <c r="V121" s="20" t="n">
        <v>6021</v>
      </c>
      <c r="W121" s="20" t="n">
        <v>35</v>
      </c>
      <c r="X121" s="20" t="n">
        <v>715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18" t="inlineStr">
        <is>
          <t>이자비용</t>
        </is>
      </c>
      <c r="C123" s="20" t="n">
        <v>230</v>
      </c>
      <c r="D123" s="20" t="n">
        <v>209</v>
      </c>
      <c r="E123" s="20" t="n">
        <v>-392</v>
      </c>
      <c r="F123" s="20" t="n">
        <v>258</v>
      </c>
      <c r="G123" s="20" t="n">
        <v>226</v>
      </c>
      <c r="H123" s="20" t="n">
        <v>288</v>
      </c>
      <c r="I123" s="20" t="n">
        <v>214</v>
      </c>
      <c r="J123" s="20" t="n">
        <v>217</v>
      </c>
      <c r="K123" s="20" t="n">
        <v>233</v>
      </c>
      <c r="L123" s="20" t="n">
        <v>232</v>
      </c>
      <c r="M123" s="20" t="n">
        <v>246</v>
      </c>
      <c r="N123" s="20" t="n">
        <v>266</v>
      </c>
      <c r="T123" s="20" t="n">
        <v>-141</v>
      </c>
      <c r="U123" s="20" t="n">
        <v>220</v>
      </c>
      <c r="V123" s="20" t="n">
        <v>-392</v>
      </c>
      <c r="W123" s="20" t="n">
        <v>214</v>
      </c>
      <c r="X123" s="20" t="n">
        <v>246</v>
      </c>
    </row>
    <row r="124">
      <c r="A124" s="18" t="inlineStr">
        <is>
          <t>지분법손실</t>
        </is>
      </c>
      <c r="T124" s="20" t="n">
        <v>0</v>
      </c>
      <c r="U124" s="20" t="n">
        <v>0</v>
      </c>
    </row>
    <row r="125">
      <c r="A125" s="18" t="inlineStr">
        <is>
          <t>외환차손</t>
        </is>
      </c>
      <c r="F125" s="20" t="n">
        <v>0</v>
      </c>
      <c r="G125" s="20" t="n">
        <v>407</v>
      </c>
      <c r="J125" s="20" t="n">
        <v>195</v>
      </c>
      <c r="K125" s="20" t="n">
        <v>-187</v>
      </c>
      <c r="N125" s="20" t="n">
        <v>0</v>
      </c>
    </row>
    <row r="126">
      <c r="A126" s="18" t="inlineStr">
        <is>
          <t>Loaned Employees Expense NOE</t>
        </is>
      </c>
      <c r="C126" s="20" t="n">
        <v>31</v>
      </c>
      <c r="D126" s="20" t="n">
        <v>6</v>
      </c>
      <c r="E126" s="20" t="n">
        <v>25</v>
      </c>
      <c r="F126" s="20" t="n">
        <v>18</v>
      </c>
      <c r="G126" s="20" t="n">
        <v>21</v>
      </c>
      <c r="H126" s="20" t="n">
        <v>20</v>
      </c>
      <c r="I126" s="20" t="n">
        <v>24</v>
      </c>
      <c r="J126" s="20" t="n">
        <v>22</v>
      </c>
      <c r="K126" s="20" t="n">
        <v>15</v>
      </c>
      <c r="L126" s="20" t="n">
        <v>14</v>
      </c>
      <c r="M126" s="20" t="n">
        <v>21</v>
      </c>
      <c r="N126" s="20" t="n">
        <v>12</v>
      </c>
      <c r="T126" s="20" t="n">
        <v>31</v>
      </c>
      <c r="U126" s="20" t="n">
        <v>27</v>
      </c>
      <c r="V126" s="20" t="n">
        <v>25</v>
      </c>
      <c r="W126" s="20" t="n">
        <v>24</v>
      </c>
      <c r="X126" s="20" t="n">
        <v>21</v>
      </c>
    </row>
    <row r="127">
      <c r="A127" s="18" t="inlineStr">
        <is>
          <t>소송 관련 비용</t>
        </is>
      </c>
      <c r="T127" s="20" t="n">
        <v>38</v>
      </c>
      <c r="U127" s="20" t="n">
        <v>5</v>
      </c>
    </row>
    <row r="128">
      <c r="A128" s="18" t="inlineStr">
        <is>
          <t>기타</t>
        </is>
      </c>
      <c r="C128" s="20" t="n">
        <v>196</v>
      </c>
      <c r="D128" s="20" t="n">
        <v>224</v>
      </c>
      <c r="E128" s="20" t="n">
        <v>2242</v>
      </c>
      <c r="F128" s="20" t="n">
        <v>114</v>
      </c>
      <c r="G128" s="20" t="n">
        <v>206</v>
      </c>
      <c r="H128" s="20" t="n">
        <v>252</v>
      </c>
      <c r="I128" s="20" t="n">
        <v>396</v>
      </c>
      <c r="J128" s="20" t="n">
        <v>108</v>
      </c>
      <c r="K128" s="20" t="n">
        <v>183</v>
      </c>
      <c r="L128" s="20" t="n">
        <v>300</v>
      </c>
      <c r="M128" s="20" t="n">
        <v>410</v>
      </c>
      <c r="N128" s="20" t="n">
        <v>97</v>
      </c>
      <c r="T128" s="20" t="n">
        <v>2378</v>
      </c>
      <c r="U128" s="20" t="n">
        <v>159</v>
      </c>
      <c r="V128" s="20" t="n">
        <v>2242</v>
      </c>
      <c r="W128" s="20" t="n">
        <v>396</v>
      </c>
      <c r="X128" s="20" t="n">
        <v>410</v>
      </c>
    </row>
    <row r="129">
      <c r="A129" s="18" t="inlineStr">
        <is>
          <t>영업외비용 합계</t>
        </is>
      </c>
      <c r="C129" s="20" t="n">
        <v>457</v>
      </c>
      <c r="D129" s="20" t="n">
        <v>440</v>
      </c>
      <c r="E129" s="20" t="n">
        <v>1778</v>
      </c>
      <c r="F129" s="20" t="n">
        <v>391</v>
      </c>
      <c r="G129" s="20" t="n">
        <v>861</v>
      </c>
      <c r="H129" s="20" t="n">
        <v>152</v>
      </c>
      <c r="I129" s="20" t="n">
        <v>1086</v>
      </c>
      <c r="J129" s="20" t="n">
        <v>543</v>
      </c>
      <c r="K129" s="20" t="n">
        <v>246</v>
      </c>
      <c r="L129" s="20" t="n">
        <v>535</v>
      </c>
      <c r="M129" s="20" t="n">
        <v>1151</v>
      </c>
      <c r="N129" s="20" t="n">
        <v>375</v>
      </c>
      <c r="T129" s="20" t="n">
        <v>2006</v>
      </c>
      <c r="U129" s="20" t="n">
        <v>407</v>
      </c>
      <c r="V129" s="20" t="n">
        <v>1778</v>
      </c>
      <c r="W129" s="20" t="n">
        <v>1086</v>
      </c>
      <c r="X129" s="20" t="n">
        <v>1151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IF(OR(G129="",C129=""),"",IF(G129*C129&lt;=0,"",IFERROR(G129/C129-1,"")))</f>
        <v/>
      </c>
      <c r="H130" s="15">
        <f>IF(OR(H129="",D129=""),"",IF(H129*D129&lt;=0,"",IFERROR(H129/D129-1,"")))</f>
        <v/>
      </c>
      <c r="I130" s="15">
        <f>IF(OR(I129="",E129=""),"",IF(I129*E129&lt;=0,"",IFERROR(I129/E129-1,"")))</f>
        <v/>
      </c>
      <c r="J130" s="15">
        <f>IF(OR(J129="",F129=""),"",IF(J129*F129&lt;=0,"",IFERROR(J129/F129-1,"")))</f>
        <v/>
      </c>
      <c r="K130" s="15">
        <f>IF(OR(K129="",G129=""),"",IF(K129*G129&lt;=0,"",IFERROR(K129/G129-1,"")))</f>
        <v/>
      </c>
      <c r="L130" s="15">
        <f>IF(OR(L129="",H129=""),"",IF(L129*H129&lt;=0,"",IFERROR(L129/H129-1,"")))</f>
        <v/>
      </c>
      <c r="M130" s="15">
        <f>IF(OR(M129="",I129=""),"",IF(M129*I129&lt;=0,"",IFERROR(M129/I129-1,"")))</f>
        <v/>
      </c>
      <c r="N130" s="15">
        <f>IF(OR(N129="",J129=""),"",IF(N129*J129&lt;=0,"",IFERROR(N129/J129-1,"")))</f>
        <v/>
      </c>
      <c r="T130" s="15">
        <f>IF(OR(T129="",S129=""),"",IF(T129*S129&lt;=0,"",IFERROR(T129/S129-1,"")))</f>
        <v/>
      </c>
      <c r="U130" s="15">
        <f>IF(OR(U129="",T129=""),"",IF(U129*T129&lt;=0,"",IFERROR(U129/T129-1,"")))</f>
        <v/>
      </c>
      <c r="V130" s="15">
        <f>IF(OR(V129="",U129=""),"",IF(V129*U129&lt;=0,"",IFERROR(V129/U129-1,"")))</f>
        <v/>
      </c>
      <c r="W130" s="15">
        <f>IF(OR(W129="",V129=""),"",IF(W129*V129&lt;=0,"",IFERROR(W129/V129-1,"")))</f>
        <v/>
      </c>
      <c r="X130" s="15">
        <f>IF(OR(X129="",W129=""),"",IF(X129*W129&lt;=0,"",IFERROR(X129/W129-1,"")))</f>
        <v/>
      </c>
    </row>
    <row r="131">
      <c r="A131" s="9" t="inlineStr">
        <is>
          <t>경상이익</t>
        </is>
      </c>
      <c r="C131" s="12" t="n">
        <v>1026</v>
      </c>
      <c r="D131" s="12" t="n">
        <v>2046</v>
      </c>
      <c r="E131" s="12" t="n">
        <v>4738</v>
      </c>
      <c r="F131" s="12" t="n">
        <v>213</v>
      </c>
      <c r="G131" s="12" t="n">
        <v>1530</v>
      </c>
      <c r="H131" s="12" t="n">
        <v>4979</v>
      </c>
      <c r="I131" s="12" t="n">
        <v>14470</v>
      </c>
      <c r="J131" s="12" t="n">
        <v>573</v>
      </c>
      <c r="K131" s="12" t="n">
        <v>2601</v>
      </c>
      <c r="L131" s="12" t="n">
        <v>5111</v>
      </c>
      <c r="M131" s="12" t="n">
        <v>19604</v>
      </c>
      <c r="N131" s="12" t="n">
        <v>5452</v>
      </c>
      <c r="T131" s="12" t="n">
        <v>8605</v>
      </c>
      <c r="U131" s="12" t="n">
        <v>13092</v>
      </c>
      <c r="V131" s="12" t="n">
        <v>4738</v>
      </c>
      <c r="W131" s="12" t="n">
        <v>14470</v>
      </c>
      <c r="X131" s="12" t="n">
        <v>19604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T132" s="15">
        <f>IF(OR(T131="",S131=""),"",IF(S131&lt;=0,"",IFERROR(T131/S131-1,"")))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3">
      <c r="A133" s="18" t="inlineStr">
        <is>
          <t>고정자산 매각이익</t>
        </is>
      </c>
      <c r="E133" s="20" t="n">
        <v>0</v>
      </c>
      <c r="I133" s="20" t="n">
        <v>-35</v>
      </c>
      <c r="M133" s="20" t="n">
        <v>0</v>
      </c>
      <c r="T133" s="20" t="n">
        <v>0</v>
      </c>
      <c r="U133" s="20" t="n">
        <v>4</v>
      </c>
      <c r="V133" s="20" t="n">
        <v>0</v>
      </c>
      <c r="W133" s="20" t="n">
        <v>-35</v>
      </c>
      <c r="X133" s="20" t="n">
        <v>0</v>
      </c>
    </row>
    <row r="134">
      <c r="A134" s="18" t="inlineStr">
        <is>
          <t>투자유가증권 매각이익</t>
        </is>
      </c>
      <c r="C134" s="20" t="n">
        <v>0</v>
      </c>
      <c r="D134" s="20" t="n">
        <v>0</v>
      </c>
      <c r="E134" s="20" t="n">
        <v>63</v>
      </c>
      <c r="F134" s="20" t="n">
        <v>1274</v>
      </c>
      <c r="G134" s="20" t="n">
        <v>0</v>
      </c>
      <c r="H134" s="20" t="n">
        <v>0</v>
      </c>
      <c r="I134" s="20" t="n">
        <v>0</v>
      </c>
      <c r="J134" s="20" t="n">
        <v>0</v>
      </c>
      <c r="K134" s="20" t="n">
        <v>14</v>
      </c>
      <c r="L134" s="20" t="n">
        <v>0</v>
      </c>
      <c r="M134" s="20" t="n">
        <v>953</v>
      </c>
      <c r="N134" s="20" t="n">
        <v>1597</v>
      </c>
      <c r="T134" s="20" t="n">
        <v>431</v>
      </c>
      <c r="U134" s="20" t="n">
        <v>732</v>
      </c>
      <c r="V134" s="20" t="n">
        <v>63</v>
      </c>
      <c r="W134" s="20" t="n">
        <v>0</v>
      </c>
      <c r="X134" s="20" t="n">
        <v>953</v>
      </c>
    </row>
    <row r="135">
      <c r="A135" s="18" t="inlineStr">
        <is>
          <t>부의 영업권 발생이익</t>
        </is>
      </c>
      <c r="E135" s="20" t="n">
        <v>0</v>
      </c>
      <c r="I135" s="20" t="n">
        <v>0</v>
      </c>
      <c r="M135" s="20" t="n">
        <v>0</v>
      </c>
      <c r="V135" s="20" t="n">
        <v>0</v>
      </c>
      <c r="W135" s="20" t="n">
        <v>0</v>
      </c>
      <c r="X135" s="20" t="n">
        <v>0</v>
      </c>
    </row>
    <row r="136">
      <c r="A136" s="18" t="inlineStr">
        <is>
          <t>관계회사 청산이익</t>
        </is>
      </c>
      <c r="I136" s="20" t="n">
        <v>0</v>
      </c>
      <c r="M136" s="20" t="n">
        <v>0</v>
      </c>
      <c r="W136" s="20" t="n">
        <v>0</v>
      </c>
      <c r="X136" s="20" t="n">
        <v>0</v>
      </c>
    </row>
    <row r="137">
      <c r="A137" s="18" t="inlineStr">
        <is>
          <t>보험금 수익</t>
        </is>
      </c>
      <c r="E137" s="20" t="n">
        <v>480</v>
      </c>
      <c r="I137" s="20" t="n">
        <v>1115</v>
      </c>
      <c r="M137" s="20" t="n">
        <v>0</v>
      </c>
      <c r="U137" s="20" t="n">
        <v>0</v>
      </c>
      <c r="V137" s="20" t="n">
        <v>480</v>
      </c>
      <c r="W137" s="20" t="n">
        <v>1115</v>
      </c>
      <c r="X137" s="20" t="n">
        <v>0</v>
      </c>
    </row>
    <row r="138">
      <c r="A138" s="18" t="inlineStr">
        <is>
          <t>보상금 수취</t>
        </is>
      </c>
      <c r="C138" s="20" t="n">
        <v>0</v>
      </c>
      <c r="D138" s="20" t="n">
        <v>0</v>
      </c>
      <c r="E138" s="20" t="n">
        <v>0</v>
      </c>
      <c r="T138" s="20" t="n">
        <v>0</v>
      </c>
      <c r="U138" s="20" t="n">
        <v>66</v>
      </c>
      <c r="V138" s="20" t="n">
        <v>0</v>
      </c>
    </row>
    <row r="139">
      <c r="A139" s="18" t="inlineStr">
        <is>
          <t>기타</t>
        </is>
      </c>
      <c r="C139" s="20" t="n">
        <v>0</v>
      </c>
      <c r="D139" s="20" t="n">
        <v>0</v>
      </c>
      <c r="E139" s="20" t="n">
        <v>0</v>
      </c>
      <c r="F139" s="20" t="n">
        <v>0</v>
      </c>
      <c r="G139" s="20" t="n">
        <v>0</v>
      </c>
      <c r="H139" s="20" t="n">
        <v>0</v>
      </c>
      <c r="I139" s="20" t="n">
        <v>0</v>
      </c>
      <c r="T139" s="20" t="n">
        <v>0</v>
      </c>
      <c r="U139" s="20" t="n">
        <v>0</v>
      </c>
      <c r="V139" s="20" t="n">
        <v>0</v>
      </c>
      <c r="W139" s="20" t="n">
        <v>0</v>
      </c>
    </row>
    <row r="140">
      <c r="A140" s="18" t="inlineStr">
        <is>
          <t>특별이익 합계</t>
        </is>
      </c>
      <c r="C140" s="20" t="n">
        <v>0</v>
      </c>
      <c r="D140" s="20" t="n">
        <v>3444</v>
      </c>
      <c r="E140" s="20" t="n">
        <v>543</v>
      </c>
      <c r="F140" s="20" t="n">
        <v>1274</v>
      </c>
      <c r="G140" s="20" t="n">
        <v>0</v>
      </c>
      <c r="H140" s="20" t="n">
        <v>745</v>
      </c>
      <c r="I140" s="20" t="n">
        <v>1081</v>
      </c>
      <c r="J140" s="20" t="n">
        <v>0</v>
      </c>
      <c r="K140" s="20" t="n">
        <v>14</v>
      </c>
      <c r="L140" s="20" t="n">
        <v>5484</v>
      </c>
      <c r="M140" s="20" t="n">
        <v>953</v>
      </c>
      <c r="N140" s="20" t="n">
        <v>1597</v>
      </c>
      <c r="T140" s="20" t="n">
        <v>2588</v>
      </c>
      <c r="U140" s="20" t="n">
        <v>802</v>
      </c>
      <c r="V140" s="20" t="n">
        <v>543</v>
      </c>
      <c r="W140" s="20" t="n">
        <v>1081</v>
      </c>
      <c r="X140" s="20" t="n">
        <v>953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IF(OR(G140="",C140=""),"",IF(G140*C140&lt;=0,"",IFERROR(G140/C140-1,"")))</f>
        <v/>
      </c>
      <c r="H141" s="15">
        <f>IF(OR(H140="",D140=""),"",IF(H140*D140&lt;=0,"",IFERROR(H140/D140-1,"")))</f>
        <v/>
      </c>
      <c r="I141" s="15">
        <f>IF(OR(I140="",E140=""),"",IF(I140*E140&lt;=0,"",IFERROR(I140/E140-1,"")))</f>
        <v/>
      </c>
      <c r="J141" s="15">
        <f>IF(OR(J140="",F140=""),"",IF(J140*F140&lt;=0,"",IFERROR(J140/F140-1,"")))</f>
        <v/>
      </c>
      <c r="K141" s="15">
        <f>IF(OR(K140="",G140=""),"",IF(K140*G140&lt;=0,"",IFERROR(K140/G140-1,"")))</f>
        <v/>
      </c>
      <c r="L141" s="15">
        <f>IF(OR(L140="",H140=""),"",IF(L140*H140&lt;=0,"",IFERROR(L140/H140-1,"")))</f>
        <v/>
      </c>
      <c r="M141" s="15">
        <f>IF(OR(M140="",I140=""),"",IF(M140*I140&lt;=0,"",IFERROR(M140/I140-1,"")))</f>
        <v/>
      </c>
      <c r="N141" s="15">
        <f>IF(OR(N140="",J140=""),"",IF(N140*J140&lt;=0,"",IFERROR(N140/J140-1,"")))</f>
        <v/>
      </c>
      <c r="T141" s="15">
        <f>IF(OR(T140="",S140=""),"",IF(T140*S140&lt;=0,"",IFERROR(T140/S140-1,"")))</f>
        <v/>
      </c>
      <c r="U141" s="15">
        <f>IF(OR(U140="",T140=""),"",IF(U140*T140&lt;=0,"",IFERROR(U140/T140-1,"")))</f>
        <v/>
      </c>
      <c r="V141" s="15">
        <f>IF(OR(V140="",U140=""),"",IF(V140*U140&lt;=0,"",IFERROR(V140/U140-1,"")))</f>
        <v/>
      </c>
      <c r="W141" s="15">
        <f>IF(OR(W140="",V140=""),"",IF(W140*V140&lt;=0,"",IFERROR(W140/V140-1,"")))</f>
        <v/>
      </c>
      <c r="X141" s="15">
        <f>IF(OR(X140="",W140=""),"",IF(X140*W140&lt;=0,"",IFERROR(X140/W140-1,"")))</f>
        <v/>
      </c>
    </row>
    <row r="142">
      <c r="A142" s="18" t="inlineStr">
        <is>
          <t>고정자산 매각손실</t>
        </is>
      </c>
      <c r="C142" s="20" t="n">
        <v>0</v>
      </c>
      <c r="D142" s="20" t="n">
        <v>0</v>
      </c>
      <c r="E142" s="20" t="n">
        <v>0</v>
      </c>
      <c r="T142" s="20" t="n">
        <v>0</v>
      </c>
      <c r="U142" s="20" t="n">
        <v>0</v>
      </c>
      <c r="V142" s="20" t="n">
        <v>0</v>
      </c>
    </row>
    <row r="143">
      <c r="A143" s="18" t="inlineStr">
        <is>
          <t>투자유가증권 매각손실</t>
        </is>
      </c>
      <c r="T143" s="20" t="n">
        <v>6</v>
      </c>
      <c r="U143" s="20" t="n">
        <v>0</v>
      </c>
    </row>
    <row r="144">
      <c r="A144" s="18" t="inlineStr">
        <is>
          <t>관계회사 주식 평가손실</t>
        </is>
      </c>
      <c r="H144" s="20" t="n">
        <v>0</v>
      </c>
      <c r="I144" s="20" t="n">
        <v>0</v>
      </c>
      <c r="L144" s="20" t="n">
        <v>0</v>
      </c>
      <c r="M144" s="20" t="n">
        <v>0</v>
      </c>
      <c r="W144" s="20" t="n">
        <v>0</v>
      </c>
      <c r="X144" s="20" t="n">
        <v>0</v>
      </c>
    </row>
    <row r="145">
      <c r="A145" s="18" t="inlineStr">
        <is>
          <t>화재손실</t>
        </is>
      </c>
      <c r="E145" s="20" t="n">
        <v>57</v>
      </c>
      <c r="I145" s="20" t="n">
        <v>0</v>
      </c>
      <c r="U145" s="20" t="n">
        <v>0</v>
      </c>
      <c r="V145" s="20" t="n">
        <v>57</v>
      </c>
      <c r="W145" s="20" t="n">
        <v>0</v>
      </c>
    </row>
    <row r="146">
      <c r="A146" s="18" t="inlineStr">
        <is>
          <t>고정자산 제각손실</t>
        </is>
      </c>
      <c r="J146" s="20" t="n">
        <v>0</v>
      </c>
      <c r="N146" s="20" t="n">
        <v>46</v>
      </c>
    </row>
    <row r="147">
      <c r="A147" s="18" t="inlineStr">
        <is>
          <t>관계회사 정리손실</t>
        </is>
      </c>
      <c r="C147" s="20" t="n">
        <v>148</v>
      </c>
      <c r="D147" s="20" t="n">
        <v>10</v>
      </c>
      <c r="E147" s="20" t="n">
        <v>17</v>
      </c>
      <c r="F147" s="20" t="n">
        <v>9</v>
      </c>
      <c r="G147" s="20" t="n">
        <v>9</v>
      </c>
      <c r="H147" s="20" t="n">
        <v>2</v>
      </c>
      <c r="I147" s="20" t="n">
        <v>-1</v>
      </c>
      <c r="J147" s="20" t="n">
        <v>8</v>
      </c>
      <c r="K147" s="20" t="n">
        <v>0</v>
      </c>
      <c r="L147" s="20" t="n">
        <v>-8</v>
      </c>
      <c r="M147" s="20" t="n">
        <v>0</v>
      </c>
      <c r="N147" s="20" t="n">
        <v>0</v>
      </c>
      <c r="T147" s="20" t="n">
        <v>0</v>
      </c>
      <c r="U147" s="20" t="n">
        <v>-117</v>
      </c>
      <c r="V147" s="20" t="n">
        <v>17</v>
      </c>
      <c r="W147" s="20" t="n">
        <v>-1</v>
      </c>
      <c r="X147" s="20" t="n">
        <v>0</v>
      </c>
    </row>
    <row r="148">
      <c r="A148" s="18" t="inlineStr">
        <is>
          <t>손상차손</t>
        </is>
      </c>
      <c r="D148" s="20" t="n">
        <v>0</v>
      </c>
      <c r="E148" s="20" t="n">
        <v>275</v>
      </c>
      <c r="H148" s="20" t="n">
        <v>0</v>
      </c>
      <c r="I148" s="20" t="n">
        <v>0</v>
      </c>
      <c r="U148" s="20" t="n">
        <v>381</v>
      </c>
      <c r="V148" s="20" t="n">
        <v>275</v>
      </c>
      <c r="W148" s="20" t="n">
        <v>0</v>
      </c>
    </row>
    <row r="149">
      <c r="A149" s="18" t="inlineStr">
        <is>
          <t>재해손실</t>
        </is>
      </c>
      <c r="C149" s="20" t="n">
        <v>0</v>
      </c>
      <c r="D149" s="20" t="n">
        <v>0</v>
      </c>
      <c r="E149" s="20" t="n">
        <v>121</v>
      </c>
      <c r="F149" s="20" t="n">
        <v>58</v>
      </c>
      <c r="G149" s="20" t="n">
        <v>90</v>
      </c>
      <c r="H149" s="20" t="n">
        <v>104</v>
      </c>
      <c r="I149" s="20" t="n">
        <v>102</v>
      </c>
      <c r="J149" s="20" t="n">
        <v>0</v>
      </c>
      <c r="K149" s="20" t="n">
        <v>0</v>
      </c>
      <c r="L149" s="20" t="n">
        <v>0</v>
      </c>
      <c r="M149" s="20" t="n">
        <v>0</v>
      </c>
      <c r="V149" s="20" t="n">
        <v>121</v>
      </c>
      <c r="W149" s="20" t="n">
        <v>102</v>
      </c>
      <c r="X149" s="20" t="n">
        <v>0</v>
      </c>
    </row>
    <row r="150">
      <c r="A150" s="18" t="inlineStr">
        <is>
          <t>기타</t>
        </is>
      </c>
      <c r="C150" s="20" t="n">
        <v>35</v>
      </c>
      <c r="D150" s="20" t="n">
        <v>2</v>
      </c>
      <c r="E150" s="20" t="n">
        <v>-37</v>
      </c>
      <c r="H150" s="20" t="n">
        <v>0</v>
      </c>
      <c r="I150" s="20" t="n">
        <v>83</v>
      </c>
      <c r="T150" s="20" t="n">
        <v>-3</v>
      </c>
      <c r="U150" s="20" t="n">
        <v>7</v>
      </c>
      <c r="V150" s="20" t="n">
        <v>-37</v>
      </c>
      <c r="W150" s="20" t="n">
        <v>83</v>
      </c>
    </row>
    <row r="151">
      <c r="A151" s="18" t="inlineStr">
        <is>
          <t>특별손실 합계</t>
        </is>
      </c>
      <c r="C151" s="20" t="n">
        <v>281</v>
      </c>
      <c r="D151" s="20" t="n">
        <v>747</v>
      </c>
      <c r="E151" s="20" t="n">
        <v>1020</v>
      </c>
      <c r="F151" s="20" t="n">
        <v>67</v>
      </c>
      <c r="G151" s="20" t="n">
        <v>99</v>
      </c>
      <c r="H151" s="20" t="n">
        <v>106</v>
      </c>
      <c r="I151" s="20" t="n">
        <v>184</v>
      </c>
      <c r="J151" s="20" t="n">
        <v>8</v>
      </c>
      <c r="K151" s="20" t="n">
        <v>218</v>
      </c>
      <c r="L151" s="20" t="n">
        <v>-8</v>
      </c>
      <c r="M151" s="20" t="n">
        <v>3303</v>
      </c>
      <c r="N151" s="20" t="n">
        <v>46</v>
      </c>
      <c r="T151" s="20" t="n">
        <v>2163</v>
      </c>
      <c r="U151" s="20" t="n">
        <v>272</v>
      </c>
      <c r="V151" s="20" t="n">
        <v>1020</v>
      </c>
      <c r="W151" s="20" t="n">
        <v>184</v>
      </c>
      <c r="X151" s="20" t="n">
        <v>3303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IF(OR(G151="",C151=""),"",IF(G151*C151&lt;=0,"",IFERROR(G151/C151-1,"")))</f>
        <v/>
      </c>
      <c r="H152" s="15">
        <f>IF(OR(H151="",D151=""),"",IF(H151*D151&lt;=0,"",IFERROR(H151/D151-1,"")))</f>
        <v/>
      </c>
      <c r="I152" s="15">
        <f>IF(OR(I151="",E151=""),"",IF(I151*E151&lt;=0,"",IFERROR(I151/E151-1,"")))</f>
        <v/>
      </c>
      <c r="J152" s="15">
        <f>IF(OR(J151="",F151=""),"",IF(J151*F151&lt;=0,"",IFERROR(J151/F151-1,"")))</f>
        <v/>
      </c>
      <c r="K152" s="15">
        <f>IF(OR(K151="",G151=""),"",IF(K151*G151&lt;=0,"",IFERROR(K151/G151-1,"")))</f>
        <v/>
      </c>
      <c r="L152" s="15">
        <f>IF(OR(L151="",H151=""),"",IF(L151*H151&lt;=0,"",IFERROR(L151/H151-1,"")))</f>
        <v/>
      </c>
      <c r="M152" s="15">
        <f>IF(OR(M151="",I151=""),"",IF(M151*I151&lt;=0,"",IFERROR(M151/I151-1,"")))</f>
        <v/>
      </c>
      <c r="N152" s="15">
        <f>IF(OR(N151="",J151=""),"",IF(N151*J151&lt;=0,"",IFERROR(N151/J151-1,"")))</f>
        <v/>
      </c>
      <c r="T152" s="15">
        <f>IF(OR(T151="",S151=""),"",IF(T151*S151&lt;=0,"",IFERROR(T151/S151-1,"")))</f>
        <v/>
      </c>
      <c r="U152" s="15">
        <f>IF(OR(U151="",T151=""),"",IF(U151*T151&lt;=0,"",IFERROR(U151/T151-1,"")))</f>
        <v/>
      </c>
      <c r="V152" s="15">
        <f>IF(OR(V151="",U151=""),"",IF(V151*U151&lt;=0,"",IFERROR(V151/U151-1,"")))</f>
        <v/>
      </c>
      <c r="W152" s="15">
        <f>IF(OR(W151="",V151=""),"",IF(W151*V151&lt;=0,"",IFERROR(W151/V151-1,"")))</f>
        <v/>
      </c>
      <c r="X152" s="15">
        <f>IF(OR(X151="",W151=""),"",IF(X151*W151&lt;=0,"",IFERROR(X151/W151-1,"")))</f>
        <v/>
      </c>
    </row>
    <row r="153">
      <c r="A153" s="9" t="inlineStr">
        <is>
          <t>법인세차감전 순이익</t>
        </is>
      </c>
      <c r="C153" s="12" t="n">
        <v>744</v>
      </c>
      <c r="D153" s="12" t="n">
        <v>4744</v>
      </c>
      <c r="E153" s="12" t="n">
        <v>4260</v>
      </c>
      <c r="F153" s="12" t="n">
        <v>1420</v>
      </c>
      <c r="G153" s="12" t="n">
        <v>1430</v>
      </c>
      <c r="H153" s="12" t="n">
        <v>5619</v>
      </c>
      <c r="I153" s="12" t="n">
        <v>15367</v>
      </c>
      <c r="J153" s="12" t="n">
        <v>565</v>
      </c>
      <c r="K153" s="12" t="n">
        <v>2397</v>
      </c>
      <c r="L153" s="12" t="n">
        <v>10604</v>
      </c>
      <c r="M153" s="12" t="n">
        <v>17254</v>
      </c>
      <c r="N153" s="12" t="n">
        <v>7002</v>
      </c>
      <c r="T153" s="12" t="n">
        <v>9030</v>
      </c>
      <c r="U153" s="12" t="n">
        <v>13622</v>
      </c>
      <c r="V153" s="12" t="n">
        <v>4260</v>
      </c>
      <c r="W153" s="12" t="n">
        <v>15367</v>
      </c>
      <c r="X153" s="12" t="n">
        <v>17254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T154" s="15">
        <f>IF(OR(T153="",S153=""),"",IF(S153&lt;=0,"",IFERROR(T153/S153-1,"")))</f>
        <v/>
      </c>
      <c r="U154" s="15">
        <f>IF(OR(U153="",T153=""),"",IF(T153&lt;=0,"",IFERROR(U153/T153-1,"")))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법인세·주민세·사업세</t>
        </is>
      </c>
      <c r="C155" s="20" t="n">
        <v>322</v>
      </c>
      <c r="D155" s="20" t="n">
        <v>326</v>
      </c>
      <c r="E155" s="20" t="n">
        <v>142</v>
      </c>
      <c r="F155" s="20" t="n">
        <v>283</v>
      </c>
      <c r="G155" s="20" t="n">
        <v>788</v>
      </c>
      <c r="H155" s="20" t="n">
        <v>446</v>
      </c>
      <c r="I155" s="20" t="n">
        <v>4931</v>
      </c>
      <c r="J155" s="20" t="n">
        <v>254</v>
      </c>
      <c r="K155" s="20" t="n">
        <v>696</v>
      </c>
      <c r="L155" s="20" t="n">
        <v>1216</v>
      </c>
      <c r="M155" s="20" t="n">
        <v>6665</v>
      </c>
      <c r="N155" s="20" t="n">
        <v>571</v>
      </c>
      <c r="T155" s="20" t="n">
        <v>175</v>
      </c>
      <c r="U155" s="20" t="n">
        <v>3283</v>
      </c>
      <c r="V155" s="20" t="n">
        <v>142</v>
      </c>
      <c r="W155" s="20" t="n">
        <v>4931</v>
      </c>
      <c r="X155" s="20" t="n">
        <v>6665</v>
      </c>
    </row>
    <row r="156">
      <c r="A156" s="18" t="inlineStr">
        <is>
          <t>법인세 조정액</t>
        </is>
      </c>
      <c r="C156" s="20" t="n">
        <v>-66</v>
      </c>
      <c r="D156" s="20" t="n">
        <v>1125</v>
      </c>
      <c r="E156" s="20" t="n">
        <v>-929</v>
      </c>
      <c r="F156" s="20" t="n">
        <v>91</v>
      </c>
      <c r="G156" s="20" t="n">
        <v>-426</v>
      </c>
      <c r="H156" s="20" t="n">
        <v>1103</v>
      </c>
      <c r="I156" s="20" t="n">
        <v>-2254</v>
      </c>
      <c r="J156" s="20" t="n">
        <v>-163</v>
      </c>
      <c r="K156" s="20" t="n">
        <v>66</v>
      </c>
      <c r="L156" s="20" t="n">
        <v>1676</v>
      </c>
      <c r="M156" s="20" t="n">
        <v>-3595</v>
      </c>
      <c r="N156" s="20" t="n">
        <v>1333</v>
      </c>
      <c r="T156" s="20" t="n">
        <v>149</v>
      </c>
      <c r="U156" s="20" t="n">
        <v>451</v>
      </c>
      <c r="V156" s="20" t="n">
        <v>-929</v>
      </c>
      <c r="W156" s="20" t="n">
        <v>-2254</v>
      </c>
      <c r="X156" s="20" t="n">
        <v>-3595</v>
      </c>
    </row>
    <row r="157">
      <c r="A157" s="18" t="inlineStr">
        <is>
          <t>법인세 등 합계</t>
        </is>
      </c>
      <c r="C157" s="20" t="n">
        <v>257</v>
      </c>
      <c r="D157" s="20" t="n">
        <v>1450</v>
      </c>
      <c r="E157" s="20" t="n">
        <v>-787</v>
      </c>
      <c r="F157" s="20" t="n">
        <v>374</v>
      </c>
      <c r="G157" s="20" t="n">
        <v>361</v>
      </c>
      <c r="H157" s="20" t="n">
        <v>1550</v>
      </c>
      <c r="I157" s="20" t="n">
        <v>2676</v>
      </c>
      <c r="J157" s="20" t="n">
        <v>90</v>
      </c>
      <c r="K157" s="20" t="n">
        <v>763</v>
      </c>
      <c r="L157" s="20" t="n">
        <v>2892</v>
      </c>
      <c r="M157" s="20" t="n">
        <v>3069</v>
      </c>
      <c r="N157" s="20" t="n">
        <v>1904</v>
      </c>
      <c r="T157" s="20" t="n">
        <v>325</v>
      </c>
      <c r="U157" s="20" t="n">
        <v>3732</v>
      </c>
      <c r="V157" s="20" t="n">
        <v>-787</v>
      </c>
      <c r="W157" s="20" t="n">
        <v>2676</v>
      </c>
      <c r="X157" s="20" t="n">
        <v>3069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IF(OR(G157="",C157=""),"",IF(G157*C157&lt;=0,"",IFERROR(G157/C157-1,"")))</f>
        <v/>
      </c>
      <c r="H158" s="15">
        <f>IF(OR(H157="",D157=""),"",IF(H157*D157&lt;=0,"",IFERROR(H157/D157-1,"")))</f>
        <v/>
      </c>
      <c r="I158" s="15">
        <f>IF(OR(I157="",E157=""),"",IF(I157*E157&lt;=0,"",IFERROR(I157/E157-1,"")))</f>
        <v/>
      </c>
      <c r="J158" s="15">
        <f>IF(OR(J157="",F157=""),"",IF(J157*F157&lt;=0,"",IFERROR(J157/F157-1,"")))</f>
        <v/>
      </c>
      <c r="K158" s="15">
        <f>IF(OR(K157="",G157=""),"",IF(K157*G157&lt;=0,"",IFERROR(K157/G157-1,"")))</f>
        <v/>
      </c>
      <c r="L158" s="15">
        <f>IF(OR(L157="",H157=""),"",IF(L157*H157&lt;=0,"",IFERROR(L157/H157-1,"")))</f>
        <v/>
      </c>
      <c r="M158" s="15">
        <f>IF(OR(M157="",I157=""),"",IF(M157*I157&lt;=0,"",IFERROR(M157/I157-1,"")))</f>
        <v/>
      </c>
      <c r="N158" s="15">
        <f>IF(OR(N157="",J157=""),"",IF(N157*J157&lt;=0,"",IFERROR(N157/J157-1,"")))</f>
        <v/>
      </c>
      <c r="T158" s="15">
        <f>IF(OR(T157="",S157=""),"",IF(T157*S157&lt;=0,"",IFERROR(T157/S157-1,"")))</f>
        <v/>
      </c>
      <c r="U158" s="15">
        <f>IF(OR(U157="",T157=""),"",IF(U157*T157&lt;=0,"",IFERROR(U157/T157-1,"")))</f>
        <v/>
      </c>
      <c r="V158" s="15">
        <f>IF(OR(V157="",U157=""),"",IF(V157*U157&lt;=0,"",IFERROR(V157/U157-1,"")))</f>
        <v/>
      </c>
      <c r="W158" s="15">
        <f>IF(OR(W157="",V157=""),"",IF(W157*V157&lt;=0,"",IFERROR(W157/V157-1,"")))</f>
        <v/>
      </c>
      <c r="X158" s="15">
        <f>IF(OR(X157="",W157=""),"",IF(X157*W157&lt;=0,"",IFERROR(X157/W157-1,"")))</f>
        <v/>
      </c>
    </row>
    <row r="159">
      <c r="A159" s="9" t="inlineStr">
        <is>
          <t>순이익</t>
        </is>
      </c>
      <c r="C159" s="12" t="n">
        <v>486</v>
      </c>
      <c r="D159" s="12" t="n">
        <v>3293</v>
      </c>
      <c r="E159" s="12" t="n">
        <v>5048</v>
      </c>
      <c r="F159" s="12" t="n">
        <v>1045</v>
      </c>
      <c r="G159" s="12" t="n">
        <v>1070</v>
      </c>
      <c r="H159" s="12" t="n">
        <v>4069</v>
      </c>
      <c r="I159" s="12" t="n">
        <v>12690</v>
      </c>
      <c r="J159" s="12" t="n">
        <v>474</v>
      </c>
      <c r="K159" s="12" t="n">
        <v>1635</v>
      </c>
      <c r="L159" s="12" t="n">
        <v>7711</v>
      </c>
      <c r="M159" s="12" t="n">
        <v>14185</v>
      </c>
      <c r="N159" s="12" t="n">
        <v>5098</v>
      </c>
      <c r="T159" s="12" t="n">
        <v>8705</v>
      </c>
      <c r="U159" s="12" t="n">
        <v>9889</v>
      </c>
      <c r="V159" s="12" t="n">
        <v>5048</v>
      </c>
      <c r="W159" s="12" t="n">
        <v>12690</v>
      </c>
      <c r="X159" s="12" t="n">
        <v>14185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T160" s="15">
        <f>IF(OR(T159="",S159=""),"",IF(S159&lt;=0,"",IFERROR(T159/S159-1,"")))</f>
        <v/>
      </c>
      <c r="U160" s="15">
        <f>IF(OR(U159="",T159=""),"",IF(T159&lt;=0,"",IFERROR(U159/T159-1,"")))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9" t="inlineStr">
        <is>
          <t>비지배주주 순이익</t>
        </is>
      </c>
      <c r="C161" s="12" t="n">
        <v>1</v>
      </c>
      <c r="D161" s="12" t="n">
        <v>35</v>
      </c>
      <c r="E161" s="12" t="n">
        <v>123</v>
      </c>
      <c r="F161" s="12" t="n">
        <v>27</v>
      </c>
      <c r="G161" s="12" t="n">
        <v>-7</v>
      </c>
      <c r="H161" s="12" t="n">
        <v>232</v>
      </c>
      <c r="I161" s="12" t="n">
        <v>135</v>
      </c>
      <c r="J161" s="12" t="n">
        <v>8</v>
      </c>
      <c r="K161" s="12" t="n">
        <v>74</v>
      </c>
      <c r="L161" s="12" t="n">
        <v>101</v>
      </c>
      <c r="M161" s="12" t="n">
        <v>197</v>
      </c>
      <c r="N161" s="12" t="n">
        <v>38</v>
      </c>
      <c r="T161" s="12" t="n">
        <v>143</v>
      </c>
      <c r="U161" s="12" t="n">
        <v>178</v>
      </c>
      <c r="V161" s="12" t="n">
        <v>123</v>
      </c>
      <c r="W161" s="12" t="n">
        <v>135</v>
      </c>
      <c r="X161" s="12" t="n">
        <v>197</v>
      </c>
    </row>
    <row r="162">
      <c r="A162" s="9" t="inlineStr">
        <is>
          <t>지배주주 순이익</t>
        </is>
      </c>
      <c r="C162" s="12" t="n">
        <v>486</v>
      </c>
      <c r="D162" s="12" t="n">
        <v>3257</v>
      </c>
      <c r="E162" s="12" t="n">
        <v>9564</v>
      </c>
      <c r="F162" s="12" t="n">
        <v>1017</v>
      </c>
      <c r="G162" s="12" t="n">
        <v>1077</v>
      </c>
      <c r="H162" s="12" t="n">
        <v>3837</v>
      </c>
      <c r="I162" s="12" t="n">
        <v>12556</v>
      </c>
      <c r="J162" s="12" t="n">
        <v>465</v>
      </c>
      <c r="K162" s="12" t="n">
        <v>1561</v>
      </c>
      <c r="L162" s="12" t="n">
        <v>7611</v>
      </c>
      <c r="M162" s="12" t="n">
        <v>13988</v>
      </c>
      <c r="N162" s="12" t="n">
        <v>5059</v>
      </c>
      <c r="T162" s="12" t="n">
        <v>7936</v>
      </c>
      <c r="U162" s="12" t="n">
        <v>9710</v>
      </c>
      <c r="V162" s="12" t="n">
        <v>9564</v>
      </c>
      <c r="W162" s="12" t="n">
        <v>12556</v>
      </c>
      <c r="X162" s="12" t="n">
        <v>13988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T163" s="15">
        <f>IF(OR(T162="",S162=""),"",IF(S162&lt;=0,"",IFERROR(T162/S162-1,"")))</f>
        <v/>
      </c>
      <c r="U163" s="15">
        <f>IF(OR(U162="",T162=""),"",IF(T162&lt;=0,"",IFERROR(U162/T162-1,"")))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5">
      <c r="A165" s="16" t="inlineStr">
        <is>
          <t>포괄손익 · 전 항목</t>
        </is>
      </c>
      <c r="B165" s="42" t="inlineStr">
        <is>
          <t>분기 = 3개월 단독</t>
        </is>
      </c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</row>
    <row r="166">
      <c r="A166" s="5" t="inlineStr">
        <is>
          <t>항목</t>
        </is>
      </c>
      <c r="B166" s="5" t="inlineStr">
        <is>
          <t>참고</t>
        </is>
      </c>
      <c r="C166" s="5" t="inlineStr">
        <is>
          <t>2024.2Q</t>
        </is>
      </c>
      <c r="D166" s="5" t="inlineStr">
        <is>
          <t>2024.3Q</t>
        </is>
      </c>
      <c r="E166" s="5" t="inlineStr">
        <is>
          <t>2024.4Q</t>
        </is>
      </c>
      <c r="F166" s="5" t="inlineStr">
        <is>
          <t>2025.1Q</t>
        </is>
      </c>
      <c r="G166" s="5" t="inlineStr">
        <is>
          <t>2025.2Q</t>
        </is>
      </c>
      <c r="H166" s="5" t="inlineStr">
        <is>
          <t>2025.3Q</t>
        </is>
      </c>
      <c r="I166" s="5" t="inlineStr">
        <is>
          <t>2025.4Q</t>
        </is>
      </c>
      <c r="J166" s="5" t="inlineStr">
        <is>
          <t>2026.1Q</t>
        </is>
      </c>
      <c r="K166" s="5" t="inlineStr">
        <is>
          <t>2026.2Q</t>
        </is>
      </c>
      <c r="L166" s="5" t="inlineStr">
        <is>
          <t>2026.3Q</t>
        </is>
      </c>
      <c r="M166" s="5" t="inlineStr">
        <is>
          <t>2026.4Q</t>
        </is>
      </c>
      <c r="N166" s="5" t="inlineStr">
        <is>
          <t>2027.1Q</t>
        </is>
      </c>
      <c r="O166" s="5" t="inlineStr">
        <is>
          <t>2017</t>
        </is>
      </c>
      <c r="P166" s="5" t="inlineStr">
        <is>
          <t>2018</t>
        </is>
      </c>
      <c r="Q166" s="5" t="inlineStr">
        <is>
          <t>2019</t>
        </is>
      </c>
      <c r="R166" s="5" t="inlineStr">
        <is>
          <t>2020</t>
        </is>
      </c>
      <c r="S166" s="5" t="inlineStr">
        <is>
          <t>2021</t>
        </is>
      </c>
      <c r="T166" s="5" t="inlineStr">
        <is>
          <t>2022</t>
        </is>
      </c>
      <c r="U166" s="5" t="inlineStr">
        <is>
          <t>2023</t>
        </is>
      </c>
      <c r="V166" s="5" t="inlineStr">
        <is>
          <t>2024</t>
        </is>
      </c>
      <c r="W166" s="5" t="inlineStr">
        <is>
          <t>2025</t>
        </is>
      </c>
      <c r="X166" s="5" t="inlineStr">
        <is>
          <t>2026</t>
        </is>
      </c>
      <c r="Y166" s="5" t="inlineStr">
        <is>
          <t>2027(MW)</t>
        </is>
      </c>
      <c r="Z166" s="5" t="inlineStr">
        <is>
          <t>2028(MW)</t>
        </is>
      </c>
      <c r="AA166" s="5" t="inlineStr">
        <is>
          <t>2029(MW)</t>
        </is>
      </c>
      <c r="AB166" s="5" t="inlineStr">
        <is>
          <t>2030(MW)</t>
        </is>
      </c>
      <c r="AC166" s="5" t="inlineStr">
        <is>
          <t>2031(MW)</t>
        </is>
      </c>
    </row>
    <row r="167">
      <c r="A167" s="9" t="inlineStr">
        <is>
          <t>순이익</t>
        </is>
      </c>
      <c r="C167" s="12" t="n">
        <v>486</v>
      </c>
      <c r="D167" s="12" t="n">
        <v>3293</v>
      </c>
      <c r="E167" s="12" t="n">
        <v>9688</v>
      </c>
      <c r="F167" s="12" t="n">
        <v>1045</v>
      </c>
      <c r="G167" s="12" t="n">
        <v>1070</v>
      </c>
      <c r="H167" s="12" t="n">
        <v>4069</v>
      </c>
      <c r="I167" s="12" t="n">
        <v>12690</v>
      </c>
      <c r="J167" s="12" t="n">
        <v>474</v>
      </c>
      <c r="K167" s="12" t="n">
        <v>1635</v>
      </c>
      <c r="L167" s="12" t="n">
        <v>7711</v>
      </c>
      <c r="M167" s="12" t="n">
        <v>14185</v>
      </c>
      <c r="N167" s="12" t="n">
        <v>5098</v>
      </c>
      <c r="T167" s="12" t="n">
        <v>8079</v>
      </c>
      <c r="U167" s="12" t="n">
        <v>9889</v>
      </c>
      <c r="V167" s="12" t="n">
        <v>9688</v>
      </c>
      <c r="W167" s="12" t="n">
        <v>12690</v>
      </c>
      <c r="X167" s="12" t="n">
        <v>14185</v>
      </c>
    </row>
    <row r="168">
      <c r="A168" s="18" t="inlineStr">
        <is>
          <t>기타유가증권 평가차액</t>
        </is>
      </c>
      <c r="C168" s="20" t="n">
        <v>1487</v>
      </c>
      <c r="D168" s="20" t="n">
        <v>-96</v>
      </c>
      <c r="E168" s="20" t="n">
        <v>3366</v>
      </c>
      <c r="F168" s="20" t="n">
        <v>-887</v>
      </c>
      <c r="G168" s="20" t="n">
        <v>-1782</v>
      </c>
      <c r="H168" s="20" t="n">
        <v>1104</v>
      </c>
      <c r="I168" s="20" t="n">
        <v>-651</v>
      </c>
      <c r="J168" s="20" t="n">
        <v>1602</v>
      </c>
      <c r="K168" s="20" t="n">
        <v>3130</v>
      </c>
      <c r="L168" s="20" t="n">
        <v>3320</v>
      </c>
      <c r="M168" s="20" t="n">
        <v>1347</v>
      </c>
      <c r="N168" s="20" t="n">
        <v>1683</v>
      </c>
      <c r="T168" s="20" t="n">
        <v>-318</v>
      </c>
      <c r="U168" s="20" t="n">
        <v>-8</v>
      </c>
      <c r="V168" s="20" t="n">
        <v>3366</v>
      </c>
      <c r="W168" s="20" t="n">
        <v>-651</v>
      </c>
      <c r="X168" s="20" t="n">
        <v>1347</v>
      </c>
    </row>
    <row r="169">
      <c r="A169" s="18" t="inlineStr">
        <is>
          <t>이연헤지손익</t>
        </is>
      </c>
      <c r="C169" s="20" t="n">
        <v>0</v>
      </c>
    </row>
    <row r="170">
      <c r="A170" s="18" t="inlineStr">
        <is>
          <t>해외사업환산조정</t>
        </is>
      </c>
      <c r="C170" s="20" t="n">
        <v>664</v>
      </c>
      <c r="D170" s="20" t="n">
        <v>-706</v>
      </c>
      <c r="E170" s="20" t="n">
        <v>1208</v>
      </c>
      <c r="F170" s="20" t="n">
        <v>1752</v>
      </c>
      <c r="G170" s="20" t="n">
        <v>-2066</v>
      </c>
      <c r="H170" s="20" t="n">
        <v>1629</v>
      </c>
      <c r="I170" s="20" t="n">
        <v>-1465</v>
      </c>
      <c r="J170" s="20" t="n">
        <v>80</v>
      </c>
      <c r="K170" s="20" t="n">
        <v>841</v>
      </c>
      <c r="L170" s="20" t="n">
        <v>1907</v>
      </c>
      <c r="M170" s="20" t="n">
        <v>609</v>
      </c>
      <c r="N170" s="20" t="n">
        <v>727</v>
      </c>
      <c r="T170" s="20" t="n">
        <v>1364</v>
      </c>
      <c r="U170" s="20" t="n">
        <v>388</v>
      </c>
      <c r="V170" s="20" t="n">
        <v>1208</v>
      </c>
      <c r="W170" s="20" t="n">
        <v>-1465</v>
      </c>
      <c r="X170" s="20" t="n">
        <v>609</v>
      </c>
    </row>
    <row r="171">
      <c r="A171" s="18" t="inlineStr">
        <is>
          <t>퇴직급여 조정액</t>
        </is>
      </c>
      <c r="C171" s="20" t="n">
        <v>54</v>
      </c>
      <c r="D171" s="20" t="n">
        <v>54</v>
      </c>
      <c r="E171" s="20" t="n">
        <v>-10</v>
      </c>
      <c r="F171" s="20" t="n">
        <v>39</v>
      </c>
      <c r="G171" s="20" t="n">
        <v>39</v>
      </c>
      <c r="H171" s="20" t="n">
        <v>39</v>
      </c>
      <c r="I171" s="20" t="n">
        <v>12</v>
      </c>
      <c r="J171" s="20" t="n">
        <v>51</v>
      </c>
      <c r="K171" s="20" t="n">
        <v>51</v>
      </c>
      <c r="L171" s="20" t="n">
        <v>51</v>
      </c>
      <c r="M171" s="20" t="n">
        <v>5783</v>
      </c>
      <c r="N171" s="20" t="n">
        <v>-52</v>
      </c>
      <c r="T171" s="20" t="n">
        <v>-127</v>
      </c>
      <c r="U171" s="20" t="n">
        <v>216</v>
      </c>
      <c r="V171" s="20" t="n">
        <v>-10</v>
      </c>
      <c r="W171" s="20" t="n">
        <v>12</v>
      </c>
      <c r="X171" s="20" t="n">
        <v>5783</v>
      </c>
    </row>
    <row r="172">
      <c r="A172" s="18" t="inlineStr">
        <is>
          <t>지분법 적용회사 지분 해당액</t>
        </is>
      </c>
      <c r="T172" s="20" t="n">
        <v>1</v>
      </c>
      <c r="U172" s="20" t="n">
        <v>0</v>
      </c>
    </row>
    <row r="173">
      <c r="A173" s="18" t="inlineStr">
        <is>
          <t>기타포괄손익 합계</t>
        </is>
      </c>
      <c r="C173" s="20" t="n">
        <v>2205</v>
      </c>
      <c r="D173" s="20" t="n">
        <v>-748</v>
      </c>
      <c r="E173" s="20" t="n">
        <v>4557</v>
      </c>
      <c r="F173" s="20" t="n">
        <v>903</v>
      </c>
      <c r="G173" s="20" t="n">
        <v>-3808</v>
      </c>
      <c r="H173" s="20" t="n">
        <v>2773</v>
      </c>
      <c r="I173" s="20" t="n">
        <v>-2105</v>
      </c>
      <c r="J173" s="20" t="n">
        <v>1734</v>
      </c>
      <c r="K173" s="20" t="n">
        <v>4022</v>
      </c>
      <c r="L173" s="20" t="n">
        <v>5278</v>
      </c>
      <c r="M173" s="20" t="n">
        <v>7739</v>
      </c>
      <c r="N173" s="20" t="n">
        <v>2357</v>
      </c>
      <c r="T173" s="20" t="n">
        <v>918</v>
      </c>
      <c r="U173" s="20" t="n">
        <v>595</v>
      </c>
      <c r="V173" s="20" t="n">
        <v>4557</v>
      </c>
      <c r="W173" s="20" t="n">
        <v>-2105</v>
      </c>
      <c r="X173" s="20" t="n">
        <v>7739</v>
      </c>
    </row>
    <row r="174">
      <c r="A174" s="9" t="inlineStr">
        <is>
          <t>포괄이익</t>
        </is>
      </c>
      <c r="C174" s="12" t="n">
        <v>2692</v>
      </c>
      <c r="D174" s="12" t="n">
        <v>2545</v>
      </c>
      <c r="E174" s="12" t="n">
        <v>14246</v>
      </c>
      <c r="F174" s="12" t="n">
        <v>1949</v>
      </c>
      <c r="G174" s="12" t="n">
        <v>-2739</v>
      </c>
      <c r="H174" s="12" t="n">
        <v>6841</v>
      </c>
      <c r="I174" s="12" t="n">
        <v>10585</v>
      </c>
      <c r="J174" s="12" t="n">
        <v>2208</v>
      </c>
      <c r="K174" s="12" t="n">
        <v>5658</v>
      </c>
      <c r="L174" s="12" t="n">
        <v>12988</v>
      </c>
      <c r="M174" s="12" t="n">
        <v>21924</v>
      </c>
      <c r="N174" s="12" t="n">
        <v>7455</v>
      </c>
      <c r="T174" s="12" t="n">
        <v>8998</v>
      </c>
      <c r="U174" s="12" t="n">
        <v>10484</v>
      </c>
      <c r="V174" s="12" t="n">
        <v>14246</v>
      </c>
      <c r="W174" s="12" t="n">
        <v>10585</v>
      </c>
      <c r="X174" s="12" t="n">
        <v>21924</v>
      </c>
    </row>
    <row r="175">
      <c r="A175" s="9" t="inlineStr">
        <is>
          <t>지배주주 포괄이익</t>
        </is>
      </c>
      <c r="C175" s="12" t="n">
        <v>2685</v>
      </c>
      <c r="D175" s="12" t="n">
        <v>2508</v>
      </c>
      <c r="E175" s="12" t="n">
        <v>14120</v>
      </c>
      <c r="F175" s="12" t="n">
        <v>1902</v>
      </c>
      <c r="G175" s="12" t="n">
        <v>-2736</v>
      </c>
      <c r="H175" s="12" t="n">
        <v>6589</v>
      </c>
      <c r="I175" s="12" t="n">
        <v>10476</v>
      </c>
      <c r="J175" s="12" t="n">
        <v>2193</v>
      </c>
      <c r="K175" s="12" t="n">
        <v>5557</v>
      </c>
      <c r="L175" s="12" t="n">
        <v>12847</v>
      </c>
      <c r="M175" s="12" t="n">
        <v>21733</v>
      </c>
      <c r="N175" s="12" t="n">
        <v>7417</v>
      </c>
      <c r="T175" s="12" t="n">
        <v>8831</v>
      </c>
      <c r="U175" s="12" t="n">
        <v>10301</v>
      </c>
      <c r="V175" s="12" t="n">
        <v>14120</v>
      </c>
      <c r="W175" s="12" t="n">
        <v>10476</v>
      </c>
      <c r="X175" s="12" t="n">
        <v>21733</v>
      </c>
    </row>
    <row r="176">
      <c r="A176" s="9" t="inlineStr">
        <is>
          <t>비지배주주 포괄이익</t>
        </is>
      </c>
      <c r="C176" s="12" t="n">
        <v>5</v>
      </c>
      <c r="D176" s="12" t="n">
        <v>38</v>
      </c>
      <c r="E176" s="12" t="n">
        <v>126</v>
      </c>
      <c r="F176" s="12" t="n">
        <v>47</v>
      </c>
      <c r="G176" s="12" t="n">
        <v>-3</v>
      </c>
      <c r="H176" s="12" t="n">
        <v>251</v>
      </c>
      <c r="I176" s="12" t="n">
        <v>110</v>
      </c>
      <c r="J176" s="12" t="n">
        <v>15</v>
      </c>
      <c r="K176" s="12" t="n">
        <v>100</v>
      </c>
      <c r="L176" s="12" t="n">
        <v>142</v>
      </c>
      <c r="M176" s="12" t="n">
        <v>191</v>
      </c>
      <c r="N176" s="12" t="n">
        <v>38</v>
      </c>
      <c r="T176" s="12" t="n">
        <v>167</v>
      </c>
      <c r="U176" s="12" t="n">
        <v>183</v>
      </c>
      <c r="V176" s="12" t="n">
        <v>126</v>
      </c>
      <c r="W176" s="12" t="n">
        <v>110</v>
      </c>
      <c r="X176" s="12" t="n">
        <v>191</v>
      </c>
    </row>
    <row r="178">
      <c r="A178" s="16" t="inlineStr">
        <is>
          <t>부문 · 전 항목</t>
        </is>
      </c>
      <c r="B178" s="42" t="inlineStr">
        <is>
          <t>부문 · 항목</t>
        </is>
      </c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</row>
    <row r="179">
      <c r="A179" s="5" t="inlineStr">
        <is>
          <t>항목</t>
        </is>
      </c>
      <c r="B179" s="5" t="inlineStr">
        <is>
          <t>참고</t>
        </is>
      </c>
      <c r="C179" s="5" t="inlineStr">
        <is>
          <t>2024.2Q</t>
        </is>
      </c>
      <c r="D179" s="5" t="inlineStr">
        <is>
          <t>2024.3Q</t>
        </is>
      </c>
      <c r="E179" s="5" t="inlineStr">
        <is>
          <t>2024.4Q</t>
        </is>
      </c>
      <c r="F179" s="5" t="inlineStr">
        <is>
          <t>2025.1Q</t>
        </is>
      </c>
      <c r="G179" s="5" t="inlineStr">
        <is>
          <t>2025.2Q</t>
        </is>
      </c>
      <c r="H179" s="5" t="inlineStr">
        <is>
          <t>2025.3Q</t>
        </is>
      </c>
      <c r="I179" s="5" t="inlineStr">
        <is>
          <t>2025.4Q</t>
        </is>
      </c>
      <c r="J179" s="5" t="inlineStr">
        <is>
          <t>2026.1Q</t>
        </is>
      </c>
      <c r="K179" s="5" t="inlineStr">
        <is>
          <t>2026.2Q</t>
        </is>
      </c>
      <c r="L179" s="5" t="inlineStr">
        <is>
          <t>2026.3Q</t>
        </is>
      </c>
      <c r="M179" s="5" t="inlineStr">
        <is>
          <t>2026.4Q</t>
        </is>
      </c>
      <c r="N179" s="5" t="inlineStr">
        <is>
          <t>2027.1Q</t>
        </is>
      </c>
      <c r="O179" s="5" t="inlineStr">
        <is>
          <t>2017</t>
        </is>
      </c>
      <c r="P179" s="5" t="inlineStr">
        <is>
          <t>2018</t>
        </is>
      </c>
      <c r="Q179" s="5" t="inlineStr">
        <is>
          <t>2019</t>
        </is>
      </c>
      <c r="R179" s="5" t="inlineStr">
        <is>
          <t>2020</t>
        </is>
      </c>
      <c r="S179" s="5" t="inlineStr">
        <is>
          <t>2021</t>
        </is>
      </c>
      <c r="T179" s="5" t="inlineStr">
        <is>
          <t>2022</t>
        </is>
      </c>
      <c r="U179" s="5" t="inlineStr">
        <is>
          <t>2023</t>
        </is>
      </c>
      <c r="V179" s="5" t="inlineStr">
        <is>
          <t>2024</t>
        </is>
      </c>
      <c r="W179" s="5" t="inlineStr">
        <is>
          <t>2025</t>
        </is>
      </c>
      <c r="X179" s="5" t="inlineStr">
        <is>
          <t>2026</t>
        </is>
      </c>
      <c r="Y179" s="5" t="inlineStr">
        <is>
          <t>2027(MW)</t>
        </is>
      </c>
      <c r="Z179" s="5" t="inlineStr">
        <is>
          <t>2028(MW)</t>
        </is>
      </c>
      <c r="AA179" s="5" t="inlineStr">
        <is>
          <t>2029(MW)</t>
        </is>
      </c>
      <c r="AB179" s="5" t="inlineStr">
        <is>
          <t>2030(MW)</t>
        </is>
      </c>
      <c r="AC179" s="5" t="inlineStr">
        <is>
          <t>2031(MW)</t>
        </is>
      </c>
    </row>
    <row r="180">
      <c r="A180" s="18" t="inlineStr">
        <is>
          <t>PowerInfrastrucutureBusinessReportableSegmentMember · 외부 고객 매출</t>
        </is>
      </c>
      <c r="C180" s="20" t="n">
        <v>17978</v>
      </c>
      <c r="D180" s="20" t="n">
        <v>21473</v>
      </c>
      <c r="E180" s="20" t="n">
        <v>25199</v>
      </c>
      <c r="F180" s="20" t="n">
        <v>18257</v>
      </c>
      <c r="G180" s="20" t="n">
        <v>16573</v>
      </c>
      <c r="H180" s="20" t="n">
        <v>23506</v>
      </c>
      <c r="I180" s="20" t="n">
        <v>27081</v>
      </c>
      <c r="J180" s="20" t="n">
        <v>19521</v>
      </c>
      <c r="K180" s="20" t="n">
        <v>23576</v>
      </c>
      <c r="L180" s="20" t="n">
        <v>25971</v>
      </c>
      <c r="M180" s="20" t="n">
        <v>31227</v>
      </c>
      <c r="N180" s="20" t="n">
        <v>27487</v>
      </c>
      <c r="V180" s="20" t="n">
        <v>25199</v>
      </c>
      <c r="W180" s="20" t="n">
        <v>27081</v>
      </c>
      <c r="X180" s="20" t="n">
        <v>31227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PublicIndustrialAndCommercialSectorBusinessReportableSegmentMember · 외부 고객 매출</t>
        </is>
      </c>
      <c r="C182" s="20" t="n">
        <v>18823</v>
      </c>
      <c r="D182" s="20" t="n">
        <v>16182</v>
      </c>
      <c r="E182" s="20" t="n">
        <v>35342</v>
      </c>
      <c r="F182" s="20" t="n">
        <v>14636</v>
      </c>
      <c r="G182" s="20" t="n">
        <v>19721</v>
      </c>
      <c r="H182" s="20" t="n">
        <v>18234</v>
      </c>
      <c r="I182" s="20" t="n">
        <v>38026</v>
      </c>
      <c r="J182" s="20" t="n">
        <v>14130</v>
      </c>
      <c r="K182" s="20" t="n">
        <v>20641</v>
      </c>
      <c r="L182" s="20" t="n">
        <v>20795</v>
      </c>
      <c r="M182" s="20" t="n">
        <v>41036</v>
      </c>
      <c r="N182" s="20" t="n">
        <v>18975</v>
      </c>
      <c r="V182" s="20" t="n">
        <v>35342</v>
      </c>
      <c r="W182" s="20" t="n">
        <v>38026</v>
      </c>
      <c r="X182" s="20" t="n">
        <v>41036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L183" s="15">
        <f>IF(OR(L182="",H182=""),"",IF(H182&lt;=0,"",IFERROR(L182/H182-1,"")))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MobilityAndElectricalComponentsBusinessReportableSegmentMember · 외부 고객 매출</t>
        </is>
      </c>
      <c r="C184" s="20" t="n">
        <v>19379</v>
      </c>
      <c r="D184" s="20" t="n">
        <v>17117</v>
      </c>
      <c r="E184" s="20" t="n">
        <v>21696</v>
      </c>
      <c r="F184" s="20" t="n">
        <v>14289</v>
      </c>
      <c r="G184" s="20" t="n">
        <v>17719</v>
      </c>
      <c r="H184" s="20" t="n">
        <v>18446</v>
      </c>
      <c r="I184" s="20" t="n">
        <v>20019</v>
      </c>
      <c r="J184" s="20" t="n">
        <v>15158</v>
      </c>
      <c r="K184" s="20" t="n">
        <v>17406</v>
      </c>
      <c r="L184" s="20" t="n">
        <v>13928</v>
      </c>
      <c r="M184" s="20" t="n">
        <v>21341</v>
      </c>
      <c r="N184" s="20" t="n">
        <v>17190</v>
      </c>
      <c r="V184" s="20" t="n">
        <v>21696</v>
      </c>
      <c r="W184" s="20" t="n">
        <v>20019</v>
      </c>
      <c r="X184" s="20" t="n">
        <v>21341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V185" s="15">
        <f>IF(OR(V184="",U184=""),"",IF(U184&lt;=0,"",IFERROR(V184/U184-1,"")))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FieldServiceEngineeringBusinessReportableSegmentMember · 외부 고객 매출</t>
        </is>
      </c>
      <c r="C186" s="20" t="n">
        <v>7278</v>
      </c>
      <c r="D186" s="20" t="n">
        <v>7877</v>
      </c>
      <c r="E186" s="20" t="n">
        <v>19470</v>
      </c>
      <c r="F186" s="20" t="n">
        <v>6140</v>
      </c>
      <c r="G186" s="20" t="n">
        <v>9524</v>
      </c>
      <c r="H186" s="20" t="n">
        <v>9173</v>
      </c>
      <c r="I186" s="20" t="n">
        <v>22842</v>
      </c>
      <c r="J186" s="20" t="n">
        <v>7927</v>
      </c>
      <c r="K186" s="20" t="n">
        <v>9475</v>
      </c>
      <c r="L186" s="20" t="n">
        <v>10271</v>
      </c>
      <c r="M186" s="20" t="n">
        <v>26828</v>
      </c>
      <c r="N186" s="20" t="n">
        <v>8302</v>
      </c>
      <c r="V186" s="20" t="n">
        <v>19470</v>
      </c>
      <c r="W186" s="20" t="n">
        <v>22842</v>
      </c>
      <c r="X186" s="20" t="n">
        <v>26828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RealEstateReportableSegmentMember · 외부 고객 매출</t>
        </is>
      </c>
      <c r="F188" s="20" t="n">
        <v>798</v>
      </c>
      <c r="J188" s="20" t="n">
        <v>799</v>
      </c>
      <c r="N188" s="20" t="n">
        <v>801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J189" s="15">
        <f>IF(OR(J188="",F188=""),"",IF(F188&lt;=0,"",IFERROR(J188/F188-1,"")))</f>
        <v/>
      </c>
      <c r="N189" s="15">
        <f>IF(OR(N188="",J188=""),"",IF(J188&lt;=0,"",IFERROR(N188/J188-1,"")))</f>
        <v/>
      </c>
    </row>
    <row r="190">
      <c r="A190" s="18" t="inlineStr">
        <is>
          <t>보고부문 합계 · 외부 고객 매출</t>
        </is>
      </c>
      <c r="C190" s="20" t="n">
        <v>64255</v>
      </c>
      <c r="D190" s="20" t="n">
        <v>63448</v>
      </c>
      <c r="E190" s="20" t="n">
        <v>102504</v>
      </c>
      <c r="F190" s="20" t="n">
        <v>54123</v>
      </c>
      <c r="G190" s="20" t="n">
        <v>64335</v>
      </c>
      <c r="H190" s="20" t="n">
        <v>70159</v>
      </c>
      <c r="I190" s="20" t="n">
        <v>108768</v>
      </c>
      <c r="J190" s="20" t="n">
        <v>57537</v>
      </c>
      <c r="K190" s="20" t="n">
        <v>71896</v>
      </c>
      <c r="L190" s="20" t="n">
        <v>71763</v>
      </c>
      <c r="M190" s="20" t="n">
        <v>121232</v>
      </c>
      <c r="N190" s="20" t="n">
        <v>72756</v>
      </c>
      <c r="V190" s="20" t="n">
        <v>102504</v>
      </c>
      <c r="W190" s="20" t="n">
        <v>108768</v>
      </c>
      <c r="X190" s="20" t="n">
        <v>121232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기타 · 외부 고객 매출</t>
        </is>
      </c>
      <c r="C192" s="20" t="n">
        <v>1259</v>
      </c>
      <c r="D192" s="20" t="n">
        <v>1423</v>
      </c>
      <c r="E192" s="20" t="n">
        <v>1459</v>
      </c>
      <c r="F192" s="20" t="n">
        <v>851</v>
      </c>
      <c r="G192" s="20" t="n">
        <v>789</v>
      </c>
      <c r="H192" s="20" t="n">
        <v>825</v>
      </c>
      <c r="I192" s="20" t="n">
        <v>1251</v>
      </c>
      <c r="J192" s="20" t="n">
        <v>853</v>
      </c>
      <c r="K192" s="20" t="n">
        <v>855</v>
      </c>
      <c r="L192" s="20" t="n">
        <v>950</v>
      </c>
      <c r="M192" s="20" t="n">
        <v>1108</v>
      </c>
      <c r="N192" s="20" t="n">
        <v>655</v>
      </c>
      <c r="V192" s="20" t="n">
        <v>1459</v>
      </c>
      <c r="W192" s="20" t="n">
        <v>1251</v>
      </c>
      <c r="X192" s="20" t="n">
        <v>1108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IF(OR(G192="",C192=""),"",IF(C192&lt;=0,"",IFERROR(G192/C192-1,"")))</f>
        <v/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K193" s="15">
        <f>IF(OR(K192="",G192=""),"",IF(G192&lt;=0,"",IFERROR(K192/G192-1,"")))</f>
        <v/>
      </c>
      <c r="L193" s="15">
        <f>IF(OR(L192="",H192=""),"",IF(H192&lt;=0,"",IFERROR(L192/H192-1,"")))</f>
        <v/>
      </c>
      <c r="M193" s="15">
        <f>IF(OR(M192="",I192=""),"",IF(I192&lt;=0,"",IFERROR(M192/I192-1,"")))</f>
        <v/>
      </c>
      <c r="N193" s="15">
        <f>IF(OR(N192="",J192=""),"",IF(J192&lt;=0,"",IFERROR(N192/J192-1,"")))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18" t="inlineStr">
        <is>
          <t>합계 · 외부 고객 매출</t>
        </is>
      </c>
      <c r="C194" s="20" t="n">
        <v>65515</v>
      </c>
      <c r="D194" s="20" t="n">
        <v>64871</v>
      </c>
      <c r="E194" s="20" t="n">
        <v>103962</v>
      </c>
      <c r="F194" s="20" t="n">
        <v>54975</v>
      </c>
      <c r="G194" s="20" t="n">
        <v>65124</v>
      </c>
      <c r="H194" s="20" t="n">
        <v>70984</v>
      </c>
      <c r="I194" s="20" t="n">
        <v>110018</v>
      </c>
      <c r="J194" s="20" t="n">
        <v>58390</v>
      </c>
      <c r="K194" s="20" t="n">
        <v>72752</v>
      </c>
      <c r="L194" s="20" t="n">
        <v>72713</v>
      </c>
      <c r="M194" s="20" t="n">
        <v>122339</v>
      </c>
      <c r="N194" s="20" t="n">
        <v>73412</v>
      </c>
      <c r="V194" s="20" t="n">
        <v>103962</v>
      </c>
      <c r="W194" s="20" t="n">
        <v>110018</v>
      </c>
      <c r="X194" s="20" t="n">
        <v>122339</v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IF(OR(G194="",C194=""),"",IF(C194&lt;=0,"",IFERROR(G194/C194-1,"")))</f>
        <v/>
      </c>
      <c r="H195" s="15">
        <f>IF(OR(H194="",D194=""),"",IF(D194&lt;=0,"",IFERROR(H194/D194-1,"")))</f>
        <v/>
      </c>
      <c r="I195" s="15">
        <f>IF(OR(I194="",E194=""),"",IF(E194&lt;=0,"",IFERROR(I194/E194-1,"")))</f>
        <v/>
      </c>
      <c r="J195" s="15">
        <f>IF(OR(J194="",F194=""),"",IF(F194&lt;=0,"",IFERROR(J194/F194-1,"")))</f>
        <v/>
      </c>
      <c r="K195" s="15">
        <f>IF(OR(K194="",G194=""),"",IF(G194&lt;=0,"",IFERROR(K194/G194-1,"")))</f>
        <v/>
      </c>
      <c r="L195" s="15">
        <f>IF(OR(L194="",H194=""),"",IF(H194&lt;=0,"",IFERROR(L194/H194-1,"")))</f>
        <v/>
      </c>
      <c r="M195" s="15">
        <f>IF(OR(M194="",I194=""),"",IF(I194&lt;=0,"",IFERROR(M194/I194-1,"")))</f>
        <v/>
      </c>
      <c r="N195" s="15">
        <f>IF(OR(N194="",J194=""),"",IF(J194&lt;=0,"",IFERROR(N194/J194-1,"")))</f>
        <v/>
      </c>
      <c r="V195" s="15">
        <f>IF(OR(V194="",U194=""),"",IF(U194&lt;=0,"",IFERROR(V194/U194-1,"")))</f>
        <v/>
      </c>
      <c r="W195" s="15">
        <f>IF(OR(W194="",V194=""),"",IF(V194&lt;=0,"",IFERROR(W194/V194-1,"")))</f>
        <v/>
      </c>
      <c r="X195" s="15">
        <f>IF(OR(X194="",W194=""),"",IF(W194&lt;=0,"",IFERROR(X194/W194-1,"")))</f>
        <v/>
      </c>
    </row>
    <row r="196">
      <c r="A196" s="18" t="inlineStr">
        <is>
          <t>조정액 · 외부 고객 매출</t>
        </is>
      </c>
      <c r="C196" s="20" t="n">
        <v>0</v>
      </c>
      <c r="D196" s="20" t="n">
        <v>0</v>
      </c>
      <c r="E196" s="20" t="n">
        <v>0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0</v>
      </c>
      <c r="K196" s="20" t="n">
        <v>0</v>
      </c>
      <c r="L196" s="20" t="n">
        <v>0</v>
      </c>
      <c r="M196" s="20" t="n">
        <v>0</v>
      </c>
      <c r="N196" s="20" t="n">
        <v>0</v>
      </c>
      <c r="V196" s="20" t="n">
        <v>0</v>
      </c>
      <c r="W196" s="20" t="n">
        <v>0</v>
      </c>
      <c r="X196" s="20" t="n">
        <v>0</v>
      </c>
    </row>
    <row r="197">
      <c r="A197" s="9" t="inlineStr">
        <is>
          <t>외부 고객 매출</t>
        </is>
      </c>
      <c r="C197" s="12" t="n">
        <v>65515</v>
      </c>
      <c r="D197" s="12" t="n">
        <v>64871</v>
      </c>
      <c r="E197" s="12" t="n">
        <v>103962</v>
      </c>
      <c r="F197" s="12" t="n">
        <v>54975</v>
      </c>
      <c r="G197" s="12" t="n">
        <v>65124</v>
      </c>
      <c r="H197" s="12" t="n">
        <v>70984</v>
      </c>
      <c r="I197" s="12" t="n">
        <v>110018</v>
      </c>
      <c r="V197" s="12" t="n">
        <v>103962</v>
      </c>
      <c r="W197" s="12" t="n">
        <v>110018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IF(OR(G197="",C197=""),"",IF(C197&lt;=0,"",IFERROR(G197/C197-1,"")))</f>
        <v/>
      </c>
      <c r="H198" s="15">
        <f>IF(OR(H197="",D197=""),"",IF(D197&lt;=0,"",IFERROR(H197/D197-1,"")))</f>
        <v/>
      </c>
      <c r="I198" s="15">
        <f>IF(OR(I197="",E197=""),"",IF(E197&lt;=0,"",IFERROR(I197/E197-1,"")))</f>
        <v/>
      </c>
      <c r="V198" s="15">
        <f>IF(OR(V197="",U197=""),"",IF(U197&lt;=0,"",IFERROR(V197/U197-1,"")))</f>
        <v/>
      </c>
      <c r="W198" s="15">
        <f>IF(OR(W197="",V197=""),"",IF(V197&lt;=0,"",IFERROR(W197/V197-1,"")))</f>
        <v/>
      </c>
    </row>
    <row r="199">
      <c r="A199" s="18" t="inlineStr">
        <is>
          <t>EntityTotalMember · 외부 고객 매출</t>
        </is>
      </c>
      <c r="F199" s="20" t="n">
        <v>54975</v>
      </c>
      <c r="J199" s="20" t="n">
        <v>58390</v>
      </c>
      <c r="N199" s="20" t="n">
        <v>73412</v>
      </c>
    </row>
    <row r="200">
      <c r="A200" s="18" t="inlineStr">
        <is>
          <t>PowerInfrastrucutureBusinessReportableSegmentMember · 부문 간 내부매출·대체</t>
        </is>
      </c>
      <c r="C200" s="20" t="n">
        <v>196</v>
      </c>
      <c r="D200" s="20" t="n">
        <v>108</v>
      </c>
      <c r="E200" s="20" t="n">
        <v>256</v>
      </c>
      <c r="F200" s="20" t="n">
        <v>200</v>
      </c>
      <c r="G200" s="20" t="n">
        <v>143</v>
      </c>
      <c r="H200" s="20" t="n">
        <v>534</v>
      </c>
      <c r="I200" s="20" t="n">
        <v>143</v>
      </c>
      <c r="J200" s="20" t="n">
        <v>194</v>
      </c>
      <c r="K200" s="20" t="n">
        <v>79</v>
      </c>
      <c r="L200" s="20" t="n">
        <v>127</v>
      </c>
      <c r="M200" s="20" t="n">
        <v>148</v>
      </c>
      <c r="N200" s="20" t="n">
        <v>87</v>
      </c>
      <c r="V200" s="20" t="n">
        <v>256</v>
      </c>
      <c r="W200" s="20" t="n">
        <v>143</v>
      </c>
      <c r="X200" s="20" t="n">
        <v>148</v>
      </c>
    </row>
    <row r="201">
      <c r="A201" s="18" t="inlineStr">
        <is>
          <t>PublicIndustrialAndCommercialSectorBusinessReportableSegmentMember · 부문 간 내부매출·대체</t>
        </is>
      </c>
      <c r="C201" s="20" t="n">
        <v>930</v>
      </c>
      <c r="D201" s="20" t="n">
        <v>755</v>
      </c>
      <c r="E201" s="20" t="n">
        <v>1003</v>
      </c>
      <c r="F201" s="20" t="n">
        <v>600</v>
      </c>
      <c r="G201" s="20" t="n">
        <v>2331</v>
      </c>
      <c r="H201" s="20" t="n">
        <v>684</v>
      </c>
      <c r="I201" s="20" t="n">
        <v>2090</v>
      </c>
      <c r="J201" s="20" t="n">
        <v>940</v>
      </c>
      <c r="K201" s="20" t="n">
        <v>2718</v>
      </c>
      <c r="L201" s="20" t="n">
        <v>1604</v>
      </c>
      <c r="M201" s="20" t="n">
        <v>2691</v>
      </c>
      <c r="N201" s="20" t="n">
        <v>1149</v>
      </c>
      <c r="V201" s="20" t="n">
        <v>1003</v>
      </c>
      <c r="W201" s="20" t="n">
        <v>2090</v>
      </c>
      <c r="X201" s="20" t="n">
        <v>2691</v>
      </c>
    </row>
    <row r="202">
      <c r="A202" s="18" t="inlineStr">
        <is>
          <t>MobilityAndElectricalComponentsBusinessReportableSegmentMember · 부문 간 내부매출·대체</t>
        </is>
      </c>
      <c r="C202" s="20" t="n">
        <v>472</v>
      </c>
      <c r="D202" s="20" t="n">
        <v>505</v>
      </c>
      <c r="E202" s="20" t="n">
        <v>750</v>
      </c>
      <c r="F202" s="20" t="n">
        <v>214</v>
      </c>
      <c r="G202" s="20" t="n">
        <v>420</v>
      </c>
      <c r="H202" s="20" t="n">
        <v>461</v>
      </c>
      <c r="I202" s="20" t="n">
        <v>510</v>
      </c>
      <c r="J202" s="20" t="n">
        <v>220</v>
      </c>
      <c r="K202" s="20" t="n">
        <v>284</v>
      </c>
      <c r="L202" s="20" t="n">
        <v>374</v>
      </c>
      <c r="M202" s="20" t="n">
        <v>597</v>
      </c>
      <c r="N202" s="20" t="n">
        <v>232</v>
      </c>
      <c r="V202" s="20" t="n">
        <v>750</v>
      </c>
      <c r="W202" s="20" t="n">
        <v>510</v>
      </c>
      <c r="X202" s="20" t="n">
        <v>597</v>
      </c>
    </row>
    <row r="203">
      <c r="A203" s="18" t="inlineStr">
        <is>
          <t>FieldServiceEngineeringBusinessReportableSegmentMember · 부문 간 내부매출·대체</t>
        </is>
      </c>
      <c r="C203" s="20" t="n">
        <v>469</v>
      </c>
      <c r="D203" s="20" t="n">
        <v>487</v>
      </c>
      <c r="E203" s="20" t="n">
        <v>369</v>
      </c>
      <c r="F203" s="20" t="n">
        <v>475</v>
      </c>
      <c r="G203" s="20" t="n">
        <v>540</v>
      </c>
      <c r="H203" s="20" t="n">
        <v>347</v>
      </c>
      <c r="I203" s="20" t="n">
        <v>525</v>
      </c>
      <c r="J203" s="20" t="n">
        <v>731</v>
      </c>
      <c r="K203" s="20" t="n">
        <v>487</v>
      </c>
      <c r="L203" s="20" t="n">
        <v>600</v>
      </c>
      <c r="M203" s="20" t="n">
        <v>688</v>
      </c>
      <c r="N203" s="20" t="n">
        <v>965</v>
      </c>
      <c r="V203" s="20" t="n">
        <v>369</v>
      </c>
      <c r="W203" s="20" t="n">
        <v>525</v>
      </c>
      <c r="X203" s="20" t="n">
        <v>688</v>
      </c>
    </row>
    <row r="204">
      <c r="A204" s="18" t="inlineStr">
        <is>
          <t>RealEstateReportableSegmentMember · 부문 간 내부매출·대체</t>
        </is>
      </c>
      <c r="F204" s="20" t="n">
        <v>9</v>
      </c>
      <c r="J204" s="20" t="n">
        <v>9</v>
      </c>
      <c r="N204" s="20" t="n">
        <v>9</v>
      </c>
    </row>
    <row r="205">
      <c r="A205" s="18" t="inlineStr">
        <is>
          <t>보고부문 합계 · 부문 간 내부매출·대체</t>
        </is>
      </c>
      <c r="C205" s="20" t="n">
        <v>2079</v>
      </c>
      <c r="D205" s="20" t="n">
        <v>1864</v>
      </c>
      <c r="E205" s="20" t="n">
        <v>2386</v>
      </c>
      <c r="F205" s="20" t="n">
        <v>1500</v>
      </c>
      <c r="G205" s="20" t="n">
        <v>3443</v>
      </c>
      <c r="H205" s="20" t="n">
        <v>2035</v>
      </c>
      <c r="I205" s="20" t="n">
        <v>3278</v>
      </c>
      <c r="J205" s="20" t="n">
        <v>2096</v>
      </c>
      <c r="K205" s="20" t="n">
        <v>3577</v>
      </c>
      <c r="L205" s="20" t="n">
        <v>2715</v>
      </c>
      <c r="M205" s="20" t="n">
        <v>4133</v>
      </c>
      <c r="N205" s="20" t="n">
        <v>2444</v>
      </c>
      <c r="V205" s="20" t="n">
        <v>2386</v>
      </c>
      <c r="W205" s="20" t="n">
        <v>3278</v>
      </c>
      <c r="X205" s="20" t="n">
        <v>4133</v>
      </c>
    </row>
    <row r="206">
      <c r="A206" s="18" t="inlineStr">
        <is>
          <t>기타 · 부문 간 내부매출·대체</t>
        </is>
      </c>
      <c r="C206" s="20" t="n">
        <v>1382</v>
      </c>
      <c r="D206" s="20" t="n">
        <v>1247</v>
      </c>
      <c r="E206" s="20" t="n">
        <v>1351</v>
      </c>
      <c r="F206" s="20" t="n">
        <v>1030</v>
      </c>
      <c r="G206" s="20" t="n">
        <v>1198</v>
      </c>
      <c r="H206" s="20" t="n">
        <v>1314</v>
      </c>
      <c r="I206" s="20" t="n">
        <v>1414</v>
      </c>
      <c r="J206" s="20" t="n">
        <v>1180</v>
      </c>
      <c r="K206" s="20" t="n">
        <v>1301</v>
      </c>
      <c r="L206" s="20" t="n">
        <v>1144</v>
      </c>
      <c r="M206" s="20" t="n">
        <v>1529</v>
      </c>
      <c r="N206" s="20" t="n">
        <v>1151</v>
      </c>
      <c r="V206" s="20" t="n">
        <v>1351</v>
      </c>
      <c r="W206" s="20" t="n">
        <v>1414</v>
      </c>
      <c r="X206" s="20" t="n">
        <v>1529</v>
      </c>
    </row>
    <row r="207">
      <c r="A207" s="18" t="inlineStr">
        <is>
          <t>합계 · 부문 간 내부매출·대체</t>
        </is>
      </c>
      <c r="C207" s="20" t="n">
        <v>3460</v>
      </c>
      <c r="D207" s="20" t="n">
        <v>3111</v>
      </c>
      <c r="E207" s="20" t="n">
        <v>3737</v>
      </c>
      <c r="F207" s="20" t="n">
        <v>2530</v>
      </c>
      <c r="G207" s="20" t="n">
        <v>4642</v>
      </c>
      <c r="H207" s="20" t="n">
        <v>3349</v>
      </c>
      <c r="I207" s="20" t="n">
        <v>4692</v>
      </c>
      <c r="J207" s="20" t="n">
        <v>3277</v>
      </c>
      <c r="K207" s="20" t="n">
        <v>4877</v>
      </c>
      <c r="L207" s="20" t="n">
        <v>3860</v>
      </c>
      <c r="M207" s="20" t="n">
        <v>5662</v>
      </c>
      <c r="N207" s="20" t="n">
        <v>3596</v>
      </c>
      <c r="V207" s="20" t="n">
        <v>3737</v>
      </c>
      <c r="W207" s="20" t="n">
        <v>4692</v>
      </c>
      <c r="X207" s="20" t="n">
        <v>5662</v>
      </c>
    </row>
    <row r="208">
      <c r="A208" s="18" t="inlineStr">
        <is>
          <t>조정액 · 부문 간 내부매출·대체</t>
        </is>
      </c>
      <c r="C208" s="20" t="n">
        <v>-3460</v>
      </c>
      <c r="D208" s="20" t="n">
        <v>-3111</v>
      </c>
      <c r="E208" s="20" t="n">
        <v>-3737</v>
      </c>
      <c r="F208" s="20" t="n">
        <v>-2530</v>
      </c>
      <c r="G208" s="20" t="n">
        <v>-4642</v>
      </c>
      <c r="H208" s="20" t="n">
        <v>-3349</v>
      </c>
      <c r="I208" s="20" t="n">
        <v>-4692</v>
      </c>
      <c r="J208" s="20" t="n">
        <v>-3277</v>
      </c>
      <c r="K208" s="20" t="n">
        <v>-4877</v>
      </c>
      <c r="L208" s="20" t="n">
        <v>-3860</v>
      </c>
      <c r="M208" s="20" t="n">
        <v>-5662</v>
      </c>
      <c r="N208" s="20" t="n">
        <v>-3596</v>
      </c>
      <c r="V208" s="20" t="n">
        <v>-3737</v>
      </c>
      <c r="W208" s="20" t="n">
        <v>-4692</v>
      </c>
      <c r="X208" s="20" t="n">
        <v>-5662</v>
      </c>
    </row>
    <row r="209">
      <c r="A209" s="18" t="inlineStr">
        <is>
          <t>부문 간 내부매출·대체</t>
        </is>
      </c>
      <c r="C209" s="20" t="n">
        <v>0</v>
      </c>
      <c r="D209" s="20" t="n">
        <v>0</v>
      </c>
      <c r="E209" s="20" t="n">
        <v>0</v>
      </c>
      <c r="F209" s="20" t="n">
        <v>0</v>
      </c>
      <c r="G209" s="20" t="n">
        <v>0</v>
      </c>
      <c r="H209" s="20" t="n">
        <v>0</v>
      </c>
      <c r="I209" s="20" t="n">
        <v>0</v>
      </c>
      <c r="V209" s="20" t="n">
        <v>0</v>
      </c>
      <c r="W209" s="20" t="n">
        <v>0</v>
      </c>
    </row>
    <row r="210">
      <c r="A210" s="18" t="inlineStr">
        <is>
          <t>EntityTotalMember · 부문 간 내부매출·대체</t>
        </is>
      </c>
      <c r="F210" s="20" t="n">
        <v>0</v>
      </c>
      <c r="J210" s="20" t="n">
        <v>0</v>
      </c>
      <c r="N210" s="20" t="n">
        <v>0</v>
      </c>
    </row>
    <row r="211">
      <c r="A211" s="18" t="inlineStr">
        <is>
          <t>PowerInfrastrucutureBusinessReportableSegmentMember · 계</t>
        </is>
      </c>
      <c r="C211" s="20" t="n">
        <v>18173</v>
      </c>
      <c r="D211" s="20" t="n">
        <v>21581</v>
      </c>
      <c r="E211" s="20" t="n">
        <v>25455</v>
      </c>
      <c r="F211" s="20" t="n">
        <v>18458</v>
      </c>
      <c r="G211" s="20" t="n">
        <v>16715</v>
      </c>
      <c r="H211" s="20" t="n">
        <v>24040</v>
      </c>
      <c r="I211" s="20" t="n">
        <v>27224</v>
      </c>
      <c r="J211" s="20" t="n">
        <v>19715</v>
      </c>
      <c r="K211" s="20" t="n">
        <v>23656</v>
      </c>
      <c r="L211" s="20" t="n">
        <v>26097</v>
      </c>
      <c r="M211" s="20" t="n">
        <v>31376</v>
      </c>
      <c r="N211" s="20" t="n">
        <v>27574</v>
      </c>
      <c r="V211" s="20" t="n">
        <v>25455</v>
      </c>
      <c r="W211" s="20" t="n">
        <v>27224</v>
      </c>
      <c r="X211" s="20" t="n">
        <v>31376</v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G212" s="15">
        <f>IF(OR(G211="",C211=""),"",IF(C211&lt;=0,"",IFERROR(G211/C211-1,"")))</f>
        <v/>
      </c>
      <c r="H212" s="15">
        <f>IF(OR(H211="",D211=""),"",IF(D211&lt;=0,"",IFERROR(H211/D211-1,"")))</f>
        <v/>
      </c>
      <c r="I212" s="15">
        <f>IF(OR(I211="",E211=""),"",IF(E211&lt;=0,"",IFERROR(I211/E211-1,"")))</f>
        <v/>
      </c>
      <c r="J212" s="15">
        <f>IF(OR(J211="",F211=""),"",IF(F211&lt;=0,"",IFERROR(J211/F211-1,"")))</f>
        <v/>
      </c>
      <c r="K212" s="15">
        <f>IF(OR(K211="",G211=""),"",IF(G211&lt;=0,"",IFERROR(K211/G211-1,"")))</f>
        <v/>
      </c>
      <c r="L212" s="15">
        <f>IF(OR(L211="",H211=""),"",IF(H211&lt;=0,"",IFERROR(L211/H211-1,"")))</f>
        <v/>
      </c>
      <c r="M212" s="15">
        <f>IF(OR(M211="",I211=""),"",IF(I211&lt;=0,"",IFERROR(M211/I211-1,"")))</f>
        <v/>
      </c>
      <c r="N212" s="15">
        <f>IF(OR(N211="",J211=""),"",IF(J211&lt;=0,"",IFERROR(N211/J211-1,"")))</f>
        <v/>
      </c>
      <c r="V212" s="15">
        <f>IF(OR(V211="",U211=""),"",IF(U211&lt;=0,"",IFERROR(V211/U211-1,"")))</f>
        <v/>
      </c>
      <c r="W212" s="15">
        <f>IF(OR(W211="",V211=""),"",IF(V211&lt;=0,"",IFERROR(W211/V211-1,"")))</f>
        <v/>
      </c>
      <c r="X212" s="15">
        <f>IF(OR(X211="",W211=""),"",IF(W211&lt;=0,"",IFERROR(X211/W211-1,"")))</f>
        <v/>
      </c>
    </row>
    <row r="213">
      <c r="A213" s="18" t="inlineStr">
        <is>
          <t>PublicIndustrialAndCommercialSectorBusinessReportableSegmentMember · 계</t>
        </is>
      </c>
      <c r="C213" s="20" t="n">
        <v>19754</v>
      </c>
      <c r="D213" s="20" t="n">
        <v>16937</v>
      </c>
      <c r="E213" s="20" t="n">
        <v>36345</v>
      </c>
      <c r="F213" s="20" t="n">
        <v>15237</v>
      </c>
      <c r="G213" s="20" t="n">
        <v>22051</v>
      </c>
      <c r="H213" s="20" t="n">
        <v>18919</v>
      </c>
      <c r="I213" s="20" t="n">
        <v>40116</v>
      </c>
      <c r="J213" s="20" t="n">
        <v>15070</v>
      </c>
      <c r="K213" s="20" t="n">
        <v>23359</v>
      </c>
      <c r="L213" s="20" t="n">
        <v>22399</v>
      </c>
      <c r="M213" s="20" t="n">
        <v>43727</v>
      </c>
      <c r="N213" s="20" t="n">
        <v>20124</v>
      </c>
      <c r="V213" s="20" t="n">
        <v>36345</v>
      </c>
      <c r="W213" s="20" t="n">
        <v>40116</v>
      </c>
      <c r="X213" s="20" t="n">
        <v>43727</v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G214" s="15">
        <f>IF(OR(G213="",C213=""),"",IF(C213&lt;=0,"",IFERROR(G213/C213-1,"")))</f>
        <v/>
      </c>
      <c r="H214" s="15">
        <f>IF(OR(H213="",D213=""),"",IF(D213&lt;=0,"",IFERROR(H213/D213-1,"")))</f>
        <v/>
      </c>
      <c r="I214" s="15">
        <f>IF(OR(I213="",E213=""),"",IF(E213&lt;=0,"",IFERROR(I213/E213-1,"")))</f>
        <v/>
      </c>
      <c r="J214" s="15">
        <f>IF(OR(J213="",F213=""),"",IF(F213&lt;=0,"",IFERROR(J213/F213-1,"")))</f>
        <v/>
      </c>
      <c r="K214" s="15">
        <f>IF(OR(K213="",G213=""),"",IF(G213&lt;=0,"",IFERROR(K213/G213-1,"")))</f>
        <v/>
      </c>
      <c r="L214" s="15">
        <f>IF(OR(L213="",H213=""),"",IF(H213&lt;=0,"",IFERROR(L213/H213-1,"")))</f>
        <v/>
      </c>
      <c r="M214" s="15">
        <f>IF(OR(M213="",I213=""),"",IF(I213&lt;=0,"",IFERROR(M213/I213-1,"")))</f>
        <v/>
      </c>
      <c r="N214" s="15">
        <f>IF(OR(N213="",J213=""),"",IF(J213&lt;=0,"",IFERROR(N213/J213-1,"")))</f>
        <v/>
      </c>
      <c r="V214" s="15">
        <f>IF(OR(V213="",U213=""),"",IF(U213&lt;=0,"",IFERROR(V213/U213-1,"")))</f>
        <v/>
      </c>
      <c r="W214" s="15">
        <f>IF(OR(W213="",V213=""),"",IF(V213&lt;=0,"",IFERROR(W213/V213-1,"")))</f>
        <v/>
      </c>
      <c r="X214" s="15">
        <f>IF(OR(X213="",W213=""),"",IF(W213&lt;=0,"",IFERROR(X213/W213-1,"")))</f>
        <v/>
      </c>
    </row>
    <row r="215">
      <c r="A215" s="18" t="inlineStr">
        <is>
          <t>MobilityAndElectricalComponentsBusinessReportableSegmentMember · 계</t>
        </is>
      </c>
      <c r="C215" s="20" t="n">
        <v>19851</v>
      </c>
      <c r="D215" s="20" t="n">
        <v>17623</v>
      </c>
      <c r="E215" s="20" t="n">
        <v>22445</v>
      </c>
      <c r="F215" s="20" t="n">
        <v>14503</v>
      </c>
      <c r="G215" s="20" t="n">
        <v>18140</v>
      </c>
      <c r="H215" s="20" t="n">
        <v>18906</v>
      </c>
      <c r="I215" s="20" t="n">
        <v>20530</v>
      </c>
      <c r="J215" s="20" t="n">
        <v>15378</v>
      </c>
      <c r="K215" s="20" t="n">
        <v>17690</v>
      </c>
      <c r="L215" s="20" t="n">
        <v>14303</v>
      </c>
      <c r="M215" s="20" t="n">
        <v>21937</v>
      </c>
      <c r="N215" s="20" t="n">
        <v>17423</v>
      </c>
      <c r="V215" s="20" t="n">
        <v>22445</v>
      </c>
      <c r="W215" s="20" t="n">
        <v>20530</v>
      </c>
      <c r="X215" s="20" t="n">
        <v>21937</v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G216" s="15">
        <f>IF(OR(G215="",C215=""),"",IF(C215&lt;=0,"",IFERROR(G215/C215-1,"")))</f>
        <v/>
      </c>
      <c r="H216" s="15">
        <f>IF(OR(H215="",D215=""),"",IF(D215&lt;=0,"",IFERROR(H215/D215-1,"")))</f>
        <v/>
      </c>
      <c r="I216" s="15">
        <f>IF(OR(I215="",E215=""),"",IF(E215&lt;=0,"",IFERROR(I215/E215-1,"")))</f>
        <v/>
      </c>
      <c r="J216" s="15">
        <f>IF(OR(J215="",F215=""),"",IF(F215&lt;=0,"",IFERROR(J215/F215-1,"")))</f>
        <v/>
      </c>
      <c r="K216" s="15">
        <f>IF(OR(K215="",G215=""),"",IF(G215&lt;=0,"",IFERROR(K215/G215-1,"")))</f>
        <v/>
      </c>
      <c r="L216" s="15">
        <f>IF(OR(L215="",H215=""),"",IF(H215&lt;=0,"",IFERROR(L215/H215-1,"")))</f>
        <v/>
      </c>
      <c r="M216" s="15">
        <f>IF(OR(M215="",I215=""),"",IF(I215&lt;=0,"",IFERROR(M215/I215-1,"")))</f>
        <v/>
      </c>
      <c r="N216" s="15">
        <f>IF(OR(N215="",J215=""),"",IF(J215&lt;=0,"",IFERROR(N215/J215-1,"")))</f>
        <v/>
      </c>
      <c r="V216" s="15">
        <f>IF(OR(V215="",U215=""),"",IF(U215&lt;=0,"",IFERROR(V215/U215-1,"")))</f>
        <v/>
      </c>
      <c r="W216" s="15">
        <f>IF(OR(W215="",V215=""),"",IF(V215&lt;=0,"",IFERROR(W215/V215-1,"")))</f>
        <v/>
      </c>
      <c r="X216" s="15">
        <f>IF(OR(X215="",W215=""),"",IF(W215&lt;=0,"",IFERROR(X215/W215-1,"")))</f>
        <v/>
      </c>
    </row>
    <row r="217">
      <c r="A217" s="18" t="inlineStr">
        <is>
          <t>FieldServiceEngineeringBusinessReportableSegmentMember · 계</t>
        </is>
      </c>
      <c r="C217" s="20" t="n">
        <v>7748</v>
      </c>
      <c r="D217" s="20" t="n">
        <v>8364</v>
      </c>
      <c r="E217" s="20" t="n">
        <v>19838</v>
      </c>
      <c r="F217" s="20" t="n">
        <v>6616</v>
      </c>
      <c r="G217" s="20" t="n">
        <v>10064</v>
      </c>
      <c r="H217" s="20" t="n">
        <v>9519</v>
      </c>
      <c r="I217" s="20" t="n">
        <v>23368</v>
      </c>
      <c r="J217" s="20" t="n">
        <v>8659</v>
      </c>
      <c r="K217" s="20" t="n">
        <v>9961</v>
      </c>
      <c r="L217" s="20" t="n">
        <v>10872</v>
      </c>
      <c r="M217" s="20" t="n">
        <v>27515</v>
      </c>
      <c r="N217" s="20" t="n">
        <v>9267</v>
      </c>
      <c r="V217" s="20" t="n">
        <v>19838</v>
      </c>
      <c r="W217" s="20" t="n">
        <v>23368</v>
      </c>
      <c r="X217" s="20" t="n">
        <v>27515</v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IF(OR(G217="",C217=""),"",IF(C217&lt;=0,"",IFERROR(G217/C217-1,"")))</f>
        <v/>
      </c>
      <c r="H218" s="15">
        <f>IF(OR(H217="",D217=""),"",IF(D217&lt;=0,"",IFERROR(H217/D217-1,"")))</f>
        <v/>
      </c>
      <c r="I218" s="15">
        <f>IF(OR(I217="",E217=""),"",IF(E217&lt;=0,"",IFERROR(I217/E217-1,"")))</f>
        <v/>
      </c>
      <c r="J218" s="15">
        <f>IF(OR(J217="",F217=""),"",IF(F217&lt;=0,"",IFERROR(J217/F217-1,"")))</f>
        <v/>
      </c>
      <c r="K218" s="15">
        <f>IF(OR(K217="",G217=""),"",IF(G217&lt;=0,"",IFERROR(K217/G217-1,"")))</f>
        <v/>
      </c>
      <c r="L218" s="15">
        <f>IF(OR(L217="",H217=""),"",IF(H217&lt;=0,"",IFERROR(L217/H217-1,"")))</f>
        <v/>
      </c>
      <c r="M218" s="15">
        <f>IF(OR(M217="",I217=""),"",IF(I217&lt;=0,"",IFERROR(M217/I217-1,"")))</f>
        <v/>
      </c>
      <c r="N218" s="15">
        <f>IF(OR(N217="",J217=""),"",IF(J217&lt;=0,"",IFERROR(N217/J217-1,"")))</f>
        <v/>
      </c>
      <c r="V218" s="15">
        <f>IF(OR(V217="",U217=""),"",IF(U217&lt;=0,"",IFERROR(V217/U217-1,"")))</f>
        <v/>
      </c>
      <c r="W218" s="15">
        <f>IF(OR(W217="",V217=""),"",IF(V217&lt;=0,"",IFERROR(W217/V217-1,"")))</f>
        <v/>
      </c>
      <c r="X218" s="15">
        <f>IF(OR(X217="",W217=""),"",IF(W217&lt;=0,"",IFERROR(X217/W217-1,"")))</f>
        <v/>
      </c>
    </row>
    <row r="219">
      <c r="A219" s="18" t="inlineStr">
        <is>
          <t>RealEstateReportableSegmentMember · 계</t>
        </is>
      </c>
      <c r="F219" s="20" t="n">
        <v>808</v>
      </c>
      <c r="J219" s="20" t="n">
        <v>809</v>
      </c>
      <c r="N219" s="20" t="n">
        <v>811</v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J220" s="15">
        <f>IF(OR(J219="",F219=""),"",IF(F219&lt;=0,"",IFERROR(J219/F219-1,"")))</f>
        <v/>
      </c>
      <c r="N220" s="15">
        <f>IF(OR(N219="",J219=""),"",IF(J219&lt;=0,"",IFERROR(N219/J219-1,"")))</f>
        <v/>
      </c>
    </row>
    <row r="221">
      <c r="A221" s="18" t="inlineStr">
        <is>
          <t>보고부문 합계 · 계</t>
        </is>
      </c>
      <c r="C221" s="20" t="n">
        <v>66334</v>
      </c>
      <c r="D221" s="20" t="n">
        <v>65312</v>
      </c>
      <c r="E221" s="20" t="n">
        <v>104890</v>
      </c>
      <c r="F221" s="20" t="n">
        <v>55623</v>
      </c>
      <c r="G221" s="20" t="n">
        <v>67779</v>
      </c>
      <c r="H221" s="20" t="n">
        <v>72194</v>
      </c>
      <c r="I221" s="20" t="n">
        <v>112046</v>
      </c>
      <c r="J221" s="20" t="n">
        <v>59634</v>
      </c>
      <c r="K221" s="20" t="n">
        <v>75473</v>
      </c>
      <c r="L221" s="20" t="n">
        <v>74478</v>
      </c>
      <c r="M221" s="20" t="n">
        <v>125364</v>
      </c>
      <c r="N221" s="20" t="n">
        <v>75201</v>
      </c>
      <c r="V221" s="20" t="n">
        <v>104890</v>
      </c>
      <c r="W221" s="20" t="n">
        <v>112046</v>
      </c>
      <c r="X221" s="20" t="n">
        <v>125364</v>
      </c>
    </row>
    <row r="222">
      <c r="A222" s="43" t="inlineStr">
        <is>
          <t>YoY</t>
        </is>
      </c>
      <c r="B222" s="3" t="inlineStr">
        <is>
          <t>전년 같은 분기·전년 대비</t>
        </is>
      </c>
      <c r="G222" s="15">
        <f>IF(OR(G221="",C221=""),"",IF(C221&lt;=0,"",IFERROR(G221/C221-1,"")))</f>
        <v/>
      </c>
      <c r="H222" s="15">
        <f>IF(OR(H221="",D221=""),"",IF(D221&lt;=0,"",IFERROR(H221/D221-1,"")))</f>
        <v/>
      </c>
      <c r="I222" s="15">
        <f>IF(OR(I221="",E221=""),"",IF(E221&lt;=0,"",IFERROR(I221/E221-1,"")))</f>
        <v/>
      </c>
      <c r="J222" s="15">
        <f>IF(OR(J221="",F221=""),"",IF(F221&lt;=0,"",IFERROR(J221/F221-1,"")))</f>
        <v/>
      </c>
      <c r="K222" s="15">
        <f>IF(OR(K221="",G221=""),"",IF(G221&lt;=0,"",IFERROR(K221/G221-1,"")))</f>
        <v/>
      </c>
      <c r="L222" s="15">
        <f>IF(OR(L221="",H221=""),"",IF(H221&lt;=0,"",IFERROR(L221/H221-1,"")))</f>
        <v/>
      </c>
      <c r="M222" s="15">
        <f>IF(OR(M221="",I221=""),"",IF(I221&lt;=0,"",IFERROR(M221/I221-1,"")))</f>
        <v/>
      </c>
      <c r="N222" s="15">
        <f>IF(OR(N221="",J221=""),"",IF(J221&lt;=0,"",IFERROR(N221/J221-1,"")))</f>
        <v/>
      </c>
      <c r="V222" s="15">
        <f>IF(OR(V221="",U221=""),"",IF(U221&lt;=0,"",IFERROR(V221/U221-1,"")))</f>
        <v/>
      </c>
      <c r="W222" s="15">
        <f>IF(OR(W221="",V221=""),"",IF(V221&lt;=0,"",IFERROR(W221/V221-1,"")))</f>
        <v/>
      </c>
      <c r="X222" s="15">
        <f>IF(OR(X221="",W221=""),"",IF(W221&lt;=0,"",IFERROR(X221/W221-1,"")))</f>
        <v/>
      </c>
    </row>
    <row r="223">
      <c r="A223" s="18" t="inlineStr">
        <is>
          <t>기타 · 계</t>
        </is>
      </c>
      <c r="C223" s="20" t="n">
        <v>2642</v>
      </c>
      <c r="D223" s="20" t="n">
        <v>2669</v>
      </c>
      <c r="E223" s="20" t="n">
        <v>2810</v>
      </c>
      <c r="F223" s="20" t="n">
        <v>1882</v>
      </c>
      <c r="G223" s="20" t="n">
        <v>1987</v>
      </c>
      <c r="H223" s="20" t="n">
        <v>2139</v>
      </c>
      <c r="I223" s="20" t="n">
        <v>2664</v>
      </c>
      <c r="J223" s="20" t="n">
        <v>2033</v>
      </c>
      <c r="K223" s="20" t="n">
        <v>2157</v>
      </c>
      <c r="L223" s="20" t="n">
        <v>2094</v>
      </c>
      <c r="M223" s="20" t="n">
        <v>2636</v>
      </c>
      <c r="N223" s="20" t="n">
        <v>1807</v>
      </c>
      <c r="V223" s="20" t="n">
        <v>2810</v>
      </c>
      <c r="W223" s="20" t="n">
        <v>2664</v>
      </c>
      <c r="X223" s="20" t="n">
        <v>2636</v>
      </c>
    </row>
    <row r="224">
      <c r="A224" s="43" t="inlineStr">
        <is>
          <t>YoY</t>
        </is>
      </c>
      <c r="B224" s="3" t="inlineStr">
        <is>
          <t>전년 같은 분기·전년 대비</t>
        </is>
      </c>
      <c r="G224" s="15">
        <f>IF(OR(G223="",C223=""),"",IF(C223&lt;=0,"",IFERROR(G223/C223-1,"")))</f>
        <v/>
      </c>
      <c r="H224" s="15">
        <f>IF(OR(H223="",D223=""),"",IF(D223&lt;=0,"",IFERROR(H223/D223-1,"")))</f>
        <v/>
      </c>
      <c r="I224" s="15">
        <f>IF(OR(I223="",E223=""),"",IF(E223&lt;=0,"",IFERROR(I223/E223-1,"")))</f>
        <v/>
      </c>
      <c r="J224" s="15">
        <f>IF(OR(J223="",F223=""),"",IF(F223&lt;=0,"",IFERROR(J223/F223-1,"")))</f>
        <v/>
      </c>
      <c r="K224" s="15">
        <f>IF(OR(K223="",G223=""),"",IF(G223&lt;=0,"",IFERROR(K223/G223-1,"")))</f>
        <v/>
      </c>
      <c r="L224" s="15">
        <f>IF(OR(L223="",H223=""),"",IF(H223&lt;=0,"",IFERROR(L223/H223-1,"")))</f>
        <v/>
      </c>
      <c r="M224" s="15">
        <f>IF(OR(M223="",I223=""),"",IF(I223&lt;=0,"",IFERROR(M223/I223-1,"")))</f>
        <v/>
      </c>
      <c r="N224" s="15">
        <f>IF(OR(N223="",J223=""),"",IF(J223&lt;=0,"",IFERROR(N223/J223-1,"")))</f>
        <v/>
      </c>
      <c r="V224" s="15">
        <f>IF(OR(V223="",U223=""),"",IF(U223&lt;=0,"",IFERROR(V223/U223-1,"")))</f>
        <v/>
      </c>
      <c r="W224" s="15">
        <f>IF(OR(W223="",V223=""),"",IF(V223&lt;=0,"",IFERROR(W223/V223-1,"")))</f>
        <v/>
      </c>
      <c r="X224" s="15">
        <f>IF(OR(X223="",W223=""),"",IF(W223&lt;=0,"",IFERROR(X223/W223-1,"")))</f>
        <v/>
      </c>
    </row>
    <row r="225">
      <c r="A225" s="18" t="inlineStr">
        <is>
          <t>합계 · 계</t>
        </is>
      </c>
      <c r="C225" s="20" t="n">
        <v>68975</v>
      </c>
      <c r="D225" s="20" t="n">
        <v>67982</v>
      </c>
      <c r="E225" s="20" t="n">
        <v>107700</v>
      </c>
      <c r="F225" s="20" t="n">
        <v>57505</v>
      </c>
      <c r="G225" s="20" t="n">
        <v>69767</v>
      </c>
      <c r="H225" s="20" t="n">
        <v>74332</v>
      </c>
      <c r="I225" s="20" t="n">
        <v>114711</v>
      </c>
      <c r="J225" s="20" t="n">
        <v>61667</v>
      </c>
      <c r="K225" s="20" t="n">
        <v>77630</v>
      </c>
      <c r="L225" s="20" t="n">
        <v>76572</v>
      </c>
      <c r="M225" s="20" t="n">
        <v>128001</v>
      </c>
      <c r="N225" s="20" t="n">
        <v>77008</v>
      </c>
      <c r="V225" s="20" t="n">
        <v>107700</v>
      </c>
      <c r="W225" s="20" t="n">
        <v>114711</v>
      </c>
      <c r="X225" s="20" t="n">
        <v>128001</v>
      </c>
    </row>
    <row r="226">
      <c r="A226" s="43" t="inlineStr">
        <is>
          <t>YoY</t>
        </is>
      </c>
      <c r="B226" s="3" t="inlineStr">
        <is>
          <t>전년 같은 분기·전년 대비</t>
        </is>
      </c>
      <c r="G226" s="15">
        <f>IF(OR(G225="",C225=""),"",IF(C225&lt;=0,"",IFERROR(G225/C225-1,"")))</f>
        <v/>
      </c>
      <c r="H226" s="15">
        <f>IF(OR(H225="",D225=""),"",IF(D225&lt;=0,"",IFERROR(H225/D225-1,"")))</f>
        <v/>
      </c>
      <c r="I226" s="15">
        <f>IF(OR(I225="",E225=""),"",IF(E225&lt;=0,"",IFERROR(I225/E225-1,"")))</f>
        <v/>
      </c>
      <c r="J226" s="15">
        <f>IF(OR(J225="",F225=""),"",IF(F225&lt;=0,"",IFERROR(J225/F225-1,"")))</f>
        <v/>
      </c>
      <c r="K226" s="15">
        <f>IF(OR(K225="",G225=""),"",IF(G225&lt;=0,"",IFERROR(K225/G225-1,"")))</f>
        <v/>
      </c>
      <c r="L226" s="15">
        <f>IF(OR(L225="",H225=""),"",IF(H225&lt;=0,"",IFERROR(L225/H225-1,"")))</f>
        <v/>
      </c>
      <c r="M226" s="15">
        <f>IF(OR(M225="",I225=""),"",IF(I225&lt;=0,"",IFERROR(M225/I225-1,"")))</f>
        <v/>
      </c>
      <c r="N226" s="15">
        <f>IF(OR(N225="",J225=""),"",IF(J225&lt;=0,"",IFERROR(N225/J225-1,"")))</f>
        <v/>
      </c>
      <c r="V226" s="15">
        <f>IF(OR(V225="",U225=""),"",IF(U225&lt;=0,"",IFERROR(V225/U225-1,"")))</f>
        <v/>
      </c>
      <c r="W226" s="15">
        <f>IF(OR(W225="",V225=""),"",IF(V225&lt;=0,"",IFERROR(W225/V225-1,"")))</f>
        <v/>
      </c>
      <c r="X226" s="15">
        <f>IF(OR(X225="",W225=""),"",IF(W225&lt;=0,"",IFERROR(X225/W225-1,"")))</f>
        <v/>
      </c>
    </row>
    <row r="227">
      <c r="A227" s="18" t="inlineStr">
        <is>
          <t>조정액 · 계</t>
        </is>
      </c>
      <c r="C227" s="20" t="n">
        <v>-3460</v>
      </c>
      <c r="D227" s="20" t="n">
        <v>-3111</v>
      </c>
      <c r="E227" s="20" t="n">
        <v>-3737</v>
      </c>
      <c r="F227" s="20" t="n">
        <v>-2530</v>
      </c>
      <c r="G227" s="20" t="n">
        <v>-4642</v>
      </c>
      <c r="H227" s="20" t="n">
        <v>-3349</v>
      </c>
      <c r="I227" s="20" t="n">
        <v>-4692</v>
      </c>
      <c r="J227" s="20" t="n">
        <v>-3277</v>
      </c>
      <c r="K227" s="20" t="n">
        <v>-4877</v>
      </c>
      <c r="L227" s="20" t="n">
        <v>-3860</v>
      </c>
      <c r="M227" s="20" t="n">
        <v>-5662</v>
      </c>
      <c r="N227" s="20" t="n">
        <v>-3596</v>
      </c>
      <c r="V227" s="20" t="n">
        <v>-3737</v>
      </c>
      <c r="W227" s="20" t="n">
        <v>-4692</v>
      </c>
      <c r="X227" s="20" t="n">
        <v>-5662</v>
      </c>
    </row>
    <row r="228">
      <c r="A228" s="9" t="inlineStr">
        <is>
          <t>계</t>
        </is>
      </c>
      <c r="C228" s="12" t="n">
        <v>65515</v>
      </c>
      <c r="D228" s="12" t="n">
        <v>64871</v>
      </c>
      <c r="E228" s="12" t="n">
        <v>103962</v>
      </c>
      <c r="F228" s="12" t="n">
        <v>54975</v>
      </c>
      <c r="G228" s="12" t="n">
        <v>65124</v>
      </c>
      <c r="H228" s="12" t="n">
        <v>70984</v>
      </c>
      <c r="I228" s="12" t="n">
        <v>110018</v>
      </c>
      <c r="V228" s="12" t="n">
        <v>103962</v>
      </c>
      <c r="W228" s="12" t="n">
        <v>110018</v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G229" s="15">
        <f>IF(OR(G228="",C228=""),"",IF(C228&lt;=0,"",IFERROR(G228/C228-1,"")))</f>
        <v/>
      </c>
      <c r="H229" s="15">
        <f>IF(OR(H228="",D228=""),"",IF(D228&lt;=0,"",IFERROR(H228/D228-1,"")))</f>
        <v/>
      </c>
      <c r="I229" s="15">
        <f>IF(OR(I228="",E228=""),"",IF(E228&lt;=0,"",IFERROR(I228/E228-1,"")))</f>
        <v/>
      </c>
      <c r="V229" s="15">
        <f>IF(OR(V228="",U228=""),"",IF(U228&lt;=0,"",IFERROR(V228/U228-1,"")))</f>
        <v/>
      </c>
      <c r="W229" s="15">
        <f>IF(OR(W228="",V228=""),"",IF(V228&lt;=0,"",IFERROR(W228/V228-1,"")))</f>
        <v/>
      </c>
    </row>
    <row r="230">
      <c r="A230" s="18" t="inlineStr">
        <is>
          <t>EntityTotalMember · 계</t>
        </is>
      </c>
      <c r="F230" s="20" t="n">
        <v>54975</v>
      </c>
      <c r="J230" s="20" t="n">
        <v>58390</v>
      </c>
      <c r="N230" s="20" t="n">
        <v>73412</v>
      </c>
    </row>
    <row r="231">
      <c r="A231" s="18" t="inlineStr">
        <is>
          <t>PowerInfrastrucutureBusinessReportableSegmentMember · Operating Income</t>
        </is>
      </c>
      <c r="C231" s="20" t="n">
        <v>1122</v>
      </c>
      <c r="D231" s="20" t="n">
        <v>2571</v>
      </c>
      <c r="E231" s="20" t="n">
        <v>2927</v>
      </c>
      <c r="F231" s="20" t="n">
        <v>1154</v>
      </c>
      <c r="G231" s="20" t="n">
        <v>1430</v>
      </c>
      <c r="H231" s="20" t="n">
        <v>2561</v>
      </c>
      <c r="I231" s="20" t="n">
        <v>2843</v>
      </c>
      <c r="J231" s="20" t="n">
        <v>1658</v>
      </c>
      <c r="K231" s="20" t="n">
        <v>2067</v>
      </c>
      <c r="L231" s="20" t="n">
        <v>3969</v>
      </c>
      <c r="M231" s="20" t="n">
        <v>4890</v>
      </c>
      <c r="N231" s="20" t="n">
        <v>3941</v>
      </c>
      <c r="V231" s="20" t="n">
        <v>2927</v>
      </c>
      <c r="W231" s="20" t="n">
        <v>2843</v>
      </c>
      <c r="X231" s="20" t="n">
        <v>4890</v>
      </c>
    </row>
    <row r="232">
      <c r="A232" s="43" t="inlineStr">
        <is>
          <t>OPM</t>
        </is>
      </c>
      <c r="B232" s="3" t="inlineStr">
        <is>
          <t>영업이익 ÷ 매출</t>
        </is>
      </c>
      <c r="C232" s="15">
        <f>IF(OR(C231="",C211=""),"",IF(C211&lt;=0,"",IFERROR(C231/C211,"")))</f>
        <v/>
      </c>
      <c r="D232" s="15">
        <f>IF(OR(D231="",D211=""),"",IF(D211&lt;=0,"",IFERROR(D231/D211,"")))</f>
        <v/>
      </c>
      <c r="E232" s="15">
        <f>IF(OR(E231="",E211=""),"",IF(E211&lt;=0,"",IFERROR(E231/E211,"")))</f>
        <v/>
      </c>
      <c r="F232" s="15">
        <f>IF(OR(F231="",F211=""),"",IF(F211&lt;=0,"",IFERROR(F231/F211,"")))</f>
        <v/>
      </c>
      <c r="G232" s="15">
        <f>IF(OR(G231="",G211=""),"",IF(G211&lt;=0,"",IFERROR(G231/G211,"")))</f>
        <v/>
      </c>
      <c r="H232" s="15">
        <f>IF(OR(H231="",H211=""),"",IF(H211&lt;=0,"",IFERROR(H231/H211,"")))</f>
        <v/>
      </c>
      <c r="I232" s="15">
        <f>IF(OR(I231="",I211=""),"",IF(I211&lt;=0,"",IFERROR(I231/I211,"")))</f>
        <v/>
      </c>
      <c r="J232" s="15">
        <f>IF(OR(J231="",J211=""),"",IF(J211&lt;=0,"",IFERROR(J231/J211,"")))</f>
        <v/>
      </c>
      <c r="K232" s="15">
        <f>IF(OR(K231="",K211=""),"",IF(K211&lt;=0,"",IFERROR(K231/K211,"")))</f>
        <v/>
      </c>
      <c r="L232" s="15">
        <f>IF(OR(L231="",L211=""),"",IF(L211&lt;=0,"",IFERROR(L231/L211,"")))</f>
        <v/>
      </c>
      <c r="M232" s="15">
        <f>IF(OR(M231="",M211=""),"",IF(M211&lt;=0,"",IFERROR(M231/M211,"")))</f>
        <v/>
      </c>
      <c r="N232" s="15">
        <f>IF(OR(N231="",N211=""),"",IF(N211&lt;=0,"",IFERROR(N231/N211,"")))</f>
        <v/>
      </c>
      <c r="V232" s="15">
        <f>IF(OR(V231="",V211=""),"",IF(V211&lt;=0,"",IFERROR(V231/V211,"")))</f>
        <v/>
      </c>
      <c r="W232" s="15">
        <f>IF(OR(W231="",W211=""),"",IF(W211&lt;=0,"",IFERROR(W231/W211,"")))</f>
        <v/>
      </c>
      <c r="X232" s="15">
        <f>IF(OR(X231="",X211=""),"",IF(X211&lt;=0,"",IFERROR(X231/X211,"")))</f>
        <v/>
      </c>
    </row>
    <row r="233">
      <c r="A233" s="43" t="inlineStr">
        <is>
          <t>YoY</t>
        </is>
      </c>
      <c r="B233" s="3" t="inlineStr">
        <is>
          <t>전년 같은 분기·전년 대비</t>
        </is>
      </c>
      <c r="G233" s="15">
        <f>IF(OR(G231="",C231=""),"",IF(C231&lt;=0,"",IFERROR(G231/C231-1,"")))</f>
        <v/>
      </c>
      <c r="H233" s="15">
        <f>IF(OR(H231="",D231=""),"",IF(D231&lt;=0,"",IFERROR(H231/D231-1,"")))</f>
        <v/>
      </c>
      <c r="I233" s="15">
        <f>IF(OR(I231="",E231=""),"",IF(E231&lt;=0,"",IFERROR(I231/E231-1,"")))</f>
        <v/>
      </c>
      <c r="J233" s="15">
        <f>IF(OR(J231="",F231=""),"",IF(F231&lt;=0,"",IFERROR(J231/F231-1,"")))</f>
        <v/>
      </c>
      <c r="K233" s="15">
        <f>IF(OR(K231="",G231=""),"",IF(G231&lt;=0,"",IFERROR(K231/G231-1,"")))</f>
        <v/>
      </c>
      <c r="L233" s="15">
        <f>IF(OR(L231="",H231=""),"",IF(H231&lt;=0,"",IFERROR(L231/H231-1,"")))</f>
        <v/>
      </c>
      <c r="M233" s="15">
        <f>IF(OR(M231="",I231=""),"",IF(I231&lt;=0,"",IFERROR(M231/I231-1,"")))</f>
        <v/>
      </c>
      <c r="N233" s="15">
        <f>IF(OR(N231="",J231=""),"",IF(J231&lt;=0,"",IFERROR(N231/J231-1,"")))</f>
        <v/>
      </c>
      <c r="V233" s="15">
        <f>IF(OR(V231="",U231=""),"",IF(U231&lt;=0,"",IFERROR(V231/U231-1,"")))</f>
        <v/>
      </c>
      <c r="W233" s="15">
        <f>IF(OR(W231="",V231=""),"",IF(V231&lt;=0,"",IFERROR(W231/V231-1,"")))</f>
        <v/>
      </c>
      <c r="X233" s="15">
        <f>IF(OR(X231="",W231=""),"",IF(W231&lt;=0,"",IFERROR(X231/W231-1,"")))</f>
        <v/>
      </c>
    </row>
    <row r="234">
      <c r="A234" s="18" t="inlineStr">
        <is>
          <t>PublicIndustrialAndCommercialSectorBusinessReportableSegmentMember · Operating Income</t>
        </is>
      </c>
      <c r="C234" s="20" t="n">
        <v>-711</v>
      </c>
      <c r="D234" s="20" t="n">
        <v>-1249</v>
      </c>
      <c r="E234" s="20" t="n">
        <v>3556</v>
      </c>
      <c r="F234" s="20" t="n">
        <v>-1578</v>
      </c>
      <c r="G234" s="20" t="n">
        <v>281</v>
      </c>
      <c r="H234" s="20" t="n">
        <v>-532</v>
      </c>
      <c r="I234" s="20" t="n">
        <v>4863</v>
      </c>
      <c r="J234" s="20" t="n">
        <v>-1919</v>
      </c>
      <c r="K234" s="20" t="n">
        <v>42</v>
      </c>
      <c r="L234" s="20" t="n">
        <v>170</v>
      </c>
      <c r="M234" s="20" t="n">
        <v>5799</v>
      </c>
      <c r="N234" s="20" t="n">
        <v>354</v>
      </c>
      <c r="V234" s="20" t="n">
        <v>3556</v>
      </c>
      <c r="W234" s="20" t="n">
        <v>4863</v>
      </c>
      <c r="X234" s="20" t="n">
        <v>5799</v>
      </c>
    </row>
    <row r="235">
      <c r="A235" s="43" t="inlineStr">
        <is>
          <t>OPM</t>
        </is>
      </c>
      <c r="B235" s="3" t="inlineStr">
        <is>
          <t>영업이익 ÷ 매출</t>
        </is>
      </c>
      <c r="C235" s="15">
        <f>IF(OR(C234="",C213=""),"",IF(C213&lt;=0,"",IFERROR(C234/C213,"")))</f>
        <v/>
      </c>
      <c r="D235" s="15">
        <f>IF(OR(D234="",D213=""),"",IF(D213&lt;=0,"",IFERROR(D234/D213,"")))</f>
        <v/>
      </c>
      <c r="E235" s="15">
        <f>IF(OR(E234="",E213=""),"",IF(E213&lt;=0,"",IFERROR(E234/E213,"")))</f>
        <v/>
      </c>
      <c r="F235" s="15">
        <f>IF(OR(F234="",F213=""),"",IF(F213&lt;=0,"",IFERROR(F234/F213,"")))</f>
        <v/>
      </c>
      <c r="G235" s="15">
        <f>IF(OR(G234="",G213=""),"",IF(G213&lt;=0,"",IFERROR(G234/G213,"")))</f>
        <v/>
      </c>
      <c r="H235" s="15">
        <f>IF(OR(H234="",H213=""),"",IF(H213&lt;=0,"",IFERROR(H234/H213,"")))</f>
        <v/>
      </c>
      <c r="I235" s="15">
        <f>IF(OR(I234="",I213=""),"",IF(I213&lt;=0,"",IFERROR(I234/I213,"")))</f>
        <v/>
      </c>
      <c r="J235" s="15">
        <f>IF(OR(J234="",J213=""),"",IF(J213&lt;=0,"",IFERROR(J234/J213,"")))</f>
        <v/>
      </c>
      <c r="K235" s="15">
        <f>IF(OR(K234="",K213=""),"",IF(K213&lt;=0,"",IFERROR(K234/K213,"")))</f>
        <v/>
      </c>
      <c r="L235" s="15">
        <f>IF(OR(L234="",L213=""),"",IF(L213&lt;=0,"",IFERROR(L234/L213,"")))</f>
        <v/>
      </c>
      <c r="M235" s="15">
        <f>IF(OR(M234="",M213=""),"",IF(M213&lt;=0,"",IFERROR(M234/M213,"")))</f>
        <v/>
      </c>
      <c r="N235" s="15">
        <f>IF(OR(N234="",N213=""),"",IF(N213&lt;=0,"",IFERROR(N234/N213,"")))</f>
        <v/>
      </c>
      <c r="V235" s="15">
        <f>IF(OR(V234="",V213=""),"",IF(V213&lt;=0,"",IFERROR(V234/V213,"")))</f>
        <v/>
      </c>
      <c r="W235" s="15">
        <f>IF(OR(W234="",W213=""),"",IF(W213&lt;=0,"",IFERROR(W234/W213,"")))</f>
        <v/>
      </c>
      <c r="X235" s="15">
        <f>IF(OR(X234="",X213=""),"",IF(X213&lt;=0,"",IFERROR(X234/X213,"")))</f>
        <v/>
      </c>
    </row>
    <row r="236">
      <c r="A236" s="43" t="inlineStr">
        <is>
          <t>YoY</t>
        </is>
      </c>
      <c r="B236" s="3" t="inlineStr">
        <is>
          <t>전년 같은 분기·전년 대비</t>
        </is>
      </c>
      <c r="G236" s="15">
        <f>IF(OR(G234="",C234=""),"",IF(C234&lt;=0,"",IFERROR(G234/C234-1,"")))</f>
        <v/>
      </c>
      <c r="H236" s="15">
        <f>IF(OR(H234="",D234=""),"",IF(D234&lt;=0,"",IFERROR(H234/D234-1,"")))</f>
        <v/>
      </c>
      <c r="I236" s="15">
        <f>IF(OR(I234="",E234=""),"",IF(E234&lt;=0,"",IFERROR(I234/E234-1,"")))</f>
        <v/>
      </c>
      <c r="J236" s="15">
        <f>IF(OR(J234="",F234=""),"",IF(F234&lt;=0,"",IFERROR(J234/F234-1,"")))</f>
        <v/>
      </c>
      <c r="K236" s="15">
        <f>IF(OR(K234="",G234=""),"",IF(G234&lt;=0,"",IFERROR(K234/G234-1,"")))</f>
        <v/>
      </c>
      <c r="L236" s="15">
        <f>IF(OR(L234="",H234=""),"",IF(H234&lt;=0,"",IFERROR(L234/H234-1,"")))</f>
        <v/>
      </c>
      <c r="M236" s="15">
        <f>IF(OR(M234="",I234=""),"",IF(I234&lt;=0,"",IFERROR(M234/I234-1,"")))</f>
        <v/>
      </c>
      <c r="N236" s="15">
        <f>IF(OR(N234="",J234=""),"",IF(J234&lt;=0,"",IFERROR(N234/J234-1,"")))</f>
        <v/>
      </c>
      <c r="V236" s="15">
        <f>IF(OR(V234="",U234=""),"",IF(U234&lt;=0,"",IFERROR(V234/U234-1,"")))</f>
        <v/>
      </c>
      <c r="W236" s="15">
        <f>IF(OR(W234="",V234=""),"",IF(V234&lt;=0,"",IFERROR(W234/V234-1,"")))</f>
        <v/>
      </c>
      <c r="X236" s="15">
        <f>IF(OR(X234="",W234=""),"",IF(W234&lt;=0,"",IFERROR(X234/W234-1,"")))</f>
        <v/>
      </c>
    </row>
    <row r="237">
      <c r="A237" s="18" t="inlineStr">
        <is>
          <t>MobilityAndElectricalComponentsBusinessReportableSegmentMember · Operating Income</t>
        </is>
      </c>
      <c r="C237" s="20" t="n">
        <v>103</v>
      </c>
      <c r="D237" s="20" t="n">
        <v>-130</v>
      </c>
      <c r="E237" s="20" t="n">
        <v>920</v>
      </c>
      <c r="F237" s="20" t="n">
        <v>-544</v>
      </c>
      <c r="G237" s="20" t="n">
        <v>169</v>
      </c>
      <c r="H237" s="20" t="n">
        <v>594</v>
      </c>
      <c r="I237" s="20" t="n">
        <v>913</v>
      </c>
      <c r="J237" s="20" t="n">
        <v>-22</v>
      </c>
      <c r="K237" s="20" t="n">
        <v>34</v>
      </c>
      <c r="L237" s="20" t="n">
        <v>-1049</v>
      </c>
      <c r="M237" s="20" t="n">
        <v>1058</v>
      </c>
      <c r="N237" s="20" t="n">
        <v>162</v>
      </c>
      <c r="V237" s="20" t="n">
        <v>920</v>
      </c>
      <c r="W237" s="20" t="n">
        <v>913</v>
      </c>
      <c r="X237" s="20" t="n">
        <v>1058</v>
      </c>
    </row>
    <row r="238">
      <c r="A238" s="43" t="inlineStr">
        <is>
          <t>OPM</t>
        </is>
      </c>
      <c r="B238" s="3" t="inlineStr">
        <is>
          <t>영업이익 ÷ 매출</t>
        </is>
      </c>
      <c r="C238" s="15">
        <f>IF(OR(C237="",C215=""),"",IF(C215&lt;=0,"",IFERROR(C237/C215,"")))</f>
        <v/>
      </c>
      <c r="D238" s="15">
        <f>IF(OR(D237="",D215=""),"",IF(D215&lt;=0,"",IFERROR(D237/D215,"")))</f>
        <v/>
      </c>
      <c r="E238" s="15">
        <f>IF(OR(E237="",E215=""),"",IF(E215&lt;=0,"",IFERROR(E237/E215,"")))</f>
        <v/>
      </c>
      <c r="F238" s="15">
        <f>IF(OR(F237="",F215=""),"",IF(F215&lt;=0,"",IFERROR(F237/F215,"")))</f>
        <v/>
      </c>
      <c r="G238" s="15">
        <f>IF(OR(G237="",G215=""),"",IF(G215&lt;=0,"",IFERROR(G237/G215,"")))</f>
        <v/>
      </c>
      <c r="H238" s="15">
        <f>IF(OR(H237="",H215=""),"",IF(H215&lt;=0,"",IFERROR(H237/H215,"")))</f>
        <v/>
      </c>
      <c r="I238" s="15">
        <f>IF(OR(I237="",I215=""),"",IF(I215&lt;=0,"",IFERROR(I237/I215,"")))</f>
        <v/>
      </c>
      <c r="J238" s="15">
        <f>IF(OR(J237="",J215=""),"",IF(J215&lt;=0,"",IFERROR(J237/J215,"")))</f>
        <v/>
      </c>
      <c r="K238" s="15">
        <f>IF(OR(K237="",K215=""),"",IF(K215&lt;=0,"",IFERROR(K237/K215,"")))</f>
        <v/>
      </c>
      <c r="L238" s="15">
        <f>IF(OR(L237="",L215=""),"",IF(L215&lt;=0,"",IFERROR(L237/L215,"")))</f>
        <v/>
      </c>
      <c r="M238" s="15">
        <f>IF(OR(M237="",M215=""),"",IF(M215&lt;=0,"",IFERROR(M237/M215,"")))</f>
        <v/>
      </c>
      <c r="N238" s="15">
        <f>IF(OR(N237="",N215=""),"",IF(N215&lt;=0,"",IFERROR(N237/N215,"")))</f>
        <v/>
      </c>
      <c r="V238" s="15">
        <f>IF(OR(V237="",V215=""),"",IF(V215&lt;=0,"",IFERROR(V237/V215,"")))</f>
        <v/>
      </c>
      <c r="W238" s="15">
        <f>IF(OR(W237="",W215=""),"",IF(W215&lt;=0,"",IFERROR(W237/W215,"")))</f>
        <v/>
      </c>
      <c r="X238" s="15">
        <f>IF(OR(X237="",X215=""),"",IF(X215&lt;=0,"",IFERROR(X237/X215,"")))</f>
        <v/>
      </c>
    </row>
    <row r="239">
      <c r="A239" s="43" t="inlineStr">
        <is>
          <t>YoY</t>
        </is>
      </c>
      <c r="B239" s="3" t="inlineStr">
        <is>
          <t>전년 같은 분기·전년 대비</t>
        </is>
      </c>
      <c r="G239" s="15">
        <f>IF(OR(G237="",C237=""),"",IF(C237&lt;=0,"",IFERROR(G237/C237-1,"")))</f>
        <v/>
      </c>
      <c r="H239" s="15">
        <f>IF(OR(H237="",D237=""),"",IF(D237&lt;=0,"",IFERROR(H237/D237-1,"")))</f>
        <v/>
      </c>
      <c r="I239" s="15">
        <f>IF(OR(I237="",E237=""),"",IF(E237&lt;=0,"",IFERROR(I237/E237-1,"")))</f>
        <v/>
      </c>
      <c r="J239" s="15">
        <f>IF(OR(J237="",F237=""),"",IF(F237&lt;=0,"",IFERROR(J237/F237-1,"")))</f>
        <v/>
      </c>
      <c r="K239" s="15">
        <f>IF(OR(K237="",G237=""),"",IF(G237&lt;=0,"",IFERROR(K237/G237-1,"")))</f>
        <v/>
      </c>
      <c r="L239" s="15">
        <f>IF(OR(L237="",H237=""),"",IF(H237&lt;=0,"",IFERROR(L237/H237-1,"")))</f>
        <v/>
      </c>
      <c r="M239" s="15">
        <f>IF(OR(M237="",I237=""),"",IF(I237&lt;=0,"",IFERROR(M237/I237-1,"")))</f>
        <v/>
      </c>
      <c r="N239" s="15">
        <f>IF(OR(N237="",J237=""),"",IF(J237&lt;=0,"",IFERROR(N237/J237-1,"")))</f>
        <v/>
      </c>
      <c r="V239" s="15">
        <f>IF(OR(V237="",U237=""),"",IF(U237&lt;=0,"",IFERROR(V237/U237-1,"")))</f>
        <v/>
      </c>
      <c r="W239" s="15">
        <f>IF(OR(W237="",V237=""),"",IF(V237&lt;=0,"",IFERROR(W237/V237-1,"")))</f>
        <v/>
      </c>
      <c r="X239" s="15">
        <f>IF(OR(X237="",W237=""),"",IF(W237&lt;=0,"",IFERROR(X237/W237-1,"")))</f>
        <v/>
      </c>
    </row>
    <row r="240">
      <c r="A240" s="18" t="inlineStr">
        <is>
          <t>FieldServiceEngineeringBusinessReportableSegmentMember · Operating Income</t>
        </is>
      </c>
      <c r="C240" s="20" t="n">
        <v>585</v>
      </c>
      <c r="D240" s="20" t="n">
        <v>1197</v>
      </c>
      <c r="E240" s="20" t="n">
        <v>5160</v>
      </c>
      <c r="F240" s="20" t="n">
        <v>176</v>
      </c>
      <c r="G240" s="20" t="n">
        <v>1149</v>
      </c>
      <c r="H240" s="20" t="n">
        <v>1582</v>
      </c>
      <c r="I240" s="20" t="n">
        <v>7024</v>
      </c>
      <c r="J240" s="20" t="n">
        <v>1014</v>
      </c>
      <c r="K240" s="20" t="n">
        <v>1064</v>
      </c>
      <c r="L240" s="20" t="n">
        <v>1888</v>
      </c>
      <c r="M240" s="20" t="n">
        <v>8707</v>
      </c>
      <c r="N240" s="20" t="n">
        <v>917</v>
      </c>
      <c r="V240" s="20" t="n">
        <v>5160</v>
      </c>
      <c r="W240" s="20" t="n">
        <v>7024</v>
      </c>
      <c r="X240" s="20" t="n">
        <v>8707</v>
      </c>
    </row>
    <row r="241">
      <c r="A241" s="43" t="inlineStr">
        <is>
          <t>OPM</t>
        </is>
      </c>
      <c r="B241" s="3" t="inlineStr">
        <is>
          <t>영업이익 ÷ 매출</t>
        </is>
      </c>
      <c r="C241" s="15">
        <f>IF(OR(C240="",C217=""),"",IF(C217&lt;=0,"",IFERROR(C240/C217,"")))</f>
        <v/>
      </c>
      <c r="D241" s="15">
        <f>IF(OR(D240="",D217=""),"",IF(D217&lt;=0,"",IFERROR(D240/D217,"")))</f>
        <v/>
      </c>
      <c r="E241" s="15">
        <f>IF(OR(E240="",E217=""),"",IF(E217&lt;=0,"",IFERROR(E240/E217,"")))</f>
        <v/>
      </c>
      <c r="F241" s="15">
        <f>IF(OR(F240="",F217=""),"",IF(F217&lt;=0,"",IFERROR(F240/F217,"")))</f>
        <v/>
      </c>
      <c r="G241" s="15">
        <f>IF(OR(G240="",G217=""),"",IF(G217&lt;=0,"",IFERROR(G240/G217,"")))</f>
        <v/>
      </c>
      <c r="H241" s="15">
        <f>IF(OR(H240="",H217=""),"",IF(H217&lt;=0,"",IFERROR(H240/H217,"")))</f>
        <v/>
      </c>
      <c r="I241" s="15">
        <f>IF(OR(I240="",I217=""),"",IF(I217&lt;=0,"",IFERROR(I240/I217,"")))</f>
        <v/>
      </c>
      <c r="J241" s="15">
        <f>IF(OR(J240="",J217=""),"",IF(J217&lt;=0,"",IFERROR(J240/J217,"")))</f>
        <v/>
      </c>
      <c r="K241" s="15">
        <f>IF(OR(K240="",K217=""),"",IF(K217&lt;=0,"",IFERROR(K240/K217,"")))</f>
        <v/>
      </c>
      <c r="L241" s="15">
        <f>IF(OR(L240="",L217=""),"",IF(L217&lt;=0,"",IFERROR(L240/L217,"")))</f>
        <v/>
      </c>
      <c r="M241" s="15">
        <f>IF(OR(M240="",M217=""),"",IF(M217&lt;=0,"",IFERROR(M240/M217,"")))</f>
        <v/>
      </c>
      <c r="N241" s="15">
        <f>IF(OR(N240="",N217=""),"",IF(N217&lt;=0,"",IFERROR(N240/N217,"")))</f>
        <v/>
      </c>
      <c r="V241" s="15">
        <f>IF(OR(V240="",V217=""),"",IF(V217&lt;=0,"",IFERROR(V240/V217,"")))</f>
        <v/>
      </c>
      <c r="W241" s="15">
        <f>IF(OR(W240="",W217=""),"",IF(W217&lt;=0,"",IFERROR(W240/W217,"")))</f>
        <v/>
      </c>
      <c r="X241" s="15">
        <f>IF(OR(X240="",X217=""),"",IF(X217&lt;=0,"",IFERROR(X240/X217,"")))</f>
        <v/>
      </c>
    </row>
    <row r="242">
      <c r="A242" s="43" t="inlineStr">
        <is>
          <t>YoY</t>
        </is>
      </c>
      <c r="B242" s="3" t="inlineStr">
        <is>
          <t>전년 같은 분기·전년 대비</t>
        </is>
      </c>
      <c r="G242" s="15">
        <f>IF(OR(G240="",C240=""),"",IF(C240&lt;=0,"",IFERROR(G240/C240-1,"")))</f>
        <v/>
      </c>
      <c r="H242" s="15">
        <f>IF(OR(H240="",D240=""),"",IF(D240&lt;=0,"",IFERROR(H240/D240-1,"")))</f>
        <v/>
      </c>
      <c r="I242" s="15">
        <f>IF(OR(I240="",E240=""),"",IF(E240&lt;=0,"",IFERROR(I240/E240-1,"")))</f>
        <v/>
      </c>
      <c r="J242" s="15">
        <f>IF(OR(J240="",F240=""),"",IF(F240&lt;=0,"",IFERROR(J240/F240-1,"")))</f>
        <v/>
      </c>
      <c r="K242" s="15">
        <f>IF(OR(K240="",G240=""),"",IF(G240&lt;=0,"",IFERROR(K240/G240-1,"")))</f>
        <v/>
      </c>
      <c r="L242" s="15">
        <f>IF(OR(L240="",H240=""),"",IF(H240&lt;=0,"",IFERROR(L240/H240-1,"")))</f>
        <v/>
      </c>
      <c r="M242" s="15">
        <f>IF(OR(M240="",I240=""),"",IF(I240&lt;=0,"",IFERROR(M240/I240-1,"")))</f>
        <v/>
      </c>
      <c r="N242" s="15">
        <f>IF(OR(N240="",J240=""),"",IF(J240&lt;=0,"",IFERROR(N240/J240-1,"")))</f>
        <v/>
      </c>
      <c r="V242" s="15">
        <f>IF(OR(V240="",U240=""),"",IF(U240&lt;=0,"",IFERROR(V240/U240-1,"")))</f>
        <v/>
      </c>
      <c r="W242" s="15">
        <f>IF(OR(W240="",V240=""),"",IF(V240&lt;=0,"",IFERROR(W240/V240-1,"")))</f>
        <v/>
      </c>
      <c r="X242" s="15">
        <f>IF(OR(X240="",W240=""),"",IF(W240&lt;=0,"",IFERROR(X240/W240-1,"")))</f>
        <v/>
      </c>
    </row>
    <row r="243">
      <c r="A243" s="18" t="inlineStr">
        <is>
          <t>RealEstateReportableSegmentMember · Operating Income</t>
        </is>
      </c>
      <c r="F243" s="20" t="n">
        <v>360</v>
      </c>
      <c r="J243" s="20" t="n">
        <v>381</v>
      </c>
      <c r="N243" s="20" t="n">
        <v>354</v>
      </c>
    </row>
    <row r="244">
      <c r="A244" s="43" t="inlineStr">
        <is>
          <t>OPM</t>
        </is>
      </c>
      <c r="B244" s="3" t="inlineStr">
        <is>
          <t>영업이익 ÷ 매출</t>
        </is>
      </c>
      <c r="F244" s="15">
        <f>IF(OR(F243="",F219=""),"",IF(F219&lt;=0,"",IFERROR(F243/F219,"")))</f>
        <v/>
      </c>
      <c r="J244" s="15">
        <f>IF(OR(J243="",J219=""),"",IF(J219&lt;=0,"",IFERROR(J243/J219,"")))</f>
        <v/>
      </c>
      <c r="N244" s="15">
        <f>IF(OR(N243="",N219=""),"",IF(N219&lt;=0,"",IFERROR(N243/N219,"")))</f>
        <v/>
      </c>
    </row>
    <row r="245">
      <c r="A245" s="43" t="inlineStr">
        <is>
          <t>YoY</t>
        </is>
      </c>
      <c r="B245" s="3" t="inlineStr">
        <is>
          <t>전년 같은 분기·전년 대비</t>
        </is>
      </c>
      <c r="J245" s="15">
        <f>IF(OR(J243="",F243=""),"",IF(F243&lt;=0,"",IFERROR(J243/F243-1,"")))</f>
        <v/>
      </c>
      <c r="N245" s="15">
        <f>IF(OR(N243="",J243=""),"",IF(J243&lt;=0,"",IFERROR(N243/J243-1,"")))</f>
        <v/>
      </c>
    </row>
    <row r="246">
      <c r="A246" s="18" t="inlineStr">
        <is>
          <t>보고부문 합계 · Operating Income</t>
        </is>
      </c>
      <c r="C246" s="20" t="n">
        <v>1474</v>
      </c>
      <c r="D246" s="20" t="n">
        <v>2734</v>
      </c>
      <c r="E246" s="20" t="n">
        <v>12911</v>
      </c>
      <c r="F246" s="20" t="n">
        <v>-431</v>
      </c>
      <c r="G246" s="20" t="n">
        <v>3403</v>
      </c>
      <c r="H246" s="20" t="n">
        <v>4569</v>
      </c>
      <c r="I246" s="20" t="n">
        <v>15989</v>
      </c>
      <c r="J246" s="20" t="n">
        <v>1112</v>
      </c>
      <c r="K246" s="20" t="n">
        <v>3584</v>
      </c>
      <c r="L246" s="20" t="n">
        <v>5279</v>
      </c>
      <c r="M246" s="20" t="n">
        <v>20811</v>
      </c>
      <c r="N246" s="20" t="n">
        <v>5729</v>
      </c>
      <c r="V246" s="20" t="n">
        <v>12911</v>
      </c>
      <c r="W246" s="20" t="n">
        <v>15989</v>
      </c>
      <c r="X246" s="20" t="n">
        <v>20811</v>
      </c>
    </row>
    <row r="247">
      <c r="A247" s="43" t="inlineStr">
        <is>
          <t>OPM</t>
        </is>
      </c>
      <c r="B247" s="3" t="inlineStr">
        <is>
          <t>영업이익 ÷ 매출</t>
        </is>
      </c>
      <c r="C247" s="15">
        <f>IF(OR(C246="",C221=""),"",IF(C221&lt;=0,"",IFERROR(C246/C221,"")))</f>
        <v/>
      </c>
      <c r="D247" s="15">
        <f>IF(OR(D246="",D221=""),"",IF(D221&lt;=0,"",IFERROR(D246/D221,"")))</f>
        <v/>
      </c>
      <c r="E247" s="15">
        <f>IF(OR(E246="",E221=""),"",IF(E221&lt;=0,"",IFERROR(E246/E221,"")))</f>
        <v/>
      </c>
      <c r="F247" s="15">
        <f>IF(OR(F246="",F221=""),"",IF(F221&lt;=0,"",IFERROR(F246/F221,"")))</f>
        <v/>
      </c>
      <c r="G247" s="15">
        <f>IF(OR(G246="",G221=""),"",IF(G221&lt;=0,"",IFERROR(G246/G221,"")))</f>
        <v/>
      </c>
      <c r="H247" s="15">
        <f>IF(OR(H246="",H221=""),"",IF(H221&lt;=0,"",IFERROR(H246/H221,"")))</f>
        <v/>
      </c>
      <c r="I247" s="15">
        <f>IF(OR(I246="",I221=""),"",IF(I221&lt;=0,"",IFERROR(I246/I221,"")))</f>
        <v/>
      </c>
      <c r="J247" s="15">
        <f>IF(OR(J246="",J221=""),"",IF(J221&lt;=0,"",IFERROR(J246/J221,"")))</f>
        <v/>
      </c>
      <c r="K247" s="15">
        <f>IF(OR(K246="",K221=""),"",IF(K221&lt;=0,"",IFERROR(K246/K221,"")))</f>
        <v/>
      </c>
      <c r="L247" s="15">
        <f>IF(OR(L246="",L221=""),"",IF(L221&lt;=0,"",IFERROR(L246/L221,"")))</f>
        <v/>
      </c>
      <c r="M247" s="15">
        <f>IF(OR(M246="",M221=""),"",IF(M221&lt;=0,"",IFERROR(M246/M221,"")))</f>
        <v/>
      </c>
      <c r="N247" s="15">
        <f>IF(OR(N246="",N221=""),"",IF(N221&lt;=0,"",IFERROR(N246/N221,"")))</f>
        <v/>
      </c>
      <c r="V247" s="15">
        <f>IF(OR(V246="",V221=""),"",IF(V221&lt;=0,"",IFERROR(V246/V221,"")))</f>
        <v/>
      </c>
      <c r="W247" s="15">
        <f>IF(OR(W246="",W221=""),"",IF(W221&lt;=0,"",IFERROR(W246/W221,"")))</f>
        <v/>
      </c>
      <c r="X247" s="15">
        <f>IF(OR(X246="",X221=""),"",IF(X221&lt;=0,"",IFERROR(X246/X221,"")))</f>
        <v/>
      </c>
    </row>
    <row r="248">
      <c r="A248" s="43" t="inlineStr">
        <is>
          <t>YoY</t>
        </is>
      </c>
      <c r="B248" s="3" t="inlineStr">
        <is>
          <t>전년 같은 분기·전년 대비</t>
        </is>
      </c>
      <c r="G248" s="15">
        <f>IF(OR(G246="",C246=""),"",IF(C246&lt;=0,"",IFERROR(G246/C246-1,"")))</f>
        <v/>
      </c>
      <c r="H248" s="15">
        <f>IF(OR(H246="",D246=""),"",IF(D246&lt;=0,"",IFERROR(H246/D246-1,"")))</f>
        <v/>
      </c>
      <c r="I248" s="15">
        <f>IF(OR(I246="",E246=""),"",IF(E246&lt;=0,"",IFERROR(I246/E246-1,"")))</f>
        <v/>
      </c>
      <c r="J248" s="15">
        <f>IF(OR(J246="",F246=""),"",IF(F246&lt;=0,"",IFERROR(J246/F246-1,"")))</f>
        <v/>
      </c>
      <c r="K248" s="15">
        <f>IF(OR(K246="",G246=""),"",IF(G246&lt;=0,"",IFERROR(K246/G246-1,"")))</f>
        <v/>
      </c>
      <c r="L248" s="15">
        <f>IF(OR(L246="",H246=""),"",IF(H246&lt;=0,"",IFERROR(L246/H246-1,"")))</f>
        <v/>
      </c>
      <c r="M248" s="15">
        <f>IF(OR(M246="",I246=""),"",IF(I246&lt;=0,"",IFERROR(M246/I246-1,"")))</f>
        <v/>
      </c>
      <c r="N248" s="15">
        <f>IF(OR(N246="",J246=""),"",IF(J246&lt;=0,"",IFERROR(N246/J246-1,"")))</f>
        <v/>
      </c>
      <c r="V248" s="15">
        <f>IF(OR(V246="",U246=""),"",IF(U246&lt;=0,"",IFERROR(V246/U246-1,"")))</f>
        <v/>
      </c>
      <c r="W248" s="15">
        <f>IF(OR(W246="",V246=""),"",IF(V246&lt;=0,"",IFERROR(W246/V246-1,"")))</f>
        <v/>
      </c>
      <c r="X248" s="15">
        <f>IF(OR(X246="",W246=""),"",IF(W246&lt;=0,"",IFERROR(X246/W246-1,"")))</f>
        <v/>
      </c>
    </row>
    <row r="249">
      <c r="A249" s="18" t="inlineStr">
        <is>
          <t>기타 · Operating Income</t>
        </is>
      </c>
      <c r="C249" s="20" t="n">
        <v>43</v>
      </c>
      <c r="D249" s="20" t="n">
        <v>48</v>
      </c>
      <c r="E249" s="20" t="n">
        <v>295</v>
      </c>
      <c r="F249" s="20" t="n">
        <v>29</v>
      </c>
      <c r="G249" s="20" t="n">
        <v>9</v>
      </c>
      <c r="H249" s="20" t="n">
        <v>156</v>
      </c>
      <c r="I249" s="20" t="n">
        <v>283</v>
      </c>
      <c r="J249" s="20" t="n">
        <v>30</v>
      </c>
      <c r="K249" s="20" t="n">
        <v>-46</v>
      </c>
      <c r="L249" s="20" t="n">
        <v>3</v>
      </c>
      <c r="M249" s="20" t="n">
        <v>104</v>
      </c>
      <c r="N249" s="20" t="n">
        <v>-48</v>
      </c>
      <c r="V249" s="20" t="n">
        <v>295</v>
      </c>
      <c r="W249" s="20" t="n">
        <v>283</v>
      </c>
      <c r="X249" s="20" t="n">
        <v>104</v>
      </c>
    </row>
    <row r="250">
      <c r="A250" s="43" t="inlineStr">
        <is>
          <t>OPM</t>
        </is>
      </c>
      <c r="B250" s="3" t="inlineStr">
        <is>
          <t>영업이익 ÷ 매출</t>
        </is>
      </c>
      <c r="C250" s="15">
        <f>IF(OR(C249="",C223=""),"",IF(C223&lt;=0,"",IFERROR(C249/C223,"")))</f>
        <v/>
      </c>
      <c r="D250" s="15">
        <f>IF(OR(D249="",D223=""),"",IF(D223&lt;=0,"",IFERROR(D249/D223,"")))</f>
        <v/>
      </c>
      <c r="E250" s="15">
        <f>IF(OR(E249="",E223=""),"",IF(E223&lt;=0,"",IFERROR(E249/E223,"")))</f>
        <v/>
      </c>
      <c r="F250" s="15">
        <f>IF(OR(F249="",F223=""),"",IF(F223&lt;=0,"",IFERROR(F249/F223,"")))</f>
        <v/>
      </c>
      <c r="G250" s="15">
        <f>IF(OR(G249="",G223=""),"",IF(G223&lt;=0,"",IFERROR(G249/G223,"")))</f>
        <v/>
      </c>
      <c r="H250" s="15">
        <f>IF(OR(H249="",H223=""),"",IF(H223&lt;=0,"",IFERROR(H249/H223,"")))</f>
        <v/>
      </c>
      <c r="I250" s="15">
        <f>IF(OR(I249="",I223=""),"",IF(I223&lt;=0,"",IFERROR(I249/I223,"")))</f>
        <v/>
      </c>
      <c r="J250" s="15">
        <f>IF(OR(J249="",J223=""),"",IF(J223&lt;=0,"",IFERROR(J249/J223,"")))</f>
        <v/>
      </c>
      <c r="K250" s="15">
        <f>IF(OR(K249="",K223=""),"",IF(K223&lt;=0,"",IFERROR(K249/K223,"")))</f>
        <v/>
      </c>
      <c r="L250" s="15">
        <f>IF(OR(L249="",L223=""),"",IF(L223&lt;=0,"",IFERROR(L249/L223,"")))</f>
        <v/>
      </c>
      <c r="M250" s="15">
        <f>IF(OR(M249="",M223=""),"",IF(M223&lt;=0,"",IFERROR(M249/M223,"")))</f>
        <v/>
      </c>
      <c r="N250" s="15">
        <f>IF(OR(N249="",N223=""),"",IF(N223&lt;=0,"",IFERROR(N249/N223,"")))</f>
        <v/>
      </c>
      <c r="V250" s="15">
        <f>IF(OR(V249="",V223=""),"",IF(V223&lt;=0,"",IFERROR(V249/V223,"")))</f>
        <v/>
      </c>
      <c r="W250" s="15">
        <f>IF(OR(W249="",W223=""),"",IF(W223&lt;=0,"",IFERROR(W249/W223,"")))</f>
        <v/>
      </c>
      <c r="X250" s="15">
        <f>IF(OR(X249="",X223=""),"",IF(X223&lt;=0,"",IFERROR(X249/X223,"")))</f>
        <v/>
      </c>
    </row>
    <row r="251">
      <c r="A251" s="43" t="inlineStr">
        <is>
          <t>YoY</t>
        </is>
      </c>
      <c r="B251" s="3" t="inlineStr">
        <is>
          <t>전년 같은 분기·전년 대비</t>
        </is>
      </c>
      <c r="G251" s="15">
        <f>IF(OR(G249="",C249=""),"",IF(C249&lt;=0,"",IFERROR(G249/C249-1,"")))</f>
        <v/>
      </c>
      <c r="H251" s="15">
        <f>IF(OR(H249="",D249=""),"",IF(D249&lt;=0,"",IFERROR(H249/D249-1,"")))</f>
        <v/>
      </c>
      <c r="I251" s="15">
        <f>IF(OR(I249="",E249=""),"",IF(E249&lt;=0,"",IFERROR(I249/E249-1,"")))</f>
        <v/>
      </c>
      <c r="J251" s="15">
        <f>IF(OR(J249="",F249=""),"",IF(F249&lt;=0,"",IFERROR(J249/F249-1,"")))</f>
        <v/>
      </c>
      <c r="K251" s="15">
        <f>IF(OR(K249="",G249=""),"",IF(G249&lt;=0,"",IFERROR(K249/G249-1,"")))</f>
        <v/>
      </c>
      <c r="L251" s="15">
        <f>IF(OR(L249="",H249=""),"",IF(H249&lt;=0,"",IFERROR(L249/H249-1,"")))</f>
        <v/>
      </c>
      <c r="M251" s="15">
        <f>IF(OR(M249="",I249=""),"",IF(I249&lt;=0,"",IFERROR(M249/I249-1,"")))</f>
        <v/>
      </c>
      <c r="N251" s="15">
        <f>IF(OR(N249="",J249=""),"",IF(J249&lt;=0,"",IFERROR(N249/J249-1,"")))</f>
        <v/>
      </c>
      <c r="V251" s="15">
        <f>IF(OR(V249="",U249=""),"",IF(U249&lt;=0,"",IFERROR(V249/U249-1,"")))</f>
        <v/>
      </c>
      <c r="W251" s="15">
        <f>IF(OR(W249="",V249=""),"",IF(V249&lt;=0,"",IFERROR(W249/V249-1,"")))</f>
        <v/>
      </c>
      <c r="X251" s="15">
        <f>IF(OR(X249="",W249=""),"",IF(W249&lt;=0,"",IFERROR(X249/W249-1,"")))</f>
        <v/>
      </c>
    </row>
    <row r="252">
      <c r="A252" s="18" t="inlineStr">
        <is>
          <t>합계 · Operating Income</t>
        </is>
      </c>
      <c r="C252" s="20" t="n">
        <v>1517</v>
      </c>
      <c r="D252" s="20" t="n">
        <v>2783</v>
      </c>
      <c r="E252" s="20" t="n">
        <v>13207</v>
      </c>
      <c r="F252" s="20" t="n">
        <v>-401</v>
      </c>
      <c r="G252" s="20" t="n">
        <v>3412</v>
      </c>
      <c r="H252" s="20" t="n">
        <v>4725</v>
      </c>
      <c r="I252" s="20" t="n">
        <v>16272</v>
      </c>
      <c r="J252" s="20" t="n">
        <v>1143</v>
      </c>
      <c r="K252" s="20" t="n">
        <v>3536</v>
      </c>
      <c r="L252" s="20" t="n">
        <v>5282</v>
      </c>
      <c r="M252" s="20" t="n">
        <v>20916</v>
      </c>
      <c r="N252" s="20" t="n">
        <v>5680</v>
      </c>
      <c r="V252" s="20" t="n">
        <v>13207</v>
      </c>
      <c r="W252" s="20" t="n">
        <v>16272</v>
      </c>
      <c r="X252" s="20" t="n">
        <v>20916</v>
      </c>
    </row>
    <row r="253">
      <c r="A253" s="43" t="inlineStr">
        <is>
          <t>OPM</t>
        </is>
      </c>
      <c r="B253" s="3" t="inlineStr">
        <is>
          <t>영업이익 ÷ 매출</t>
        </is>
      </c>
      <c r="C253" s="15">
        <f>IF(OR(C252="",C225=""),"",IF(C225&lt;=0,"",IFERROR(C252/C225,"")))</f>
        <v/>
      </c>
      <c r="D253" s="15">
        <f>IF(OR(D252="",D225=""),"",IF(D225&lt;=0,"",IFERROR(D252/D225,"")))</f>
        <v/>
      </c>
      <c r="E253" s="15">
        <f>IF(OR(E252="",E225=""),"",IF(E225&lt;=0,"",IFERROR(E252/E225,"")))</f>
        <v/>
      </c>
      <c r="F253" s="15">
        <f>IF(OR(F252="",F225=""),"",IF(F225&lt;=0,"",IFERROR(F252/F225,"")))</f>
        <v/>
      </c>
      <c r="G253" s="15">
        <f>IF(OR(G252="",G225=""),"",IF(G225&lt;=0,"",IFERROR(G252/G225,"")))</f>
        <v/>
      </c>
      <c r="H253" s="15">
        <f>IF(OR(H252="",H225=""),"",IF(H225&lt;=0,"",IFERROR(H252/H225,"")))</f>
        <v/>
      </c>
      <c r="I253" s="15">
        <f>IF(OR(I252="",I225=""),"",IF(I225&lt;=0,"",IFERROR(I252/I225,"")))</f>
        <v/>
      </c>
      <c r="J253" s="15">
        <f>IF(OR(J252="",J225=""),"",IF(J225&lt;=0,"",IFERROR(J252/J225,"")))</f>
        <v/>
      </c>
      <c r="K253" s="15">
        <f>IF(OR(K252="",K225=""),"",IF(K225&lt;=0,"",IFERROR(K252/K225,"")))</f>
        <v/>
      </c>
      <c r="L253" s="15">
        <f>IF(OR(L252="",L225=""),"",IF(L225&lt;=0,"",IFERROR(L252/L225,"")))</f>
        <v/>
      </c>
      <c r="M253" s="15">
        <f>IF(OR(M252="",M225=""),"",IF(M225&lt;=0,"",IFERROR(M252/M225,"")))</f>
        <v/>
      </c>
      <c r="N253" s="15">
        <f>IF(OR(N252="",N225=""),"",IF(N225&lt;=0,"",IFERROR(N252/N225,"")))</f>
        <v/>
      </c>
      <c r="V253" s="15">
        <f>IF(OR(V252="",V225=""),"",IF(V225&lt;=0,"",IFERROR(V252/V225,"")))</f>
        <v/>
      </c>
      <c r="W253" s="15">
        <f>IF(OR(W252="",W225=""),"",IF(W225&lt;=0,"",IFERROR(W252/W225,"")))</f>
        <v/>
      </c>
      <c r="X253" s="15">
        <f>IF(OR(X252="",X225=""),"",IF(X225&lt;=0,"",IFERROR(X252/X225,"")))</f>
        <v/>
      </c>
    </row>
    <row r="254">
      <c r="A254" s="43" t="inlineStr">
        <is>
          <t>YoY</t>
        </is>
      </c>
      <c r="B254" s="3" t="inlineStr">
        <is>
          <t>전년 같은 분기·전년 대비</t>
        </is>
      </c>
      <c r="G254" s="15">
        <f>IF(OR(G252="",C252=""),"",IF(C252&lt;=0,"",IFERROR(G252/C252-1,"")))</f>
        <v/>
      </c>
      <c r="H254" s="15">
        <f>IF(OR(H252="",D252=""),"",IF(D252&lt;=0,"",IFERROR(H252/D252-1,"")))</f>
        <v/>
      </c>
      <c r="I254" s="15">
        <f>IF(OR(I252="",E252=""),"",IF(E252&lt;=0,"",IFERROR(I252/E252-1,"")))</f>
        <v/>
      </c>
      <c r="J254" s="15">
        <f>IF(OR(J252="",F252=""),"",IF(F252&lt;=0,"",IFERROR(J252/F252-1,"")))</f>
        <v/>
      </c>
      <c r="K254" s="15">
        <f>IF(OR(K252="",G252=""),"",IF(G252&lt;=0,"",IFERROR(K252/G252-1,"")))</f>
        <v/>
      </c>
      <c r="L254" s="15">
        <f>IF(OR(L252="",H252=""),"",IF(H252&lt;=0,"",IFERROR(L252/H252-1,"")))</f>
        <v/>
      </c>
      <c r="M254" s="15">
        <f>IF(OR(M252="",I252=""),"",IF(I252&lt;=0,"",IFERROR(M252/I252-1,"")))</f>
        <v/>
      </c>
      <c r="N254" s="15">
        <f>IF(OR(N252="",J252=""),"",IF(J252&lt;=0,"",IFERROR(N252/J252-1,"")))</f>
        <v/>
      </c>
      <c r="V254" s="15">
        <f>IF(OR(V252="",U252=""),"",IF(U252&lt;=0,"",IFERROR(V252/U252-1,"")))</f>
        <v/>
      </c>
      <c r="W254" s="15">
        <f>IF(OR(W252="",V252=""),"",IF(V252&lt;=0,"",IFERROR(W252/V252-1,"")))</f>
        <v/>
      </c>
      <c r="X254" s="15">
        <f>IF(OR(X252="",W252=""),"",IF(W252&lt;=0,"",IFERROR(X252/W252-1,"")))</f>
        <v/>
      </c>
    </row>
    <row r="255">
      <c r="A255" s="18" t="inlineStr">
        <is>
          <t>조정액 · Operating Income</t>
        </is>
      </c>
      <c r="C255" s="20" t="n">
        <v>-510</v>
      </c>
      <c r="D255" s="20" t="n">
        <v>-497</v>
      </c>
      <c r="E255" s="20" t="n">
        <v>-396</v>
      </c>
      <c r="F255" s="20" t="n">
        <v>-494</v>
      </c>
      <c r="G255" s="20" t="n">
        <v>-608</v>
      </c>
      <c r="H255" s="20" t="n">
        <v>-643</v>
      </c>
      <c r="I255" s="20" t="n">
        <v>-751</v>
      </c>
      <c r="J255" s="20" t="n">
        <v>-794</v>
      </c>
      <c r="K255" s="20" t="n">
        <v>-1093</v>
      </c>
      <c r="L255" s="20" t="n">
        <v>-992</v>
      </c>
      <c r="M255" s="20" t="n">
        <v>-876</v>
      </c>
      <c r="N255" s="20" t="n">
        <v>-1016</v>
      </c>
      <c r="V255" s="20" t="n">
        <v>-396</v>
      </c>
      <c r="W255" s="20" t="n">
        <v>-751</v>
      </c>
      <c r="X255" s="20" t="n">
        <v>-876</v>
      </c>
    </row>
    <row r="256">
      <c r="A256" s="9" t="inlineStr">
        <is>
          <t>부문 이익(손실)</t>
        </is>
      </c>
      <c r="C256" s="12" t="n">
        <v>1008</v>
      </c>
      <c r="D256" s="12" t="n">
        <v>2287</v>
      </c>
      <c r="E256" s="12" t="n">
        <v>12810</v>
      </c>
      <c r="F256" s="12" t="n">
        <v>-896</v>
      </c>
      <c r="G256" s="12" t="n">
        <v>2805</v>
      </c>
      <c r="H256" s="12" t="n">
        <v>4081</v>
      </c>
      <c r="I256" s="12" t="n">
        <v>15522</v>
      </c>
      <c r="V256" s="12" t="n">
        <v>12810</v>
      </c>
      <c r="W256" s="12" t="n">
        <v>15522</v>
      </c>
    </row>
    <row r="257">
      <c r="A257" s="43" t="inlineStr">
        <is>
          <t>OPM</t>
        </is>
      </c>
      <c r="B257" s="3" t="inlineStr">
        <is>
          <t>영업이익 ÷ 매출</t>
        </is>
      </c>
      <c r="C257" s="15">
        <f>IF(OR(C256="",C197=""),"",IF(C197&lt;=0,"",IFERROR(C256/C197,"")))</f>
        <v/>
      </c>
      <c r="D257" s="15">
        <f>IF(OR(D256="",D197=""),"",IF(D197&lt;=0,"",IFERROR(D256/D197,"")))</f>
        <v/>
      </c>
      <c r="E257" s="15">
        <f>IF(OR(E256="",E197=""),"",IF(E197&lt;=0,"",IFERROR(E256/E197,"")))</f>
        <v/>
      </c>
      <c r="F257" s="15">
        <f>IF(OR(F256="",F197=""),"",IF(F197&lt;=0,"",IFERROR(F256/F197,"")))</f>
        <v/>
      </c>
      <c r="G257" s="15">
        <f>IF(OR(G256="",G197=""),"",IF(G197&lt;=0,"",IFERROR(G256/G197,"")))</f>
        <v/>
      </c>
      <c r="H257" s="15">
        <f>IF(OR(H256="",H197=""),"",IF(H197&lt;=0,"",IFERROR(H256/H197,"")))</f>
        <v/>
      </c>
      <c r="I257" s="15">
        <f>IF(OR(I256="",I197=""),"",IF(I197&lt;=0,"",IFERROR(I256/I197,"")))</f>
        <v/>
      </c>
      <c r="V257" s="15">
        <f>IF(OR(V256="",V197=""),"",IF(V197&lt;=0,"",IFERROR(V256/V197,"")))</f>
        <v/>
      </c>
      <c r="W257" s="15">
        <f>IF(OR(W256="",W197=""),"",IF(W197&lt;=0,"",IFERROR(W256/W197,"")))</f>
        <v/>
      </c>
    </row>
    <row r="258">
      <c r="A258" s="43" t="inlineStr">
        <is>
          <t>YoY</t>
        </is>
      </c>
      <c r="B258" s="3" t="inlineStr">
        <is>
          <t>전년 같은 분기·전년 대비</t>
        </is>
      </c>
      <c r="G258" s="15">
        <f>IF(OR(G256="",C256=""),"",IF(C256&lt;=0,"",IFERROR(G256/C256-1,"")))</f>
        <v/>
      </c>
      <c r="H258" s="15">
        <f>IF(OR(H256="",D256=""),"",IF(D256&lt;=0,"",IFERROR(H256/D256-1,"")))</f>
        <v/>
      </c>
      <c r="I258" s="15">
        <f>IF(OR(I256="",E256=""),"",IF(E256&lt;=0,"",IFERROR(I256/E256-1,"")))</f>
        <v/>
      </c>
      <c r="V258" s="15">
        <f>IF(OR(V256="",U256=""),"",IF(U256&lt;=0,"",IFERROR(V256/U256-1,"")))</f>
        <v/>
      </c>
      <c r="W258" s="15">
        <f>IF(OR(W256="",V256=""),"",IF(V256&lt;=0,"",IFERROR(W256/V256-1,"")))</f>
        <v/>
      </c>
    </row>
    <row r="259">
      <c r="A259" s="18" t="inlineStr">
        <is>
          <t>EntityTotalMember · Operating Income</t>
        </is>
      </c>
      <c r="F259" s="20" t="n">
        <v>-896</v>
      </c>
      <c r="J259" s="20" t="n">
        <v>348</v>
      </c>
      <c r="N259" s="20" t="n">
        <v>4664</v>
      </c>
    </row>
    <row r="261">
      <c r="A261" s="16" t="inlineStr">
        <is>
          <t>현금흐름표 · 전 항목</t>
        </is>
      </c>
      <c r="B261" s="42" t="inlineStr">
        <is>
          <t>분기 = 결산기 첫날부터 누계(공시 그대로)</t>
        </is>
      </c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</row>
    <row r="262">
      <c r="A262" s="5" t="inlineStr">
        <is>
          <t>항목</t>
        </is>
      </c>
      <c r="B262" s="5" t="inlineStr">
        <is>
          <t>참고</t>
        </is>
      </c>
      <c r="C262" s="5" t="inlineStr">
        <is>
          <t>2024.2Q</t>
        </is>
      </c>
      <c r="D262" s="5" t="inlineStr">
        <is>
          <t>2024.3Q</t>
        </is>
      </c>
      <c r="E262" s="5" t="inlineStr">
        <is>
          <t>2024.4Q</t>
        </is>
      </c>
      <c r="F262" s="5" t="inlineStr">
        <is>
          <t>2025.1Q</t>
        </is>
      </c>
      <c r="G262" s="5" t="inlineStr">
        <is>
          <t>2025.2Q</t>
        </is>
      </c>
      <c r="H262" s="5" t="inlineStr">
        <is>
          <t>2025.3Q</t>
        </is>
      </c>
      <c r="I262" s="5" t="inlineStr">
        <is>
          <t>2025.4Q</t>
        </is>
      </c>
      <c r="J262" s="5" t="inlineStr">
        <is>
          <t>2026.1Q</t>
        </is>
      </c>
      <c r="K262" s="5" t="inlineStr">
        <is>
          <t>2026.2Q</t>
        </is>
      </c>
      <c r="L262" s="5" t="inlineStr">
        <is>
          <t>2026.3Q</t>
        </is>
      </c>
      <c r="M262" s="5" t="inlineStr">
        <is>
          <t>2026.4Q</t>
        </is>
      </c>
      <c r="N262" s="5" t="inlineStr">
        <is>
          <t>2027.1Q</t>
        </is>
      </c>
      <c r="O262" s="5" t="inlineStr">
        <is>
          <t>2017</t>
        </is>
      </c>
      <c r="P262" s="5" t="inlineStr">
        <is>
          <t>2018</t>
        </is>
      </c>
      <c r="Q262" s="5" t="inlineStr">
        <is>
          <t>2019</t>
        </is>
      </c>
      <c r="R262" s="5" t="inlineStr">
        <is>
          <t>2020</t>
        </is>
      </c>
      <c r="S262" s="5" t="inlineStr">
        <is>
          <t>2021</t>
        </is>
      </c>
      <c r="T262" s="5" t="inlineStr">
        <is>
          <t>2022</t>
        </is>
      </c>
      <c r="U262" s="5" t="inlineStr">
        <is>
          <t>2023</t>
        </is>
      </c>
      <c r="V262" s="5" t="inlineStr">
        <is>
          <t>2024</t>
        </is>
      </c>
      <c r="W262" s="5" t="inlineStr">
        <is>
          <t>2025</t>
        </is>
      </c>
      <c r="X262" s="5" t="inlineStr">
        <is>
          <t>2026</t>
        </is>
      </c>
      <c r="Y262" s="5" t="inlineStr">
        <is>
          <t>2027(MW)</t>
        </is>
      </c>
      <c r="Z262" s="5" t="inlineStr">
        <is>
          <t>2028(MW)</t>
        </is>
      </c>
      <c r="AA262" s="5" t="inlineStr">
        <is>
          <t>2029(MW)</t>
        </is>
      </c>
      <c r="AB262" s="5" t="inlineStr">
        <is>
          <t>2030(MW)</t>
        </is>
      </c>
      <c r="AC262" s="5" t="inlineStr">
        <is>
          <t>2031(MW)</t>
        </is>
      </c>
    </row>
    <row r="263">
      <c r="A263" s="9" t="inlineStr">
        <is>
          <t>법인세차감전 순이익</t>
        </is>
      </c>
      <c r="C263" s="12" t="n">
        <v>-1925</v>
      </c>
      <c r="D263" s="12" t="n">
        <v>2819</v>
      </c>
      <c r="E263" s="12" t="n">
        <v>15756</v>
      </c>
      <c r="F263" s="12" t="n">
        <v>1420</v>
      </c>
      <c r="G263" s="12" t="n">
        <v>2850</v>
      </c>
      <c r="H263" s="12" t="n">
        <v>8469</v>
      </c>
      <c r="I263" s="12" t="n">
        <v>23836</v>
      </c>
      <c r="J263" s="12" t="n">
        <v>565</v>
      </c>
      <c r="K263" s="12" t="n">
        <v>2962</v>
      </c>
      <c r="L263" s="12" t="n">
        <v>13566</v>
      </c>
      <c r="M263" s="12" t="n">
        <v>30820</v>
      </c>
      <c r="N263" s="12" t="n">
        <v>7002</v>
      </c>
      <c r="O263" s="12" t="n">
        <v>8231</v>
      </c>
      <c r="P263" s="12" t="n">
        <v>10272</v>
      </c>
      <c r="Q263" s="12" t="n">
        <v>10272</v>
      </c>
      <c r="R263" s="12" t="n">
        <v>11441</v>
      </c>
      <c r="S263" s="12" t="n">
        <v>11303</v>
      </c>
      <c r="T263" s="12" t="n">
        <v>9984</v>
      </c>
      <c r="U263" s="12" t="n">
        <v>10397</v>
      </c>
      <c r="V263" s="12" t="n">
        <v>15756</v>
      </c>
      <c r="W263" s="12" t="n">
        <v>23836</v>
      </c>
      <c r="X263" s="12" t="n">
        <v>30820</v>
      </c>
    </row>
    <row r="264">
      <c r="A264" s="18" t="inlineStr">
        <is>
          <t>감가상각비</t>
        </is>
      </c>
      <c r="C264" s="20" t="n">
        <v>4854</v>
      </c>
      <c r="D264" s="20" t="n">
        <v>7469</v>
      </c>
      <c r="E264" s="20" t="n">
        <v>10296</v>
      </c>
      <c r="F264" s="20" t="n">
        <v>2530</v>
      </c>
      <c r="G264" s="20" t="n">
        <v>4983</v>
      </c>
      <c r="H264" s="20" t="n">
        <v>7695</v>
      </c>
      <c r="I264" s="20" t="n">
        <v>10463</v>
      </c>
      <c r="J264" s="20" t="n">
        <v>2497</v>
      </c>
      <c r="K264" s="20" t="n">
        <v>5165</v>
      </c>
      <c r="L264" s="20" t="n">
        <v>8110</v>
      </c>
      <c r="M264" s="20" t="n">
        <v>11174</v>
      </c>
      <c r="N264" s="20" t="n">
        <v>2687</v>
      </c>
      <c r="O264" s="20" t="n">
        <v>8663</v>
      </c>
      <c r="P264" s="20" t="n">
        <v>8673</v>
      </c>
      <c r="Q264" s="20" t="n">
        <v>8623</v>
      </c>
      <c r="R264" s="20" t="n">
        <v>9200</v>
      </c>
      <c r="S264" s="20" t="n">
        <v>9918</v>
      </c>
      <c r="T264" s="20" t="n">
        <v>11929</v>
      </c>
      <c r="U264" s="20" t="n">
        <v>10382</v>
      </c>
      <c r="V264" s="20" t="n">
        <v>10296</v>
      </c>
      <c r="W264" s="20" t="n">
        <v>10463</v>
      </c>
      <c r="X264" s="20" t="n">
        <v>11174</v>
      </c>
    </row>
    <row r="265">
      <c r="A265" s="18" t="inlineStr">
        <is>
          <t>손상차손</t>
        </is>
      </c>
      <c r="E265" s="20" t="n">
        <v>470</v>
      </c>
      <c r="I265" s="20" t="n">
        <v>0</v>
      </c>
      <c r="M265" s="20" t="n">
        <v>3303</v>
      </c>
      <c r="R265" s="20" t="n">
        <v>0</v>
      </c>
      <c r="S265" s="20" t="n">
        <v>176</v>
      </c>
      <c r="T265" s="20" t="n">
        <v>500</v>
      </c>
      <c r="U265" s="20" t="n">
        <v>381</v>
      </c>
      <c r="V265" s="20" t="n">
        <v>470</v>
      </c>
      <c r="W265" s="20" t="n">
        <v>0</v>
      </c>
      <c r="X265" s="20" t="n">
        <v>3303</v>
      </c>
    </row>
    <row r="266">
      <c r="A266" s="18" t="inlineStr">
        <is>
          <t>영업권 상각</t>
        </is>
      </c>
      <c r="C266" s="20" t="n">
        <v>355</v>
      </c>
      <c r="D266" s="20" t="n">
        <v>512</v>
      </c>
      <c r="E266" s="20" t="n">
        <v>714</v>
      </c>
      <c r="F266" s="20" t="n">
        <v>201</v>
      </c>
      <c r="G266" s="20" t="n">
        <v>348</v>
      </c>
      <c r="H266" s="20" t="n">
        <v>555</v>
      </c>
      <c r="I266" s="20" t="n">
        <v>699</v>
      </c>
      <c r="J266" s="20" t="n">
        <v>155</v>
      </c>
      <c r="K266" s="20" t="n">
        <v>315</v>
      </c>
      <c r="L266" s="20" t="n">
        <v>497</v>
      </c>
      <c r="M266" s="20" t="n">
        <v>661</v>
      </c>
      <c r="N266" s="20" t="n">
        <v>151</v>
      </c>
      <c r="P266" s="20" t="n">
        <v>224</v>
      </c>
      <c r="Q266" s="20" t="n">
        <v>580</v>
      </c>
      <c r="R266" s="20" t="n">
        <v>565</v>
      </c>
      <c r="S266" s="20" t="n">
        <v>529</v>
      </c>
      <c r="T266" s="20" t="n">
        <v>605</v>
      </c>
      <c r="U266" s="20" t="n">
        <v>781</v>
      </c>
      <c r="V266" s="20" t="n">
        <v>714</v>
      </c>
      <c r="W266" s="20" t="n">
        <v>699</v>
      </c>
      <c r="X266" s="20" t="n">
        <v>661</v>
      </c>
    </row>
    <row r="267">
      <c r="A267" s="18" t="inlineStr">
        <is>
          <t>충당금 증감</t>
        </is>
      </c>
      <c r="C267" s="20" t="n">
        <v>-434</v>
      </c>
      <c r="D267" s="20" t="n">
        <v>-3244</v>
      </c>
      <c r="E267" s="20" t="n">
        <v>632</v>
      </c>
      <c r="F267" s="20" t="n">
        <v>-4198</v>
      </c>
      <c r="G267" s="20" t="n">
        <v>-380</v>
      </c>
      <c r="H267" s="20" t="n">
        <v>-3752</v>
      </c>
      <c r="I267" s="20" t="n">
        <v>1832</v>
      </c>
      <c r="J267" s="20" t="n">
        <v>-5050</v>
      </c>
      <c r="K267" s="20" t="n">
        <v>-623</v>
      </c>
      <c r="L267" s="20" t="n">
        <v>-4708</v>
      </c>
      <c r="M267" s="20" t="n">
        <v>1238</v>
      </c>
      <c r="N267" s="20" t="n">
        <v>-5373</v>
      </c>
      <c r="O267" s="20" t="n">
        <v>-564</v>
      </c>
      <c r="P267" s="20" t="n">
        <v>1369</v>
      </c>
      <c r="Q267" s="20" t="n">
        <v>218</v>
      </c>
      <c r="R267" s="20" t="n">
        <v>247</v>
      </c>
      <c r="S267" s="20" t="n">
        <v>-525</v>
      </c>
      <c r="T267" s="20" t="n">
        <v>191</v>
      </c>
      <c r="U267" s="20" t="n">
        <v>-383</v>
      </c>
      <c r="V267" s="20" t="n">
        <v>632</v>
      </c>
      <c r="W267" s="20" t="n">
        <v>1832</v>
      </c>
      <c r="X267" s="20" t="n">
        <v>1238</v>
      </c>
    </row>
    <row r="268">
      <c r="A268" s="18" t="inlineStr">
        <is>
          <t>퇴직급여부채 증감</t>
        </is>
      </c>
      <c r="C268" s="20" t="n">
        <v>971</v>
      </c>
      <c r="D268" s="20" t="n">
        <v>1370</v>
      </c>
      <c r="E268" s="20" t="n">
        <v>1657</v>
      </c>
      <c r="F268" s="20" t="n">
        <v>532</v>
      </c>
      <c r="G268" s="20" t="n">
        <v>917</v>
      </c>
      <c r="H268" s="20" t="n">
        <v>1381</v>
      </c>
      <c r="I268" s="20" t="n">
        <v>1322</v>
      </c>
      <c r="J268" s="20" t="n">
        <v>493</v>
      </c>
      <c r="K268" s="20" t="n">
        <v>580</v>
      </c>
      <c r="L268" s="20" t="n">
        <v>871</v>
      </c>
      <c r="M268" s="20" t="n">
        <v>859</v>
      </c>
      <c r="N268" s="20" t="n">
        <v>279</v>
      </c>
      <c r="O268" s="20" t="n">
        <v>649</v>
      </c>
      <c r="P268" s="20" t="n">
        <v>1175</v>
      </c>
      <c r="Q268" s="20" t="n">
        <v>600</v>
      </c>
      <c r="R268" s="20" t="n">
        <v>1021</v>
      </c>
      <c r="S268" s="20" t="n">
        <v>1697</v>
      </c>
      <c r="T268" s="20" t="n">
        <v>1773</v>
      </c>
      <c r="U268" s="20" t="n">
        <v>1717</v>
      </c>
      <c r="V268" s="20" t="n">
        <v>1657</v>
      </c>
      <c r="W268" s="20" t="n">
        <v>1322</v>
      </c>
      <c r="X268" s="20" t="n">
        <v>859</v>
      </c>
    </row>
    <row r="269">
      <c r="A269" s="18" t="inlineStr">
        <is>
          <t>이자·배당금 수익</t>
        </is>
      </c>
      <c r="C269" s="20" t="n">
        <v>-461</v>
      </c>
      <c r="D269" s="20" t="n">
        <v>-774</v>
      </c>
      <c r="E269" s="20" t="n">
        <v>-848</v>
      </c>
      <c r="F269" s="20" t="n">
        <v>-550</v>
      </c>
      <c r="G269" s="20" t="n">
        <v>-623</v>
      </c>
      <c r="H269" s="20" t="n">
        <v>-1023</v>
      </c>
      <c r="I269" s="20" t="n">
        <v>-1100</v>
      </c>
      <c r="J269" s="20" t="n">
        <v>-573</v>
      </c>
      <c r="K269" s="20" t="n">
        <v>-698</v>
      </c>
      <c r="L269" s="20" t="n">
        <v>-1118</v>
      </c>
      <c r="M269" s="20" t="n">
        <v>-1181</v>
      </c>
      <c r="N269" s="20" t="n">
        <v>-669</v>
      </c>
      <c r="O269" s="20" t="n">
        <v>-561</v>
      </c>
      <c r="P269" s="20" t="n">
        <v>-556</v>
      </c>
      <c r="Q269" s="20" t="n">
        <v>-611</v>
      </c>
      <c r="R269" s="20" t="n">
        <v>-624</v>
      </c>
      <c r="S269" s="20" t="n">
        <v>-568</v>
      </c>
      <c r="T269" s="20" t="n">
        <v>-638</v>
      </c>
      <c r="U269" s="20" t="n">
        <v>-738</v>
      </c>
      <c r="V269" s="20" t="n">
        <v>-848</v>
      </c>
      <c r="W269" s="20" t="n">
        <v>-1100</v>
      </c>
      <c r="X269" s="20" t="n">
        <v>-1181</v>
      </c>
    </row>
    <row r="270">
      <c r="A270" s="18" t="inlineStr">
        <is>
          <t>이자비용</t>
        </is>
      </c>
      <c r="C270" s="20" t="n">
        <v>452</v>
      </c>
      <c r="D270" s="20" t="n">
        <v>661</v>
      </c>
      <c r="E270" s="20" t="n">
        <v>908</v>
      </c>
      <c r="F270" s="20" t="n">
        <v>258</v>
      </c>
      <c r="G270" s="20" t="n">
        <v>484</v>
      </c>
      <c r="H270" s="20" t="n">
        <v>772</v>
      </c>
      <c r="I270" s="20" t="n">
        <v>986</v>
      </c>
      <c r="J270" s="20" t="n">
        <v>217</v>
      </c>
      <c r="K270" s="20" t="n">
        <v>450</v>
      </c>
      <c r="L270" s="20" t="n">
        <v>682</v>
      </c>
      <c r="M270" s="20" t="n">
        <v>928</v>
      </c>
      <c r="N270" s="20" t="n">
        <v>266</v>
      </c>
      <c r="O270" s="20" t="n">
        <v>465</v>
      </c>
      <c r="P270" s="20" t="n">
        <v>478</v>
      </c>
      <c r="Q270" s="20" t="n">
        <v>624</v>
      </c>
      <c r="R270" s="20" t="n">
        <v>621</v>
      </c>
      <c r="S270" s="20" t="n">
        <v>484</v>
      </c>
      <c r="T270" s="20" t="n">
        <v>564</v>
      </c>
      <c r="U270" s="20" t="n">
        <v>823</v>
      </c>
      <c r="V270" s="20" t="n">
        <v>908</v>
      </c>
      <c r="W270" s="20" t="n">
        <v>986</v>
      </c>
      <c r="X270" s="20" t="n">
        <v>928</v>
      </c>
    </row>
    <row r="271">
      <c r="A271" s="18" t="inlineStr">
        <is>
          <t>지분법손익</t>
        </is>
      </c>
      <c r="O271" s="20" t="n">
        <v>587</v>
      </c>
      <c r="P271" s="20" t="n">
        <v>901</v>
      </c>
      <c r="Q271" s="20" t="n">
        <v>-151</v>
      </c>
      <c r="R271" s="20" t="n">
        <v>-18</v>
      </c>
      <c r="S271" s="20" t="n">
        <v>0</v>
      </c>
      <c r="T271" s="20" t="n">
        <v>25</v>
      </c>
      <c r="U271" s="20" t="n">
        <v>0</v>
      </c>
    </row>
    <row r="272">
      <c r="A272" s="18" t="inlineStr">
        <is>
          <t>유형자산 매각손익</t>
        </is>
      </c>
      <c r="D272" s="20" t="n">
        <v>-3236</v>
      </c>
      <c r="E272" s="20" t="n">
        <v>-3236</v>
      </c>
      <c r="H272" s="20" t="n">
        <v>-675</v>
      </c>
      <c r="I272" s="20" t="n">
        <v>-640</v>
      </c>
      <c r="L272" s="20" t="n">
        <v>-5391</v>
      </c>
      <c r="M272" s="20" t="n">
        <v>-5391</v>
      </c>
      <c r="R272" s="20" t="n">
        <v>0</v>
      </c>
      <c r="S272" s="20" t="n">
        <v>-3270</v>
      </c>
      <c r="T272" s="20" t="n">
        <v>0</v>
      </c>
      <c r="U272" s="20" t="n">
        <v>-582</v>
      </c>
      <c r="V272" s="20" t="n">
        <v>-3236</v>
      </c>
      <c r="W272" s="20" t="n">
        <v>-640</v>
      </c>
      <c r="X272" s="20" t="n">
        <v>-5391</v>
      </c>
    </row>
    <row r="273">
      <c r="A273" s="18" t="inlineStr">
        <is>
          <t>투자유가증권 매각손익</t>
        </is>
      </c>
      <c r="C273" s="20" t="n">
        <v>0</v>
      </c>
      <c r="D273" s="20" t="n">
        <v>0</v>
      </c>
      <c r="E273" s="20" t="n">
        <v>-63</v>
      </c>
      <c r="F273" s="20" t="n">
        <v>-1274</v>
      </c>
      <c r="G273" s="20" t="n">
        <v>-1274</v>
      </c>
      <c r="H273" s="20" t="n">
        <v>-1274</v>
      </c>
      <c r="I273" s="20" t="n">
        <v>-1274</v>
      </c>
      <c r="J273" s="20" t="n">
        <v>0</v>
      </c>
      <c r="K273" s="20" t="n">
        <v>-14</v>
      </c>
      <c r="L273" s="20" t="n">
        <v>-14</v>
      </c>
      <c r="M273" s="20" t="n">
        <v>-967</v>
      </c>
      <c r="N273" s="20" t="n">
        <v>-1597</v>
      </c>
      <c r="R273" s="20" t="n">
        <v>-0</v>
      </c>
      <c r="S273" s="20" t="n">
        <v>-261</v>
      </c>
      <c r="T273" s="20" t="n">
        <v>-282</v>
      </c>
      <c r="U273" s="20" t="n">
        <v>-1140</v>
      </c>
      <c r="V273" s="20" t="n">
        <v>-63</v>
      </c>
      <c r="W273" s="20" t="n">
        <v>-1274</v>
      </c>
      <c r="X273" s="20" t="n">
        <v>-967</v>
      </c>
    </row>
    <row r="274">
      <c r="A274" s="18" t="inlineStr">
        <is>
          <t>투자유가증권 평가손익</t>
        </is>
      </c>
      <c r="Q274" s="20" t="n">
        <v>0</v>
      </c>
      <c r="R274" s="20" t="n">
        <v>367</v>
      </c>
      <c r="S274" s="20" t="n">
        <v>0</v>
      </c>
      <c r="T274" s="20" t="n">
        <v>3</v>
      </c>
      <c r="U274" s="20" t="n">
        <v>0</v>
      </c>
    </row>
    <row r="275">
      <c r="A275" s="18" t="inlineStr">
        <is>
          <t>관계회사 주식 평가손실</t>
        </is>
      </c>
      <c r="G275" s="20" t="n">
        <v>0</v>
      </c>
      <c r="H275" s="20" t="n">
        <v>0</v>
      </c>
      <c r="I275" s="20" t="n">
        <v>0</v>
      </c>
      <c r="K275" s="20" t="n">
        <v>218</v>
      </c>
      <c r="L275" s="20" t="n">
        <v>218</v>
      </c>
      <c r="M275" s="20" t="n">
        <v>218</v>
      </c>
      <c r="W275" s="20" t="n">
        <v>0</v>
      </c>
      <c r="X275" s="20" t="n">
        <v>218</v>
      </c>
    </row>
    <row r="276">
      <c r="A276" s="18" t="inlineStr">
        <is>
          <t>보험금 수익</t>
        </is>
      </c>
      <c r="D276" s="20" t="n">
        <v>-207</v>
      </c>
      <c r="E276" s="20" t="n">
        <v>-687</v>
      </c>
      <c r="H276" s="20" t="n">
        <v>-50</v>
      </c>
      <c r="I276" s="20" t="n">
        <v>-1165</v>
      </c>
      <c r="L276" s="20" t="n">
        <v>0</v>
      </c>
      <c r="M276" s="20" t="n">
        <v>0</v>
      </c>
      <c r="U276" s="20" t="n">
        <v>0</v>
      </c>
      <c r="V276" s="20" t="n">
        <v>-687</v>
      </c>
      <c r="W276" s="20" t="n">
        <v>-1165</v>
      </c>
      <c r="X276" s="20" t="n">
        <v>0</v>
      </c>
    </row>
    <row r="277">
      <c r="A277" s="18" t="inlineStr">
        <is>
          <t>보상금 수취</t>
        </is>
      </c>
      <c r="C277" s="20" t="n">
        <v>0</v>
      </c>
      <c r="D277" s="20" t="n">
        <v>0</v>
      </c>
      <c r="E277" s="20" t="n">
        <v>0</v>
      </c>
      <c r="T277" s="20" t="n">
        <v>0</v>
      </c>
      <c r="U277" s="20" t="n">
        <v>-351</v>
      </c>
      <c r="V277" s="20" t="n">
        <v>0</v>
      </c>
    </row>
    <row r="278">
      <c r="A278" s="18" t="inlineStr">
        <is>
          <t>수취 손해배상금</t>
        </is>
      </c>
      <c r="R278" s="20" t="n">
        <v>0</v>
      </c>
      <c r="S278" s="20" t="n">
        <v>-240</v>
      </c>
      <c r="T278" s="20" t="n">
        <v>-6</v>
      </c>
      <c r="U278" s="20" t="n">
        <v>0</v>
      </c>
    </row>
    <row r="279">
      <c r="A279" s="18" t="inlineStr">
        <is>
          <t>단계적 취득 차손익</t>
        </is>
      </c>
      <c r="Q279" s="20" t="n">
        <v>0</v>
      </c>
      <c r="R279" s="20" t="n">
        <v>-365</v>
      </c>
      <c r="S279" s="20" t="n">
        <v>0</v>
      </c>
    </row>
    <row r="280">
      <c r="A280" s="18" t="inlineStr">
        <is>
          <t>매출채권 증감</t>
        </is>
      </c>
      <c r="O280" s="20" t="n">
        <v>7755</v>
      </c>
      <c r="P280" s="20" t="n">
        <v>-12208</v>
      </c>
      <c r="Q280" s="20" t="n">
        <v>820</v>
      </c>
      <c r="R280" s="20" t="n">
        <v>-4407</v>
      </c>
      <c r="S280" s="20" t="n">
        <v>2945</v>
      </c>
      <c r="T280" s="20" t="n">
        <v>-10346</v>
      </c>
    </row>
    <row r="281">
      <c r="A281" s="18" t="inlineStr">
        <is>
          <t>매출채권·계약자산 증감</t>
        </is>
      </c>
      <c r="T281" s="20" t="n">
        <v>-10346</v>
      </c>
      <c r="U281" s="20" t="n">
        <v>-1888</v>
      </c>
    </row>
    <row r="282">
      <c r="A282" s="18" t="inlineStr">
        <is>
          <t>화재손실</t>
        </is>
      </c>
      <c r="D282" s="20" t="n">
        <v>735</v>
      </c>
      <c r="E282" s="20" t="n">
        <v>792</v>
      </c>
      <c r="H282" s="20" t="n">
        <v>0</v>
      </c>
      <c r="I282" s="20" t="n">
        <v>0</v>
      </c>
      <c r="U282" s="20" t="n">
        <v>0</v>
      </c>
      <c r="V282" s="20" t="n">
        <v>792</v>
      </c>
      <c r="W282" s="20" t="n">
        <v>0</v>
      </c>
    </row>
    <row r="283">
      <c r="A283" s="18" t="inlineStr">
        <is>
          <t>매출채권·계약자산 증감</t>
        </is>
      </c>
      <c r="C283" s="20" t="n">
        <v>36024</v>
      </c>
      <c r="D283" s="20" t="n">
        <v>31713</v>
      </c>
    </row>
    <row r="284">
      <c r="A284" s="18" t="inlineStr">
        <is>
          <t>매출채권·계약자산 증감</t>
        </is>
      </c>
      <c r="C284" s="20" t="n">
        <v>36024</v>
      </c>
      <c r="D284" s="20" t="n">
        <v>31713</v>
      </c>
      <c r="E284" s="20" t="n">
        <v>-4111</v>
      </c>
      <c r="F284" s="20" t="n">
        <v>46977</v>
      </c>
      <c r="G284" s="20" t="n">
        <v>40111</v>
      </c>
      <c r="H284" s="20" t="n">
        <v>43485</v>
      </c>
      <c r="I284" s="20" t="n">
        <v>5159</v>
      </c>
      <c r="J284" s="20" t="n">
        <v>46684</v>
      </c>
      <c r="K284" s="20" t="n">
        <v>36386</v>
      </c>
      <c r="L284" s="20" t="n">
        <v>29862</v>
      </c>
      <c r="M284" s="20" t="n">
        <v>-14125</v>
      </c>
      <c r="N284" s="20" t="n">
        <v>44666</v>
      </c>
      <c r="U284" s="20" t="n">
        <v>-1888</v>
      </c>
      <c r="V284" s="20" t="n">
        <v>-4111</v>
      </c>
      <c r="W284" s="20" t="n">
        <v>5159</v>
      </c>
      <c r="X284" s="20" t="n">
        <v>-14125</v>
      </c>
    </row>
    <row r="285">
      <c r="A285" s="18" t="inlineStr">
        <is>
          <t>재고자산 증감</t>
        </is>
      </c>
      <c r="C285" s="20" t="n">
        <v>-11157</v>
      </c>
      <c r="D285" s="20" t="n">
        <v>-19448</v>
      </c>
      <c r="E285" s="20" t="n">
        <v>-6621</v>
      </c>
      <c r="F285" s="20" t="n">
        <v>-9717</v>
      </c>
      <c r="G285" s="20" t="n">
        <v>-13972</v>
      </c>
      <c r="H285" s="20" t="n">
        <v>-21667</v>
      </c>
      <c r="I285" s="20" t="n">
        <v>-777</v>
      </c>
      <c r="J285" s="20" t="n">
        <v>-7015</v>
      </c>
      <c r="K285" s="20" t="n">
        <v>-7620</v>
      </c>
      <c r="L285" s="20" t="n">
        <v>-18001</v>
      </c>
      <c r="M285" s="20" t="n">
        <v>-2</v>
      </c>
      <c r="N285" s="20" t="n">
        <v>-6874</v>
      </c>
      <c r="O285" s="20" t="n">
        <v>-1657</v>
      </c>
      <c r="P285" s="20" t="n">
        <v>-309</v>
      </c>
      <c r="Q285" s="20" t="n">
        <v>-965</v>
      </c>
      <c r="R285" s="20" t="n">
        <v>-649</v>
      </c>
      <c r="S285" s="20" t="n">
        <v>11</v>
      </c>
      <c r="T285" s="20" t="n">
        <v>-3040</v>
      </c>
      <c r="U285" s="20" t="n">
        <v>-6698</v>
      </c>
      <c r="V285" s="20" t="n">
        <v>-6621</v>
      </c>
      <c r="W285" s="20" t="n">
        <v>-777</v>
      </c>
      <c r="X285" s="20" t="n">
        <v>-2</v>
      </c>
    </row>
    <row r="286">
      <c r="A286" s="18" t="inlineStr">
        <is>
          <t>매입채무 증감</t>
        </is>
      </c>
      <c r="C286" s="20" t="n">
        <v>-6737</v>
      </c>
      <c r="D286" s="20" t="n">
        <v>-5313</v>
      </c>
      <c r="E286" s="20" t="n">
        <v>-3378</v>
      </c>
      <c r="F286" s="20" t="n">
        <v>-7369</v>
      </c>
      <c r="G286" s="20" t="n">
        <v>-7230</v>
      </c>
      <c r="H286" s="20" t="n">
        <v>-7374</v>
      </c>
      <c r="I286" s="20" t="n">
        <v>-4433</v>
      </c>
      <c r="J286" s="20" t="n">
        <v>-8982</v>
      </c>
      <c r="K286" s="20" t="n">
        <v>-9180</v>
      </c>
      <c r="L286" s="20" t="n">
        <v>-7576</v>
      </c>
      <c r="M286" s="20" t="n">
        <v>-3902</v>
      </c>
      <c r="N286" s="20" t="n">
        <v>-4071</v>
      </c>
      <c r="O286" s="20" t="n">
        <v>-7484</v>
      </c>
      <c r="P286" s="20" t="n">
        <v>7700</v>
      </c>
      <c r="Q286" s="20" t="n">
        <v>-1203</v>
      </c>
      <c r="R286" s="20" t="n">
        <v>-4707</v>
      </c>
      <c r="S286" s="20" t="n">
        <v>-6529</v>
      </c>
      <c r="T286" s="20" t="n">
        <v>2702</v>
      </c>
      <c r="U286" s="20" t="n">
        <v>3978</v>
      </c>
      <c r="V286" s="20" t="n">
        <v>-3378</v>
      </c>
      <c r="W286" s="20" t="n">
        <v>-4433</v>
      </c>
      <c r="X286" s="20" t="n">
        <v>-3902</v>
      </c>
    </row>
    <row r="287">
      <c r="A287" s="18" t="inlineStr">
        <is>
          <t>기타</t>
        </is>
      </c>
      <c r="C287" s="20" t="n">
        <v>-3584</v>
      </c>
      <c r="D287" s="20" t="n">
        <v>-3183</v>
      </c>
      <c r="E287" s="20" t="n">
        <v>1828</v>
      </c>
      <c r="F287" s="20" t="n">
        <v>-4075</v>
      </c>
      <c r="G287" s="20" t="n">
        <v>-3807</v>
      </c>
      <c r="H287" s="20" t="n">
        <v>-1820</v>
      </c>
      <c r="I287" s="20" t="n">
        <v>3121</v>
      </c>
      <c r="J287" s="20" t="n">
        <v>-2630</v>
      </c>
      <c r="K287" s="20" t="n">
        <v>-5490</v>
      </c>
      <c r="L287" s="20" t="n">
        <v>-2257</v>
      </c>
      <c r="M287" s="20" t="n">
        <v>1306</v>
      </c>
      <c r="N287" s="20" t="n">
        <v>-1543</v>
      </c>
      <c r="O287" s="20" t="n">
        <v>-537</v>
      </c>
      <c r="P287" s="20" t="n">
        <v>2600</v>
      </c>
      <c r="Q287" s="20" t="n">
        <v>446</v>
      </c>
      <c r="R287" s="20" t="n">
        <v>1478</v>
      </c>
      <c r="S287" s="20" t="n">
        <v>2584</v>
      </c>
      <c r="T287" s="20" t="n">
        <v>1220</v>
      </c>
      <c r="U287" s="20" t="n">
        <v>-756</v>
      </c>
      <c r="V287" s="20" t="n">
        <v>1828</v>
      </c>
      <c r="W287" s="20" t="n">
        <v>3121</v>
      </c>
      <c r="X287" s="20" t="n">
        <v>1306</v>
      </c>
    </row>
    <row r="288">
      <c r="A288" s="18" t="inlineStr">
        <is>
          <t>소계</t>
        </is>
      </c>
      <c r="C288" s="20" t="n">
        <v>18356</v>
      </c>
      <c r="D288" s="20" t="n">
        <v>9872</v>
      </c>
      <c r="E288" s="20" t="n">
        <v>14109</v>
      </c>
      <c r="F288" s="20" t="n">
        <v>24735</v>
      </c>
      <c r="G288" s="20" t="n">
        <v>22406</v>
      </c>
      <c r="H288" s="20" t="n">
        <v>24723</v>
      </c>
      <c r="I288" s="20" t="n">
        <v>38029</v>
      </c>
      <c r="J288" s="20" t="n">
        <v>26361</v>
      </c>
      <c r="K288" s="20" t="n">
        <v>22450</v>
      </c>
      <c r="L288" s="20" t="n">
        <v>14740</v>
      </c>
      <c r="M288" s="20" t="n">
        <v>24939</v>
      </c>
      <c r="N288" s="20" t="n">
        <v>34922</v>
      </c>
      <c r="O288" s="20" t="n">
        <v>15549</v>
      </c>
      <c r="P288" s="20" t="n">
        <v>20323</v>
      </c>
      <c r="Q288" s="20" t="n">
        <v>19255</v>
      </c>
      <c r="R288" s="20" t="n">
        <v>14168</v>
      </c>
      <c r="S288" s="20" t="n">
        <v>18253</v>
      </c>
      <c r="T288" s="20" t="n">
        <v>15186</v>
      </c>
      <c r="U288" s="20" t="n">
        <v>15921</v>
      </c>
      <c r="V288" s="20" t="n">
        <v>14109</v>
      </c>
      <c r="W288" s="20" t="n">
        <v>38029</v>
      </c>
      <c r="X288" s="20" t="n">
        <v>24939</v>
      </c>
    </row>
    <row r="289">
      <c r="A289" s="18" t="inlineStr">
        <is>
          <t>이자·배당금 수취</t>
        </is>
      </c>
      <c r="C289" s="20" t="n">
        <v>461</v>
      </c>
      <c r="D289" s="20" t="n">
        <v>767</v>
      </c>
      <c r="E289" s="20" t="n">
        <v>836</v>
      </c>
      <c r="F289" s="20" t="n">
        <v>559</v>
      </c>
      <c r="G289" s="20" t="n">
        <v>634</v>
      </c>
      <c r="H289" s="20" t="n">
        <v>1026</v>
      </c>
      <c r="I289" s="20" t="n">
        <v>1104</v>
      </c>
      <c r="J289" s="20" t="n">
        <v>580</v>
      </c>
      <c r="K289" s="20" t="n">
        <v>707</v>
      </c>
      <c r="L289" s="20" t="n">
        <v>1120</v>
      </c>
      <c r="M289" s="20" t="n">
        <v>1180</v>
      </c>
      <c r="N289" s="20" t="n">
        <v>677</v>
      </c>
      <c r="O289" s="20" t="n">
        <v>608</v>
      </c>
      <c r="P289" s="20" t="n">
        <v>607</v>
      </c>
      <c r="Q289" s="20" t="n">
        <v>648</v>
      </c>
      <c r="R289" s="20" t="n">
        <v>675</v>
      </c>
      <c r="S289" s="20" t="n">
        <v>568</v>
      </c>
      <c r="T289" s="20" t="n">
        <v>638</v>
      </c>
      <c r="U289" s="20" t="n">
        <v>738</v>
      </c>
      <c r="V289" s="20" t="n">
        <v>836</v>
      </c>
      <c r="W289" s="20" t="n">
        <v>1104</v>
      </c>
      <c r="X289" s="20" t="n">
        <v>1180</v>
      </c>
    </row>
    <row r="290">
      <c r="A290" s="18" t="inlineStr">
        <is>
          <t>이자 지급</t>
        </is>
      </c>
      <c r="C290" s="20" t="n">
        <v>-434</v>
      </c>
      <c r="D290" s="20" t="n">
        <v>-637</v>
      </c>
      <c r="E290" s="20" t="n">
        <v>-905</v>
      </c>
      <c r="F290" s="20" t="n">
        <v>-254</v>
      </c>
      <c r="G290" s="20" t="n">
        <v>-468</v>
      </c>
      <c r="H290" s="20" t="n">
        <v>-753</v>
      </c>
      <c r="I290" s="20" t="n">
        <v>-988</v>
      </c>
      <c r="J290" s="20" t="n">
        <v>-167</v>
      </c>
      <c r="K290" s="20" t="n">
        <v>-451</v>
      </c>
      <c r="L290" s="20" t="n">
        <v>-651</v>
      </c>
      <c r="M290" s="20" t="n">
        <v>-921</v>
      </c>
      <c r="N290" s="20" t="n">
        <v>-180</v>
      </c>
      <c r="O290" s="20" t="n">
        <v>-481</v>
      </c>
      <c r="P290" s="20" t="n">
        <v>-481</v>
      </c>
      <c r="Q290" s="20" t="n">
        <v>-624</v>
      </c>
      <c r="R290" s="20" t="n">
        <v>-618</v>
      </c>
      <c r="S290" s="20" t="n">
        <v>-474</v>
      </c>
      <c r="T290" s="20" t="n">
        <v>-566</v>
      </c>
      <c r="U290" s="20" t="n">
        <v>-825</v>
      </c>
      <c r="V290" s="20" t="n">
        <v>-905</v>
      </c>
      <c r="W290" s="20" t="n">
        <v>-988</v>
      </c>
      <c r="X290" s="20" t="n">
        <v>-921</v>
      </c>
    </row>
    <row r="291">
      <c r="A291" s="18" t="inlineStr">
        <is>
          <t>보험금 수취</t>
        </is>
      </c>
      <c r="C291" s="20" t="n">
        <v>0</v>
      </c>
      <c r="D291" s="20" t="n">
        <v>207</v>
      </c>
      <c r="E291" s="20" t="n">
        <v>207</v>
      </c>
      <c r="F291" s="20" t="n">
        <v>439</v>
      </c>
      <c r="G291" s="20" t="n">
        <v>439</v>
      </c>
      <c r="H291" s="20" t="n">
        <v>529</v>
      </c>
      <c r="I291" s="20" t="n">
        <v>1644</v>
      </c>
      <c r="J291" s="20" t="n">
        <v>0</v>
      </c>
      <c r="K291" s="20" t="n">
        <v>0</v>
      </c>
      <c r="L291" s="20" t="n">
        <v>0</v>
      </c>
      <c r="M291" s="20" t="n">
        <v>0</v>
      </c>
      <c r="U291" s="20" t="n">
        <v>0</v>
      </c>
      <c r="V291" s="20" t="n">
        <v>207</v>
      </c>
      <c r="W291" s="20" t="n">
        <v>1644</v>
      </c>
      <c r="X291" s="20" t="n">
        <v>0</v>
      </c>
    </row>
    <row r="292">
      <c r="A292" s="18" t="inlineStr">
        <is>
          <t>보상금 수취</t>
        </is>
      </c>
      <c r="C292" s="20" t="n">
        <v>0</v>
      </c>
      <c r="D292" s="20" t="n">
        <v>0</v>
      </c>
      <c r="E292" s="20" t="n">
        <v>5</v>
      </c>
      <c r="T292" s="20" t="n">
        <v>0</v>
      </c>
      <c r="U292" s="20" t="n">
        <v>420</v>
      </c>
      <c r="V292" s="20" t="n">
        <v>5</v>
      </c>
    </row>
    <row r="293">
      <c r="A293" s="18" t="inlineStr">
        <is>
          <t>Loss On Fire Paid Ope CF</t>
        </is>
      </c>
      <c r="C293" s="20" t="n">
        <v>0</v>
      </c>
      <c r="D293" s="20" t="n">
        <v>-118</v>
      </c>
      <c r="E293" s="20" t="n">
        <v>-196</v>
      </c>
      <c r="F293" s="20" t="n">
        <v>-12</v>
      </c>
      <c r="G293" s="20" t="n">
        <v>-25</v>
      </c>
      <c r="H293" s="20" t="n">
        <v>-25</v>
      </c>
      <c r="I293" s="20" t="n">
        <v>-25</v>
      </c>
      <c r="J293" s="20" t="n">
        <v>0</v>
      </c>
      <c r="K293" s="20" t="n">
        <v>0</v>
      </c>
      <c r="L293" s="20" t="n">
        <v>0</v>
      </c>
      <c r="M293" s="20" t="n">
        <v>0</v>
      </c>
      <c r="U293" s="20" t="n">
        <v>0</v>
      </c>
      <c r="V293" s="20" t="n">
        <v>-196</v>
      </c>
      <c r="W293" s="20" t="n">
        <v>-25</v>
      </c>
      <c r="X293" s="20" t="n">
        <v>0</v>
      </c>
    </row>
    <row r="294">
      <c r="A294" s="18" t="inlineStr">
        <is>
          <t>법인세 납부</t>
        </is>
      </c>
      <c r="C294" s="20" t="n">
        <v>-3751</v>
      </c>
      <c r="D294" s="20" t="n">
        <v>-4919</v>
      </c>
      <c r="E294" s="20" t="n">
        <v>-5084</v>
      </c>
      <c r="F294" s="20" t="n">
        <v>-2351</v>
      </c>
      <c r="G294" s="20" t="n">
        <v>-2465</v>
      </c>
      <c r="H294" s="20" t="n">
        <v>-4233</v>
      </c>
      <c r="I294" s="20" t="n">
        <v>-4309</v>
      </c>
      <c r="J294" s="20" t="n">
        <v>-3503</v>
      </c>
      <c r="K294" s="20" t="n">
        <v>-4191</v>
      </c>
      <c r="L294" s="20" t="n">
        <v>-7116</v>
      </c>
      <c r="M294" s="20" t="n">
        <v>-7699</v>
      </c>
      <c r="N294" s="20" t="n">
        <v>-4719</v>
      </c>
      <c r="O294" s="20" t="n">
        <v>-3835</v>
      </c>
      <c r="P294" s="20" t="n">
        <v>-2473</v>
      </c>
      <c r="Q294" s="20" t="n">
        <v>-4913</v>
      </c>
      <c r="R294" s="20" t="n">
        <v>-3808</v>
      </c>
      <c r="S294" s="20" t="n">
        <v>-3747</v>
      </c>
      <c r="T294" s="20" t="n">
        <v>-3869</v>
      </c>
      <c r="U294" s="20" t="n">
        <v>-2512</v>
      </c>
      <c r="V294" s="20" t="n">
        <v>-5084</v>
      </c>
      <c r="W294" s="20" t="n">
        <v>-4309</v>
      </c>
      <c r="X294" s="20" t="n">
        <v>-7699</v>
      </c>
    </row>
    <row r="295">
      <c r="A295" s="9" t="inlineStr">
        <is>
          <t>영업활동 현금흐름</t>
        </is>
      </c>
      <c r="C295" s="12" t="n">
        <v>14632</v>
      </c>
      <c r="D295" s="12" t="n">
        <v>5172</v>
      </c>
      <c r="E295" s="12" t="n">
        <v>8968</v>
      </c>
      <c r="F295" s="12" t="n">
        <v>23116</v>
      </c>
      <c r="G295" s="12" t="n">
        <v>20520</v>
      </c>
      <c r="H295" s="12" t="n">
        <v>21266</v>
      </c>
      <c r="I295" s="12" t="n">
        <v>35454</v>
      </c>
      <c r="J295" s="12" t="n">
        <v>23270</v>
      </c>
      <c r="K295" s="12" t="n">
        <v>18515</v>
      </c>
      <c r="L295" s="12" t="n">
        <v>8093</v>
      </c>
      <c r="M295" s="12" t="n">
        <v>17498</v>
      </c>
      <c r="N295" s="12" t="n">
        <v>30700</v>
      </c>
      <c r="O295" s="12" t="n">
        <v>11840</v>
      </c>
      <c r="P295" s="12" t="n">
        <v>17975</v>
      </c>
      <c r="Q295" s="12" t="n">
        <v>14365</v>
      </c>
      <c r="R295" s="12" t="n">
        <v>10416</v>
      </c>
      <c r="S295" s="12" t="n">
        <v>14601</v>
      </c>
      <c r="T295" s="12" t="n">
        <v>11389</v>
      </c>
      <c r="U295" s="12" t="n">
        <v>13742</v>
      </c>
      <c r="V295" s="12" t="n">
        <v>8968</v>
      </c>
      <c r="W295" s="12" t="n">
        <v>35454</v>
      </c>
      <c r="X295" s="12" t="n">
        <v>17498</v>
      </c>
    </row>
    <row r="296">
      <c r="A296" s="18" t="inlineStr">
        <is>
          <t>유형자산 매각</t>
        </is>
      </c>
      <c r="D296" s="20" t="n">
        <v>3450</v>
      </c>
      <c r="E296" s="20" t="n">
        <v>3450</v>
      </c>
      <c r="H296" s="20" t="n">
        <v>993</v>
      </c>
      <c r="I296" s="20" t="n">
        <v>947</v>
      </c>
      <c r="L296" s="20" t="n">
        <v>6186</v>
      </c>
      <c r="M296" s="20" t="n">
        <v>6090</v>
      </c>
      <c r="R296" s="20" t="n">
        <v>59</v>
      </c>
      <c r="S296" s="20" t="n">
        <v>3456</v>
      </c>
      <c r="T296" s="20" t="n">
        <v>29</v>
      </c>
      <c r="U296" s="20" t="n">
        <v>1327</v>
      </c>
      <c r="V296" s="20" t="n">
        <v>3450</v>
      </c>
      <c r="W296" s="20" t="n">
        <v>947</v>
      </c>
      <c r="X296" s="20" t="n">
        <v>6090</v>
      </c>
    </row>
    <row r="297">
      <c r="A297" s="18" t="inlineStr">
        <is>
          <t>Purchase Of Property Plant And Equipment And Intangible Assets Inv CF</t>
        </is>
      </c>
      <c r="C297" s="20" t="n">
        <v>-4423</v>
      </c>
      <c r="D297" s="20" t="n">
        <v>-6269</v>
      </c>
      <c r="E297" s="20" t="n">
        <v>-9343</v>
      </c>
      <c r="F297" s="20" t="n">
        <v>-1981</v>
      </c>
      <c r="G297" s="20" t="n">
        <v>-4729</v>
      </c>
      <c r="H297" s="20" t="n">
        <v>-7268</v>
      </c>
      <c r="I297" s="20" t="n">
        <v>-10547</v>
      </c>
      <c r="J297" s="20" t="n">
        <v>-3691</v>
      </c>
      <c r="K297" s="20" t="n">
        <v>-6866</v>
      </c>
      <c r="L297" s="20" t="n">
        <v>-11758</v>
      </c>
      <c r="M297" s="20" t="n">
        <v>-15241</v>
      </c>
      <c r="N297" s="20" t="n">
        <v>-6735</v>
      </c>
      <c r="O297" s="20" t="n">
        <v>-7270</v>
      </c>
      <c r="P297" s="20" t="n">
        <v>-7082</v>
      </c>
      <c r="Q297" s="20" t="n">
        <v>-7831</v>
      </c>
      <c r="R297" s="20" t="n">
        <v>-14908</v>
      </c>
      <c r="S297" s="20" t="n">
        <v>-15615</v>
      </c>
      <c r="T297" s="20" t="n">
        <v>-8913</v>
      </c>
      <c r="U297" s="20" t="n">
        <v>-12395</v>
      </c>
      <c r="V297" s="20" t="n">
        <v>-9343</v>
      </c>
      <c r="W297" s="20" t="n">
        <v>-10547</v>
      </c>
      <c r="X297" s="20" t="n">
        <v>-15241</v>
      </c>
    </row>
    <row r="298">
      <c r="A298" s="18" t="inlineStr">
        <is>
          <t>투자유가증권 매각</t>
        </is>
      </c>
      <c r="C298" s="20" t="n">
        <v>0</v>
      </c>
      <c r="D298" s="20" t="n">
        <v>0</v>
      </c>
      <c r="E298" s="20" t="n">
        <v>67</v>
      </c>
      <c r="F298" s="20" t="n">
        <v>1422</v>
      </c>
      <c r="G298" s="20" t="n">
        <v>1422</v>
      </c>
      <c r="H298" s="20" t="n">
        <v>1422</v>
      </c>
      <c r="I298" s="20" t="n">
        <v>1422</v>
      </c>
      <c r="J298" s="20" t="n">
        <v>0</v>
      </c>
      <c r="K298" s="20" t="n">
        <v>18</v>
      </c>
      <c r="L298" s="20" t="n">
        <v>18</v>
      </c>
      <c r="M298" s="20" t="n">
        <v>1048</v>
      </c>
      <c r="N298" s="20" t="n">
        <v>1791</v>
      </c>
      <c r="O298" s="20" t="n">
        <v>422</v>
      </c>
      <c r="P298" s="20" t="n">
        <v>648</v>
      </c>
      <c r="Q298" s="20" t="n">
        <v>0</v>
      </c>
      <c r="R298" s="20" t="n">
        <v>286</v>
      </c>
      <c r="S298" s="20" t="n">
        <v>336</v>
      </c>
      <c r="T298" s="20" t="n">
        <v>1375</v>
      </c>
      <c r="U298" s="20" t="n">
        <v>1462</v>
      </c>
      <c r="V298" s="20" t="n">
        <v>67</v>
      </c>
      <c r="W298" s="20" t="n">
        <v>1422</v>
      </c>
      <c r="X298" s="20" t="n">
        <v>1048</v>
      </c>
    </row>
    <row r="299">
      <c r="A299" s="18" t="inlineStr">
        <is>
          <t>관계회사 주식 취득</t>
        </is>
      </c>
      <c r="O299" s="20" t="n">
        <v>-2687</v>
      </c>
      <c r="P299" s="20" t="n">
        <v>-587</v>
      </c>
      <c r="Q299" s="20" t="n">
        <v>0</v>
      </c>
      <c r="R299" s="20" t="n">
        <v>-9</v>
      </c>
      <c r="S299" s="20" t="n">
        <v>-491</v>
      </c>
      <c r="T299" s="20" t="n">
        <v>0</v>
      </c>
    </row>
    <row r="300">
      <c r="A300" s="18" t="inlineStr">
        <is>
          <t>대여</t>
        </is>
      </c>
      <c r="O300" s="20" t="n">
        <v>-2379</v>
      </c>
      <c r="P300" s="20" t="n">
        <v>-3</v>
      </c>
      <c r="Q300" s="20" t="n">
        <v>-2</v>
      </c>
    </row>
    <row r="301">
      <c r="A301" s="18" t="inlineStr">
        <is>
          <t>정기예금 증감</t>
        </is>
      </c>
      <c r="I301" s="20" t="n">
        <v>161</v>
      </c>
      <c r="M301" s="20" t="n">
        <v>-6557</v>
      </c>
      <c r="W301" s="20" t="n">
        <v>161</v>
      </c>
      <c r="X301" s="20" t="n">
        <v>-6557</v>
      </c>
    </row>
    <row r="302">
      <c r="A302" s="18" t="inlineStr">
        <is>
          <t>연결범위 변경 자회사 주식 취득</t>
        </is>
      </c>
      <c r="H302" s="20" t="n">
        <v>0</v>
      </c>
      <c r="I302" s="20" t="n">
        <v>0</v>
      </c>
      <c r="L302" s="20" t="n">
        <v>-5</v>
      </c>
      <c r="M302" s="20" t="n">
        <v>-5</v>
      </c>
      <c r="W302" s="20" t="n">
        <v>0</v>
      </c>
      <c r="X302" s="20" t="n">
        <v>-5</v>
      </c>
    </row>
    <row r="303">
      <c r="A303" s="18" t="inlineStr">
        <is>
          <t>연결범위 변경 자회사 주식 취득(수입)</t>
        </is>
      </c>
      <c r="D303" s="20" t="n">
        <v>0</v>
      </c>
      <c r="E303" s="20" t="n">
        <v>0</v>
      </c>
      <c r="H303" s="20" t="n">
        <v>11</v>
      </c>
      <c r="I303" s="20" t="n">
        <v>11</v>
      </c>
      <c r="L303" s="20" t="n">
        <v>0</v>
      </c>
      <c r="M303" s="20" t="n">
        <v>0</v>
      </c>
      <c r="Q303" s="20" t="n">
        <v>0</v>
      </c>
      <c r="R303" s="20" t="n">
        <v>1649</v>
      </c>
      <c r="S303" s="20" t="n">
        <v>0</v>
      </c>
      <c r="T303" s="20" t="n">
        <v>67</v>
      </c>
      <c r="U303" s="20" t="n">
        <v>0</v>
      </c>
      <c r="V303" s="20" t="n">
        <v>0</v>
      </c>
      <c r="W303" s="20" t="n">
        <v>11</v>
      </c>
      <c r="X303" s="20" t="n">
        <v>0</v>
      </c>
    </row>
    <row r="304">
      <c r="A304" s="18" t="inlineStr">
        <is>
          <t>기타</t>
        </is>
      </c>
      <c r="C304" s="20" t="n">
        <v>-526</v>
      </c>
      <c r="D304" s="20" t="n">
        <v>-1419</v>
      </c>
      <c r="E304" s="20" t="n">
        <v>-1727</v>
      </c>
      <c r="F304" s="20" t="n">
        <v>445</v>
      </c>
      <c r="G304" s="20" t="n">
        <v>519</v>
      </c>
      <c r="H304" s="20" t="n">
        <v>-348</v>
      </c>
      <c r="I304" s="20" t="n">
        <v>-1060</v>
      </c>
      <c r="J304" s="20" t="n">
        <v>-1959</v>
      </c>
      <c r="K304" s="20" t="n">
        <v>-1780</v>
      </c>
      <c r="L304" s="20" t="n">
        <v>-3163</v>
      </c>
      <c r="M304" s="20" t="n">
        <v>-2468</v>
      </c>
      <c r="N304" s="20" t="n">
        <v>-949</v>
      </c>
      <c r="O304" s="20" t="n">
        <v>-115</v>
      </c>
      <c r="P304" s="20" t="n">
        <v>-556</v>
      </c>
      <c r="Q304" s="20" t="n">
        <v>-242</v>
      </c>
      <c r="R304" s="20" t="n">
        <v>-777</v>
      </c>
      <c r="S304" s="20" t="n">
        <v>-803</v>
      </c>
      <c r="T304" s="20" t="n">
        <v>-61</v>
      </c>
      <c r="U304" s="20" t="n">
        <v>-900</v>
      </c>
      <c r="V304" s="20" t="n">
        <v>-1727</v>
      </c>
      <c r="W304" s="20" t="n">
        <v>-1060</v>
      </c>
      <c r="X304" s="20" t="n">
        <v>-2468</v>
      </c>
    </row>
    <row r="305">
      <c r="A305" s="9" t="inlineStr">
        <is>
          <t>투자활동 현금흐름</t>
        </is>
      </c>
      <c r="C305" s="12" t="n">
        <v>-4950</v>
      </c>
      <c r="D305" s="12" t="n">
        <v>-4239</v>
      </c>
      <c r="E305" s="12" t="n">
        <v>-7553</v>
      </c>
      <c r="F305" s="12" t="n">
        <v>-113</v>
      </c>
      <c r="G305" s="12" t="n">
        <v>-2787</v>
      </c>
      <c r="H305" s="12" t="n">
        <v>-5189</v>
      </c>
      <c r="I305" s="12" t="n">
        <v>-9065</v>
      </c>
      <c r="J305" s="12" t="n">
        <v>-5650</v>
      </c>
      <c r="K305" s="12" t="n">
        <v>-8628</v>
      </c>
      <c r="L305" s="12" t="n">
        <v>-8723</v>
      </c>
      <c r="M305" s="12" t="n">
        <v>-17134</v>
      </c>
      <c r="N305" s="12" t="n">
        <v>-5892</v>
      </c>
      <c r="O305" s="12" t="n">
        <v>-12031</v>
      </c>
      <c r="P305" s="12" t="n">
        <v>-7582</v>
      </c>
      <c r="Q305" s="12" t="n">
        <v>-8074</v>
      </c>
      <c r="R305" s="12" t="n">
        <v>-13700</v>
      </c>
      <c r="S305" s="12" t="n">
        <v>-13117</v>
      </c>
      <c r="T305" s="12" t="n">
        <v>-7503</v>
      </c>
      <c r="U305" s="12" t="n">
        <v>-10506</v>
      </c>
      <c r="V305" s="12" t="n">
        <v>-7553</v>
      </c>
      <c r="W305" s="12" t="n">
        <v>-9065</v>
      </c>
      <c r="X305" s="12" t="n">
        <v>-17134</v>
      </c>
    </row>
    <row r="306">
      <c r="A306" s="18" t="inlineStr">
        <is>
          <t>자회사 자기주식 취득 지출</t>
        </is>
      </c>
      <c r="S306" s="20" t="n">
        <v>0</v>
      </c>
      <c r="T306" s="20" t="n">
        <v>-2</v>
      </c>
      <c r="U306" s="20" t="n">
        <v>0</v>
      </c>
    </row>
    <row r="307">
      <c r="A307" s="18" t="inlineStr">
        <is>
          <t>단기차입금 순증감</t>
        </is>
      </c>
      <c r="C307" s="20" t="n">
        <v>-1621</v>
      </c>
      <c r="D307" s="20" t="n">
        <v>-1470</v>
      </c>
      <c r="E307" s="20" t="n">
        <v>1744</v>
      </c>
      <c r="F307" s="20" t="n">
        <v>-2250</v>
      </c>
      <c r="G307" s="20" t="n">
        <v>-1274</v>
      </c>
      <c r="H307" s="20" t="n">
        <v>-2124</v>
      </c>
      <c r="I307" s="20" t="n">
        <v>-4623</v>
      </c>
      <c r="J307" s="20" t="n">
        <v>906</v>
      </c>
      <c r="K307" s="20" t="n">
        <v>1373</v>
      </c>
      <c r="L307" s="20" t="n">
        <v>2686</v>
      </c>
      <c r="M307" s="20" t="n">
        <v>2903</v>
      </c>
      <c r="N307" s="20" t="n">
        <v>-240</v>
      </c>
      <c r="O307" s="20" t="n">
        <v>450</v>
      </c>
      <c r="P307" s="20" t="n">
        <v>-1915</v>
      </c>
      <c r="Q307" s="20" t="n">
        <v>985</v>
      </c>
      <c r="R307" s="20" t="n">
        <v>-649</v>
      </c>
      <c r="S307" s="20" t="n">
        <v>50</v>
      </c>
      <c r="T307" s="20" t="n">
        <v>2160</v>
      </c>
      <c r="U307" s="20" t="n">
        <v>-4066</v>
      </c>
      <c r="V307" s="20" t="n">
        <v>1744</v>
      </c>
      <c r="W307" s="20" t="n">
        <v>-4623</v>
      </c>
      <c r="X307" s="20" t="n">
        <v>2903</v>
      </c>
    </row>
    <row r="308">
      <c r="A308" s="18" t="inlineStr">
        <is>
          <t>사채 상환</t>
        </is>
      </c>
      <c r="C308" s="20" t="n">
        <v>0</v>
      </c>
      <c r="D308" s="20" t="n">
        <v>0</v>
      </c>
      <c r="E308" s="20" t="n">
        <v>0</v>
      </c>
      <c r="G308" s="20" t="n">
        <v>-6000</v>
      </c>
      <c r="H308" s="20" t="n">
        <v>-6000</v>
      </c>
      <c r="I308" s="20" t="n">
        <v>-6000</v>
      </c>
      <c r="K308" s="20" t="n">
        <v>0</v>
      </c>
      <c r="L308" s="20" t="n">
        <v>0</v>
      </c>
      <c r="M308" s="20" t="n">
        <v>0</v>
      </c>
      <c r="T308" s="20" t="n">
        <v>0</v>
      </c>
      <c r="U308" s="20" t="n">
        <v>-5000</v>
      </c>
      <c r="V308" s="20" t="n">
        <v>0</v>
      </c>
      <c r="W308" s="20" t="n">
        <v>-6000</v>
      </c>
      <c r="X308" s="20" t="n">
        <v>0</v>
      </c>
    </row>
    <row r="309">
      <c r="A309" s="18" t="inlineStr">
        <is>
          <t>기업어음(CP) 순증감액</t>
        </is>
      </c>
      <c r="C309" s="20" t="n">
        <v>1000</v>
      </c>
      <c r="D309" s="20" t="n">
        <v>10000</v>
      </c>
      <c r="E309" s="20" t="n">
        <v>2000</v>
      </c>
      <c r="F309" s="20" t="n">
        <v>-10000</v>
      </c>
      <c r="G309" s="20" t="n">
        <v>-4000</v>
      </c>
      <c r="H309" s="20" t="n">
        <v>8000</v>
      </c>
      <c r="I309" s="20" t="n">
        <v>-4000</v>
      </c>
      <c r="J309" s="20" t="n">
        <v>-6000</v>
      </c>
      <c r="K309" s="20" t="n">
        <v>-6000</v>
      </c>
      <c r="L309" s="20" t="n">
        <v>6000</v>
      </c>
      <c r="M309" s="20" t="n">
        <v>-1000</v>
      </c>
      <c r="N309" s="20" t="n">
        <v>-5000</v>
      </c>
      <c r="O309" s="20" t="n">
        <v>4000</v>
      </c>
      <c r="P309" s="20" t="n">
        <v>-9000</v>
      </c>
      <c r="Q309" s="20" t="n">
        <v>-6000</v>
      </c>
      <c r="R309" s="20" t="n">
        <v>3000</v>
      </c>
      <c r="S309" s="20" t="n">
        <v>2000</v>
      </c>
      <c r="T309" s="20" t="n">
        <v>-3000</v>
      </c>
      <c r="U309" s="20" t="n">
        <v>6000</v>
      </c>
      <c r="V309" s="20" t="n">
        <v>2000</v>
      </c>
      <c r="W309" s="20" t="n">
        <v>-4000</v>
      </c>
      <c r="X309" s="20" t="n">
        <v>-1000</v>
      </c>
    </row>
    <row r="310">
      <c r="A310" s="18" t="inlineStr">
        <is>
          <t>장기차입</t>
        </is>
      </c>
      <c r="C310" s="20" t="n">
        <v>159</v>
      </c>
      <c r="D310" s="20" t="n">
        <v>248</v>
      </c>
      <c r="E310" s="20" t="n">
        <v>8759</v>
      </c>
      <c r="F310" s="20" t="n">
        <v>0</v>
      </c>
      <c r="G310" s="20" t="n">
        <v>0</v>
      </c>
      <c r="H310" s="20" t="n">
        <v>0</v>
      </c>
      <c r="I310" s="20" t="n">
        <v>5900</v>
      </c>
      <c r="M310" s="20" t="n">
        <v>4550</v>
      </c>
      <c r="O310" s="20" t="n">
        <v>10000</v>
      </c>
      <c r="P310" s="20" t="n">
        <v>0</v>
      </c>
      <c r="Q310" s="20" t="n">
        <v>7249</v>
      </c>
      <c r="R310" s="20" t="n">
        <v>1726</v>
      </c>
      <c r="S310" s="20" t="n">
        <v>3503</v>
      </c>
      <c r="T310" s="20" t="n">
        <v>9380</v>
      </c>
      <c r="U310" s="20" t="n">
        <v>4731</v>
      </c>
      <c r="V310" s="20" t="n">
        <v>8759</v>
      </c>
      <c r="W310" s="20" t="n">
        <v>5900</v>
      </c>
      <c r="X310" s="20" t="n">
        <v>4550</v>
      </c>
    </row>
    <row r="311">
      <c r="A311" s="18" t="inlineStr">
        <is>
          <t>장기차입금 상환</t>
        </is>
      </c>
      <c r="C311" s="20" t="n">
        <v>-2075</v>
      </c>
      <c r="D311" s="20" t="n">
        <v>-2092</v>
      </c>
      <c r="E311" s="20" t="n">
        <v>-9106</v>
      </c>
      <c r="F311" s="20" t="n">
        <v>-25</v>
      </c>
      <c r="G311" s="20" t="n">
        <v>-39</v>
      </c>
      <c r="H311" s="20" t="n">
        <v>-58</v>
      </c>
      <c r="I311" s="20" t="n">
        <v>-1271</v>
      </c>
      <c r="J311" s="20" t="n">
        <v>-421</v>
      </c>
      <c r="K311" s="20" t="n">
        <v>-3451</v>
      </c>
      <c r="L311" s="20" t="n">
        <v>-3949</v>
      </c>
      <c r="M311" s="20" t="n">
        <v>-7246</v>
      </c>
      <c r="N311" s="20" t="n">
        <v>-494</v>
      </c>
      <c r="O311" s="20" t="n">
        <v>-16543</v>
      </c>
      <c r="P311" s="20" t="n">
        <v>-3438</v>
      </c>
      <c r="Q311" s="20" t="n">
        <v>-2586</v>
      </c>
      <c r="R311" s="20" t="n">
        <v>-3096</v>
      </c>
      <c r="S311" s="20" t="n">
        <v>-4370</v>
      </c>
      <c r="T311" s="20" t="n">
        <v>-9390</v>
      </c>
      <c r="U311" s="20" t="n">
        <v>-536</v>
      </c>
      <c r="V311" s="20" t="n">
        <v>-9106</v>
      </c>
      <c r="W311" s="20" t="n">
        <v>-1271</v>
      </c>
      <c r="X311" s="20" t="n">
        <v>-7246</v>
      </c>
    </row>
    <row r="312">
      <c r="A312" s="18" t="inlineStr">
        <is>
          <t>사채 발행</t>
        </is>
      </c>
      <c r="O312" s="20" t="n">
        <v>0</v>
      </c>
      <c r="P312" s="20" t="n">
        <v>5000</v>
      </c>
      <c r="Q312" s="20" t="n">
        <v>0</v>
      </c>
      <c r="R312" s="20" t="n">
        <v>6000</v>
      </c>
      <c r="S312" s="20" t="n">
        <v>0</v>
      </c>
    </row>
    <row r="313">
      <c r="A313" s="18" t="inlineStr">
        <is>
          <t>비지배주주 납입</t>
        </is>
      </c>
      <c r="Q313" s="20" t="n">
        <v>0</v>
      </c>
      <c r="R313" s="20" t="n">
        <v>13</v>
      </c>
      <c r="S313" s="20" t="n">
        <v>0</v>
      </c>
    </row>
    <row r="314">
      <c r="A314" s="18" t="inlineStr">
        <is>
          <t>배당금 지급</t>
        </is>
      </c>
      <c r="C314" s="20" t="n">
        <v>-998</v>
      </c>
      <c r="D314" s="20" t="n">
        <v>-2007</v>
      </c>
      <c r="E314" s="20" t="n">
        <v>-2131</v>
      </c>
      <c r="F314" s="20" t="n">
        <v>-2030</v>
      </c>
      <c r="G314" s="20" t="n">
        <v>-2264</v>
      </c>
      <c r="H314" s="20" t="n">
        <v>-3803</v>
      </c>
      <c r="I314" s="20" t="n">
        <v>-3851</v>
      </c>
      <c r="J314" s="20" t="n">
        <v>-3599</v>
      </c>
      <c r="K314" s="20" t="n">
        <v>-3983</v>
      </c>
      <c r="L314" s="20" t="n">
        <v>-5923</v>
      </c>
      <c r="M314" s="20" t="n">
        <v>-6114</v>
      </c>
      <c r="N314" s="20" t="n">
        <v>-4554</v>
      </c>
      <c r="O314" s="20" t="n">
        <v>-1814</v>
      </c>
      <c r="P314" s="20" t="n">
        <v>-1814</v>
      </c>
      <c r="Q314" s="20" t="n">
        <v>-2042</v>
      </c>
      <c r="R314" s="20" t="n">
        <v>-2267</v>
      </c>
      <c r="S314" s="20" t="n">
        <v>-2041</v>
      </c>
      <c r="T314" s="20" t="n">
        <v>-2405</v>
      </c>
      <c r="U314" s="20" t="n">
        <v>-2405</v>
      </c>
      <c r="V314" s="20" t="n">
        <v>-2131</v>
      </c>
      <c r="W314" s="20" t="n">
        <v>-3851</v>
      </c>
      <c r="X314" s="20" t="n">
        <v>-6114</v>
      </c>
    </row>
    <row r="315">
      <c r="A315" s="18" t="inlineStr">
        <is>
          <t>비지배주주 배당금 지급</t>
        </is>
      </c>
      <c r="C315" s="20" t="n">
        <v>-53</v>
      </c>
      <c r="D315" s="20" t="n">
        <v>-53</v>
      </c>
      <c r="E315" s="20" t="n">
        <v>-53</v>
      </c>
      <c r="F315" s="20" t="n">
        <v>-28</v>
      </c>
      <c r="G315" s="20" t="n">
        <v>-50</v>
      </c>
      <c r="H315" s="20" t="n">
        <v>-51</v>
      </c>
      <c r="I315" s="20" t="n">
        <v>-51</v>
      </c>
      <c r="J315" s="20" t="n">
        <v>-58</v>
      </c>
      <c r="K315" s="20" t="n">
        <v>-100</v>
      </c>
      <c r="L315" s="20" t="n">
        <v>-100</v>
      </c>
      <c r="M315" s="20" t="n">
        <v>-100</v>
      </c>
      <c r="N315" s="20" t="n">
        <v>-74</v>
      </c>
      <c r="O315" s="20" t="n">
        <v>-66</v>
      </c>
      <c r="P315" s="20" t="n">
        <v>-17</v>
      </c>
      <c r="Q315" s="20" t="n">
        <v>-8</v>
      </c>
      <c r="R315" s="20" t="n">
        <v>-3</v>
      </c>
      <c r="S315" s="20" t="n">
        <v>-70</v>
      </c>
      <c r="T315" s="20" t="n">
        <v>-75</v>
      </c>
      <c r="U315" s="20" t="n">
        <v>-103</v>
      </c>
      <c r="V315" s="20" t="n">
        <v>-53</v>
      </c>
      <c r="W315" s="20" t="n">
        <v>-51</v>
      </c>
      <c r="X315" s="20" t="n">
        <v>-100</v>
      </c>
    </row>
    <row r="316">
      <c r="A316" s="18" t="inlineStr">
        <is>
          <t>연결범위 변경 없는 자회사 주식 취득</t>
        </is>
      </c>
      <c r="E316" s="20" t="n">
        <v>0</v>
      </c>
      <c r="I316" s="20" t="n">
        <v>0</v>
      </c>
      <c r="M316" s="20" t="n">
        <v>-86</v>
      </c>
      <c r="O316" s="20" t="n">
        <v>0</v>
      </c>
      <c r="P316" s="20" t="n">
        <v>-272</v>
      </c>
      <c r="Q316" s="20" t="n">
        <v>-531</v>
      </c>
      <c r="R316" s="20" t="n">
        <v>-521</v>
      </c>
      <c r="S316" s="20" t="n">
        <v>-234</v>
      </c>
      <c r="T316" s="20" t="n">
        <v>-502</v>
      </c>
      <c r="U316" s="20" t="n">
        <v>-794</v>
      </c>
      <c r="V316" s="20" t="n">
        <v>0</v>
      </c>
      <c r="W316" s="20" t="n">
        <v>0</v>
      </c>
      <c r="X316" s="20" t="n">
        <v>-86</v>
      </c>
    </row>
    <row r="317">
      <c r="A317" s="18" t="inlineStr">
        <is>
          <t>기타</t>
        </is>
      </c>
      <c r="C317" s="20" t="n">
        <v>-244</v>
      </c>
      <c r="D317" s="20" t="n">
        <v>-207</v>
      </c>
      <c r="E317" s="20" t="n">
        <v>-463</v>
      </c>
      <c r="F317" s="20" t="n">
        <v>-61</v>
      </c>
      <c r="G317" s="20" t="n">
        <v>-276</v>
      </c>
      <c r="H317" s="20" t="n">
        <v>-357</v>
      </c>
      <c r="I317" s="20" t="n">
        <v>-638</v>
      </c>
      <c r="J317" s="20" t="n">
        <v>-111</v>
      </c>
      <c r="K317" s="20" t="n">
        <v>-338</v>
      </c>
      <c r="L317" s="20" t="n">
        <v>-417</v>
      </c>
      <c r="M317" s="20" t="n">
        <v>-692</v>
      </c>
      <c r="N317" s="20" t="n">
        <v>-113</v>
      </c>
      <c r="O317" s="20" t="n">
        <v>206</v>
      </c>
      <c r="P317" s="20" t="n">
        <v>228</v>
      </c>
      <c r="Q317" s="20" t="n">
        <v>-167</v>
      </c>
      <c r="R317" s="20" t="n">
        <v>-465</v>
      </c>
      <c r="S317" s="20" t="n">
        <v>-240</v>
      </c>
      <c r="T317" s="20" t="n">
        <v>-429</v>
      </c>
      <c r="U317" s="20" t="n">
        <v>-512</v>
      </c>
      <c r="V317" s="20" t="n">
        <v>-463</v>
      </c>
      <c r="W317" s="20" t="n">
        <v>-638</v>
      </c>
      <c r="X317" s="20" t="n">
        <v>-692</v>
      </c>
    </row>
    <row r="318">
      <c r="A318" s="9" t="inlineStr">
        <is>
          <t>재무활동 현금흐름</t>
        </is>
      </c>
      <c r="C318" s="12" t="n">
        <v>-3834</v>
      </c>
      <c r="D318" s="12" t="n">
        <v>4417</v>
      </c>
      <c r="E318" s="12" t="n">
        <v>749</v>
      </c>
      <c r="F318" s="12" t="n">
        <v>-14396</v>
      </c>
      <c r="G318" s="12" t="n">
        <v>-13905</v>
      </c>
      <c r="H318" s="12" t="n">
        <v>-4395</v>
      </c>
      <c r="I318" s="12" t="n">
        <v>-14536</v>
      </c>
      <c r="J318" s="12" t="n">
        <v>-9283</v>
      </c>
      <c r="K318" s="12" t="n">
        <v>-12500</v>
      </c>
      <c r="L318" s="12" t="n">
        <v>-1705</v>
      </c>
      <c r="M318" s="12" t="n">
        <v>-7785</v>
      </c>
      <c r="N318" s="12" t="n">
        <v>-10478</v>
      </c>
      <c r="O318" s="12" t="n">
        <v>-3767</v>
      </c>
      <c r="P318" s="12" t="n">
        <v>-11230</v>
      </c>
      <c r="Q318" s="12" t="n">
        <v>-3101</v>
      </c>
      <c r="R318" s="12" t="n">
        <v>3735</v>
      </c>
      <c r="S318" s="12" t="n">
        <v>-1402</v>
      </c>
      <c r="T318" s="12" t="n">
        <v>-4266</v>
      </c>
      <c r="U318" s="12" t="n">
        <v>-2685</v>
      </c>
      <c r="V318" s="12" t="n">
        <v>749</v>
      </c>
      <c r="W318" s="12" t="n">
        <v>-14536</v>
      </c>
      <c r="X318" s="12" t="n">
        <v>-7785</v>
      </c>
    </row>
    <row r="319">
      <c r="A319" s="18" t="inlineStr">
        <is>
          <t>현금성자산 환산차이</t>
        </is>
      </c>
      <c r="C319" s="20" t="n">
        <v>783</v>
      </c>
      <c r="D319" s="20" t="n">
        <v>462</v>
      </c>
      <c r="E319" s="20" t="n">
        <v>943</v>
      </c>
      <c r="F319" s="20" t="n">
        <v>730</v>
      </c>
      <c r="G319" s="20" t="n">
        <v>-44</v>
      </c>
      <c r="H319" s="20" t="n">
        <v>673</v>
      </c>
      <c r="I319" s="20" t="n">
        <v>13</v>
      </c>
      <c r="J319" s="20" t="n">
        <v>166</v>
      </c>
      <c r="K319" s="20" t="n">
        <v>575</v>
      </c>
      <c r="L319" s="20" t="n">
        <v>2283</v>
      </c>
      <c r="M319" s="20" t="n">
        <v>1969</v>
      </c>
      <c r="N319" s="20" t="n">
        <v>242</v>
      </c>
      <c r="O319" s="20" t="n">
        <v>-471</v>
      </c>
      <c r="P319" s="20" t="n">
        <v>25</v>
      </c>
      <c r="Q319" s="20" t="n">
        <v>5</v>
      </c>
      <c r="R319" s="20" t="n">
        <v>-263</v>
      </c>
      <c r="S319" s="20" t="n">
        <v>361</v>
      </c>
      <c r="T319" s="20" t="n">
        <v>570</v>
      </c>
      <c r="U319" s="20" t="n">
        <v>312</v>
      </c>
      <c r="V319" s="20" t="n">
        <v>943</v>
      </c>
      <c r="W319" s="20" t="n">
        <v>13</v>
      </c>
      <c r="X319" s="20" t="n">
        <v>1969</v>
      </c>
    </row>
    <row r="320">
      <c r="A320" s="18" t="inlineStr">
        <is>
          <t>현금성자산 증감</t>
        </is>
      </c>
      <c r="C320" s="20" t="n">
        <v>6631</v>
      </c>
      <c r="D320" s="20" t="n">
        <v>5813</v>
      </c>
      <c r="E320" s="20" t="n">
        <v>3107</v>
      </c>
      <c r="F320" s="20" t="n">
        <v>9335</v>
      </c>
      <c r="G320" s="20" t="n">
        <v>3782</v>
      </c>
      <c r="H320" s="20" t="n">
        <v>12355</v>
      </c>
      <c r="I320" s="20" t="n">
        <v>11867</v>
      </c>
      <c r="J320" s="20" t="n">
        <v>8503</v>
      </c>
      <c r="K320" s="20" t="n">
        <v>-2038</v>
      </c>
      <c r="L320" s="20" t="n">
        <v>-52</v>
      </c>
      <c r="M320" s="20" t="n">
        <v>-5452</v>
      </c>
      <c r="N320" s="20" t="n">
        <v>14571</v>
      </c>
      <c r="O320" s="20" t="n">
        <v>-4429</v>
      </c>
      <c r="P320" s="20" t="n">
        <v>-811</v>
      </c>
      <c r="Q320" s="20" t="n">
        <v>3195</v>
      </c>
      <c r="R320" s="20" t="n">
        <v>187</v>
      </c>
      <c r="S320" s="20" t="n">
        <v>443</v>
      </c>
      <c r="T320" s="20" t="n">
        <v>190</v>
      </c>
      <c r="U320" s="20" t="n">
        <v>862</v>
      </c>
      <c r="V320" s="20" t="n">
        <v>3107</v>
      </c>
      <c r="W320" s="20" t="n">
        <v>11867</v>
      </c>
      <c r="X320" s="20" t="n">
        <v>-5452</v>
      </c>
    </row>
    <row r="321">
      <c r="A321" s="18" t="inlineStr">
        <is>
          <t>신규 연결 현금성자산 증가</t>
        </is>
      </c>
      <c r="O321" s="20" t="n">
        <v>0</v>
      </c>
      <c r="P321" s="20" t="n">
        <v>39</v>
      </c>
      <c r="Q321" s="20" t="n">
        <v>0</v>
      </c>
    </row>
    <row r="322">
      <c r="A322" s="18" t="inlineStr">
        <is>
          <t>합병에 따른 현금성자산 증가</t>
        </is>
      </c>
      <c r="P322" s="20" t="n">
        <v>0</v>
      </c>
      <c r="Q322" s="20" t="n">
        <v>1</v>
      </c>
      <c r="R322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6508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198337</v>
      </c>
      <c r="D5" s="12" t="n">
        <v>198997</v>
      </c>
      <c r="E5" s="12" t="n">
        <v>223257</v>
      </c>
      <c r="F5" s="12" t="n">
        <v>240271</v>
      </c>
      <c r="G5" s="12" t="n">
        <v>223824</v>
      </c>
      <c r="H5" s="11" t="n">
        <v>171294</v>
      </c>
      <c r="I5" s="12" t="n">
        <v>187751</v>
      </c>
      <c r="J5" s="12" t="n">
        <v>208503</v>
      </c>
      <c r="K5" s="12" t="n">
        <v>217116</v>
      </c>
      <c r="L5" s="12" t="n">
        <v>240271</v>
      </c>
    </row>
    <row r="6">
      <c r="A6" s="18" t="inlineStr">
        <is>
          <t>현금및현금성자산</t>
        </is>
      </c>
      <c r="B6" s="10" t="n"/>
      <c r="C6" s="19" t="n">
        <v>40904</v>
      </c>
      <c r="D6" s="20" t="n">
        <v>29231</v>
      </c>
      <c r="E6" s="20" t="n">
        <v>31217</v>
      </c>
      <c r="F6" s="20" t="n">
        <v>31826</v>
      </c>
      <c r="G6" s="20" t="n">
        <v>47045</v>
      </c>
      <c r="H6" s="19" t="n">
        <v>14070</v>
      </c>
      <c r="I6" s="20" t="n">
        <v>14917</v>
      </c>
      <c r="J6" s="20" t="n">
        <v>18984</v>
      </c>
      <c r="K6" s="20" t="n">
        <v>30679</v>
      </c>
      <c r="L6" s="20" t="n">
        <v>31826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65759</v>
      </c>
      <c r="D8" s="20" t="n">
        <v>77401</v>
      </c>
      <c r="E8" s="20" t="n">
        <v>85807</v>
      </c>
      <c r="F8" s="20" t="n">
        <v>121733</v>
      </c>
      <c r="G8" s="20" t="n">
        <v>81375</v>
      </c>
      <c r="H8" s="19" t="n">
        <v>93772</v>
      </c>
      <c r="I8" s="20" t="n">
        <v>99354</v>
      </c>
      <c r="J8" s="20" t="n">
        <v>106385</v>
      </c>
      <c r="K8" s="20" t="n">
        <v>104591</v>
      </c>
      <c r="L8" s="20" t="n">
        <v>121733</v>
      </c>
    </row>
    <row r="9">
      <c r="A9" s="18" t="inlineStr">
        <is>
          <t>재고자산</t>
        </is>
      </c>
      <c r="B9" s="10" t="n"/>
      <c r="C9" s="19" t="n">
        <v>74834</v>
      </c>
      <c r="D9" s="20" t="n">
        <v>75836</v>
      </c>
      <c r="E9" s="20" t="n">
        <v>87371</v>
      </c>
      <c r="F9" s="20" t="n">
        <v>71982</v>
      </c>
      <c r="G9" s="20" t="n">
        <v>76946</v>
      </c>
      <c r="H9" s="19" t="n">
        <v>54880</v>
      </c>
      <c r="I9" s="20" t="n">
        <v>61374</v>
      </c>
      <c r="J9" s="20" t="n">
        <v>69923</v>
      </c>
      <c r="K9" s="20" t="n">
        <v>70922</v>
      </c>
      <c r="L9" s="20" t="n">
        <v>71982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126158</v>
      </c>
      <c r="D11" s="12" t="n">
        <v>129994</v>
      </c>
      <c r="E11" s="12" t="n">
        <v>133460</v>
      </c>
      <c r="F11" s="12" t="n">
        <v>133396</v>
      </c>
      <c r="G11" s="12" t="n">
        <v>137243</v>
      </c>
      <c r="H11" s="11" t="n">
        <v>119604</v>
      </c>
      <c r="I11" s="12" t="n">
        <v>119639</v>
      </c>
      <c r="J11" s="12" t="n">
        <v>126284</v>
      </c>
      <c r="K11" s="12" t="n">
        <v>124230</v>
      </c>
      <c r="L11" s="12" t="n">
        <v>133396</v>
      </c>
    </row>
    <row r="12">
      <c r="A12" s="18" t="inlineStr">
        <is>
          <t>유형자산</t>
        </is>
      </c>
      <c r="B12" s="10" t="n"/>
      <c r="C12" s="19" t="n">
        <v>75339</v>
      </c>
      <c r="D12" s="20" t="n">
        <v>75995</v>
      </c>
      <c r="E12" s="20" t="n">
        <v>77912</v>
      </c>
      <c r="F12" s="20" t="n">
        <v>75571</v>
      </c>
      <c r="G12" s="20" t="n">
        <v>79301</v>
      </c>
      <c r="H12" s="19" t="n">
        <v>74947</v>
      </c>
      <c r="I12" s="20" t="n">
        <v>75788</v>
      </c>
      <c r="J12" s="20" t="n">
        <v>75363</v>
      </c>
      <c r="K12" s="20" t="n">
        <v>75061</v>
      </c>
      <c r="L12" s="20" t="n">
        <v>75571</v>
      </c>
    </row>
    <row r="13">
      <c r="A13" s="18" t="inlineStr">
        <is>
          <t>무형자산</t>
        </is>
      </c>
      <c r="B13" s="10" t="n"/>
      <c r="C13" s="19" t="n">
        <v>6552</v>
      </c>
      <c r="D13" s="20" t="n">
        <v>6159</v>
      </c>
      <c r="E13" s="20" t="n">
        <v>5736</v>
      </c>
      <c r="F13" s="20" t="n">
        <v>5815</v>
      </c>
      <c r="G13" s="20" t="n">
        <v>5481</v>
      </c>
      <c r="H13" s="19" t="n">
        <v>9565</v>
      </c>
      <c r="I13" s="20" t="n">
        <v>8462</v>
      </c>
      <c r="J13" s="20" t="n">
        <v>7650</v>
      </c>
      <c r="K13" s="20" t="n">
        <v>6693</v>
      </c>
      <c r="L13" s="20" t="n">
        <v>5815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324495</v>
      </c>
      <c r="D16" s="12" t="n">
        <v>328991</v>
      </c>
      <c r="E16" s="12" t="n">
        <v>356717</v>
      </c>
      <c r="F16" s="12" t="n">
        <v>373668</v>
      </c>
      <c r="G16" s="12" t="n">
        <v>361068</v>
      </c>
      <c r="H16" s="11" t="n">
        <v>290899</v>
      </c>
      <c r="I16" s="12" t="n">
        <v>307390</v>
      </c>
      <c r="J16" s="12" t="n">
        <v>334787</v>
      </c>
      <c r="K16" s="12" t="n">
        <v>341347</v>
      </c>
      <c r="L16" s="12" t="n">
        <v>373668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103074</v>
      </c>
      <c r="D18" s="12" t="n">
        <v>104408</v>
      </c>
      <c r="E18" s="12" t="n">
        <v>121478</v>
      </c>
      <c r="F18" s="12" t="n">
        <v>126388</v>
      </c>
      <c r="G18" s="12" t="n">
        <v>111494</v>
      </c>
      <c r="H18" s="11" t="n">
        <v>104406</v>
      </c>
      <c r="I18" s="12" t="n">
        <v>118307</v>
      </c>
      <c r="J18" s="12" t="n">
        <v>124242</v>
      </c>
      <c r="K18" s="12" t="n">
        <v>118069</v>
      </c>
      <c r="L18" s="12" t="n">
        <v>126388</v>
      </c>
    </row>
    <row r="19">
      <c r="A19" s="18" t="inlineStr">
        <is>
          <t>매입채무</t>
        </is>
      </c>
      <c r="B19" s="10" t="n"/>
      <c r="C19" s="19" t="n">
        <v>27409</v>
      </c>
      <c r="D19" s="20" t="n">
        <v>28216</v>
      </c>
      <c r="E19" s="20" t="n">
        <v>30011</v>
      </c>
      <c r="F19" s="20" t="n">
        <v>33556</v>
      </c>
      <c r="G19" s="20" t="n">
        <v>27979</v>
      </c>
      <c r="H19" s="19" t="n">
        <v>34796</v>
      </c>
      <c r="I19" s="20" t="n">
        <v>38971</v>
      </c>
      <c r="J19" s="20" t="n">
        <v>35918</v>
      </c>
      <c r="K19" s="20" t="n">
        <v>34504</v>
      </c>
      <c r="L19" s="20" t="n">
        <v>33556</v>
      </c>
    </row>
    <row r="20">
      <c r="A20" s="18" t="inlineStr">
        <is>
          <t>단기차입금</t>
        </is>
      </c>
      <c r="B20" s="10" t="n"/>
      <c r="C20" s="19" t="n">
        <v>11926</v>
      </c>
      <c r="D20" s="20" t="n">
        <v>11987</v>
      </c>
      <c r="E20" s="20" t="n">
        <v>13588</v>
      </c>
      <c r="F20" s="20" t="n">
        <v>16340</v>
      </c>
      <c r="G20" s="20" t="n">
        <v>16256</v>
      </c>
      <c r="H20" s="19" t="n">
        <v>10255</v>
      </c>
      <c r="I20" s="20" t="n">
        <v>15514</v>
      </c>
      <c r="J20" s="20" t="n">
        <v>9912</v>
      </c>
      <c r="K20" s="20" t="n">
        <v>11095</v>
      </c>
      <c r="L20" s="20" t="n">
        <v>16340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>
        <v>5000</v>
      </c>
      <c r="I21" s="20" t="n">
        <v>0</v>
      </c>
      <c r="J21" s="20" t="n">
        <v>6000</v>
      </c>
      <c r="K21" s="20" t="n">
        <v>0</v>
      </c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81052</v>
      </c>
      <c r="D23" s="12" t="n">
        <v>78600</v>
      </c>
      <c r="E23" s="12" t="n">
        <v>78536</v>
      </c>
      <c r="F23" s="12" t="n">
        <v>68747</v>
      </c>
      <c r="G23" s="12" t="n">
        <v>68653</v>
      </c>
      <c r="H23" s="11" t="n">
        <v>81070</v>
      </c>
      <c r="I23" s="12" t="n">
        <v>78202</v>
      </c>
      <c r="J23" s="12" t="n">
        <v>81056</v>
      </c>
      <c r="K23" s="12" t="n">
        <v>81064</v>
      </c>
      <c r="L23" s="12" t="n">
        <v>68747</v>
      </c>
    </row>
    <row r="24">
      <c r="A24" s="18" t="inlineStr">
        <is>
          <t>장기차입금</t>
        </is>
      </c>
      <c r="B24" s="10" t="n"/>
      <c r="C24" s="19" t="n">
        <v>26985</v>
      </c>
      <c r="D24" s="20" t="n">
        <v>24544</v>
      </c>
      <c r="E24" s="20" t="n">
        <v>24186</v>
      </c>
      <c r="F24" s="20" t="n">
        <v>23064</v>
      </c>
      <c r="G24" s="20" t="n">
        <v>22613</v>
      </c>
      <c r="H24" s="19" t="n">
        <v>25210</v>
      </c>
      <c r="I24" s="20" t="n">
        <v>20995</v>
      </c>
      <c r="J24" s="20" t="n">
        <v>28767</v>
      </c>
      <c r="K24" s="20" t="n">
        <v>27470</v>
      </c>
      <c r="L24" s="20" t="n">
        <v>23064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6000</v>
      </c>
      <c r="I25" s="20" t="n">
        <v>6000</v>
      </c>
      <c r="J25" s="20" t="n">
        <v>0</v>
      </c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184126</v>
      </c>
      <c r="D27" s="12" t="n">
        <v>183008</v>
      </c>
      <c r="E27" s="12" t="n">
        <v>200015</v>
      </c>
      <c r="F27" s="12" t="n">
        <v>195136</v>
      </c>
      <c r="G27" s="12" t="n">
        <v>180147</v>
      </c>
      <c r="H27" s="11" t="n">
        <v>185477</v>
      </c>
      <c r="I27" s="12" t="n">
        <v>196509</v>
      </c>
      <c r="J27" s="12" t="n">
        <v>205298</v>
      </c>
      <c r="K27" s="12" t="n">
        <v>199134</v>
      </c>
      <c r="L27" s="12" t="n">
        <v>195136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136977</v>
      </c>
      <c r="D31" s="12" t="n">
        <v>142532</v>
      </c>
      <c r="E31" s="12" t="n">
        <v>153245</v>
      </c>
      <c r="F31" s="12" t="n">
        <v>174889</v>
      </c>
      <c r="G31" s="12" t="n">
        <v>177315</v>
      </c>
      <c r="H31" s="11" t="n">
        <v>101966</v>
      </c>
      <c r="I31" s="12" t="n">
        <v>107898</v>
      </c>
      <c r="J31" s="12" t="n">
        <v>126407</v>
      </c>
      <c r="K31" s="12" t="n">
        <v>138777</v>
      </c>
      <c r="L31" s="12" t="n">
        <v>174889</v>
      </c>
    </row>
    <row r="32">
      <c r="A32" s="18" t="inlineStr">
        <is>
          <t>자본금</t>
        </is>
      </c>
      <c r="B32" s="10" t="n"/>
      <c r="C32" s="19" t="n">
        <v>17070</v>
      </c>
      <c r="D32" s="20" t="n">
        <v>17070</v>
      </c>
      <c r="E32" s="20" t="n">
        <v>17070</v>
      </c>
      <c r="F32" s="20" t="n">
        <v>17070</v>
      </c>
      <c r="G32" s="20" t="n">
        <v>17070</v>
      </c>
      <c r="H32" s="19" t="n">
        <v>17070</v>
      </c>
      <c r="I32" s="20" t="n">
        <v>17070</v>
      </c>
      <c r="J32" s="20" t="n">
        <v>17070</v>
      </c>
      <c r="K32" s="20" t="n">
        <v>17070</v>
      </c>
      <c r="L32" s="20" t="n">
        <v>17070</v>
      </c>
    </row>
    <row r="33">
      <c r="A33" s="18" t="inlineStr">
        <is>
          <t>이익잉여금</t>
        </is>
      </c>
      <c r="B33" s="10" t="n"/>
      <c r="C33" s="19" t="n">
        <v>89746</v>
      </c>
      <c r="D33" s="20" t="n">
        <v>91307</v>
      </c>
      <c r="E33" s="20" t="n">
        <v>96785</v>
      </c>
      <c r="F33" s="20" t="n">
        <v>110774</v>
      </c>
      <c r="G33" s="20" t="n">
        <v>110843</v>
      </c>
      <c r="H33" s="19" t="n">
        <v>64844</v>
      </c>
      <c r="I33" s="20" t="n">
        <v>69568</v>
      </c>
      <c r="J33" s="20" t="n">
        <v>78642</v>
      </c>
      <c r="K33" s="20" t="n">
        <v>93273</v>
      </c>
      <c r="L33" s="20" t="n">
        <v>110774</v>
      </c>
    </row>
    <row r="34">
      <c r="A34" s="18" t="inlineStr">
        <is>
          <t>비지배지분</t>
        </is>
      </c>
      <c r="B34" s="10" t="n"/>
      <c r="C34" s="19" t="n">
        <v>3391</v>
      </c>
      <c r="D34" s="20" t="n">
        <v>3450</v>
      </c>
      <c r="E34" s="20" t="n">
        <v>3456</v>
      </c>
      <c r="F34" s="20" t="n">
        <v>3642</v>
      </c>
      <c r="G34" s="20" t="n">
        <v>3605</v>
      </c>
      <c r="H34" s="19" t="n">
        <v>3455</v>
      </c>
      <c r="I34" s="20" t="n">
        <v>2983</v>
      </c>
      <c r="J34" s="20" t="n">
        <v>3081</v>
      </c>
      <c r="K34" s="20" t="n">
        <v>3435</v>
      </c>
      <c r="L34" s="20" t="n">
        <v>3642</v>
      </c>
    </row>
    <row r="35">
      <c r="A35" s="9" t="inlineStr">
        <is>
          <t>자본총계</t>
        </is>
      </c>
      <c r="B35" s="10" t="n"/>
      <c r="C35" s="11" t="n">
        <v>140368</v>
      </c>
      <c r="D35" s="12" t="n">
        <v>145982</v>
      </c>
      <c r="E35" s="12" t="n">
        <v>156701</v>
      </c>
      <c r="F35" s="12" t="n">
        <v>178531</v>
      </c>
      <c r="G35" s="12" t="n">
        <v>180920</v>
      </c>
      <c r="H35" s="11" t="n">
        <v>105421</v>
      </c>
      <c r="I35" s="12" t="n">
        <v>110881</v>
      </c>
      <c r="J35" s="12" t="n">
        <v>129488</v>
      </c>
      <c r="K35" s="12" t="n">
        <v>142212</v>
      </c>
      <c r="L35" s="12" t="n">
        <v>178531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35608</v>
      </c>
      <c r="D37" s="12" t="n">
        <v>33449</v>
      </c>
      <c r="E37" s="12" t="n">
        <v>22281</v>
      </c>
      <c r="F37" s="12" t="n">
        <v>17498</v>
      </c>
      <c r="G37" s="12" t="n">
        <v>24928</v>
      </c>
      <c r="H37" s="11" t="n">
        <v>11389</v>
      </c>
      <c r="I37" s="12" t="n">
        <v>13742</v>
      </c>
      <c r="J37" s="12" t="n">
        <v>8968</v>
      </c>
      <c r="K37" s="12" t="n">
        <v>35454</v>
      </c>
      <c r="L37" s="12" t="n">
        <v>17498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5420</v>
      </c>
      <c r="D40" s="20" t="n">
        <v>5570</v>
      </c>
      <c r="E40" s="20" t="n">
        <v>5971</v>
      </c>
      <c r="F40" s="20" t="n">
        <v>6114</v>
      </c>
      <c r="G40" s="20" t="n">
        <v>7069</v>
      </c>
      <c r="H40" s="19" t="n">
        <v>2405</v>
      </c>
      <c r="I40" s="20" t="n">
        <v>2405</v>
      </c>
      <c r="J40" s="20" t="n">
        <v>2131</v>
      </c>
      <c r="K40" s="20" t="n">
        <v>3851</v>
      </c>
      <c r="L40" s="20" t="n">
        <v>6114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IFERROR((IF(COUNT('연간'!G40:J40)&lt;4,"",SUM('연간'!G40:J40)))/(IF(COUNT('연간'!G62:J62)&lt;4,"",SUM('연간'!G62:J62))),"")</f>
        <v/>
      </c>
      <c r="D48" s="31">
        <f>IFERROR((IF(COUNT('연간'!H40:K40)&lt;4,"",SUM('연간'!H40:K40)))/(IF(COUNT('연간'!H62:K62)&lt;4,"",SUM('연간'!H62:K62))),"")</f>
        <v/>
      </c>
      <c r="E48" s="31">
        <f>IFERROR((IF(COUNT('연간'!I40:L40)&lt;4,"",SUM('연간'!I40:L40)))/(IF(COUNT('연간'!I62:L62)&lt;4,"",SUM('연간'!I62:L62))),"")</f>
        <v/>
      </c>
      <c r="F48" s="31">
        <f>IFERROR((IF(COUNT('연간'!J40:M40)&lt;4,"",SUM('연간'!J40:M40)))/(IF(COUNT('연간'!J62:M62)&lt;4,"",SUM('연간'!J62:M62))),"")</f>
        <v/>
      </c>
      <c r="G48" s="31">
        <f>IFERROR((IF(COUNT('연간'!K40:N40)&lt;4,"",SUM('연간'!K40:N40)))/(IF(COUNT('연간'!K62:N62)&lt;4,"",SUM('연간'!K62:N62))),"")</f>
        <v/>
      </c>
      <c r="H48" s="30">
        <f>IFERROR(('연간'!T40)/('연간'!T62),"")</f>
        <v/>
      </c>
      <c r="I48" s="31">
        <f>IFERROR(('연간'!U40)/('연간'!U62),"")</f>
        <v/>
      </c>
      <c r="J48" s="31">
        <f>IFERROR(('연간'!V40)/('연간'!V62),"")</f>
        <v/>
      </c>
      <c r="K48" s="31">
        <f>IFERROR(('연간'!W40)/('연간'!W62),"")</f>
        <v/>
      </c>
      <c r="L48" s="31">
        <f>IFERROR(('연간'!X40)/('연간'!X62),"")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IFERROR(IF((IF(COUNT('연간'!G70:J70)&lt;4,"",SUM('연간'!G70:J70)))&lt;=0,"적자",C28/(IF(COUNT('연간'!G70:J70)&lt;4,"",SUM('연간'!G70:J70)))),"")</f>
        <v/>
      </c>
      <c r="D49" s="47">
        <f>IFERROR(IF((IF(COUNT('연간'!H70:K70)&lt;4,"",SUM('연간'!H70:K70)))&lt;=0,"적자",D28/(IF(COUNT('연간'!H70:K70)&lt;4,"",SUM('연간'!H70:K70)))),"")</f>
        <v/>
      </c>
      <c r="E49" s="47">
        <f>IFERROR(IF((IF(COUNT('연간'!I70:L70)&lt;4,"",SUM('연간'!I70:L70)))&lt;=0,"적자",E28/(IF(COUNT('연간'!I70:L70)&lt;4,"",SUM('연간'!I70:L70)))),"")</f>
        <v/>
      </c>
      <c r="F49" s="47">
        <f>IFERROR(IF((IF(COUNT('연간'!J70:M70)&lt;4,"",SUM('연간'!J70:M70)))&lt;=0,"적자",F28/(IF(COUNT('연간'!J70:M70)&lt;4,"",SUM('연간'!J70:M70)))),"")</f>
        <v/>
      </c>
      <c r="G49" s="47">
        <f>IFERROR(IF((IF(COUNT('연간'!K70:N70)&lt;4,"",SUM('연간'!K70:N70)))&lt;=0,"적자",G28/(IF(COUNT('연간'!K70:N70)&lt;4,"",SUM('연간'!K70:N70)))),"")</f>
        <v/>
      </c>
      <c r="H49" s="46">
        <f>IFERROR(IF(('연간'!T70)&lt;=0,"적자",H28/('연간'!T70)),"")</f>
        <v/>
      </c>
      <c r="I49" s="47">
        <f>IFERROR(IF(('연간'!U70)&lt;=0,"적자",I28/('연간'!U70)),"")</f>
        <v/>
      </c>
      <c r="J49" s="47">
        <f>IFERROR(IF(('연간'!V70)&lt;=0,"적자",J28/('연간'!V70)),"")</f>
        <v/>
      </c>
      <c r="K49" s="47">
        <f>IFERROR(IF(('연간'!W70)&lt;=0,"적자",K28/('연간'!W70)),"")</f>
        <v/>
      </c>
      <c r="L49" s="47">
        <f>IFERROR(IF(('연간'!X70)&lt;=0,"적자",L28/('연간'!X70)),"")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IFERROR((IF(COUNT('연간'!G70:J70)&lt;4,"",SUM('연간'!G70:J70)))/C31,"")</f>
        <v/>
      </c>
      <c r="D51" s="36">
        <f>IFERROR((IF(COUNT('연간'!H70:K70)&lt;4,"",SUM('연간'!H70:K70)))/D31,"")</f>
        <v/>
      </c>
      <c r="E51" s="36">
        <f>IFERROR((IF(COUNT('연간'!I70:L70)&lt;4,"",SUM('연간'!I70:L70)))/E31,"")</f>
        <v/>
      </c>
      <c r="F51" s="36">
        <f>IFERROR((IF(COUNT('연간'!J70:M70)&lt;4,"",SUM('연간'!J70:M70)))/F31,"")</f>
        <v/>
      </c>
      <c r="G51" s="36">
        <f>IFERROR((IF(COUNT('연간'!K70:N70)&lt;4,"",SUM('연간'!K70:N70)))/G31,"")</f>
        <v/>
      </c>
      <c r="H51" s="35">
        <f>IFERROR(('연간'!T70)/H31,"")</f>
        <v/>
      </c>
      <c r="I51" s="36">
        <f>IFERROR(('연간'!U70)/I31,"")</f>
        <v/>
      </c>
      <c r="J51" s="36">
        <f>IFERROR(('연간'!V70)/J31,"")</f>
        <v/>
      </c>
      <c r="K51" s="36">
        <f>IFERROR(('연간'!W70)/K31,"")</f>
        <v/>
      </c>
      <c r="L51" s="36">
        <f>IFERROR(('연간'!X70)/L31,"")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IFERROR((IF(COUNT('연간'!G68:J68)&lt;4,"",SUM('연간'!G68:J68)))/C16,"")</f>
        <v/>
      </c>
      <c r="D52" s="36">
        <f>IFERROR((IF(COUNT('연간'!H68:K68)&lt;4,"",SUM('연간'!H68:K68)))/D16,"")</f>
        <v/>
      </c>
      <c r="E52" s="36">
        <f>IFERROR((IF(COUNT('연간'!I68:L68)&lt;4,"",SUM('연간'!I68:L68)))/E16,"")</f>
        <v/>
      </c>
      <c r="F52" s="36">
        <f>IFERROR((IF(COUNT('연간'!J68:M68)&lt;4,"",SUM('연간'!J68:M68)))/F16,"")</f>
        <v/>
      </c>
      <c r="G52" s="36">
        <f>IFERROR((IF(COUNT('연간'!K68:N68)&lt;4,"",SUM('연간'!K68:N68)))/G16,"")</f>
        <v/>
      </c>
      <c r="H52" s="35">
        <f>IFERROR(('연간'!T68)/H16,"")</f>
        <v/>
      </c>
      <c r="I52" s="36">
        <f>IFERROR(('연간'!U68)/I16,"")</f>
        <v/>
      </c>
      <c r="J52" s="36">
        <f>IFERROR(('연간'!V68)/J16,"")</f>
        <v/>
      </c>
      <c r="K52" s="36">
        <f>IFERROR(('연간'!W68)/K16,"")</f>
        <v/>
      </c>
      <c r="L52" s="36">
        <f>IFERROR(('연간'!X68)/L16,"")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IFERROR((IF(COUNT('연간'!G40:J40)&lt;4,"",SUM('연간'!G40:J40)))*(1-0.3)/(C35+C29),"")</f>
        <v/>
      </c>
      <c r="D53" s="36">
        <f>IFERROR((IF(COUNT('연간'!H40:K40)&lt;4,"",SUM('연간'!H40:K40)))*(1-0.3)/(D35+D29),"")</f>
        <v/>
      </c>
      <c r="E53" s="36">
        <f>IFERROR((IF(COUNT('연간'!I40:L40)&lt;4,"",SUM('연간'!I40:L40)))*(1-0.3)/(E35+E29),"")</f>
        <v/>
      </c>
      <c r="F53" s="36">
        <f>IFERROR((IF(COUNT('연간'!J40:M40)&lt;4,"",SUM('연간'!J40:M40)))*(1-0.3)/(F35+F29),"")</f>
        <v/>
      </c>
      <c r="G53" s="36">
        <f>IFERROR((IF(COUNT('연간'!K40:N40)&lt;4,"",SUM('연간'!K40:N40)))*(1-0.3)/(G35+G29),"")</f>
        <v/>
      </c>
      <c r="H53" s="35">
        <f>IFERROR(('연간'!T40)*(1-0.3)/(H35+H29),"")</f>
        <v/>
      </c>
      <c r="I53" s="36">
        <f>IFERROR(('연간'!U40)*(1-0.3)/(I35+I29),"")</f>
        <v/>
      </c>
      <c r="J53" s="36">
        <f>IFERROR(('연간'!V40)*(1-0.3)/(J35+J29),"")</f>
        <v/>
      </c>
      <c r="K53" s="36">
        <f>IFERROR(('연간'!W40)*(1-0.3)/(K35+K29),"")</f>
        <v/>
      </c>
      <c r="L53" s="36">
        <f>IFERROR(('연간'!X40)*(1-0.3)/(L35+L29),"")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IFERROR((IF(COUNT('연간'!G34:J34)&lt;4,"",SUM('연간'!G34:J34)))/(IF(COUNT('연간'!G4:J4)&lt;4,"",SUM('연간'!G4:J4))),"")</f>
        <v/>
      </c>
      <c r="D54" s="36">
        <f>IFERROR((IF(COUNT('연간'!H34:K34)&lt;4,"",SUM('연간'!H34:K34)))/(IF(COUNT('연간'!H4:K4)&lt;4,"",SUM('연간'!H4:K4))),"")</f>
        <v/>
      </c>
      <c r="E54" s="36">
        <f>IFERROR((IF(COUNT('연간'!I34:L34)&lt;4,"",SUM('연간'!I34:L34)))/(IF(COUNT('연간'!I4:L4)&lt;4,"",SUM('연간'!I4:L4))),"")</f>
        <v/>
      </c>
      <c r="F54" s="36">
        <f>IFERROR((IF(COUNT('연간'!J34:M34)&lt;4,"",SUM('연간'!J34:M34)))/(IF(COUNT('연간'!J4:M4)&lt;4,"",SUM('연간'!J4:M4))),"")</f>
        <v/>
      </c>
      <c r="G54" s="36">
        <f>IFERROR((IF(COUNT('연간'!K34:N34)&lt;4,"",SUM('연간'!K34:N34)))/(IF(COUNT('연간'!K4:N4)&lt;4,"",SUM('연간'!K4:N4))),"")</f>
        <v/>
      </c>
      <c r="H54" s="35">
        <f>IFERROR(('연간'!T34)/('연간'!T4),"")</f>
        <v/>
      </c>
      <c r="I54" s="36">
        <f>IFERROR(('연간'!U34)/('연간'!U4),"")</f>
        <v/>
      </c>
      <c r="J54" s="36">
        <f>IFERROR(('연간'!V34)/('연간'!V4),"")</f>
        <v/>
      </c>
      <c r="K54" s="36">
        <f>IFERROR(('연간'!W34)/('연간'!W4),"")</f>
        <v/>
      </c>
      <c r="L54" s="36">
        <f>IFERROR(('연간'!X34)/('연간'!X4),"")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IFERROR((IF(COUNT('연간'!G40:J40)&lt;4,"",SUM('연간'!G40:J40)))/(IF(COUNT('연간'!G4:J4)&lt;4,"",SUM('연간'!G4:J4))),"")</f>
        <v/>
      </c>
      <c r="D55" s="36">
        <f>IFERROR((IF(COUNT('연간'!H40:K40)&lt;4,"",SUM('연간'!H40:K40)))/(IF(COUNT('연간'!H4:K4)&lt;4,"",SUM('연간'!H4:K4))),"")</f>
        <v/>
      </c>
      <c r="E55" s="36">
        <f>IFERROR((IF(COUNT('연간'!I40:L40)&lt;4,"",SUM('연간'!I40:L40)))/(IF(COUNT('연간'!I4:L4)&lt;4,"",SUM('연간'!I4:L4))),"")</f>
        <v/>
      </c>
      <c r="F55" s="36">
        <f>IFERROR((IF(COUNT('연간'!J40:M40)&lt;4,"",SUM('연간'!J40:M40)))/(IF(COUNT('연간'!J4:M4)&lt;4,"",SUM('연간'!J4:M4))),"")</f>
        <v/>
      </c>
      <c r="G55" s="36">
        <f>IFERROR((IF(COUNT('연간'!K40:N40)&lt;4,"",SUM('연간'!K40:N40)))/(IF(COUNT('연간'!K4:N4)&lt;4,"",SUM('연간'!K4:N4))),"")</f>
        <v/>
      </c>
      <c r="H55" s="35">
        <f>IFERROR(('연간'!T40)/('연간'!T4),"")</f>
        <v/>
      </c>
      <c r="I55" s="36">
        <f>IFERROR(('연간'!U40)/('연간'!U4),"")</f>
        <v/>
      </c>
      <c r="J55" s="36">
        <f>IFERROR(('연간'!V40)/('연간'!V4),"")</f>
        <v/>
      </c>
      <c r="K55" s="36">
        <f>IFERROR(('연간'!W40)/('연간'!W4),"")</f>
        <v/>
      </c>
      <c r="L55" s="36">
        <f>IFERROR(('연간'!X40)/('연간'!X4),"")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IFERROR((IF(COUNT('연간'!G68:J68)&lt;4,"",SUM('연간'!G68:J68)))/(IF(COUNT('연간'!G4:J4)&lt;4,"",SUM('연간'!G4:J4))),"")</f>
        <v/>
      </c>
      <c r="D56" s="36">
        <f>IFERROR((IF(COUNT('연간'!H68:K68)&lt;4,"",SUM('연간'!H68:K68)))/(IF(COUNT('연간'!H4:K4)&lt;4,"",SUM('연간'!H4:K4))),"")</f>
        <v/>
      </c>
      <c r="E56" s="36">
        <f>IFERROR((IF(COUNT('연간'!I68:L68)&lt;4,"",SUM('연간'!I68:L68)))/(IF(COUNT('연간'!I4:L4)&lt;4,"",SUM('연간'!I4:L4))),"")</f>
        <v/>
      </c>
      <c r="F56" s="36">
        <f>IFERROR((IF(COUNT('연간'!J68:M68)&lt;4,"",SUM('연간'!J68:M68)))/(IF(COUNT('연간'!J4:M4)&lt;4,"",SUM('연간'!J4:M4))),"")</f>
        <v/>
      </c>
      <c r="G56" s="36">
        <f>IFERROR((IF(COUNT('연간'!K68:N68)&lt;4,"",SUM('연간'!K68:N68)))/(IF(COUNT('연간'!K4:N4)&lt;4,"",SUM('연간'!K4:N4))),"")</f>
        <v/>
      </c>
      <c r="H56" s="35">
        <f>IFERROR(('연간'!T68)/('연간'!T4),"")</f>
        <v/>
      </c>
      <c r="I56" s="36">
        <f>IFERROR(('연간'!U68)/('연간'!U4),"")</f>
        <v/>
      </c>
      <c r="J56" s="36">
        <f>IFERROR(('연간'!V68)/('연간'!V4),"")</f>
        <v/>
      </c>
      <c r="K56" s="36">
        <f>IFERROR(('연간'!W68)/('연간'!W4),"")</f>
        <v/>
      </c>
      <c r="L56" s="36">
        <f>IFERROR(('연간'!X68)/('연간'!X4),"")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IFERROR(C9/(IF(COUNT('연간'!G32:J32)&lt;4,"",SUM('연간'!G32:J32)))*365,"")</f>
        <v/>
      </c>
      <c r="D60" s="49">
        <f>IFERROR(D9/(IF(COUNT('연간'!H32:K32)&lt;4,"",SUM('연간'!H32:K32)))*365,"")</f>
        <v/>
      </c>
      <c r="E60" s="49">
        <f>IFERROR(E9/(IF(COUNT('연간'!I32:L32)&lt;4,"",SUM('연간'!I32:L32)))*365,"")</f>
        <v/>
      </c>
      <c r="F60" s="49">
        <f>IFERROR(F9/(IF(COUNT('연간'!J32:M32)&lt;4,"",SUM('연간'!J32:M32)))*365,"")</f>
        <v/>
      </c>
      <c r="G60" s="49">
        <f>IFERROR(G9/(IF(COUNT('연간'!K32:N32)&lt;4,"",SUM('연간'!K32:N32)))*365,"")</f>
        <v/>
      </c>
      <c r="H60" s="48">
        <f>IFERROR(H9/('연간'!T32)*365,"")</f>
        <v/>
      </c>
      <c r="I60" s="49">
        <f>IFERROR(I9/('연간'!U32)*365,"")</f>
        <v/>
      </c>
      <c r="J60" s="49">
        <f>IFERROR(J9/('연간'!V32)*365,"")</f>
        <v/>
      </c>
      <c r="K60" s="49">
        <f>IFERROR(K9/('연간'!W32)*365,"")</f>
        <v/>
      </c>
      <c r="L60" s="49">
        <f>IFERROR(L9/('연간'!X32)*365,"")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IFERROR(C19/(IF(COUNT('연간'!G32:J32)&lt;4,"",SUM('연간'!G32:J32)))*365,"")</f>
        <v/>
      </c>
      <c r="D61" s="49">
        <f>IFERROR(D19/(IF(COUNT('연간'!H32:K32)&lt;4,"",SUM('연간'!H32:K32)))*365,"")</f>
        <v/>
      </c>
      <c r="E61" s="49">
        <f>IFERROR(E19/(IF(COUNT('연간'!I32:L32)&lt;4,"",SUM('연간'!I32:L32)))*365,"")</f>
        <v/>
      </c>
      <c r="F61" s="49">
        <f>IFERROR(F19/(IF(COUNT('연간'!J32:M32)&lt;4,"",SUM('연간'!J32:M32)))*365,"")</f>
        <v/>
      </c>
      <c r="G61" s="49">
        <f>IFERROR(G19/(IF(COUNT('연간'!K32:N32)&lt;4,"",SUM('연간'!K32:N32)))*365,"")</f>
        <v/>
      </c>
      <c r="H61" s="48">
        <f>IFERROR(H19/('연간'!T32)*365,"")</f>
        <v/>
      </c>
      <c r="I61" s="49">
        <f>IFERROR(I19/('연간'!U32)*365,"")</f>
        <v/>
      </c>
      <c r="J61" s="49">
        <f>IFERROR(J19/('연간'!V32)*365,"")</f>
        <v/>
      </c>
      <c r="K61" s="49">
        <f>IFERROR(K19/('연간'!W32)*365,"")</f>
        <v/>
      </c>
      <c r="L61" s="49">
        <f>IFERROR(L19/('연간'!X32)*365,"")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IF(C37="","",IFERROR(C37/(IF(COUNT('연간'!G68:J68)&lt;4,"",SUM('연간'!G68:J68))),""))</f>
        <v/>
      </c>
      <c r="D64" s="31">
        <f>IF(D37="","",IFERROR(D37/(IF(COUNT('연간'!H68:K68)&lt;4,"",SUM('연간'!H68:K68))),""))</f>
        <v/>
      </c>
      <c r="E64" s="31">
        <f>IF(E37="","",IFERROR(E37/(IF(COUNT('연간'!I68:L68)&lt;4,"",SUM('연간'!I68:L68))),""))</f>
        <v/>
      </c>
      <c r="F64" s="31">
        <f>IF(F37="","",IFERROR(F37/(IF(COUNT('연간'!J68:M68)&lt;4,"",SUM('연간'!J68:M68))),""))</f>
        <v/>
      </c>
      <c r="G64" s="31">
        <f>IF(G37="","",IFERROR(G37/(IF(COUNT('연간'!K68:N68)&lt;4,"",SUM('연간'!K68:N68))),""))</f>
        <v/>
      </c>
      <c r="H64" s="30">
        <f>IF(H37="","",IFERROR(H37/('연간'!T68),""))</f>
        <v/>
      </c>
      <c r="I64" s="31">
        <f>IF(I37="","",IFERROR(I37/('연간'!U68),""))</f>
        <v/>
      </c>
      <c r="J64" s="31">
        <f>IF(J37="","",IFERROR(J37/('연간'!V68),""))</f>
        <v/>
      </c>
      <c r="K64" s="31">
        <f>IF(K37="","",IFERROR(K37/('연간'!W68),""))</f>
        <v/>
      </c>
      <c r="L64" s="31">
        <f>IF(L37="","",IFERROR(L37/('연간'!X68),""))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IF(C40="","",IFERROR(C40/(IF(COUNT('연간'!G70:J70)&lt;4,"",SUM('연간'!G70:J70))),""))</f>
        <v/>
      </c>
      <c r="D67" s="36">
        <f>IF(D40="","",IFERROR(D40/(IF(COUNT('연간'!H70:K70)&lt;4,"",SUM('연간'!H70:K70))),""))</f>
        <v/>
      </c>
      <c r="E67" s="36">
        <f>IF(E40="","",IFERROR(E40/(IF(COUNT('연간'!I70:L70)&lt;4,"",SUM('연간'!I70:L70))),""))</f>
        <v/>
      </c>
      <c r="F67" s="36">
        <f>IF(F40="","",IFERROR(F40/(IF(COUNT('연간'!J70:M70)&lt;4,"",SUM('연간'!J70:M70))),""))</f>
        <v/>
      </c>
      <c r="G67" s="36">
        <f>IF(G40="","",IFERROR(G40/(IF(COUNT('연간'!K70:N70)&lt;4,"",SUM('연간'!K70:N70))),""))</f>
        <v/>
      </c>
      <c r="H67" s="35">
        <f>IF(H40="","",IFERROR(H40/('연간'!T70),""))</f>
        <v/>
      </c>
      <c r="I67" s="36">
        <f>IF(I40="","",IFERROR(I40/('연간'!U70),""))</f>
        <v/>
      </c>
      <c r="J67" s="36">
        <f>IF(J40="","",IFERROR(J40/('연간'!V70),""))</f>
        <v/>
      </c>
      <c r="K67" s="36">
        <f>IF(K40="","",IFERROR(K40/('연간'!W70),""))</f>
        <v/>
      </c>
      <c r="L67" s="36">
        <f>IF(L40="","",IFERROR(L40/('연간'!X70),""))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40904</v>
      </c>
      <c r="D71" s="20" t="n">
        <v>29231</v>
      </c>
      <c r="E71" s="20" t="n">
        <v>31217</v>
      </c>
      <c r="F71" s="20" t="n">
        <v>31826</v>
      </c>
      <c r="G71" s="20" t="n">
        <v>47045</v>
      </c>
      <c r="H71" s="20" t="n">
        <v>14070</v>
      </c>
      <c r="I71" s="20" t="n">
        <v>14917</v>
      </c>
      <c r="J71" s="20" t="n">
        <v>18984</v>
      </c>
      <c r="K71" s="20" t="n">
        <v>30679</v>
      </c>
      <c r="L71" s="20" t="n">
        <v>31826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65759</v>
      </c>
      <c r="D73" s="20" t="n">
        <v>77401</v>
      </c>
      <c r="E73" s="20" t="n">
        <v>85807</v>
      </c>
      <c r="F73" s="20" t="n">
        <v>121733</v>
      </c>
      <c r="G73" s="20" t="n">
        <v>81375</v>
      </c>
      <c r="H73" s="20" t="n">
        <v>93772</v>
      </c>
      <c r="I73" s="20" t="n">
        <v>99354</v>
      </c>
      <c r="J73" s="20" t="n">
        <v>106385</v>
      </c>
      <c r="K73" s="20" t="n">
        <v>104591</v>
      </c>
      <c r="L73" s="20" t="n">
        <v>121733</v>
      </c>
    </row>
    <row r="74">
      <c r="A74" s="18" t="inlineStr">
        <is>
          <t>전자기록채권</t>
        </is>
      </c>
      <c r="C74" s="20" t="n">
        <v>8353</v>
      </c>
      <c r="D74" s="20" t="n">
        <v>5951</v>
      </c>
      <c r="E74" s="20" t="n">
        <v>6538</v>
      </c>
      <c r="F74" s="20" t="n">
        <v>7865</v>
      </c>
      <c r="G74" s="20" t="n">
        <v>9261</v>
      </c>
      <c r="H74" s="20" t="n">
        <v>7034</v>
      </c>
      <c r="I74" s="20" t="n">
        <v>8760</v>
      </c>
      <c r="J74" s="20" t="n">
        <v>9317</v>
      </c>
      <c r="K74" s="20" t="n">
        <v>8046</v>
      </c>
      <c r="L74" s="20" t="n">
        <v>7865</v>
      </c>
    </row>
    <row r="75">
      <c r="A75" s="18" t="inlineStr">
        <is>
          <t>제품</t>
        </is>
      </c>
      <c r="F75" s="20" t="n">
        <v>2284</v>
      </c>
      <c r="H75" s="20" t="n">
        <v>4166</v>
      </c>
      <c r="I75" s="20" t="n">
        <v>2636</v>
      </c>
      <c r="J75" s="20" t="n">
        <v>2700</v>
      </c>
      <c r="K75" s="20" t="n">
        <v>3112</v>
      </c>
      <c r="L75" s="20" t="n">
        <v>2284</v>
      </c>
    </row>
    <row r="76">
      <c r="A76" s="18" t="inlineStr">
        <is>
          <t>상품·제품</t>
        </is>
      </c>
      <c r="C76" s="20" t="n">
        <v>9048</v>
      </c>
      <c r="D76" s="20" t="n">
        <v>8926</v>
      </c>
      <c r="E76" s="20" t="n">
        <v>9540</v>
      </c>
      <c r="F76" s="20" t="n">
        <v>10197</v>
      </c>
      <c r="G76" s="20" t="n">
        <v>10350</v>
      </c>
      <c r="H76" s="20" t="n">
        <v>10174</v>
      </c>
      <c r="I76" s="20" t="n">
        <v>10571</v>
      </c>
      <c r="J76" s="20" t="n">
        <v>10806</v>
      </c>
      <c r="K76" s="20" t="n">
        <v>8730</v>
      </c>
      <c r="L76" s="20" t="n">
        <v>10197</v>
      </c>
    </row>
    <row r="77">
      <c r="A77" s="18" t="inlineStr">
        <is>
          <t>재공품</t>
        </is>
      </c>
      <c r="C77" s="20" t="n">
        <v>52799</v>
      </c>
      <c r="D77" s="20" t="n">
        <v>54225</v>
      </c>
      <c r="E77" s="20" t="n">
        <v>64477</v>
      </c>
      <c r="F77" s="20" t="n">
        <v>45690</v>
      </c>
      <c r="G77" s="20" t="n">
        <v>51149</v>
      </c>
      <c r="H77" s="20" t="n">
        <v>32159</v>
      </c>
      <c r="I77" s="20" t="n">
        <v>36617</v>
      </c>
      <c r="J77" s="20" t="n">
        <v>41717</v>
      </c>
      <c r="K77" s="20" t="n">
        <v>46039</v>
      </c>
      <c r="L77" s="20" t="n">
        <v>45690</v>
      </c>
    </row>
    <row r="78">
      <c r="A78" s="18" t="inlineStr">
        <is>
          <t>원재료·저장품</t>
        </is>
      </c>
      <c r="C78" s="20" t="n">
        <v>12987</v>
      </c>
      <c r="D78" s="20" t="n">
        <v>12685</v>
      </c>
      <c r="E78" s="20" t="n">
        <v>13354</v>
      </c>
      <c r="F78" s="20" t="n">
        <v>13811</v>
      </c>
      <c r="G78" s="20" t="n">
        <v>15447</v>
      </c>
      <c r="H78" s="20" t="n">
        <v>8381</v>
      </c>
      <c r="I78" s="20" t="n">
        <v>11550</v>
      </c>
      <c r="J78" s="20" t="n">
        <v>14700</v>
      </c>
      <c r="K78" s="20" t="n">
        <v>13041</v>
      </c>
      <c r="L78" s="20" t="n">
        <v>13811</v>
      </c>
    </row>
    <row r="79">
      <c r="A79" s="18" t="inlineStr">
        <is>
          <t>기타</t>
        </is>
      </c>
      <c r="C79" s="20" t="n">
        <v>8980</v>
      </c>
      <c r="D79" s="20" t="n">
        <v>11074</v>
      </c>
      <c r="E79" s="20" t="n">
        <v>12843</v>
      </c>
      <c r="F79" s="20" t="n">
        <v>9695</v>
      </c>
      <c r="G79" s="20" t="n">
        <v>9745</v>
      </c>
      <c r="H79" s="20" t="n">
        <v>5890</v>
      </c>
      <c r="I79" s="20" t="n">
        <v>6163</v>
      </c>
      <c r="J79" s="20" t="n">
        <v>6893</v>
      </c>
      <c r="K79" s="20" t="n">
        <v>6508</v>
      </c>
      <c r="L79" s="20" t="n">
        <v>9695</v>
      </c>
    </row>
    <row r="80">
      <c r="A80" s="18" t="inlineStr">
        <is>
          <t>대손충당금</t>
        </is>
      </c>
      <c r="C80" s="20" t="n">
        <v>-496</v>
      </c>
      <c r="D80" s="20" t="n">
        <v>-498</v>
      </c>
      <c r="E80" s="20" t="n">
        <v>-522</v>
      </c>
      <c r="F80" s="20" t="n">
        <v>-548</v>
      </c>
      <c r="G80" s="20" t="n">
        <v>-550</v>
      </c>
      <c r="H80" s="20" t="n">
        <v>-188</v>
      </c>
      <c r="I80" s="20" t="n">
        <v>-184</v>
      </c>
      <c r="J80" s="20" t="n">
        <v>-302</v>
      </c>
      <c r="K80" s="20" t="n">
        <v>-519</v>
      </c>
      <c r="L80" s="20" t="n">
        <v>-548</v>
      </c>
    </row>
    <row r="81">
      <c r="A81" s="9" t="inlineStr">
        <is>
          <t>유동자산 합계</t>
        </is>
      </c>
      <c r="C81" s="12" t="n">
        <v>198337</v>
      </c>
      <c r="D81" s="12" t="n">
        <v>198997</v>
      </c>
      <c r="E81" s="12" t="n">
        <v>223257</v>
      </c>
      <c r="F81" s="12" t="n">
        <v>240271</v>
      </c>
      <c r="G81" s="12" t="n">
        <v>223824</v>
      </c>
      <c r="H81" s="12" t="n">
        <v>171294</v>
      </c>
      <c r="I81" s="12" t="n">
        <v>187751</v>
      </c>
      <c r="J81" s="12" t="n">
        <v>208503</v>
      </c>
      <c r="K81" s="12" t="n">
        <v>217116</v>
      </c>
      <c r="L81" s="12" t="n">
        <v>240271</v>
      </c>
    </row>
    <row r="82">
      <c r="A82" s="18" t="inlineStr">
        <is>
          <t>건물</t>
        </is>
      </c>
      <c r="F82" s="20" t="n">
        <v>28941</v>
      </c>
      <c r="H82" s="20" t="n">
        <v>30718</v>
      </c>
      <c r="I82" s="20" t="n">
        <v>29659</v>
      </c>
      <c r="J82" s="20" t="n">
        <v>28749</v>
      </c>
      <c r="K82" s="20" t="n">
        <v>28294</v>
      </c>
      <c r="L82" s="20" t="n">
        <v>28941</v>
      </c>
    </row>
    <row r="83">
      <c r="A83" s="18" t="inlineStr">
        <is>
          <t>구축물</t>
        </is>
      </c>
      <c r="F83" s="20" t="n">
        <v>1630</v>
      </c>
      <c r="H83" s="20" t="n">
        <v>1501</v>
      </c>
      <c r="I83" s="20" t="n">
        <v>1478</v>
      </c>
      <c r="J83" s="20" t="n">
        <v>1452</v>
      </c>
      <c r="K83" s="20" t="n">
        <v>1563</v>
      </c>
      <c r="L83" s="20" t="n">
        <v>1630</v>
      </c>
    </row>
    <row r="84">
      <c r="A84" s="18" t="inlineStr">
        <is>
          <t>기계장치</t>
        </is>
      </c>
      <c r="F84" s="20" t="n">
        <v>7078</v>
      </c>
      <c r="H84" s="20" t="n">
        <v>6164</v>
      </c>
      <c r="I84" s="20" t="n">
        <v>5851</v>
      </c>
      <c r="J84" s="20" t="n">
        <v>5851</v>
      </c>
      <c r="K84" s="20" t="n">
        <v>5923</v>
      </c>
      <c r="L84" s="20" t="n">
        <v>7078</v>
      </c>
    </row>
    <row r="85">
      <c r="A85" s="18" t="inlineStr">
        <is>
          <t>차량운반구</t>
        </is>
      </c>
      <c r="F85" s="20" t="n">
        <v>126</v>
      </c>
      <c r="H85" s="20" t="n">
        <v>58</v>
      </c>
      <c r="I85" s="20" t="n">
        <v>104</v>
      </c>
      <c r="J85" s="20" t="n">
        <v>78</v>
      </c>
      <c r="K85" s="20" t="n">
        <v>88</v>
      </c>
      <c r="L85" s="20" t="n">
        <v>126</v>
      </c>
    </row>
    <row r="86">
      <c r="A86" s="18" t="inlineStr">
        <is>
          <t>공구·기구·비품</t>
        </is>
      </c>
      <c r="F86" s="20" t="n">
        <v>1847</v>
      </c>
      <c r="H86" s="20" t="n">
        <v>1538</v>
      </c>
      <c r="I86" s="20" t="n">
        <v>1571</v>
      </c>
      <c r="J86" s="20" t="n">
        <v>1548</v>
      </c>
      <c r="K86" s="20" t="n">
        <v>1581</v>
      </c>
      <c r="L86" s="20" t="n">
        <v>1847</v>
      </c>
    </row>
    <row r="87">
      <c r="A87" s="18" t="inlineStr">
        <is>
          <t>건물·구축물</t>
        </is>
      </c>
      <c r="F87" s="20" t="n">
        <v>106266</v>
      </c>
      <c r="H87" s="20" t="n">
        <v>97947</v>
      </c>
      <c r="I87" s="20" t="n">
        <v>98385</v>
      </c>
      <c r="J87" s="20" t="n">
        <v>101483</v>
      </c>
      <c r="K87" s="20" t="n">
        <v>102731</v>
      </c>
      <c r="L87" s="20" t="n">
        <v>106266</v>
      </c>
    </row>
    <row r="88">
      <c r="A88" s="18" t="inlineStr">
        <is>
          <t>감가상각누계액 및 손상차손누계액</t>
        </is>
      </c>
      <c r="F88" s="20" t="n">
        <v>-68094</v>
      </c>
      <c r="H88" s="20" t="n">
        <v>-57650</v>
      </c>
      <c r="I88" s="20" t="n">
        <v>-59676</v>
      </c>
      <c r="J88" s="20" t="n">
        <v>-62350</v>
      </c>
      <c r="K88" s="20" t="n">
        <v>-64392</v>
      </c>
      <c r="L88" s="20" t="n">
        <v>-68094</v>
      </c>
    </row>
    <row r="89">
      <c r="A89" s="18" t="inlineStr">
        <is>
          <t>건물·구축물(순액)</t>
        </is>
      </c>
      <c r="C89" s="20" t="n">
        <v>37949</v>
      </c>
      <c r="D89" s="20" t="n">
        <v>37968</v>
      </c>
      <c r="E89" s="20" t="n">
        <v>38764</v>
      </c>
      <c r="F89" s="20" t="n">
        <v>38172</v>
      </c>
      <c r="G89" s="20" t="n">
        <v>41198</v>
      </c>
      <c r="H89" s="20" t="n">
        <v>40297</v>
      </c>
      <c r="I89" s="20" t="n">
        <v>38708</v>
      </c>
      <c r="J89" s="20" t="n">
        <v>39133</v>
      </c>
      <c r="K89" s="20" t="n">
        <v>38339</v>
      </c>
      <c r="L89" s="20" t="n">
        <v>38172</v>
      </c>
    </row>
    <row r="90">
      <c r="A90" s="18" t="inlineStr">
        <is>
          <t>기계장치·운반구</t>
        </is>
      </c>
      <c r="F90" s="20" t="n">
        <v>77873</v>
      </c>
      <c r="H90" s="20" t="n">
        <v>64996</v>
      </c>
      <c r="I90" s="20" t="n">
        <v>65960</v>
      </c>
      <c r="J90" s="20" t="n">
        <v>71589</v>
      </c>
      <c r="K90" s="20" t="n">
        <v>73459</v>
      </c>
      <c r="L90" s="20" t="n">
        <v>77873</v>
      </c>
    </row>
    <row r="91">
      <c r="A91" s="18" t="inlineStr">
        <is>
          <t>감가상각누계액 및 손상차손누계액</t>
        </is>
      </c>
      <c r="F91" s="20" t="n">
        <v>-63799</v>
      </c>
      <c r="H91" s="20" t="n">
        <v>-50701</v>
      </c>
      <c r="I91" s="20" t="n">
        <v>-52955</v>
      </c>
      <c r="J91" s="20" t="n">
        <v>-56296</v>
      </c>
      <c r="K91" s="20" t="n">
        <v>-58989</v>
      </c>
      <c r="L91" s="20" t="n">
        <v>-63799</v>
      </c>
    </row>
    <row r="92">
      <c r="A92" s="18" t="inlineStr">
        <is>
          <t>기계장치·운반구(순액)</t>
        </is>
      </c>
      <c r="C92" s="20" t="n">
        <v>13875</v>
      </c>
      <c r="D92" s="20" t="n">
        <v>13838</v>
      </c>
      <c r="E92" s="20" t="n">
        <v>15589</v>
      </c>
      <c r="F92" s="20" t="n">
        <v>14074</v>
      </c>
      <c r="G92" s="20" t="n">
        <v>14047</v>
      </c>
      <c r="H92" s="20" t="n">
        <v>14294</v>
      </c>
      <c r="I92" s="20" t="n">
        <v>13004</v>
      </c>
      <c r="J92" s="20" t="n">
        <v>15292</v>
      </c>
      <c r="K92" s="20" t="n">
        <v>14470</v>
      </c>
      <c r="L92" s="20" t="n">
        <v>14074</v>
      </c>
    </row>
    <row r="93">
      <c r="A93" s="18" t="inlineStr">
        <is>
          <t>토지</t>
        </is>
      </c>
      <c r="C93" s="20" t="n">
        <v>12541</v>
      </c>
      <c r="D93" s="20" t="n">
        <v>12548</v>
      </c>
      <c r="E93" s="20" t="n">
        <v>11959</v>
      </c>
      <c r="F93" s="20" t="n">
        <v>11959</v>
      </c>
      <c r="G93" s="20" t="n">
        <v>11961</v>
      </c>
      <c r="H93" s="20" t="n">
        <v>12955</v>
      </c>
      <c r="I93" s="20" t="n">
        <v>12697</v>
      </c>
      <c r="J93" s="20" t="n">
        <v>12542</v>
      </c>
      <c r="K93" s="20" t="n">
        <v>12542</v>
      </c>
      <c r="L93" s="20" t="n">
        <v>11959</v>
      </c>
    </row>
    <row r="94">
      <c r="A94" s="18" t="inlineStr">
        <is>
          <t>건설중인자산</t>
        </is>
      </c>
      <c r="C94" s="20" t="n">
        <v>5603</v>
      </c>
      <c r="D94" s="20" t="n">
        <v>6189</v>
      </c>
      <c r="E94" s="20" t="n">
        <v>5835</v>
      </c>
      <c r="F94" s="20" t="n">
        <v>5584</v>
      </c>
      <c r="G94" s="20" t="n">
        <v>6132</v>
      </c>
      <c r="H94" s="20" t="n">
        <v>2349</v>
      </c>
      <c r="I94" s="20" t="n">
        <v>6107</v>
      </c>
      <c r="J94" s="20" t="n">
        <v>2876</v>
      </c>
      <c r="K94" s="20" t="n">
        <v>4463</v>
      </c>
      <c r="L94" s="20" t="n">
        <v>5584</v>
      </c>
    </row>
    <row r="95">
      <c r="A95" s="18" t="inlineStr">
        <is>
          <t>기타</t>
        </is>
      </c>
      <c r="F95" s="20" t="n">
        <v>31420</v>
      </c>
      <c r="H95" s="20" t="n">
        <v>27220</v>
      </c>
      <c r="I95" s="20" t="n">
        <v>28129</v>
      </c>
      <c r="J95" s="20" t="n">
        <v>29326</v>
      </c>
      <c r="K95" s="20" t="n">
        <v>29731</v>
      </c>
      <c r="L95" s="20" t="n">
        <v>31420</v>
      </c>
    </row>
    <row r="96">
      <c r="A96" s="18" t="inlineStr">
        <is>
          <t>감가상각누계액 및 손상차손누계액</t>
        </is>
      </c>
      <c r="F96" s="20" t="n">
        <v>-25639</v>
      </c>
      <c r="H96" s="20" t="n">
        <v>-22169</v>
      </c>
      <c r="I96" s="20" t="n">
        <v>-22858</v>
      </c>
      <c r="J96" s="20" t="n">
        <v>-23808</v>
      </c>
      <c r="K96" s="20" t="n">
        <v>-24485</v>
      </c>
      <c r="L96" s="20" t="n">
        <v>-25639</v>
      </c>
    </row>
    <row r="97">
      <c r="A97" s="18" t="inlineStr">
        <is>
          <t>기타(순액)</t>
        </is>
      </c>
      <c r="C97" s="20" t="n">
        <v>5370</v>
      </c>
      <c r="D97" s="20" t="n">
        <v>5449</v>
      </c>
      <c r="E97" s="20" t="n">
        <v>5763</v>
      </c>
      <c r="F97" s="20" t="n">
        <v>5780</v>
      </c>
      <c r="G97" s="20" t="n">
        <v>5961</v>
      </c>
      <c r="H97" s="20" t="n">
        <v>5051</v>
      </c>
      <c r="I97" s="20" t="n">
        <v>5271</v>
      </c>
      <c r="J97" s="20" t="n">
        <v>5518</v>
      </c>
      <c r="K97" s="20" t="n">
        <v>5245</v>
      </c>
      <c r="L97" s="20" t="n">
        <v>5780</v>
      </c>
    </row>
    <row r="98">
      <c r="A98" s="18" t="inlineStr">
        <is>
          <t>유형자산 합계</t>
        </is>
      </c>
      <c r="C98" s="20" t="n">
        <v>75339</v>
      </c>
      <c r="D98" s="20" t="n">
        <v>75995</v>
      </c>
      <c r="E98" s="20" t="n">
        <v>77912</v>
      </c>
      <c r="F98" s="20" t="n">
        <v>75571</v>
      </c>
      <c r="G98" s="20" t="n">
        <v>79301</v>
      </c>
      <c r="H98" s="20" t="n">
        <v>74947</v>
      </c>
      <c r="I98" s="20" t="n">
        <v>75788</v>
      </c>
      <c r="J98" s="20" t="n">
        <v>75363</v>
      </c>
      <c r="K98" s="20" t="n">
        <v>75061</v>
      </c>
      <c r="L98" s="20" t="n">
        <v>75571</v>
      </c>
    </row>
    <row r="99">
      <c r="A99" s="18" t="inlineStr">
        <is>
          <t>소프트웨어</t>
        </is>
      </c>
      <c r="C99" s="20" t="n">
        <v>4747</v>
      </c>
      <c r="D99" s="20" t="n">
        <v>4529</v>
      </c>
      <c r="E99" s="20" t="n">
        <v>4248</v>
      </c>
      <c r="F99" s="20" t="n">
        <v>4523</v>
      </c>
      <c r="G99" s="20" t="n">
        <v>4373</v>
      </c>
      <c r="H99" s="20" t="n">
        <v>5325</v>
      </c>
      <c r="I99" s="20" t="n">
        <v>4862</v>
      </c>
      <c r="J99" s="20" t="n">
        <v>4774</v>
      </c>
      <c r="K99" s="20" t="n">
        <v>4692</v>
      </c>
      <c r="L99" s="20" t="n">
        <v>4523</v>
      </c>
    </row>
    <row r="100">
      <c r="A100" s="18" t="inlineStr">
        <is>
          <t>영업권</t>
        </is>
      </c>
      <c r="C100" s="20" t="n">
        <v>1234</v>
      </c>
      <c r="D100" s="20" t="n">
        <v>1075</v>
      </c>
      <c r="E100" s="20" t="n">
        <v>941</v>
      </c>
      <c r="F100" s="20" t="n">
        <v>775</v>
      </c>
      <c r="G100" s="20" t="n">
        <v>616</v>
      </c>
      <c r="H100" s="20" t="n">
        <v>3272</v>
      </c>
      <c r="I100" s="20" t="n">
        <v>2675</v>
      </c>
      <c r="J100" s="20" t="n">
        <v>2175</v>
      </c>
      <c r="K100" s="20" t="n">
        <v>1428</v>
      </c>
      <c r="L100" s="20" t="n">
        <v>775</v>
      </c>
    </row>
    <row r="101">
      <c r="A101" s="18" t="inlineStr">
        <is>
          <t>기타</t>
        </is>
      </c>
      <c r="C101" s="20" t="n">
        <v>570</v>
      </c>
      <c r="D101" s="20" t="n">
        <v>553</v>
      </c>
      <c r="E101" s="20" t="n">
        <v>546</v>
      </c>
      <c r="F101" s="20" t="n">
        <v>515</v>
      </c>
      <c r="G101" s="20" t="n">
        <v>490</v>
      </c>
      <c r="H101" s="20" t="n">
        <v>968</v>
      </c>
      <c r="I101" s="20" t="n">
        <v>925</v>
      </c>
      <c r="J101" s="20" t="n">
        <v>699</v>
      </c>
      <c r="K101" s="20" t="n">
        <v>571</v>
      </c>
      <c r="L101" s="20" t="n">
        <v>515</v>
      </c>
    </row>
    <row r="102">
      <c r="A102" s="18" t="inlineStr">
        <is>
          <t>무형자산 합계</t>
        </is>
      </c>
      <c r="C102" s="20" t="n">
        <v>6552</v>
      </c>
      <c r="D102" s="20" t="n">
        <v>6159</v>
      </c>
      <c r="E102" s="20" t="n">
        <v>5736</v>
      </c>
      <c r="F102" s="20" t="n">
        <v>5815</v>
      </c>
      <c r="G102" s="20" t="n">
        <v>5481</v>
      </c>
      <c r="H102" s="20" t="n">
        <v>9565</v>
      </c>
      <c r="I102" s="20" t="n">
        <v>8462</v>
      </c>
      <c r="J102" s="20" t="n">
        <v>7650</v>
      </c>
      <c r="K102" s="20" t="n">
        <v>6693</v>
      </c>
      <c r="L102" s="20" t="n">
        <v>5815</v>
      </c>
    </row>
    <row r="103">
      <c r="A103" s="18" t="inlineStr">
        <is>
          <t>투자유가증권</t>
        </is>
      </c>
      <c r="C103" s="20" t="n">
        <v>25837</v>
      </c>
      <c r="D103" s="20" t="n">
        <v>30193</v>
      </c>
      <c r="E103" s="20" t="n">
        <v>35042</v>
      </c>
      <c r="F103" s="20" t="n">
        <v>36928</v>
      </c>
      <c r="G103" s="20" t="n">
        <v>39192</v>
      </c>
      <c r="H103" s="20" t="n">
        <v>17132</v>
      </c>
      <c r="I103" s="20" t="n">
        <v>16696</v>
      </c>
      <c r="J103" s="20" t="n">
        <v>26558</v>
      </c>
      <c r="K103" s="20" t="n">
        <v>23498</v>
      </c>
      <c r="L103" s="20" t="n">
        <v>36928</v>
      </c>
    </row>
    <row r="104">
      <c r="A104" s="18" t="inlineStr">
        <is>
          <t>관계회사 주식</t>
        </is>
      </c>
      <c r="F104" s="20" t="n">
        <v>20946</v>
      </c>
      <c r="H104" s="20" t="n">
        <v>27146</v>
      </c>
      <c r="I104" s="20" t="n">
        <v>26526</v>
      </c>
      <c r="J104" s="20" t="n">
        <v>24240</v>
      </c>
      <c r="K104" s="20" t="n">
        <v>25040</v>
      </c>
      <c r="L104" s="20" t="n">
        <v>20946</v>
      </c>
    </row>
    <row r="105">
      <c r="A105" s="18" t="inlineStr">
        <is>
          <t>장기대여금</t>
        </is>
      </c>
      <c r="C105" s="20" t="n">
        <v>32</v>
      </c>
      <c r="D105" s="20" t="n">
        <v>33</v>
      </c>
      <c r="E105" s="20" t="n">
        <v>34</v>
      </c>
      <c r="F105" s="20" t="n">
        <v>34</v>
      </c>
      <c r="G105" s="20" t="n">
        <v>34</v>
      </c>
      <c r="H105" s="20" t="n">
        <v>36</v>
      </c>
      <c r="I105" s="20" t="n">
        <v>37</v>
      </c>
      <c r="J105" s="20" t="n">
        <v>30</v>
      </c>
      <c r="K105" s="20" t="n">
        <v>33</v>
      </c>
      <c r="L105" s="20" t="n">
        <v>34</v>
      </c>
    </row>
    <row r="106">
      <c r="A106" s="18" t="inlineStr">
        <is>
          <t>이연법인세자산</t>
        </is>
      </c>
      <c r="C106" s="20" t="n">
        <v>15846</v>
      </c>
      <c r="D106" s="20" t="n">
        <v>14366</v>
      </c>
      <c r="E106" s="20" t="n">
        <v>11194</v>
      </c>
      <c r="F106" s="20" t="n">
        <v>11425</v>
      </c>
      <c r="G106" s="20" t="n">
        <v>9374</v>
      </c>
      <c r="H106" s="20" t="n">
        <v>15914</v>
      </c>
      <c r="I106" s="20" t="n">
        <v>16535</v>
      </c>
      <c r="J106" s="20" t="n">
        <v>14377</v>
      </c>
      <c r="K106" s="20" t="n">
        <v>16467</v>
      </c>
      <c r="L106" s="20" t="n">
        <v>11425</v>
      </c>
    </row>
    <row r="107">
      <c r="A107" s="18" t="inlineStr">
        <is>
          <t>기타</t>
        </is>
      </c>
      <c r="C107" s="20" t="n">
        <v>2577</v>
      </c>
      <c r="D107" s="20" t="n">
        <v>3274</v>
      </c>
      <c r="E107" s="20" t="n">
        <v>3567</v>
      </c>
      <c r="F107" s="20" t="n">
        <v>3648</v>
      </c>
      <c r="G107" s="20" t="n">
        <v>3883</v>
      </c>
      <c r="H107" s="20" t="n">
        <v>2074</v>
      </c>
      <c r="I107" s="20" t="n">
        <v>2148</v>
      </c>
      <c r="J107" s="20" t="n">
        <v>2331</v>
      </c>
      <c r="K107" s="20" t="n">
        <v>2504</v>
      </c>
      <c r="L107" s="20" t="n">
        <v>3648</v>
      </c>
    </row>
    <row r="108">
      <c r="A108" s="18" t="inlineStr">
        <is>
          <t>대손충당금</t>
        </is>
      </c>
      <c r="C108" s="20" t="n">
        <v>-27</v>
      </c>
      <c r="D108" s="20" t="n">
        <v>-27</v>
      </c>
      <c r="E108" s="20" t="n">
        <v>-27</v>
      </c>
      <c r="F108" s="20" t="n">
        <v>-27</v>
      </c>
      <c r="G108" s="20" t="n">
        <v>-23</v>
      </c>
      <c r="H108" s="20" t="n">
        <v>-67</v>
      </c>
      <c r="I108" s="20" t="n">
        <v>-28</v>
      </c>
      <c r="J108" s="20" t="n">
        <v>-27</v>
      </c>
      <c r="K108" s="20" t="n">
        <v>-27</v>
      </c>
      <c r="L108" s="20" t="n">
        <v>-27</v>
      </c>
    </row>
    <row r="109">
      <c r="A109" s="18" t="inlineStr">
        <is>
          <t>투자 및 기타자산 합계</t>
        </is>
      </c>
      <c r="C109" s="20" t="n">
        <v>44266</v>
      </c>
      <c r="D109" s="20" t="n">
        <v>47839</v>
      </c>
      <c r="E109" s="20" t="n">
        <v>49811</v>
      </c>
      <c r="F109" s="20" t="n">
        <v>52009</v>
      </c>
      <c r="G109" s="20" t="n">
        <v>52461</v>
      </c>
      <c r="H109" s="20" t="n">
        <v>35091</v>
      </c>
      <c r="I109" s="20" t="n">
        <v>35388</v>
      </c>
      <c r="J109" s="20" t="n">
        <v>43270</v>
      </c>
      <c r="K109" s="20" t="n">
        <v>42476</v>
      </c>
      <c r="L109" s="20" t="n">
        <v>52009</v>
      </c>
    </row>
    <row r="110">
      <c r="A110" s="9" t="inlineStr">
        <is>
          <t>비유동자산 합계</t>
        </is>
      </c>
      <c r="C110" s="12" t="n">
        <v>126158</v>
      </c>
      <c r="D110" s="12" t="n">
        <v>129994</v>
      </c>
      <c r="E110" s="12" t="n">
        <v>133460</v>
      </c>
      <c r="F110" s="12" t="n">
        <v>133396</v>
      </c>
      <c r="G110" s="12" t="n">
        <v>137243</v>
      </c>
      <c r="H110" s="12" t="n">
        <v>119604</v>
      </c>
      <c r="I110" s="12" t="n">
        <v>119639</v>
      </c>
      <c r="J110" s="12" t="n">
        <v>126284</v>
      </c>
      <c r="K110" s="12" t="n">
        <v>124230</v>
      </c>
      <c r="L110" s="12" t="n">
        <v>133396</v>
      </c>
    </row>
    <row r="111">
      <c r="A111" s="9" t="inlineStr">
        <is>
          <t>자산 합계</t>
        </is>
      </c>
      <c r="C111" s="12" t="n">
        <v>324495</v>
      </c>
      <c r="D111" s="12" t="n">
        <v>328991</v>
      </c>
      <c r="E111" s="12" t="n">
        <v>356717</v>
      </c>
      <c r="F111" s="12" t="n">
        <v>373668</v>
      </c>
      <c r="G111" s="12" t="n">
        <v>361068</v>
      </c>
      <c r="H111" s="12" t="n">
        <v>290899</v>
      </c>
      <c r="I111" s="12" t="n">
        <v>307390</v>
      </c>
      <c r="J111" s="12" t="n">
        <v>334787</v>
      </c>
      <c r="K111" s="12" t="n">
        <v>341347</v>
      </c>
      <c r="L111" s="12" t="n">
        <v>373668</v>
      </c>
    </row>
    <row r="112">
      <c r="A112" s="18" t="inlineStr">
        <is>
          <t>지급어음</t>
        </is>
      </c>
      <c r="F112" s="20" t="n">
        <v>214</v>
      </c>
      <c r="H112" s="20" t="n">
        <v>317</v>
      </c>
      <c r="I112" s="20" t="n">
        <v>286</v>
      </c>
      <c r="J112" s="20" t="n">
        <v>170</v>
      </c>
      <c r="K112" s="20" t="n">
        <v>180</v>
      </c>
      <c r="L112" s="20" t="n">
        <v>214</v>
      </c>
    </row>
    <row r="113">
      <c r="A113" s="18" t="inlineStr">
        <is>
          <t>지급어음·매입채무</t>
        </is>
      </c>
      <c r="C113" s="20" t="n">
        <v>27409</v>
      </c>
      <c r="D113" s="20" t="n">
        <v>28216</v>
      </c>
      <c r="E113" s="20" t="n">
        <v>30011</v>
      </c>
      <c r="F113" s="20" t="n">
        <v>33556</v>
      </c>
      <c r="G113" s="20" t="n">
        <v>27979</v>
      </c>
      <c r="H113" s="20" t="n">
        <v>34796</v>
      </c>
      <c r="I113" s="20" t="n">
        <v>38971</v>
      </c>
      <c r="J113" s="20" t="n">
        <v>35918</v>
      </c>
      <c r="K113" s="20" t="n">
        <v>34504</v>
      </c>
      <c r="L113" s="20" t="n">
        <v>33556</v>
      </c>
    </row>
    <row r="114">
      <c r="A114" s="18" t="inlineStr">
        <is>
          <t>전자기록채무</t>
        </is>
      </c>
      <c r="C114" s="20" t="n">
        <v>2731</v>
      </c>
      <c r="D114" s="20" t="n">
        <v>2867</v>
      </c>
      <c r="E114" s="20" t="n">
        <v>3439</v>
      </c>
      <c r="F114" s="20" t="n">
        <v>4664</v>
      </c>
      <c r="G114" s="20" t="n">
        <v>5015</v>
      </c>
      <c r="H114" s="20" t="n">
        <v>4369</v>
      </c>
      <c r="I114" s="20" t="n">
        <v>3997</v>
      </c>
      <c r="J114" s="20" t="n">
        <v>4238</v>
      </c>
      <c r="K114" s="20" t="n">
        <v>2536</v>
      </c>
      <c r="L114" s="20" t="n">
        <v>4664</v>
      </c>
    </row>
    <row r="115">
      <c r="A115" s="18" t="inlineStr">
        <is>
          <t>매입채무</t>
        </is>
      </c>
      <c r="F115" s="20" t="n">
        <v>24447</v>
      </c>
      <c r="H115" s="20" t="n">
        <v>22064</v>
      </c>
      <c r="I115" s="20" t="n">
        <v>27832</v>
      </c>
      <c r="J115" s="20" t="n">
        <v>26513</v>
      </c>
      <c r="K115" s="20" t="n">
        <v>25048</v>
      </c>
      <c r="L115" s="20" t="n">
        <v>24447</v>
      </c>
    </row>
    <row r="116">
      <c r="A116" s="18" t="inlineStr">
        <is>
          <t>단기차입금</t>
        </is>
      </c>
      <c r="C116" s="20" t="n">
        <v>11926</v>
      </c>
      <c r="D116" s="20" t="n">
        <v>11987</v>
      </c>
      <c r="E116" s="20" t="n">
        <v>13588</v>
      </c>
      <c r="F116" s="20" t="n">
        <v>16340</v>
      </c>
      <c r="G116" s="20" t="n">
        <v>16256</v>
      </c>
      <c r="H116" s="20" t="n">
        <v>10255</v>
      </c>
      <c r="I116" s="20" t="n">
        <v>15514</v>
      </c>
      <c r="J116" s="20" t="n">
        <v>9912</v>
      </c>
      <c r="K116" s="20" t="n">
        <v>11095</v>
      </c>
      <c r="L116" s="20" t="n">
        <v>16340</v>
      </c>
    </row>
    <row r="117">
      <c r="A117" s="18" t="inlineStr">
        <is>
          <t>기업어음(CP)</t>
        </is>
      </c>
      <c r="C117" s="20" t="n">
        <v>0</v>
      </c>
      <c r="D117" s="20" t="n">
        <v>0</v>
      </c>
      <c r="E117" s="20" t="n">
        <v>12000</v>
      </c>
      <c r="F117" s="20" t="n">
        <v>5000</v>
      </c>
      <c r="G117" s="20" t="n">
        <v>0</v>
      </c>
      <c r="H117" s="20" t="n">
        <v>2000</v>
      </c>
      <c r="I117" s="20" t="n">
        <v>8000</v>
      </c>
      <c r="J117" s="20" t="n">
        <v>10000</v>
      </c>
      <c r="K117" s="20" t="n">
        <v>6000</v>
      </c>
      <c r="L117" s="20" t="n">
        <v>5000</v>
      </c>
    </row>
    <row r="118">
      <c r="A118" s="18" t="inlineStr">
        <is>
          <t>1년 내 상환 사채</t>
        </is>
      </c>
      <c r="H118" s="20" t="n">
        <v>5000</v>
      </c>
      <c r="I118" s="20" t="n">
        <v>0</v>
      </c>
      <c r="J118" s="20" t="n">
        <v>6000</v>
      </c>
      <c r="K118" s="20" t="n">
        <v>0</v>
      </c>
    </row>
    <row r="119">
      <c r="A119" s="18" t="inlineStr">
        <is>
          <t>미지급금</t>
        </is>
      </c>
      <c r="C119" s="20" t="n">
        <v>4403</v>
      </c>
      <c r="D119" s="20" t="n">
        <v>3815</v>
      </c>
      <c r="E119" s="20" t="n">
        <v>3903</v>
      </c>
      <c r="F119" s="20" t="n">
        <v>3502</v>
      </c>
      <c r="G119" s="20" t="n">
        <v>3565</v>
      </c>
      <c r="H119" s="20" t="n">
        <v>6405</v>
      </c>
      <c r="I119" s="20" t="n">
        <v>5268</v>
      </c>
      <c r="J119" s="20" t="n">
        <v>6413</v>
      </c>
      <c r="K119" s="20" t="n">
        <v>5141</v>
      </c>
      <c r="L119" s="20" t="n">
        <v>3502</v>
      </c>
    </row>
    <row r="120">
      <c r="A120" s="18" t="inlineStr">
        <is>
          <t>미지급법인세</t>
        </is>
      </c>
      <c r="C120" s="20" t="n">
        <v>1603</v>
      </c>
      <c r="D120" s="20" t="n">
        <v>1903</v>
      </c>
      <c r="E120" s="20" t="n">
        <v>1165</v>
      </c>
      <c r="F120" s="20" t="n">
        <v>6343</v>
      </c>
      <c r="G120" s="20" t="n">
        <v>2072</v>
      </c>
      <c r="H120" s="20" t="n">
        <v>1543</v>
      </c>
      <c r="I120" s="20" t="n">
        <v>3262</v>
      </c>
      <c r="J120" s="20" t="n">
        <v>3216</v>
      </c>
      <c r="K120" s="20" t="n">
        <v>4768</v>
      </c>
      <c r="L120" s="20" t="n">
        <v>6343</v>
      </c>
    </row>
    <row r="121">
      <c r="A121" s="18" t="inlineStr">
        <is>
          <t>선수금</t>
        </is>
      </c>
      <c r="H121" s="20" t="n">
        <v>0</v>
      </c>
    </row>
    <row r="122">
      <c r="A122" s="18" t="inlineStr">
        <is>
          <t>계약부채</t>
        </is>
      </c>
      <c r="C122" s="20" t="n">
        <v>29679</v>
      </c>
      <c r="D122" s="20" t="n">
        <v>28354</v>
      </c>
      <c r="E122" s="20" t="n">
        <v>30199</v>
      </c>
      <c r="F122" s="20" t="n">
        <v>23294</v>
      </c>
      <c r="G122" s="20" t="n">
        <v>28801</v>
      </c>
      <c r="H122" s="20" t="n">
        <v>11819</v>
      </c>
      <c r="I122" s="20" t="n">
        <v>16534</v>
      </c>
      <c r="J122" s="20" t="n">
        <v>19461</v>
      </c>
      <c r="K122" s="20" t="n">
        <v>21559</v>
      </c>
      <c r="L122" s="20" t="n">
        <v>23294</v>
      </c>
    </row>
    <row r="123">
      <c r="A123" s="18" t="inlineStr">
        <is>
          <t>예수금</t>
        </is>
      </c>
      <c r="F123" s="20" t="n">
        <v>26366</v>
      </c>
      <c r="H123" s="20" t="n">
        <v>20875</v>
      </c>
      <c r="I123" s="20" t="n">
        <v>20603</v>
      </c>
      <c r="J123" s="20" t="n">
        <v>20306</v>
      </c>
      <c r="K123" s="20" t="n">
        <v>26908</v>
      </c>
      <c r="L123" s="20" t="n">
        <v>26366</v>
      </c>
    </row>
    <row r="124">
      <c r="A124" s="18" t="inlineStr">
        <is>
          <t>상여충당금</t>
        </is>
      </c>
      <c r="C124" s="20" t="n">
        <v>4910</v>
      </c>
      <c r="D124" s="20" t="n">
        <v>9537</v>
      </c>
      <c r="E124" s="20" t="n">
        <v>5372</v>
      </c>
      <c r="F124" s="20" t="n">
        <v>10332</v>
      </c>
      <c r="G124" s="20" t="n">
        <v>5160</v>
      </c>
      <c r="H124" s="20" t="n">
        <v>7601</v>
      </c>
      <c r="I124" s="20" t="n">
        <v>7858</v>
      </c>
      <c r="J124" s="20" t="n">
        <v>8348</v>
      </c>
      <c r="K124" s="20" t="n">
        <v>9992</v>
      </c>
      <c r="L124" s="20" t="n">
        <v>10332</v>
      </c>
    </row>
    <row r="125">
      <c r="A125" s="18" t="inlineStr">
        <is>
          <t>제품보증 충당금</t>
        </is>
      </c>
      <c r="C125" s="20" t="n">
        <v>1503</v>
      </c>
      <c r="D125" s="20" t="n">
        <v>1486</v>
      </c>
      <c r="E125" s="20" t="n">
        <v>1620</v>
      </c>
      <c r="F125" s="20" t="n">
        <v>2666</v>
      </c>
      <c r="G125" s="20" t="n">
        <v>2513</v>
      </c>
      <c r="H125" s="20" t="n">
        <v>1108</v>
      </c>
      <c r="I125" s="20" t="n">
        <v>1104</v>
      </c>
      <c r="J125" s="20" t="n">
        <v>1281</v>
      </c>
      <c r="K125" s="20" t="n">
        <v>1481</v>
      </c>
      <c r="L125" s="20" t="n">
        <v>2666</v>
      </c>
    </row>
    <row r="126">
      <c r="A126" s="18" t="inlineStr">
        <is>
          <t>수주손실 충당금</t>
        </is>
      </c>
      <c r="C126" s="20" t="n">
        <v>638</v>
      </c>
      <c r="D126" s="20" t="n">
        <v>515</v>
      </c>
      <c r="E126" s="20" t="n">
        <v>587</v>
      </c>
      <c r="F126" s="20" t="n">
        <v>531</v>
      </c>
      <c r="G126" s="20" t="n">
        <v>514</v>
      </c>
      <c r="H126" s="20" t="n">
        <v>945</v>
      </c>
      <c r="I126" s="20" t="n">
        <v>590</v>
      </c>
      <c r="J126" s="20" t="n">
        <v>833</v>
      </c>
      <c r="K126" s="20" t="n">
        <v>588</v>
      </c>
      <c r="L126" s="20" t="n">
        <v>531</v>
      </c>
    </row>
    <row r="127">
      <c r="A127" s="18" t="inlineStr">
        <is>
          <t>기타</t>
        </is>
      </c>
      <c r="C127" s="20" t="n">
        <v>18267</v>
      </c>
      <c r="D127" s="20" t="n">
        <v>15725</v>
      </c>
      <c r="E127" s="20" t="n">
        <v>19587</v>
      </c>
      <c r="F127" s="20" t="n">
        <v>20156</v>
      </c>
      <c r="G127" s="20" t="n">
        <v>19615</v>
      </c>
      <c r="H127" s="20" t="n">
        <v>18560</v>
      </c>
      <c r="I127" s="20" t="n">
        <v>17204</v>
      </c>
      <c r="J127" s="20" t="n">
        <v>18618</v>
      </c>
      <c r="K127" s="20" t="n">
        <v>20401</v>
      </c>
      <c r="L127" s="20" t="n">
        <v>20156</v>
      </c>
    </row>
    <row r="128">
      <c r="A128" s="9" t="inlineStr">
        <is>
          <t>유동부채 합계</t>
        </is>
      </c>
      <c r="C128" s="12" t="n">
        <v>103074</v>
      </c>
      <c r="D128" s="12" t="n">
        <v>104408</v>
      </c>
      <c r="E128" s="12" t="n">
        <v>121478</v>
      </c>
      <c r="F128" s="12" t="n">
        <v>126388</v>
      </c>
      <c r="G128" s="12" t="n">
        <v>111494</v>
      </c>
      <c r="H128" s="12" t="n">
        <v>104406</v>
      </c>
      <c r="I128" s="12" t="n">
        <v>118307</v>
      </c>
      <c r="J128" s="12" t="n">
        <v>124242</v>
      </c>
      <c r="K128" s="12" t="n">
        <v>118069</v>
      </c>
      <c r="L128" s="12" t="n">
        <v>126388</v>
      </c>
    </row>
    <row r="129">
      <c r="A129" s="18" t="inlineStr">
        <is>
          <t>사채</t>
        </is>
      </c>
      <c r="H129" s="20" t="n">
        <v>6000</v>
      </c>
      <c r="I129" s="20" t="n">
        <v>6000</v>
      </c>
      <c r="J129" s="20" t="n">
        <v>0</v>
      </c>
    </row>
    <row r="130">
      <c r="A130" s="18" t="inlineStr">
        <is>
          <t>장기차입금</t>
        </is>
      </c>
      <c r="C130" s="20" t="n">
        <v>26985</v>
      </c>
      <c r="D130" s="20" t="n">
        <v>24544</v>
      </c>
      <c r="E130" s="20" t="n">
        <v>24186</v>
      </c>
      <c r="F130" s="20" t="n">
        <v>23064</v>
      </c>
      <c r="G130" s="20" t="n">
        <v>22613</v>
      </c>
      <c r="H130" s="20" t="n">
        <v>25210</v>
      </c>
      <c r="I130" s="20" t="n">
        <v>20995</v>
      </c>
      <c r="J130" s="20" t="n">
        <v>28767</v>
      </c>
      <c r="K130" s="20" t="n">
        <v>27470</v>
      </c>
      <c r="L130" s="20" t="n">
        <v>23064</v>
      </c>
    </row>
    <row r="131">
      <c r="A131" s="18" t="inlineStr">
        <is>
          <t>퇴직급여충당금</t>
        </is>
      </c>
      <c r="F131" s="20" t="n">
        <v>36352</v>
      </c>
      <c r="H131" s="20" t="n">
        <v>33267</v>
      </c>
      <c r="I131" s="20" t="n">
        <v>34292</v>
      </c>
      <c r="J131" s="20" t="n">
        <v>35381</v>
      </c>
      <c r="K131" s="20" t="n">
        <v>36003</v>
      </c>
      <c r="L131" s="20" t="n">
        <v>36352</v>
      </c>
    </row>
    <row r="132">
      <c r="A132" s="18" t="inlineStr">
        <is>
          <t>Provision For Loss On Guarantees</t>
        </is>
      </c>
      <c r="F132" s="20" t="n">
        <v>1984</v>
      </c>
      <c r="K132" s="20" t="n">
        <v>0</v>
      </c>
      <c r="L132" s="20" t="n">
        <v>1984</v>
      </c>
    </row>
    <row r="133">
      <c r="A133" s="18" t="inlineStr">
        <is>
          <t>퇴직급여부채</t>
        </is>
      </c>
      <c r="C133" s="20" t="n">
        <v>48997</v>
      </c>
      <c r="D133" s="20" t="n">
        <v>49020</v>
      </c>
      <c r="E133" s="20" t="n">
        <v>49269</v>
      </c>
      <c r="F133" s="20" t="n">
        <v>40807</v>
      </c>
      <c r="G133" s="20" t="n">
        <v>41163</v>
      </c>
      <c r="H133" s="20" t="n">
        <v>44808</v>
      </c>
      <c r="I133" s="20" t="n">
        <v>45995</v>
      </c>
      <c r="J133" s="20" t="n">
        <v>47445</v>
      </c>
      <c r="K133" s="20" t="n">
        <v>48579</v>
      </c>
      <c r="L133" s="20" t="n">
        <v>40807</v>
      </c>
    </row>
    <row r="134">
      <c r="A134" s="18" t="inlineStr">
        <is>
          <t>환경대책 충당금</t>
        </is>
      </c>
      <c r="C134" s="20" t="n">
        <v>77</v>
      </c>
      <c r="D134" s="20" t="n">
        <v>52</v>
      </c>
      <c r="E134" s="20" t="n">
        <v>37</v>
      </c>
      <c r="F134" s="20" t="n">
        <v>32</v>
      </c>
      <c r="G134" s="20" t="n">
        <v>29</v>
      </c>
      <c r="H134" s="20" t="n">
        <v>406</v>
      </c>
      <c r="I134" s="20" t="n">
        <v>313</v>
      </c>
      <c r="J134" s="20" t="n">
        <v>63</v>
      </c>
      <c r="K134" s="20" t="n">
        <v>79</v>
      </c>
      <c r="L134" s="20" t="n">
        <v>32</v>
      </c>
    </row>
    <row r="135">
      <c r="A135" s="18" t="inlineStr">
        <is>
          <t>기타</t>
        </is>
      </c>
      <c r="C135" s="20" t="n">
        <v>4991</v>
      </c>
      <c r="D135" s="20" t="n">
        <v>4982</v>
      </c>
      <c r="E135" s="20" t="n">
        <v>5043</v>
      </c>
      <c r="F135" s="20" t="n">
        <v>4844</v>
      </c>
      <c r="G135" s="20" t="n">
        <v>4847</v>
      </c>
      <c r="H135" s="20" t="n">
        <v>4645</v>
      </c>
      <c r="I135" s="20" t="n">
        <v>4897</v>
      </c>
      <c r="J135" s="20" t="n">
        <v>4780</v>
      </c>
      <c r="K135" s="20" t="n">
        <v>4935</v>
      </c>
      <c r="L135" s="20" t="n">
        <v>4844</v>
      </c>
    </row>
    <row r="136">
      <c r="A136" s="9" t="inlineStr">
        <is>
          <t>비유동부채 합계</t>
        </is>
      </c>
      <c r="C136" s="12" t="n">
        <v>81052</v>
      </c>
      <c r="D136" s="12" t="n">
        <v>78600</v>
      </c>
      <c r="E136" s="12" t="n">
        <v>78536</v>
      </c>
      <c r="F136" s="12" t="n">
        <v>68747</v>
      </c>
      <c r="G136" s="12" t="n">
        <v>68653</v>
      </c>
      <c r="H136" s="12" t="n">
        <v>81070</v>
      </c>
      <c r="I136" s="12" t="n">
        <v>78202</v>
      </c>
      <c r="J136" s="12" t="n">
        <v>81056</v>
      </c>
      <c r="K136" s="12" t="n">
        <v>81064</v>
      </c>
      <c r="L136" s="12" t="n">
        <v>68747</v>
      </c>
    </row>
    <row r="137">
      <c r="A137" s="9" t="inlineStr">
        <is>
          <t>부채 합계</t>
        </is>
      </c>
      <c r="C137" s="12" t="n">
        <v>184126</v>
      </c>
      <c r="D137" s="12" t="n">
        <v>183008</v>
      </c>
      <c r="E137" s="12" t="n">
        <v>200015</v>
      </c>
      <c r="F137" s="12" t="n">
        <v>195136</v>
      </c>
      <c r="G137" s="12" t="n">
        <v>180147</v>
      </c>
      <c r="H137" s="12" t="n">
        <v>185477</v>
      </c>
      <c r="I137" s="12" t="n">
        <v>196509</v>
      </c>
      <c r="J137" s="12" t="n">
        <v>205298</v>
      </c>
      <c r="K137" s="12" t="n">
        <v>199134</v>
      </c>
      <c r="L137" s="12" t="n">
        <v>195136</v>
      </c>
    </row>
    <row r="138">
      <c r="A138" s="18" t="inlineStr">
        <is>
          <t>자본금</t>
        </is>
      </c>
      <c r="C138" s="20" t="n">
        <v>17070</v>
      </c>
      <c r="D138" s="20" t="n">
        <v>17070</v>
      </c>
      <c r="E138" s="20" t="n">
        <v>17070</v>
      </c>
      <c r="F138" s="20" t="n">
        <v>17070</v>
      </c>
      <c r="G138" s="20" t="n">
        <v>17070</v>
      </c>
      <c r="H138" s="20" t="n">
        <v>17070</v>
      </c>
      <c r="I138" s="20" t="n">
        <v>17070</v>
      </c>
      <c r="J138" s="20" t="n">
        <v>17070</v>
      </c>
      <c r="K138" s="20" t="n">
        <v>17070</v>
      </c>
      <c r="L138" s="20" t="n">
        <v>17070</v>
      </c>
    </row>
    <row r="139">
      <c r="A139" s="18" t="inlineStr">
        <is>
          <t>자본준비금</t>
        </is>
      </c>
      <c r="F139" s="20" t="n">
        <v>5000</v>
      </c>
      <c r="H139" s="20" t="n">
        <v>5000</v>
      </c>
      <c r="I139" s="20" t="n">
        <v>5000</v>
      </c>
      <c r="J139" s="20" t="n">
        <v>5000</v>
      </c>
      <c r="K139" s="20" t="n">
        <v>5000</v>
      </c>
      <c r="L139" s="20" t="n">
        <v>5000</v>
      </c>
    </row>
    <row r="140">
      <c r="A140" s="18" t="inlineStr">
        <is>
          <t>기타자본잉여금</t>
        </is>
      </c>
      <c r="F140" s="20" t="n">
        <v>4381</v>
      </c>
      <c r="H140" s="20" t="n">
        <v>4381</v>
      </c>
      <c r="I140" s="20" t="n">
        <v>4381</v>
      </c>
      <c r="J140" s="20" t="n">
        <v>4381</v>
      </c>
      <c r="K140" s="20" t="n">
        <v>4381</v>
      </c>
      <c r="L140" s="20" t="n">
        <v>4381</v>
      </c>
    </row>
    <row r="141">
      <c r="A141" s="18" t="inlineStr">
        <is>
          <t>자본잉여금</t>
        </is>
      </c>
      <c r="C141" s="20" t="n">
        <v>10226</v>
      </c>
      <c r="D141" s="20" t="n">
        <v>10226</v>
      </c>
      <c r="E141" s="20" t="n">
        <v>10226</v>
      </c>
      <c r="F141" s="20" t="n">
        <v>10140</v>
      </c>
      <c r="G141" s="20" t="n">
        <v>10140</v>
      </c>
      <c r="H141" s="20" t="n">
        <v>10474</v>
      </c>
      <c r="I141" s="20" t="n">
        <v>10211</v>
      </c>
      <c r="J141" s="20" t="n">
        <v>10226</v>
      </c>
      <c r="K141" s="20" t="n">
        <v>10226</v>
      </c>
      <c r="L141" s="20" t="n">
        <v>10140</v>
      </c>
    </row>
    <row r="142">
      <c r="A142" s="18" t="inlineStr">
        <is>
          <t>이익준비금</t>
        </is>
      </c>
      <c r="F142" s="20" t="n">
        <v>3296</v>
      </c>
      <c r="H142" s="20" t="n">
        <v>3296</v>
      </c>
      <c r="I142" s="20" t="n">
        <v>3296</v>
      </c>
      <c r="J142" s="20" t="n">
        <v>3296</v>
      </c>
      <c r="K142" s="20" t="n">
        <v>3296</v>
      </c>
      <c r="L142" s="20" t="n">
        <v>3296</v>
      </c>
    </row>
    <row r="143">
      <c r="A143" s="18" t="inlineStr">
        <is>
          <t>고정자산 압축적립금</t>
        </is>
      </c>
      <c r="F143" s="20" t="n">
        <v>136</v>
      </c>
      <c r="H143" s="20" t="n">
        <v>139</v>
      </c>
      <c r="I143" s="20" t="n">
        <v>139</v>
      </c>
      <c r="J143" s="20" t="n">
        <v>139</v>
      </c>
      <c r="K143" s="20" t="n">
        <v>136</v>
      </c>
      <c r="L143" s="20" t="n">
        <v>136</v>
      </c>
    </row>
    <row r="144">
      <c r="A144" s="18" t="inlineStr">
        <is>
          <t>별도적립금</t>
        </is>
      </c>
      <c r="F144" s="20" t="n">
        <v>8263</v>
      </c>
      <c r="H144" s="20" t="n">
        <v>8263</v>
      </c>
      <c r="I144" s="20" t="n">
        <v>8263</v>
      </c>
      <c r="J144" s="20" t="n">
        <v>8263</v>
      </c>
      <c r="K144" s="20" t="n">
        <v>8263</v>
      </c>
      <c r="L144" s="20" t="n">
        <v>8263</v>
      </c>
    </row>
    <row r="145">
      <c r="A145" s="18" t="inlineStr">
        <is>
          <t>이월이익잉여금</t>
        </is>
      </c>
      <c r="F145" s="20" t="n">
        <v>54809</v>
      </c>
      <c r="H145" s="20" t="n">
        <v>36336</v>
      </c>
      <c r="I145" s="20" t="n">
        <v>38449</v>
      </c>
      <c r="J145" s="20" t="n">
        <v>43021</v>
      </c>
      <c r="K145" s="20" t="n">
        <v>46822</v>
      </c>
      <c r="L145" s="20" t="n">
        <v>54809</v>
      </c>
    </row>
    <row r="146">
      <c r="A146" s="18" t="inlineStr">
        <is>
          <t>이익잉여금</t>
        </is>
      </c>
      <c r="C146" s="20" t="n">
        <v>89746</v>
      </c>
      <c r="D146" s="20" t="n">
        <v>91307</v>
      </c>
      <c r="E146" s="20" t="n">
        <v>96785</v>
      </c>
      <c r="F146" s="20" t="n">
        <v>110774</v>
      </c>
      <c r="G146" s="20" t="n">
        <v>110843</v>
      </c>
      <c r="H146" s="20" t="n">
        <v>64844</v>
      </c>
      <c r="I146" s="20" t="n">
        <v>69568</v>
      </c>
      <c r="J146" s="20" t="n">
        <v>78642</v>
      </c>
      <c r="K146" s="20" t="n">
        <v>93273</v>
      </c>
      <c r="L146" s="20" t="n">
        <v>110774</v>
      </c>
    </row>
    <row r="147">
      <c r="A147" s="18" t="inlineStr">
        <is>
          <t>자기주식</t>
        </is>
      </c>
      <c r="C147" s="20" t="n">
        <v>-203</v>
      </c>
      <c r="D147" s="20" t="n">
        <v>-205</v>
      </c>
      <c r="E147" s="20" t="n">
        <v>-207</v>
      </c>
      <c r="F147" s="20" t="n">
        <v>-210</v>
      </c>
      <c r="G147" s="20" t="n">
        <v>-212</v>
      </c>
      <c r="H147" s="20" t="n">
        <v>-192</v>
      </c>
      <c r="I147" s="20" t="n">
        <v>-194</v>
      </c>
      <c r="J147" s="20" t="n">
        <v>-197</v>
      </c>
      <c r="K147" s="20" t="n">
        <v>-202</v>
      </c>
      <c r="L147" s="20" t="n">
        <v>-210</v>
      </c>
    </row>
    <row r="148">
      <c r="A148" s="9" t="inlineStr">
        <is>
          <t>주주자본 합계</t>
        </is>
      </c>
      <c r="C148" s="12" t="n">
        <v>116840</v>
      </c>
      <c r="D148" s="12" t="n">
        <v>118399</v>
      </c>
      <c r="E148" s="12" t="n">
        <v>123875</v>
      </c>
      <c r="F148" s="12" t="n">
        <v>137774</v>
      </c>
      <c r="G148" s="12" t="n">
        <v>137842</v>
      </c>
      <c r="H148" s="12" t="n">
        <v>92196</v>
      </c>
      <c r="I148" s="12" t="n">
        <v>96656</v>
      </c>
      <c r="J148" s="12" t="n">
        <v>105741</v>
      </c>
      <c r="K148" s="12" t="n">
        <v>120367</v>
      </c>
      <c r="L148" s="12" t="n">
        <v>137774</v>
      </c>
    </row>
    <row r="149">
      <c r="A149" s="18" t="inlineStr">
        <is>
          <t>기타유가증권 평가차액</t>
        </is>
      </c>
      <c r="C149" s="20" t="n">
        <v>12683</v>
      </c>
      <c r="D149" s="20" t="n">
        <v>15813</v>
      </c>
      <c r="E149" s="20" t="n">
        <v>19133</v>
      </c>
      <c r="F149" s="20" t="n">
        <v>20480</v>
      </c>
      <c r="G149" s="20" t="n">
        <v>22164</v>
      </c>
      <c r="H149" s="20" t="n">
        <v>6826</v>
      </c>
      <c r="I149" s="20" t="n">
        <v>6524</v>
      </c>
      <c r="J149" s="20" t="n">
        <v>13297</v>
      </c>
      <c r="K149" s="20" t="n">
        <v>11081</v>
      </c>
      <c r="L149" s="20" t="n">
        <v>20480</v>
      </c>
    </row>
    <row r="150">
      <c r="A150" s="18" t="inlineStr">
        <is>
          <t>이연헤지손익</t>
        </is>
      </c>
      <c r="H150" s="20" t="n">
        <v>5</v>
      </c>
      <c r="I150" s="20" t="n">
        <v>5</v>
      </c>
      <c r="J150" s="20" t="n">
        <v>0</v>
      </c>
    </row>
    <row r="151">
      <c r="A151" s="18" t="inlineStr">
        <is>
          <t>해외사업환산조정</t>
        </is>
      </c>
      <c r="C151" s="20" t="n">
        <v>7515</v>
      </c>
      <c r="D151" s="20" t="n">
        <v>8330</v>
      </c>
      <c r="E151" s="20" t="n">
        <v>10195</v>
      </c>
      <c r="F151" s="20" t="n">
        <v>10810</v>
      </c>
      <c r="G151" s="20" t="n">
        <v>11538</v>
      </c>
      <c r="H151" s="20" t="n">
        <v>3711</v>
      </c>
      <c r="I151" s="20" t="n">
        <v>5103</v>
      </c>
      <c r="J151" s="20" t="n">
        <v>7610</v>
      </c>
      <c r="K151" s="20" t="n">
        <v>7441</v>
      </c>
      <c r="L151" s="20" t="n">
        <v>10810</v>
      </c>
    </row>
    <row r="152">
      <c r="A152" s="18" t="inlineStr">
        <is>
          <t>퇴직급여 조정누계액</t>
        </is>
      </c>
      <c r="C152" s="20" t="n">
        <v>-61</v>
      </c>
      <c r="D152" s="20" t="n">
        <v>-10</v>
      </c>
      <c r="E152" s="20" t="n">
        <v>40</v>
      </c>
      <c r="F152" s="20" t="n">
        <v>5823</v>
      </c>
      <c r="G152" s="20" t="n">
        <v>5770</v>
      </c>
      <c r="H152" s="20" t="n">
        <v>-774</v>
      </c>
      <c r="I152" s="20" t="n">
        <v>-392</v>
      </c>
      <c r="J152" s="20" t="n">
        <v>-241</v>
      </c>
      <c r="K152" s="20" t="n">
        <v>-112</v>
      </c>
      <c r="L152" s="20" t="n">
        <v>5823</v>
      </c>
    </row>
    <row r="153">
      <c r="A153" s="18" t="inlineStr">
        <is>
          <t>기타포괄손익누계액 합계</t>
        </is>
      </c>
      <c r="C153" s="20" t="n">
        <v>20137</v>
      </c>
      <c r="D153" s="20" t="n">
        <v>24133</v>
      </c>
      <c r="E153" s="20" t="n">
        <v>29369</v>
      </c>
      <c r="F153" s="20" t="n">
        <v>37114</v>
      </c>
      <c r="G153" s="20" t="n">
        <v>39473</v>
      </c>
      <c r="H153" s="20" t="n">
        <v>9769</v>
      </c>
      <c r="I153" s="20" t="n">
        <v>11241</v>
      </c>
      <c r="J153" s="20" t="n">
        <v>20665</v>
      </c>
      <c r="K153" s="20" t="n">
        <v>18409</v>
      </c>
      <c r="L153" s="20" t="n">
        <v>37114</v>
      </c>
    </row>
    <row r="154">
      <c r="A154" s="18" t="inlineStr">
        <is>
          <t>비지배지분</t>
        </is>
      </c>
      <c r="C154" s="20" t="n">
        <v>3391</v>
      </c>
      <c r="D154" s="20" t="n">
        <v>3450</v>
      </c>
      <c r="E154" s="20" t="n">
        <v>3456</v>
      </c>
      <c r="F154" s="20" t="n">
        <v>3642</v>
      </c>
      <c r="G154" s="20" t="n">
        <v>3605</v>
      </c>
      <c r="H154" s="20" t="n">
        <v>3455</v>
      </c>
      <c r="I154" s="20" t="n">
        <v>2983</v>
      </c>
      <c r="J154" s="20" t="n">
        <v>3081</v>
      </c>
      <c r="K154" s="20" t="n">
        <v>3435</v>
      </c>
      <c r="L154" s="20" t="n">
        <v>3642</v>
      </c>
    </row>
    <row r="155">
      <c r="A155" s="9" t="inlineStr">
        <is>
          <t>순자산 합계</t>
        </is>
      </c>
      <c r="C155" s="12" t="n">
        <v>140368</v>
      </c>
      <c r="D155" s="12" t="n">
        <v>145982</v>
      </c>
      <c r="E155" s="12" t="n">
        <v>156701</v>
      </c>
      <c r="F155" s="12" t="n">
        <v>178531</v>
      </c>
      <c r="G155" s="12" t="n">
        <v>180920</v>
      </c>
      <c r="H155" s="12" t="n">
        <v>105421</v>
      </c>
      <c r="I155" s="12" t="n">
        <v>110881</v>
      </c>
      <c r="J155" s="12" t="n">
        <v>129488</v>
      </c>
      <c r="K155" s="12" t="n">
        <v>142212</v>
      </c>
      <c r="L155" s="12" t="n">
        <v>178531</v>
      </c>
    </row>
    <row r="156">
      <c r="A156" s="9" t="inlineStr">
        <is>
          <t>부채·순자산 합계</t>
        </is>
      </c>
      <c r="C156" s="12" t="n">
        <v>324495</v>
      </c>
      <c r="D156" s="12" t="n">
        <v>328991</v>
      </c>
      <c r="E156" s="12" t="n">
        <v>356717</v>
      </c>
      <c r="F156" s="12" t="n">
        <v>373668</v>
      </c>
      <c r="G156" s="12" t="n">
        <v>361068</v>
      </c>
      <c r="H156" s="12" t="n">
        <v>290899</v>
      </c>
      <c r="I156" s="12" t="n">
        <v>307390</v>
      </c>
      <c r="J156" s="12" t="n">
        <v>334787</v>
      </c>
      <c r="K156" s="12" t="n">
        <v>341347</v>
      </c>
      <c r="L156" s="12" t="n">
        <v>373668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１분기 결산단신</t>
        </is>
      </c>
      <c r="C4" t="inlineStr">
        <is>
          <t>https://www2.jpx.co.jp/disc/65080/140120260730503916.pdf</t>
        </is>
      </c>
    </row>
    <row r="5">
      <c r="A5" t="inlineStr">
        <is>
          <t>2026-05-14</t>
        </is>
      </c>
      <c r="B5" t="inlineStr">
        <is>
          <t>2026년 3월 결산기 연간 결산단신</t>
        </is>
      </c>
      <c r="C5" t="inlineStr">
        <is>
          <t>https://www2.jpx.co.jp/disc/65080/140120260513530176.pdf</t>
        </is>
      </c>
    </row>
    <row r="6">
      <c r="A6" t="inlineStr">
        <is>
          <t>2026-01-30</t>
        </is>
      </c>
      <c r="B6" t="inlineStr">
        <is>
          <t>2026년 3월 결산기 ３분기 결산단신</t>
        </is>
      </c>
      <c r="C6" t="inlineStr">
        <is>
          <t>https://www2.jpx.co.jp/disc/65080/140120260129542260.pdf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https://www2.jpx.co.jp/disc/65080/140120251029581933.pdf</t>
        </is>
      </c>
    </row>
    <row r="8">
      <c r="A8" t="inlineStr">
        <is>
          <t>2025-07-31</t>
        </is>
      </c>
      <c r="B8" t="inlineStr">
        <is>
          <t>2026년 3월 결산기 １분기 결산단신</t>
        </is>
      </c>
      <c r="C8" t="inlineStr">
        <is>
          <t>https://www2.jpx.co.jp/disc/65080/140120250730524711.pdf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https://www2.jpx.co.jp/disc/65080/140120250512543228.pdf</t>
        </is>
      </c>
    </row>
    <row r="10">
      <c r="A10" t="inlineStr">
        <is>
          <t>2025-01-31</t>
        </is>
      </c>
      <c r="B10" t="inlineStr">
        <is>
          <t>2025년 3월 결산기 3분기 결산단신</t>
        </is>
      </c>
      <c r="C10" t="inlineStr">
        <is>
          <t>https://www2.jpx.co.jp/disc/65080/140120250130558966.pdf</t>
        </is>
      </c>
    </row>
    <row r="11">
      <c r="A11" t="inlineStr">
        <is>
          <t>2024-10-28</t>
        </is>
      </c>
      <c r="B11" t="inlineStr">
        <is>
          <t>2025년 3월 결산기 2분기 결산단신</t>
        </is>
      </c>
      <c r="C11" t="inlineStr">
        <is>
          <t>https://www2.jpx.co.jp/disc/65080/140120241025503090.pdf</t>
        </is>
      </c>
    </row>
    <row r="12">
      <c r="A12" t="inlineStr">
        <is>
          <t>2024-07-31</t>
        </is>
      </c>
      <c r="B12" t="inlineStr">
        <is>
          <t>2025년 3월 결산기 １분기 결산단신</t>
        </is>
      </c>
      <c r="C12" t="inlineStr">
        <is>
          <t>https://www2.jpx.co.jp/disc/65080/140120240730557620.pdf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https://www2.jpx.co.jp/disc/65080/140120240509585464.pdf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https://www2.jpx.co.jp/disc/65080/140120240131522574.pdf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https://www2.jpx.co.jp/disc/65080/140120231027573101.pdf</t>
        </is>
      </c>
    </row>
    <row r="16">
      <c r="A16" t="inlineStr">
        <is>
          <t>2023-07-28</t>
        </is>
      </c>
      <c r="B16" t="inlineStr">
        <is>
          <t>2024년 3월 결산기 １분기 결산단신</t>
        </is>
      </c>
      <c r="C16" t="inlineStr">
        <is>
          <t>https://www2.jpx.co.jp/disc/65080/140120230728528765.pdf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https://www2.jpx.co.jp/disc/65080/140120230512569322.pdf</t>
        </is>
      </c>
    </row>
    <row r="18">
      <c r="A18" t="inlineStr">
        <is>
          <t>2023-01-31</t>
        </is>
      </c>
      <c r="B18" t="inlineStr">
        <is>
          <t>2023년 3월 결산기 ３분기 결산단신</t>
        </is>
      </c>
      <c r="C18" t="inlineStr">
        <is>
          <t>https://www2.jpx.co.jp/disc/65080/140120230131597121.pdf</t>
        </is>
      </c>
    </row>
    <row r="19">
      <c r="A19" t="inlineStr">
        <is>
          <t>2022-10-31</t>
        </is>
      </c>
      <c r="B19" t="inlineStr">
        <is>
          <t>2023년 3월 결산기 ２분기 결산단신</t>
        </is>
      </c>
      <c r="C19" t="inlineStr">
        <is>
          <t>https://www2.jpx.co.jp/disc/65080/140120221031553156.pdf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https://www2.jpx.co.jp/disc/65080/140120220513546776.pdf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https://www2.jpx.co.jp/disc/65080/140120210513416333.pdf</t>
        </is>
      </c>
    </row>
    <row r="22">
      <c r="A22" t="inlineStr">
        <is>
          <t>2020-05-13</t>
        </is>
      </c>
      <c r="B22" t="inlineStr">
        <is>
          <t>연간 결산단신</t>
        </is>
      </c>
      <c r="C22" t="inlineStr">
        <is>
          <t>https://www2.jpx.co.jp/disc/65080/140120200513412214.pdf</t>
        </is>
      </c>
    </row>
    <row r="23">
      <c r="A23" t="inlineStr">
        <is>
          <t>2019-05-14</t>
        </is>
      </c>
      <c r="B23" t="inlineStr">
        <is>
          <t>연간 결산단신</t>
        </is>
      </c>
      <c r="C23" t="inlineStr">
        <is>
          <t>https://www2.jpx.co.jp/disc/65080/140120190514425103.pdf</t>
        </is>
      </c>
    </row>
    <row r="24">
      <c r="A24" t="inlineStr">
        <is>
          <t>2018-05-14</t>
        </is>
      </c>
      <c r="B24" t="inlineStr">
        <is>
          <t>연간 결산단신</t>
        </is>
      </c>
      <c r="C24" t="inlineStr">
        <is>
          <t>https://www2.jpx.co.jp/disc/65080/140120180509431923.pdf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2026-10-28T07:04:24Z</dcterms:created>
  <dcterms:modified xmlns:dcterms="http://purl.org/dc/terms/" xmlns:xsi="http://www.w3.org/2001/XMLSchema-instance" xsi:type="dcterms:W3CDTF">2026-10-28T07:04:24Z</dcterms:modified>
</cp:coreProperties>
</file>