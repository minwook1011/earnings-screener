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계산서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현금흐름표" sheetId="3" state="visible" r:id="rId3"/>
    <sheet xmlns:r="http://schemas.openxmlformats.org/officeDocument/2006/relationships" name="출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\(#,##0.0\);&quot;-&quot;"/>
    <numFmt numFmtId="165" formatCode="0.0%;\-0.0%;&quot;-&quot;"/>
  </numFmts>
  <fonts count="8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color rgb="FFFF0000"/>
      <sz val="9"/>
    </font>
    <font>
      <name val="맑은 고딕"/>
      <color rgb="FF808080"/>
      <sz val="9"/>
    </font>
    <font>
      <name val="맑은 고딕"/>
      <b val="1"/>
      <sz val="10"/>
    </font>
    <font>
      <name val="맑은 고딕"/>
      <b val="1"/>
      <sz val="11"/>
    </font>
    <font>
      <name val="맑은 고딕"/>
      <color rgb="FF808080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center" vertical="center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40" customWidth="1" min="13" max="13"/>
  </cols>
  <sheetData>
    <row r="1">
      <c r="A1" s="1" t="inlineStr">
        <is>
          <t>446A 손익계산서</t>
        </is>
      </c>
    </row>
    <row r="2">
      <c r="A2" s="2" t="inlineStr">
        <is>
          <t>결산기 기준(27.2Q = 2027년 결산기 2분기) · 1월 결산 · 연결 · 분기 단독(누계 차분)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24.4Q</t>
        </is>
      </c>
      <c r="D3" s="4" t="inlineStr">
        <is>
          <t>25.4Q</t>
        </is>
      </c>
      <c r="E3" s="4" t="inlineStr">
        <is>
          <t>26.2Q</t>
        </is>
      </c>
      <c r="F3" s="4" t="inlineStr">
        <is>
          <t>26.3Q</t>
        </is>
      </c>
      <c r="G3" s="4" t="inlineStr">
        <is>
          <t>26.4Q</t>
        </is>
      </c>
      <c r="H3" s="4" t="inlineStr">
        <is>
          <t>27.1Q</t>
        </is>
      </c>
      <c r="I3" s="4" t="inlineStr">
        <is>
          <t>27.2Q</t>
        </is>
      </c>
      <c r="J3" s="4" t="inlineStr">
        <is>
          <t>FY24</t>
        </is>
      </c>
      <c r="K3" s="4" t="inlineStr">
        <is>
          <t>FY25</t>
        </is>
      </c>
      <c r="L3" s="4" t="inlineStr">
        <is>
          <t>FY26</t>
        </is>
      </c>
      <c r="M3" s="4" t="inlineStr">
        <is>
          <t>출처</t>
        </is>
      </c>
    </row>
    <row r="4">
      <c r="A4" s="5" t="inlineStr">
        <is>
          <t>매출액</t>
        </is>
      </c>
      <c r="F4" s="6" t="n">
        <v>68.47</v>
      </c>
      <c r="G4" s="6" t="n">
        <v>78.23999999999999</v>
      </c>
      <c r="H4" s="6" t="n">
        <v>88.56</v>
      </c>
      <c r="I4" s="6" t="n">
        <v>95.89</v>
      </c>
      <c r="K4" s="6" t="n">
        <v>164.17</v>
      </c>
      <c r="L4" s="6" t="n">
        <v>261.85</v>
      </c>
      <c r="M4" s="7" t="inlineStr">
        <is>
          <t>결산단신 XBRL(거래소 공시, TDnet·JPX 보관소). 쓴 문서: 2026-09-11, 2026-06-11, 2026-03-13, 2025-12-12 — '출처' 시트에 전부</t>
        </is>
      </c>
    </row>
    <row r="5">
      <c r="A5" s="8" t="inlineStr">
        <is>
          <t>YoY</t>
        </is>
      </c>
      <c r="G5" s="9">
        <f>IF(OR(G4="",C4=""),"",IFERROR(G4/C4-1,""))</f>
        <v/>
      </c>
      <c r="H5" s="9">
        <f>IF(OR(H4="",D4=""),"",IFERROR(H4/D4-1,""))</f>
        <v/>
      </c>
      <c r="I5" s="9">
        <f>IF(OR(I4="",E4=""),"",IFERROR(I4/E4-1,""))</f>
        <v/>
      </c>
      <c r="K5" s="9">
        <f>IF(OR(K4="",J4=""),"",IFERROR(K4/J4-1,""))</f>
        <v/>
      </c>
      <c r="L5" s="9">
        <f>IF(OR(L4="",K4=""),"",IFERROR(L4/K4-1,""))</f>
        <v/>
      </c>
    </row>
    <row r="6">
      <c r="A6" s="5" t="inlineStr">
        <is>
          <t>매출원가</t>
        </is>
      </c>
      <c r="F6" s="6" t="n">
        <v>35.56</v>
      </c>
      <c r="G6" s="6" t="n">
        <v>38.91</v>
      </c>
      <c r="H6" s="6" t="n">
        <v>44.52</v>
      </c>
      <c r="I6" s="6" t="n">
        <v>50.84</v>
      </c>
      <c r="K6" s="6" t="n">
        <v>87.93000000000001</v>
      </c>
      <c r="L6" s="6" t="n">
        <v>134.03</v>
      </c>
    </row>
    <row r="7">
      <c r="A7" s="5" t="inlineStr">
        <is>
          <t>매출총이익</t>
        </is>
      </c>
      <c r="F7" s="6" t="n">
        <v>32.9</v>
      </c>
      <c r="G7" s="6" t="n">
        <v>39.33</v>
      </c>
      <c r="H7" s="6" t="n">
        <v>44.04</v>
      </c>
      <c r="I7" s="6" t="n">
        <v>45.05</v>
      </c>
      <c r="K7" s="6" t="n">
        <v>76.23</v>
      </c>
      <c r="L7" s="6" t="n">
        <v>127.81</v>
      </c>
    </row>
    <row r="8">
      <c r="A8" s="8" t="inlineStr">
        <is>
          <t>매출총이익률</t>
        </is>
      </c>
      <c r="C8" s="9">
        <f>IF(OR(C7="",C4=""),"",IFERROR(C7/C4,""))</f>
        <v/>
      </c>
      <c r="D8" s="9">
        <f>IF(OR(D7="",D4=""),"",IFERROR(D7/D4,""))</f>
        <v/>
      </c>
      <c r="E8" s="9">
        <f>IF(OR(E7="",E4=""),"",IFERROR(E7/E4,""))</f>
        <v/>
      </c>
      <c r="F8" s="9">
        <f>IF(OR(F7="",F4=""),"",IFERROR(F7/F4,""))</f>
        <v/>
      </c>
      <c r="G8" s="9">
        <f>IF(OR(G7="",G4=""),"",IFERROR(G7/G4,""))</f>
        <v/>
      </c>
      <c r="H8" s="9">
        <f>IF(OR(H7="",H4=""),"",IFERROR(H7/H4,""))</f>
        <v/>
      </c>
      <c r="I8" s="9">
        <f>IF(OR(I7="",I4=""),"",IFERROR(I7/I4,""))</f>
        <v/>
      </c>
      <c r="J8" s="9">
        <f>IF(OR(J7="",J4=""),"",IFERROR(J7/J4,""))</f>
        <v/>
      </c>
      <c r="K8" s="9">
        <f>IF(OR(K7="",K4=""),"",IFERROR(K7/K4,""))</f>
        <v/>
      </c>
      <c r="L8" s="9">
        <f>IF(OR(L7="",L4=""),"",IFERROR(L7/L4,""))</f>
        <v/>
      </c>
    </row>
    <row r="9">
      <c r="A9" s="10" t="inlineStr">
        <is>
          <t>급여·수당</t>
        </is>
      </c>
      <c r="K9" s="11" t="n">
        <v>10.88</v>
      </c>
      <c r="L9" s="11" t="n">
        <v>19.16</v>
      </c>
    </row>
    <row r="10">
      <c r="A10" s="10" t="inlineStr">
        <is>
          <t>채용·교육비</t>
        </is>
      </c>
      <c r="K10" s="11" t="n">
        <v>11.65</v>
      </c>
      <c r="L10" s="11" t="n">
        <v>18.55</v>
      </c>
    </row>
    <row r="11">
      <c r="A11" s="10" t="inlineStr">
        <is>
          <t>대손충당금 전입</t>
        </is>
      </c>
      <c r="K11" s="11" t="n">
        <v>0.01</v>
      </c>
      <c r="L11" s="11" t="n">
        <v>0.02</v>
      </c>
    </row>
    <row r="12">
      <c r="A12" s="10" t="inlineStr">
        <is>
          <t>상여충당금 전입</t>
        </is>
      </c>
      <c r="K12" s="11" t="n">
        <v>0</v>
      </c>
      <c r="L12" s="11" t="n">
        <v>0.13</v>
      </c>
    </row>
    <row r="13">
      <c r="A13" s="10" t="inlineStr">
        <is>
          <t>감가상각비</t>
        </is>
      </c>
      <c r="K13" s="11" t="n">
        <v>0.63</v>
      </c>
      <c r="L13" s="11" t="n">
        <v>1.34</v>
      </c>
    </row>
    <row r="14">
      <c r="A14" s="10" t="inlineStr">
        <is>
          <t>기타</t>
        </is>
      </c>
      <c r="K14" s="11" t="n">
        <v>25.3</v>
      </c>
      <c r="L14" s="11" t="n">
        <v>33.12</v>
      </c>
    </row>
    <row r="15">
      <c r="A15" s="10" t="inlineStr">
        <is>
          <t>판매비와 관리비</t>
        </is>
      </c>
      <c r="F15" s="11" t="n">
        <v>18.08</v>
      </c>
      <c r="G15" s="11" t="n">
        <v>21.01</v>
      </c>
      <c r="H15" s="11" t="n">
        <v>25.95</v>
      </c>
      <c r="I15" s="11" t="n">
        <v>25.48</v>
      </c>
      <c r="K15" s="11" t="n">
        <v>48.49</v>
      </c>
      <c r="L15" s="11" t="n">
        <v>72.34</v>
      </c>
    </row>
    <row r="16">
      <c r="A16" s="5" t="inlineStr">
        <is>
          <t>영업이익</t>
        </is>
      </c>
      <c r="F16" s="6" t="n">
        <v>14.82</v>
      </c>
      <c r="G16" s="6" t="n">
        <v>18.32</v>
      </c>
      <c r="H16" s="6" t="n">
        <v>18.09</v>
      </c>
      <c r="I16" s="6" t="n">
        <v>19.57</v>
      </c>
      <c r="K16" s="6" t="n">
        <v>27.74</v>
      </c>
      <c r="L16" s="6" t="n">
        <v>55.47</v>
      </c>
    </row>
    <row r="17">
      <c r="A17" s="8" t="inlineStr">
        <is>
          <t>영업이익률</t>
        </is>
      </c>
      <c r="C17" s="9">
        <f>IF(OR(C16="",C4=""),"",IFERROR(C16/C4,""))</f>
        <v/>
      </c>
      <c r="D17" s="9">
        <f>IF(OR(D16="",D4=""),"",IFERROR(D16/D4,""))</f>
        <v/>
      </c>
      <c r="E17" s="9">
        <f>IF(OR(E16="",E4=""),"",IFERROR(E16/E4,""))</f>
        <v/>
      </c>
      <c r="F17" s="9">
        <f>IF(OR(F16="",F4=""),"",IFERROR(F16/F4,""))</f>
        <v/>
      </c>
      <c r="G17" s="9">
        <f>IF(OR(G16="",G4=""),"",IFERROR(G16/G4,""))</f>
        <v/>
      </c>
      <c r="H17" s="9">
        <f>IF(OR(H16="",H4=""),"",IFERROR(H16/H4,""))</f>
        <v/>
      </c>
      <c r="I17" s="9">
        <f>IF(OR(I16="",I4=""),"",IFERROR(I16/I4,""))</f>
        <v/>
      </c>
      <c r="J17" s="9">
        <f>IF(OR(J16="",J4=""),"",IFERROR(J16/J4,""))</f>
        <v/>
      </c>
      <c r="K17" s="9">
        <f>IF(OR(K16="",K4=""),"",IFERROR(K16/K4,""))</f>
        <v/>
      </c>
      <c r="L17" s="9">
        <f>IF(OR(L16="",L4=""),"",IFERROR(L16/L4,""))</f>
        <v/>
      </c>
    </row>
    <row r="18">
      <c r="A18" s="8" t="inlineStr">
        <is>
          <t>YoY</t>
        </is>
      </c>
      <c r="G18" s="9">
        <f>IF(OR(G16="",C16=""),"",IFERROR(G16/C16-1,""))</f>
        <v/>
      </c>
      <c r="H18" s="9">
        <f>IF(OR(H16="",D16=""),"",IFERROR(H16/D16-1,""))</f>
        <v/>
      </c>
      <c r="I18" s="9">
        <f>IF(OR(I16="",E16=""),"",IFERROR(I16/E16-1,""))</f>
        <v/>
      </c>
      <c r="K18" s="9">
        <f>IF(OR(K16="",J16=""),"",IFERROR(K16/J16-1,""))</f>
        <v/>
      </c>
      <c r="L18" s="9">
        <f>IF(OR(L16="",K16=""),"",IFERROR(L16/K16-1,""))</f>
        <v/>
      </c>
    </row>
    <row r="19">
      <c r="A19" s="10" t="inlineStr">
        <is>
          <t>이자수익</t>
        </is>
      </c>
      <c r="F19" s="11" t="n">
        <v>0.03</v>
      </c>
      <c r="G19" s="11" t="n">
        <v>0</v>
      </c>
      <c r="H19" s="11" t="n">
        <v>0.1</v>
      </c>
      <c r="I19" s="11" t="n">
        <v>0</v>
      </c>
      <c r="K19" s="11" t="n">
        <v>0</v>
      </c>
      <c r="L19" s="11" t="n">
        <v>0.04</v>
      </c>
    </row>
    <row r="20">
      <c r="A20" s="10" t="inlineStr">
        <is>
          <t>임대료 수익</t>
        </is>
      </c>
      <c r="F20" s="11" t="n">
        <v>0.01</v>
      </c>
      <c r="G20" s="11" t="n">
        <v>0.01</v>
      </c>
      <c r="K20" s="11" t="n">
        <v>0.19</v>
      </c>
      <c r="L20" s="11" t="n">
        <v>0.07000000000000001</v>
      </c>
    </row>
    <row r="21">
      <c r="A21" s="10" t="inlineStr">
        <is>
          <t>보조금 수입</t>
        </is>
      </c>
      <c r="K21" s="11" t="n">
        <v>0.1</v>
      </c>
      <c r="L21" s="11" t="n">
        <v>0</v>
      </c>
    </row>
    <row r="22">
      <c r="A22" s="10" t="inlineStr">
        <is>
          <t>보험환급금</t>
        </is>
      </c>
      <c r="K22" s="11" t="n">
        <v>0.08</v>
      </c>
      <c r="L22" s="11" t="n">
        <v>0</v>
      </c>
    </row>
    <row r="23">
      <c r="A23" s="10" t="inlineStr">
        <is>
          <t>기타</t>
        </is>
      </c>
      <c r="F23" s="11" t="n">
        <v>0.01</v>
      </c>
      <c r="G23" s="11" t="n">
        <v>0</v>
      </c>
      <c r="H23" s="11" t="n">
        <v>0.01</v>
      </c>
      <c r="I23" s="11" t="n">
        <v>0.02</v>
      </c>
      <c r="K23" s="11" t="n">
        <v>0.03</v>
      </c>
      <c r="L23" s="11" t="n">
        <v>0.02</v>
      </c>
    </row>
    <row r="24">
      <c r="A24" s="5" t="inlineStr">
        <is>
          <t>영업외수익 합계</t>
        </is>
      </c>
      <c r="F24" s="6" t="n">
        <v>-0.01</v>
      </c>
      <c r="G24" s="6" t="n">
        <v>0.02</v>
      </c>
      <c r="H24" s="6" t="n">
        <v>0.11</v>
      </c>
      <c r="I24" s="6" t="n">
        <v>0.04</v>
      </c>
      <c r="K24" s="6" t="n">
        <v>0.42</v>
      </c>
      <c r="L24" s="6" t="n">
        <v>0.15</v>
      </c>
    </row>
    <row r="25">
      <c r="A25" s="10" t="inlineStr">
        <is>
          <t>이자비용</t>
        </is>
      </c>
      <c r="F25" s="11" t="n">
        <v>0.02</v>
      </c>
      <c r="G25" s="11" t="n">
        <v>0.03</v>
      </c>
      <c r="H25" s="11" t="n">
        <v>0.02</v>
      </c>
      <c r="I25" s="11" t="n">
        <v>0.03</v>
      </c>
      <c r="K25" s="11" t="n">
        <v>0.08</v>
      </c>
      <c r="L25" s="11" t="n">
        <v>0.11</v>
      </c>
    </row>
    <row r="26">
      <c r="A26" s="10" t="inlineStr">
        <is>
          <t>사채이자</t>
        </is>
      </c>
      <c r="F26" s="11" t="n">
        <v>0</v>
      </c>
      <c r="G26" s="11" t="n">
        <v>0</v>
      </c>
      <c r="H26" s="11" t="n">
        <v>0</v>
      </c>
      <c r="I26" s="11" t="n">
        <v>0</v>
      </c>
      <c r="K26" s="11" t="n">
        <v>0</v>
      </c>
      <c r="L26" s="11" t="n">
        <v>0</v>
      </c>
    </row>
    <row r="27">
      <c r="A27" s="10" t="inlineStr">
        <is>
          <t>외환차손</t>
        </is>
      </c>
      <c r="F27" s="11" t="n">
        <v>0.06</v>
      </c>
      <c r="G27" s="11" t="n">
        <v>0</v>
      </c>
      <c r="H27" s="11" t="n">
        <v>0.01</v>
      </c>
      <c r="I27" s="11" t="n">
        <v>0.01</v>
      </c>
      <c r="K27" s="11" t="n">
        <v>0.06</v>
      </c>
      <c r="L27" s="11" t="n">
        <v>0.06</v>
      </c>
    </row>
    <row r="28">
      <c r="A28" s="10" t="inlineStr">
        <is>
          <t>상장 관련 비용</t>
        </is>
      </c>
      <c r="G28" s="11" t="n">
        <v>0.48</v>
      </c>
      <c r="K28" s="11" t="n">
        <v>0</v>
      </c>
      <c r="L28" s="11" t="n">
        <v>0.59</v>
      </c>
    </row>
    <row r="29">
      <c r="A29" s="10" t="inlineStr">
        <is>
          <t>기타</t>
        </is>
      </c>
      <c r="F29" s="11" t="n">
        <v>-0.01</v>
      </c>
      <c r="G29" s="11" t="n">
        <v>0.02</v>
      </c>
      <c r="H29" s="11" t="n">
        <v>0</v>
      </c>
      <c r="I29" s="11" t="n">
        <v>0</v>
      </c>
      <c r="K29" s="11" t="n">
        <v>0.01</v>
      </c>
      <c r="L29" s="11" t="n">
        <v>0.05</v>
      </c>
    </row>
    <row r="30">
      <c r="A30" s="10" t="inlineStr">
        <is>
          <t>영업외비용 합계</t>
        </is>
      </c>
      <c r="F30" s="11" t="n">
        <v>0.19</v>
      </c>
      <c r="G30" s="11" t="n">
        <v>0.53</v>
      </c>
      <c r="H30" s="11" t="n">
        <v>0.05</v>
      </c>
      <c r="I30" s="11" t="n">
        <v>0.03</v>
      </c>
      <c r="K30" s="11" t="n">
        <v>0.17</v>
      </c>
      <c r="L30" s="11" t="n">
        <v>0.83</v>
      </c>
    </row>
    <row r="31">
      <c r="A31" s="5" t="inlineStr">
        <is>
          <t>경상이익</t>
        </is>
      </c>
      <c r="F31" s="6" t="n">
        <v>14.62</v>
      </c>
      <c r="G31" s="6" t="n">
        <v>17.81</v>
      </c>
      <c r="H31" s="6" t="n">
        <v>18.15</v>
      </c>
      <c r="I31" s="6" t="n">
        <v>19.58</v>
      </c>
      <c r="K31" s="6" t="n">
        <v>27.98</v>
      </c>
      <c r="L31" s="6" t="n">
        <v>54.79</v>
      </c>
    </row>
    <row r="32">
      <c r="A32" s="8" t="inlineStr">
        <is>
          <t>경상이익률</t>
        </is>
      </c>
      <c r="C32" s="9">
        <f>IF(OR(C31="",C4=""),"",IFERROR(C31/C4,""))</f>
        <v/>
      </c>
      <c r="D32" s="9">
        <f>IF(OR(D31="",D4=""),"",IFERROR(D31/D4,""))</f>
        <v/>
      </c>
      <c r="E32" s="9">
        <f>IF(OR(E31="",E4=""),"",IFERROR(E31/E4,""))</f>
        <v/>
      </c>
      <c r="F32" s="9">
        <f>IF(OR(F31="",F4=""),"",IFERROR(F31/F4,""))</f>
        <v/>
      </c>
      <c r="G32" s="9">
        <f>IF(OR(G31="",G4=""),"",IFERROR(G31/G4,""))</f>
        <v/>
      </c>
      <c r="H32" s="9">
        <f>IF(OR(H31="",H4=""),"",IFERROR(H31/H4,""))</f>
        <v/>
      </c>
      <c r="I32" s="9">
        <f>IF(OR(I31="",I4=""),"",IFERROR(I31/I4,""))</f>
        <v/>
      </c>
      <c r="J32" s="9">
        <f>IF(OR(J31="",J4=""),"",IFERROR(J31/J4,""))</f>
        <v/>
      </c>
      <c r="K32" s="9">
        <f>IF(OR(K31="",K4=""),"",IFERROR(K31/K4,""))</f>
        <v/>
      </c>
      <c r="L32" s="9">
        <f>IF(OR(L31="",L4=""),"",IFERROR(L31/L4,""))</f>
        <v/>
      </c>
    </row>
    <row r="33">
      <c r="A33" s="10" t="inlineStr">
        <is>
          <t>고정자산 매각이익</t>
        </is>
      </c>
      <c r="K33" s="11" t="n">
        <v>0</v>
      </c>
      <c r="L33" s="11" t="n">
        <v>0</v>
      </c>
    </row>
    <row r="34">
      <c r="A34" s="10" t="inlineStr">
        <is>
          <t>특별이익 합계</t>
        </is>
      </c>
      <c r="K34" s="11" t="n">
        <v>0</v>
      </c>
      <c r="L34" s="11" t="n">
        <v>0</v>
      </c>
    </row>
    <row r="35">
      <c r="A35" s="10" t="inlineStr">
        <is>
          <t>고정자산 제각손실</t>
        </is>
      </c>
      <c r="H35" s="11" t="n">
        <v>0</v>
      </c>
      <c r="I35" s="11" t="n">
        <v>0.02</v>
      </c>
      <c r="K35" s="11" t="n">
        <v>0</v>
      </c>
      <c r="L35" s="11" t="n">
        <v>0.02</v>
      </c>
    </row>
    <row r="36">
      <c r="A36" s="10" t="inlineStr">
        <is>
          <t>특별손실 합계</t>
        </is>
      </c>
      <c r="H36" s="11" t="n">
        <v>0</v>
      </c>
      <c r="I36" s="11" t="n">
        <v>0.02</v>
      </c>
      <c r="K36" s="11" t="n">
        <v>0</v>
      </c>
      <c r="L36" s="11" t="n">
        <v>0.02</v>
      </c>
    </row>
    <row r="37">
      <c r="A37" s="10" t="inlineStr">
        <is>
          <t>법인세차감전 순이익</t>
        </is>
      </c>
      <c r="F37" s="11" t="n">
        <v>14.62</v>
      </c>
      <c r="G37" s="11" t="n">
        <v>17.79</v>
      </c>
      <c r="H37" s="11" t="n">
        <v>18.15</v>
      </c>
      <c r="I37" s="11" t="n">
        <v>19.56</v>
      </c>
      <c r="K37" s="11" t="n">
        <v>27.99</v>
      </c>
      <c r="L37" s="11" t="n">
        <v>54.77</v>
      </c>
    </row>
    <row r="38">
      <c r="A38" s="10" t="inlineStr">
        <is>
          <t>법인세·주민세·사업세</t>
        </is>
      </c>
      <c r="K38" s="11" t="n">
        <v>8.18</v>
      </c>
      <c r="L38" s="11" t="n">
        <v>14.71</v>
      </c>
    </row>
    <row r="39">
      <c r="A39" s="10" t="inlineStr">
        <is>
          <t>법인세 조정액</t>
        </is>
      </c>
      <c r="K39" s="11" t="n">
        <v>0.06</v>
      </c>
      <c r="L39" s="11" t="n">
        <v>-0.4</v>
      </c>
    </row>
    <row r="40">
      <c r="A40" s="10" t="inlineStr">
        <is>
          <t>법인세 등</t>
        </is>
      </c>
      <c r="F40" s="11" t="n">
        <v>4.39</v>
      </c>
      <c r="G40" s="11" t="n">
        <v>3.16</v>
      </c>
      <c r="H40" s="11" t="n">
        <v>4.77</v>
      </c>
      <c r="I40" s="11" t="n">
        <v>5.11</v>
      </c>
      <c r="K40" s="11" t="n">
        <v>8.25</v>
      </c>
      <c r="L40" s="11" t="n">
        <v>14.3</v>
      </c>
    </row>
    <row r="41">
      <c r="A41" s="5" t="inlineStr">
        <is>
          <t>순이익</t>
        </is>
      </c>
      <c r="F41" s="6" t="n">
        <v>10.23</v>
      </c>
      <c r="G41" s="6" t="n">
        <v>14.63</v>
      </c>
      <c r="H41" s="6" t="n">
        <v>13.37</v>
      </c>
      <c r="I41" s="6" t="n">
        <v>14.46</v>
      </c>
      <c r="K41" s="6" t="n">
        <v>19.74</v>
      </c>
      <c r="L41" s="6" t="n">
        <v>40.46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40" customWidth="1" min="13" max="13"/>
  </cols>
  <sheetData>
    <row r="1">
      <c r="A1" s="1" t="inlineStr">
        <is>
          <t>446A 재무상태표</t>
        </is>
      </c>
    </row>
    <row r="2">
      <c r="A2" s="2" t="inlineStr">
        <is>
          <t>결산기 기준(27.2Q = 2027년 결산기 2분기) · 1월 결산 · 연결 · 분기 말 잔액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24.4Q</t>
        </is>
      </c>
      <c r="D3" s="4" t="inlineStr">
        <is>
          <t>25.4Q</t>
        </is>
      </c>
      <c r="E3" s="4" t="inlineStr">
        <is>
          <t>26.2Q</t>
        </is>
      </c>
      <c r="F3" s="4" t="inlineStr">
        <is>
          <t>26.3Q</t>
        </is>
      </c>
      <c r="G3" s="4" t="inlineStr">
        <is>
          <t>26.4Q</t>
        </is>
      </c>
      <c r="H3" s="4" t="inlineStr">
        <is>
          <t>27.1Q</t>
        </is>
      </c>
      <c r="I3" s="4" t="inlineStr">
        <is>
          <t>27.2Q</t>
        </is>
      </c>
      <c r="J3" s="4" t="inlineStr">
        <is>
          <t>FY24</t>
        </is>
      </c>
      <c r="K3" s="4" t="inlineStr">
        <is>
          <t>FY25</t>
        </is>
      </c>
      <c r="L3" s="4" t="inlineStr">
        <is>
          <t>FY26</t>
        </is>
      </c>
      <c r="M3" s="4" t="inlineStr">
        <is>
          <t>출처</t>
        </is>
      </c>
    </row>
    <row r="4">
      <c r="A4" s="10" t="inlineStr">
        <is>
          <t>현금 및 예금</t>
        </is>
      </c>
      <c r="D4" s="11" t="n">
        <v>32.76</v>
      </c>
      <c r="F4" s="11" t="n">
        <v>50.9</v>
      </c>
      <c r="G4" s="11" t="n">
        <v>146.02</v>
      </c>
      <c r="H4" s="11" t="n">
        <v>131.98</v>
      </c>
      <c r="I4" s="11" t="n">
        <v>143.94</v>
      </c>
      <c r="K4" s="11" t="n">
        <v>32.76</v>
      </c>
      <c r="L4" s="11" t="n">
        <v>146.02</v>
      </c>
      <c r="M4" s="7" t="inlineStr">
        <is>
          <t>결산단신 XBRL(거래소 공시, TDnet·JPX 보관소). 쓴 문서: 2026-09-11, 2026-06-11, 2026-03-13, 2025-12-12 — '출처' 시트에 전부</t>
        </is>
      </c>
    </row>
    <row r="5">
      <c r="A5" s="10" t="inlineStr">
        <is>
          <t>매출채권</t>
        </is>
      </c>
      <c r="D5" s="11" t="n">
        <v>19.37</v>
      </c>
      <c r="F5" s="11" t="n">
        <v>28.05</v>
      </c>
      <c r="G5" s="11" t="n">
        <v>31.67</v>
      </c>
      <c r="H5" s="11" t="n">
        <v>34.59</v>
      </c>
      <c r="I5" s="11" t="n">
        <v>39.99</v>
      </c>
      <c r="K5" s="11" t="n">
        <v>19.37</v>
      </c>
      <c r="L5" s="11" t="n">
        <v>31.67</v>
      </c>
    </row>
    <row r="6">
      <c r="A6" s="10" t="inlineStr">
        <is>
          <t>선급비용</t>
        </is>
      </c>
      <c r="D6" s="11" t="n">
        <v>3.57</v>
      </c>
      <c r="G6" s="11" t="n">
        <v>7.42</v>
      </c>
      <c r="K6" s="11" t="n">
        <v>3.57</v>
      </c>
      <c r="L6" s="11" t="n">
        <v>7.42</v>
      </c>
    </row>
    <row r="7">
      <c r="A7" s="10" t="inlineStr">
        <is>
          <t>기타</t>
        </is>
      </c>
      <c r="D7" s="11" t="n">
        <v>0.79</v>
      </c>
      <c r="F7" s="11" t="n">
        <v>7.33</v>
      </c>
      <c r="G7" s="11" t="n">
        <v>8.390000000000001</v>
      </c>
      <c r="H7" s="11" t="n">
        <v>7.02</v>
      </c>
      <c r="I7" s="11" t="n">
        <v>9.16</v>
      </c>
      <c r="K7" s="11" t="n">
        <v>0.79</v>
      </c>
      <c r="L7" s="11" t="n">
        <v>8.390000000000001</v>
      </c>
    </row>
    <row r="8">
      <c r="A8" s="10" t="inlineStr">
        <is>
          <t>대손충당금</t>
        </is>
      </c>
      <c r="D8" s="11" t="n">
        <v>-0.08</v>
      </c>
      <c r="F8" s="11" t="n">
        <v>-0.11</v>
      </c>
      <c r="G8" s="11" t="n">
        <v>-0.11</v>
      </c>
      <c r="H8" s="11" t="n">
        <v>-0.12</v>
      </c>
      <c r="I8" s="11" t="n">
        <v>-0.14</v>
      </c>
      <c r="K8" s="11" t="n">
        <v>-0.08</v>
      </c>
      <c r="L8" s="11" t="n">
        <v>-0.11</v>
      </c>
    </row>
    <row r="9">
      <c r="A9" s="10" t="inlineStr">
        <is>
          <t>유동자산 합계</t>
        </is>
      </c>
      <c r="D9" s="11" t="n">
        <v>56.42</v>
      </c>
      <c r="F9" s="11" t="n">
        <v>86.17</v>
      </c>
      <c r="G9" s="11" t="n">
        <v>185.98</v>
      </c>
      <c r="H9" s="11" t="n">
        <v>173.48</v>
      </c>
      <c r="I9" s="11" t="n">
        <v>192.97</v>
      </c>
      <c r="K9" s="11" t="n">
        <v>56.42</v>
      </c>
      <c r="L9" s="11" t="n">
        <v>185.98</v>
      </c>
    </row>
    <row r="10">
      <c r="A10" s="10" t="inlineStr">
        <is>
          <t>건물(순액)</t>
        </is>
      </c>
      <c r="D10" s="11" t="n">
        <v>5.07</v>
      </c>
      <c r="G10" s="11" t="n">
        <v>4.47</v>
      </c>
      <c r="K10" s="11" t="n">
        <v>5.07</v>
      </c>
      <c r="L10" s="11" t="n">
        <v>4.47</v>
      </c>
    </row>
    <row r="11">
      <c r="A11" s="10" t="inlineStr">
        <is>
          <t>차량운반구(순액)</t>
        </is>
      </c>
      <c r="D11" s="11" t="n">
        <v>0.02</v>
      </c>
      <c r="G11" s="11" t="n">
        <v>0.01</v>
      </c>
      <c r="K11" s="11" t="n">
        <v>0.02</v>
      </c>
      <c r="L11" s="11" t="n">
        <v>0.01</v>
      </c>
    </row>
    <row r="12">
      <c r="A12" s="10" t="inlineStr">
        <is>
          <t>공구·기구·비품(순액)</t>
        </is>
      </c>
      <c r="D12" s="11" t="n">
        <v>1.43</v>
      </c>
      <c r="G12" s="11" t="n">
        <v>1.06</v>
      </c>
      <c r="K12" s="11" t="n">
        <v>1.43</v>
      </c>
      <c r="L12" s="11" t="n">
        <v>1.06</v>
      </c>
    </row>
    <row r="13">
      <c r="A13" s="10" t="inlineStr">
        <is>
          <t>리스자산(순액)</t>
        </is>
      </c>
      <c r="D13" s="11" t="n">
        <v>0.86</v>
      </c>
      <c r="G13" s="11" t="n">
        <v>0.99</v>
      </c>
      <c r="K13" s="11" t="n">
        <v>0.86</v>
      </c>
      <c r="L13" s="11" t="n">
        <v>0.99</v>
      </c>
    </row>
    <row r="14">
      <c r="A14" s="10" t="inlineStr">
        <is>
          <t>건설중인자산</t>
        </is>
      </c>
      <c r="D14" s="11" t="n">
        <v>0</v>
      </c>
      <c r="G14" s="11" t="n">
        <v>0</v>
      </c>
      <c r="K14" s="11" t="n">
        <v>0</v>
      </c>
      <c r="L14" s="11" t="n">
        <v>0</v>
      </c>
    </row>
    <row r="15">
      <c r="A15" s="10" t="inlineStr">
        <is>
          <t>유형자산</t>
        </is>
      </c>
      <c r="D15" s="11" t="n">
        <v>7.4</v>
      </c>
      <c r="F15" s="11" t="n">
        <v>6.77</v>
      </c>
      <c r="G15" s="11" t="n">
        <v>6.54</v>
      </c>
      <c r="H15" s="11" t="n">
        <v>7.36</v>
      </c>
      <c r="I15" s="11" t="n">
        <v>8.289999999999999</v>
      </c>
      <c r="K15" s="11" t="n">
        <v>7.4</v>
      </c>
      <c r="L15" s="11" t="n">
        <v>6.54</v>
      </c>
    </row>
    <row r="16">
      <c r="A16" s="10" t="inlineStr">
        <is>
          <t>장기선급비용</t>
        </is>
      </c>
      <c r="D16" s="11" t="n">
        <v>0</v>
      </c>
      <c r="G16" s="11" t="n">
        <v>1.27</v>
      </c>
      <c r="H16" s="11" t="n">
        <v>0.29</v>
      </c>
      <c r="K16" s="11" t="n">
        <v>0</v>
      </c>
      <c r="L16" s="11" t="n">
        <v>1.27</v>
      </c>
    </row>
    <row r="17">
      <c r="A17" s="10" t="inlineStr">
        <is>
          <t>임차보증금·보증금</t>
        </is>
      </c>
      <c r="D17" s="11" t="n">
        <v>4.48</v>
      </c>
      <c r="G17" s="11" t="n">
        <v>22.68</v>
      </c>
      <c r="H17" s="11" t="n">
        <v>39.24</v>
      </c>
      <c r="I17" s="11" t="n">
        <v>40.13</v>
      </c>
      <c r="K17" s="11" t="n">
        <v>4.48</v>
      </c>
      <c r="L17" s="11" t="n">
        <v>22.68</v>
      </c>
    </row>
    <row r="18">
      <c r="A18" s="10" t="inlineStr">
        <is>
          <t>이연법인세자산</t>
        </is>
      </c>
      <c r="D18" s="11" t="n">
        <v>1.63</v>
      </c>
      <c r="G18" s="11" t="n">
        <v>2.04</v>
      </c>
      <c r="H18" s="11" t="n">
        <v>2.04</v>
      </c>
      <c r="K18" s="11" t="n">
        <v>1.63</v>
      </c>
      <c r="L18" s="11" t="n">
        <v>2.04</v>
      </c>
    </row>
    <row r="19">
      <c r="A19" s="10" t="inlineStr">
        <is>
          <t>기타</t>
        </is>
      </c>
      <c r="D19" s="11" t="n">
        <v>0.07000000000000001</v>
      </c>
      <c r="G19" s="11" t="n">
        <v>3.4</v>
      </c>
      <c r="H19" s="11" t="n">
        <v>0.08</v>
      </c>
      <c r="I19" s="11" t="n">
        <v>2.35</v>
      </c>
      <c r="K19" s="11" t="n">
        <v>0.07000000000000001</v>
      </c>
      <c r="L19" s="11" t="n">
        <v>3.4</v>
      </c>
    </row>
    <row r="20">
      <c r="A20" s="10" t="inlineStr">
        <is>
          <t>투자 및 기타자산 합계</t>
        </is>
      </c>
      <c r="D20" s="11" t="n">
        <v>6.2</v>
      </c>
      <c r="F20" s="11" t="n">
        <v>6.3</v>
      </c>
      <c r="G20" s="11" t="n">
        <v>26.09</v>
      </c>
      <c r="H20" s="11" t="n">
        <v>41.66</v>
      </c>
      <c r="I20" s="11" t="n">
        <v>42.48</v>
      </c>
      <c r="K20" s="11" t="n">
        <v>6.2</v>
      </c>
      <c r="L20" s="11" t="n">
        <v>26.09</v>
      </c>
    </row>
    <row r="21">
      <c r="A21" s="10" t="inlineStr">
        <is>
          <t>비유동자산 합계</t>
        </is>
      </c>
      <c r="D21" s="11" t="n">
        <v>13.61</v>
      </c>
      <c r="F21" s="11" t="n">
        <v>13.07</v>
      </c>
      <c r="G21" s="11" t="n">
        <v>32.63</v>
      </c>
      <c r="H21" s="11" t="n">
        <v>49.03</v>
      </c>
      <c r="I21" s="11" t="n">
        <v>50.78</v>
      </c>
      <c r="K21" s="11" t="n">
        <v>13.61</v>
      </c>
      <c r="L21" s="11" t="n">
        <v>32.63</v>
      </c>
    </row>
    <row r="22">
      <c r="A22" s="10" t="inlineStr">
        <is>
          <t>자산 합계</t>
        </is>
      </c>
      <c r="D22" s="11" t="n">
        <v>70.03</v>
      </c>
      <c r="F22" s="11" t="n">
        <v>99.25</v>
      </c>
      <c r="G22" s="11" t="n">
        <v>218.61</v>
      </c>
      <c r="H22" s="11" t="n">
        <v>222.51</v>
      </c>
      <c r="I22" s="11" t="n">
        <v>243.76</v>
      </c>
      <c r="K22" s="11" t="n">
        <v>70.03</v>
      </c>
      <c r="L22" s="11" t="n">
        <v>218.61</v>
      </c>
    </row>
    <row r="23">
      <c r="A23" s="10" t="inlineStr">
        <is>
          <t>매입채무</t>
        </is>
      </c>
      <c r="D23" s="11" t="n">
        <v>4.21</v>
      </c>
      <c r="F23" s="11" t="n">
        <v>5.24</v>
      </c>
      <c r="G23" s="11" t="n">
        <v>5.93</v>
      </c>
      <c r="H23" s="11" t="n">
        <v>6.98</v>
      </c>
      <c r="I23" s="11" t="n">
        <v>7.05</v>
      </c>
      <c r="K23" s="11" t="n">
        <v>4.21</v>
      </c>
      <c r="L23" s="11" t="n">
        <v>5.93</v>
      </c>
    </row>
    <row r="24">
      <c r="A24" s="10" t="inlineStr">
        <is>
          <t>단기차입금</t>
        </is>
      </c>
      <c r="D24" s="11" t="n">
        <v>0.63</v>
      </c>
      <c r="F24" s="11" t="n">
        <v>0</v>
      </c>
      <c r="G24" s="11" t="n">
        <v>0</v>
      </c>
      <c r="K24" s="11" t="n">
        <v>0.63</v>
      </c>
      <c r="L24" s="11" t="n">
        <v>0</v>
      </c>
    </row>
    <row r="25">
      <c r="A25" s="10" t="inlineStr">
        <is>
          <t>1년 내 상환 사채</t>
        </is>
      </c>
      <c r="D25" s="11" t="n">
        <v>0.86</v>
      </c>
      <c r="F25" s="11" t="n">
        <v>0.2</v>
      </c>
      <c r="G25" s="11" t="n">
        <v>0.2</v>
      </c>
      <c r="H25" s="11" t="n">
        <v>0.1</v>
      </c>
      <c r="I25" s="11" t="n">
        <v>0.1</v>
      </c>
      <c r="K25" s="11" t="n">
        <v>0.86</v>
      </c>
      <c r="L25" s="11" t="n">
        <v>0.2</v>
      </c>
    </row>
    <row r="26">
      <c r="A26" s="10" t="inlineStr">
        <is>
          <t>1년 내 상환 장기차입금</t>
        </is>
      </c>
      <c r="D26" s="11" t="n">
        <v>2.33</v>
      </c>
      <c r="F26" s="11" t="n">
        <v>2.39</v>
      </c>
      <c r="G26" s="11" t="n">
        <v>2.4</v>
      </c>
      <c r="H26" s="11" t="n">
        <v>2.33</v>
      </c>
      <c r="I26" s="11" t="n">
        <v>2.26</v>
      </c>
      <c r="K26" s="11" t="n">
        <v>2.33</v>
      </c>
      <c r="L26" s="11" t="n">
        <v>2.4</v>
      </c>
    </row>
    <row r="27">
      <c r="A27" s="10" t="inlineStr">
        <is>
          <t>리스부채</t>
        </is>
      </c>
      <c r="D27" s="11" t="n">
        <v>0.18</v>
      </c>
      <c r="F27" s="11" t="n">
        <v>0.2</v>
      </c>
      <c r="G27" s="11" t="n">
        <v>0.23</v>
      </c>
      <c r="H27" s="11" t="n">
        <v>0.28</v>
      </c>
      <c r="I27" s="11" t="n">
        <v>0.4</v>
      </c>
      <c r="K27" s="11" t="n">
        <v>0.18</v>
      </c>
      <c r="L27" s="11" t="n">
        <v>0.23</v>
      </c>
    </row>
    <row r="28">
      <c r="A28" s="10" t="inlineStr">
        <is>
          <t>미지급금·미지급비용</t>
        </is>
      </c>
      <c r="D28" s="11" t="n">
        <v>6.22</v>
      </c>
      <c r="F28" s="11" t="n">
        <v>6.89</v>
      </c>
      <c r="G28" s="11" t="n">
        <v>8.58</v>
      </c>
      <c r="H28" s="11" t="n">
        <v>7.72</v>
      </c>
      <c r="I28" s="11" t="n">
        <v>10.05</v>
      </c>
      <c r="K28" s="11" t="n">
        <v>6.22</v>
      </c>
      <c r="L28" s="11" t="n">
        <v>8.58</v>
      </c>
    </row>
    <row r="29">
      <c r="A29" s="10" t="inlineStr">
        <is>
          <t>미지급법인세</t>
        </is>
      </c>
      <c r="D29" s="11" t="n">
        <v>6.37</v>
      </c>
      <c r="F29" s="11" t="n">
        <v>7.03</v>
      </c>
      <c r="G29" s="11" t="n">
        <v>12.53</v>
      </c>
      <c r="H29" s="11" t="n">
        <v>5.35</v>
      </c>
      <c r="I29" s="11" t="n">
        <v>10.98</v>
      </c>
      <c r="K29" s="11" t="n">
        <v>6.37</v>
      </c>
      <c r="L29" s="11" t="n">
        <v>12.53</v>
      </c>
    </row>
    <row r="30">
      <c r="A30" s="10" t="inlineStr">
        <is>
          <t>미지급 소비세</t>
        </is>
      </c>
      <c r="D30" s="11" t="n">
        <v>6.49</v>
      </c>
      <c r="G30" s="11" t="n">
        <v>9.51</v>
      </c>
      <c r="K30" s="11" t="n">
        <v>6.49</v>
      </c>
      <c r="L30" s="11" t="n">
        <v>9.51</v>
      </c>
    </row>
    <row r="31">
      <c r="A31" s="10" t="inlineStr">
        <is>
          <t>계약부채</t>
        </is>
      </c>
      <c r="D31" s="11" t="n">
        <v>2.84</v>
      </c>
      <c r="G31" s="11" t="n">
        <v>5.79</v>
      </c>
      <c r="K31" s="11" t="n">
        <v>2.84</v>
      </c>
      <c r="L31" s="11" t="n">
        <v>5.79</v>
      </c>
    </row>
    <row r="32">
      <c r="A32" s="10" t="inlineStr">
        <is>
          <t>예수금</t>
        </is>
      </c>
      <c r="D32" s="11" t="n">
        <v>0.35</v>
      </c>
      <c r="G32" s="11" t="n">
        <v>2.01</v>
      </c>
      <c r="K32" s="11" t="n">
        <v>0.35</v>
      </c>
      <c r="L32" s="11" t="n">
        <v>2.01</v>
      </c>
    </row>
    <row r="33">
      <c r="A33" s="10" t="inlineStr">
        <is>
          <t>상여충당금</t>
        </is>
      </c>
      <c r="D33" s="11" t="n">
        <v>0</v>
      </c>
      <c r="F33" s="11" t="n">
        <v>0.31</v>
      </c>
      <c r="G33" s="11" t="n">
        <v>0.13</v>
      </c>
      <c r="H33" s="11" t="n">
        <v>0.3</v>
      </c>
      <c r="I33" s="11" t="n">
        <v>0.07000000000000001</v>
      </c>
      <c r="K33" s="11" t="n">
        <v>0</v>
      </c>
      <c r="L33" s="11" t="n">
        <v>0.13</v>
      </c>
    </row>
    <row r="34">
      <c r="A34" s="10" t="inlineStr">
        <is>
          <t>기타</t>
        </is>
      </c>
      <c r="D34" s="11" t="n">
        <v>9.69</v>
      </c>
      <c r="F34" s="11" t="n">
        <v>13.62</v>
      </c>
      <c r="G34" s="11" t="n">
        <v>17.32</v>
      </c>
      <c r="H34" s="11" t="n">
        <v>15.22</v>
      </c>
      <c r="I34" s="11" t="n">
        <v>14.29</v>
      </c>
      <c r="K34" s="11" t="n">
        <v>9.69</v>
      </c>
      <c r="L34" s="11" t="n">
        <v>17.32</v>
      </c>
    </row>
    <row r="35">
      <c r="A35" s="10" t="inlineStr">
        <is>
          <t>유동부채 합계</t>
        </is>
      </c>
      <c r="D35" s="11" t="n">
        <v>30.51</v>
      </c>
      <c r="F35" s="11" t="n">
        <v>35.91</v>
      </c>
      <c r="G35" s="11" t="n">
        <v>47.35</v>
      </c>
      <c r="H35" s="11" t="n">
        <v>38.31</v>
      </c>
      <c r="I35" s="11" t="n">
        <v>45.22</v>
      </c>
      <c r="K35" s="11" t="n">
        <v>30.51</v>
      </c>
      <c r="L35" s="11" t="n">
        <v>47.35</v>
      </c>
    </row>
    <row r="36">
      <c r="A36" s="10" t="inlineStr">
        <is>
          <t>사채</t>
        </is>
      </c>
      <c r="D36" s="11" t="n">
        <v>0.2</v>
      </c>
      <c r="F36" s="11" t="n">
        <v>0</v>
      </c>
      <c r="G36" s="11" t="n">
        <v>0</v>
      </c>
      <c r="K36" s="11" t="n">
        <v>0.2</v>
      </c>
      <c r="L36" s="11" t="n">
        <v>0</v>
      </c>
    </row>
    <row r="37">
      <c r="A37" s="10" t="inlineStr">
        <is>
          <t>장기차입금</t>
        </is>
      </c>
      <c r="D37" s="11" t="n">
        <v>6.02</v>
      </c>
      <c r="F37" s="11" t="n">
        <v>4.22</v>
      </c>
      <c r="G37" s="11" t="n">
        <v>3.61</v>
      </c>
      <c r="H37" s="11" t="n">
        <v>3.07</v>
      </c>
      <c r="I37" s="11" t="n">
        <v>2.54</v>
      </c>
      <c r="K37" s="11" t="n">
        <v>6.02</v>
      </c>
      <c r="L37" s="11" t="n">
        <v>3.61</v>
      </c>
    </row>
    <row r="38">
      <c r="A38" s="10" t="inlineStr">
        <is>
          <t>리스부채</t>
        </is>
      </c>
      <c r="D38" s="11" t="n">
        <v>0.79</v>
      </c>
      <c r="F38" s="11" t="n">
        <v>0.76</v>
      </c>
      <c r="G38" s="11" t="n">
        <v>0.89</v>
      </c>
      <c r="H38" s="11" t="n">
        <v>0.99</v>
      </c>
      <c r="I38" s="11" t="n">
        <v>1.39</v>
      </c>
      <c r="K38" s="11" t="n">
        <v>0.79</v>
      </c>
      <c r="L38" s="11" t="n">
        <v>0.89</v>
      </c>
    </row>
    <row r="39">
      <c r="A39" s="10" t="inlineStr">
        <is>
          <t>자산복구부채</t>
        </is>
      </c>
      <c r="D39" s="11" t="n">
        <v>2.15</v>
      </c>
      <c r="F39" s="11" t="n">
        <v>2.17</v>
      </c>
      <c r="G39" s="11" t="n">
        <v>2.18</v>
      </c>
      <c r="H39" s="11" t="n">
        <v>2.2</v>
      </c>
      <c r="I39" s="11" t="n">
        <v>2.21</v>
      </c>
      <c r="K39" s="11" t="n">
        <v>2.15</v>
      </c>
      <c r="L39" s="11" t="n">
        <v>2.18</v>
      </c>
    </row>
    <row r="40">
      <c r="A40" s="10" t="inlineStr">
        <is>
          <t>비유동부채 합계</t>
        </is>
      </c>
      <c r="D40" s="11" t="n">
        <v>9.18</v>
      </c>
      <c r="F40" s="11" t="n">
        <v>7.16</v>
      </c>
      <c r="G40" s="11" t="n">
        <v>6.7</v>
      </c>
      <c r="H40" s="11" t="n">
        <v>6.26</v>
      </c>
      <c r="I40" s="11" t="n">
        <v>6.15</v>
      </c>
      <c r="K40" s="11" t="n">
        <v>9.18</v>
      </c>
      <c r="L40" s="11" t="n">
        <v>6.7</v>
      </c>
    </row>
    <row r="41">
      <c r="A41" s="10" t="inlineStr">
        <is>
          <t>부채 합계</t>
        </is>
      </c>
      <c r="D41" s="11" t="n">
        <v>39.69</v>
      </c>
      <c r="F41" s="11" t="n">
        <v>43.07</v>
      </c>
      <c r="G41" s="11" t="n">
        <v>54.06</v>
      </c>
      <c r="H41" s="11" t="n">
        <v>44.58</v>
      </c>
      <c r="I41" s="11" t="n">
        <v>51.37</v>
      </c>
      <c r="K41" s="11" t="n">
        <v>39.69</v>
      </c>
      <c r="L41" s="11" t="n">
        <v>54.06</v>
      </c>
    </row>
    <row r="42">
      <c r="A42" s="10" t="inlineStr">
        <is>
          <t>자본금</t>
        </is>
      </c>
      <c r="D42" s="11" t="n">
        <v>0.3</v>
      </c>
      <c r="F42" s="11" t="n">
        <v>0.3</v>
      </c>
      <c r="G42" s="11" t="n">
        <v>47.17</v>
      </c>
      <c r="H42" s="11" t="n">
        <v>47.17</v>
      </c>
      <c r="I42" s="11" t="n">
        <v>47.17</v>
      </c>
      <c r="K42" s="11" t="n">
        <v>0.3</v>
      </c>
      <c r="L42" s="11" t="n">
        <v>47.17</v>
      </c>
    </row>
    <row r="43">
      <c r="A43" s="10" t="inlineStr">
        <is>
          <t>자본준비금</t>
        </is>
      </c>
      <c r="D43" s="11" t="n">
        <v>0</v>
      </c>
      <c r="G43" s="11" t="n">
        <v>46.87</v>
      </c>
      <c r="K43" s="11" t="n">
        <v>0</v>
      </c>
      <c r="L43" s="11" t="n">
        <v>46.87</v>
      </c>
    </row>
    <row r="44">
      <c r="A44" s="10" t="inlineStr">
        <is>
          <t>기타자본잉여금</t>
        </is>
      </c>
      <c r="D44" s="11" t="n">
        <v>0.46</v>
      </c>
      <c r="G44" s="11" t="n">
        <v>0.46</v>
      </c>
      <c r="K44" s="11" t="n">
        <v>0.46</v>
      </c>
      <c r="L44" s="11" t="n">
        <v>0.46</v>
      </c>
    </row>
    <row r="45">
      <c r="A45" s="10" t="inlineStr">
        <is>
          <t>자본잉여금</t>
        </is>
      </c>
      <c r="D45" s="11" t="n">
        <v>0.46</v>
      </c>
      <c r="F45" s="11" t="n">
        <v>0.46</v>
      </c>
      <c r="G45" s="11" t="n">
        <v>47.34</v>
      </c>
      <c r="H45" s="11" t="n">
        <v>47.34</v>
      </c>
      <c r="I45" s="11" t="n">
        <v>47.34</v>
      </c>
      <c r="K45" s="11" t="n">
        <v>0.46</v>
      </c>
      <c r="L45" s="11" t="n">
        <v>47.34</v>
      </c>
    </row>
    <row r="46">
      <c r="A46" s="10" t="inlineStr">
        <is>
          <t>이익준비금</t>
        </is>
      </c>
      <c r="D46" s="11" t="n">
        <v>0.07000000000000001</v>
      </c>
      <c r="G46" s="11" t="n">
        <v>0.07000000000000001</v>
      </c>
      <c r="K46" s="11" t="n">
        <v>0.07000000000000001</v>
      </c>
      <c r="L46" s="11" t="n">
        <v>0.07000000000000001</v>
      </c>
    </row>
    <row r="47">
      <c r="A47" s="10" t="inlineStr">
        <is>
          <t>이월이익잉여금</t>
        </is>
      </c>
      <c r="D47" s="11" t="n">
        <v>29.49</v>
      </c>
      <c r="G47" s="11" t="n">
        <v>69.95999999999999</v>
      </c>
      <c r="K47" s="11" t="n">
        <v>29.49</v>
      </c>
      <c r="L47" s="11" t="n">
        <v>69.95999999999999</v>
      </c>
    </row>
    <row r="48">
      <c r="A48" s="10" t="inlineStr">
        <is>
          <t>이익잉여금</t>
        </is>
      </c>
      <c r="D48" s="11" t="n">
        <v>29.56</v>
      </c>
      <c r="F48" s="11" t="n">
        <v>55.4</v>
      </c>
      <c r="G48" s="11" t="n">
        <v>70.03</v>
      </c>
      <c r="H48" s="11" t="n">
        <v>83.41</v>
      </c>
      <c r="I48" s="11" t="n">
        <v>97.86</v>
      </c>
      <c r="K48" s="11" t="n">
        <v>29.56</v>
      </c>
      <c r="L48" s="11" t="n">
        <v>70.03</v>
      </c>
    </row>
    <row r="49">
      <c r="A49" s="10" t="inlineStr">
        <is>
          <t>주주자본 합계</t>
        </is>
      </c>
      <c r="D49" s="11" t="n">
        <v>30.33</v>
      </c>
      <c r="F49" s="11" t="n">
        <v>56.17</v>
      </c>
      <c r="G49" s="11" t="n">
        <v>164.55</v>
      </c>
      <c r="H49" s="11" t="n">
        <v>177.93</v>
      </c>
      <c r="I49" s="11" t="n">
        <v>192.38</v>
      </c>
      <c r="K49" s="11" t="n">
        <v>30.33</v>
      </c>
      <c r="L49" s="11" t="n">
        <v>164.55</v>
      </c>
    </row>
    <row r="50">
      <c r="A50" s="10" t="inlineStr">
        <is>
          <t>신주예약권</t>
        </is>
      </c>
      <c r="D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K50" s="11" t="n">
        <v>0</v>
      </c>
      <c r="L50" s="11" t="n">
        <v>0</v>
      </c>
    </row>
    <row r="51">
      <c r="A51" s="10" t="inlineStr">
        <is>
          <t>순자산 합계</t>
        </is>
      </c>
      <c r="D51" s="11" t="n">
        <v>30.33</v>
      </c>
      <c r="F51" s="11" t="n">
        <v>56.17</v>
      </c>
      <c r="G51" s="11" t="n">
        <v>164.55</v>
      </c>
      <c r="H51" s="11" t="n">
        <v>177.93</v>
      </c>
      <c r="I51" s="11" t="n">
        <v>192.38</v>
      </c>
      <c r="K51" s="11" t="n">
        <v>30.33</v>
      </c>
      <c r="L51" s="11" t="n">
        <v>164.55</v>
      </c>
    </row>
    <row r="52">
      <c r="A52" s="10" t="inlineStr">
        <is>
          <t>부채·순자산 합계</t>
        </is>
      </c>
      <c r="D52" s="11" t="n">
        <v>70.03</v>
      </c>
      <c r="F52" s="11" t="n">
        <v>99.25</v>
      </c>
      <c r="G52" s="11" t="n">
        <v>218.61</v>
      </c>
      <c r="H52" s="11" t="n">
        <v>222.51</v>
      </c>
      <c r="I52" s="11" t="n">
        <v>243.76</v>
      </c>
      <c r="K52" s="11" t="n">
        <v>70.03</v>
      </c>
      <c r="L52" s="11" t="n">
        <v>218.61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40" customWidth="1" min="13" max="13"/>
  </cols>
  <sheetData>
    <row r="1">
      <c r="A1" s="1" t="inlineStr">
        <is>
          <t>446A 현금흐름표</t>
        </is>
      </c>
    </row>
    <row r="2">
      <c r="A2" s="2" t="inlineStr">
        <is>
          <t>결산기 기준(27.2Q = 2027년 결산기 2분기) · 1월 결산 · 연결 · 누계(그 분기까지)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24.4Q</t>
        </is>
      </c>
      <c r="D3" s="4" t="inlineStr">
        <is>
          <t>25.4Q</t>
        </is>
      </c>
      <c r="E3" s="4" t="inlineStr">
        <is>
          <t>26.2Q</t>
        </is>
      </c>
      <c r="F3" s="4" t="inlineStr">
        <is>
          <t>26.3Q</t>
        </is>
      </c>
      <c r="G3" s="4" t="inlineStr">
        <is>
          <t>26.4Q</t>
        </is>
      </c>
      <c r="H3" s="4" t="inlineStr">
        <is>
          <t>27.1Q</t>
        </is>
      </c>
      <c r="I3" s="4" t="inlineStr">
        <is>
          <t>27.2Q</t>
        </is>
      </c>
      <c r="J3" s="4" t="inlineStr">
        <is>
          <t>FY24</t>
        </is>
      </c>
      <c r="K3" s="4" t="inlineStr">
        <is>
          <t>FY25</t>
        </is>
      </c>
      <c r="L3" s="4" t="inlineStr">
        <is>
          <t>FY26</t>
        </is>
      </c>
      <c r="M3" s="4" t="inlineStr">
        <is>
          <t>출처</t>
        </is>
      </c>
    </row>
    <row r="4">
      <c r="A4" s="10" t="inlineStr">
        <is>
          <t>법인세차감전 순이익</t>
        </is>
      </c>
      <c r="D4" s="11" t="n">
        <v>27.99</v>
      </c>
      <c r="E4" s="11" t="n">
        <v>22.36</v>
      </c>
      <c r="G4" s="11" t="n">
        <v>54.77</v>
      </c>
      <c r="I4" s="11" t="n">
        <v>37.71</v>
      </c>
      <c r="K4" s="11" t="n">
        <v>27.99</v>
      </c>
      <c r="L4" s="11" t="n">
        <v>54.77</v>
      </c>
      <c r="M4" s="7" t="inlineStr">
        <is>
          <t>결산단신 XBRL(거래소 공시, TDnet·JPX 보관소). 쓴 문서: 2026-09-11, 2026-06-11, 2026-03-13, 2025-12-12 — '출처' 시트에 전부</t>
        </is>
      </c>
    </row>
    <row r="5">
      <c r="A5" s="10" t="inlineStr">
        <is>
          <t>감가상각비 및 기타 상각비</t>
        </is>
      </c>
      <c r="D5" s="11" t="n">
        <v>0.91</v>
      </c>
      <c r="E5" s="11" t="n">
        <v>0.73</v>
      </c>
      <c r="G5" s="11" t="n">
        <v>1.5</v>
      </c>
      <c r="I5" s="11" t="n">
        <v>1.24</v>
      </c>
      <c r="K5" s="11" t="n">
        <v>0.91</v>
      </c>
      <c r="L5" s="11" t="n">
        <v>1.5</v>
      </c>
    </row>
    <row r="6">
      <c r="A6" s="10" t="inlineStr">
        <is>
          <t>고정자산 매각이익</t>
        </is>
      </c>
      <c r="D6" s="11" t="n">
        <v>-0</v>
      </c>
      <c r="G6" s="11" t="n">
        <v>0</v>
      </c>
      <c r="K6" s="11" t="n">
        <v>-0</v>
      </c>
      <c r="L6" s="11" t="n">
        <v>0</v>
      </c>
    </row>
    <row r="7">
      <c r="A7" s="10" t="inlineStr">
        <is>
          <t>고정자산 제각손실</t>
        </is>
      </c>
      <c r="D7" s="11" t="n">
        <v>0</v>
      </c>
      <c r="E7" s="11" t="n">
        <v>0</v>
      </c>
      <c r="G7" s="11" t="n">
        <v>0.02</v>
      </c>
      <c r="I7" s="11" t="n">
        <v>0.02</v>
      </c>
      <c r="K7" s="11" t="n">
        <v>0</v>
      </c>
      <c r="L7" s="11" t="n">
        <v>0.02</v>
      </c>
    </row>
    <row r="8">
      <c r="A8" s="10" t="inlineStr">
        <is>
          <t>상여충당금 증감</t>
        </is>
      </c>
      <c r="D8" s="11" t="n">
        <v>0</v>
      </c>
      <c r="E8" s="11" t="n">
        <v>0.15</v>
      </c>
      <c r="G8" s="11" t="n">
        <v>0.13</v>
      </c>
      <c r="I8" s="11" t="n">
        <v>-0.06</v>
      </c>
      <c r="K8" s="11" t="n">
        <v>0</v>
      </c>
      <c r="L8" s="11" t="n">
        <v>0.13</v>
      </c>
    </row>
    <row r="9">
      <c r="A9" s="10" t="inlineStr">
        <is>
          <t>대손충당금 증감</t>
        </is>
      </c>
      <c r="D9" s="11" t="n">
        <v>0.01</v>
      </c>
      <c r="E9" s="11" t="n">
        <v>0.02</v>
      </c>
      <c r="G9" s="11" t="n">
        <v>0.02</v>
      </c>
      <c r="I9" s="11" t="n">
        <v>0.02</v>
      </c>
      <c r="K9" s="11" t="n">
        <v>0.01</v>
      </c>
      <c r="L9" s="11" t="n">
        <v>0.02</v>
      </c>
    </row>
    <row r="10">
      <c r="A10" s="10" t="inlineStr">
        <is>
          <t>관계회사 정리손실 충당금 증감</t>
        </is>
      </c>
      <c r="D10" s="11" t="n">
        <v>-2.44</v>
      </c>
      <c r="G10" s="11" t="n">
        <v>0</v>
      </c>
      <c r="K10" s="11" t="n">
        <v>-2.44</v>
      </c>
      <c r="L10" s="11" t="n">
        <v>0</v>
      </c>
    </row>
    <row r="11">
      <c r="A11" s="10" t="inlineStr">
        <is>
          <t>이자수익</t>
        </is>
      </c>
      <c r="D11" s="11" t="n">
        <v>-0</v>
      </c>
      <c r="E11" s="11" t="n">
        <v>-0.01</v>
      </c>
      <c r="G11" s="11" t="n">
        <v>-0.04</v>
      </c>
      <c r="I11" s="11" t="n">
        <v>-0.1</v>
      </c>
      <c r="K11" s="11" t="n">
        <v>-0</v>
      </c>
      <c r="L11" s="11" t="n">
        <v>-0.04</v>
      </c>
    </row>
    <row r="12">
      <c r="A12" s="10" t="inlineStr">
        <is>
          <t>이자비용</t>
        </is>
      </c>
      <c r="D12" s="11" t="n">
        <v>0.08</v>
      </c>
      <c r="E12" s="11" t="n">
        <v>0.06</v>
      </c>
      <c r="G12" s="11" t="n">
        <v>0.11</v>
      </c>
      <c r="I12" s="11" t="n">
        <v>0.05</v>
      </c>
      <c r="K12" s="11" t="n">
        <v>0.08</v>
      </c>
      <c r="L12" s="11" t="n">
        <v>0.11</v>
      </c>
    </row>
    <row r="13">
      <c r="A13" s="10" t="inlineStr">
        <is>
          <t>상장 관련 비용</t>
        </is>
      </c>
      <c r="D13" s="11" t="n">
        <v>0</v>
      </c>
      <c r="G13" s="11" t="n">
        <v>0.59</v>
      </c>
      <c r="K13" s="11" t="n">
        <v>0</v>
      </c>
      <c r="L13" s="11" t="n">
        <v>0.59</v>
      </c>
    </row>
    <row r="14">
      <c r="A14" s="10" t="inlineStr">
        <is>
          <t>보조금 수입</t>
        </is>
      </c>
      <c r="D14" s="11" t="n">
        <v>-0.1</v>
      </c>
      <c r="G14" s="11" t="n">
        <v>0</v>
      </c>
      <c r="K14" s="11" t="n">
        <v>-0.1</v>
      </c>
      <c r="L14" s="11" t="n">
        <v>0</v>
      </c>
    </row>
    <row r="15">
      <c r="A15" s="10" t="inlineStr">
        <is>
          <t>보험환급금</t>
        </is>
      </c>
      <c r="D15" s="11" t="n">
        <v>-0.08</v>
      </c>
      <c r="G15" s="11" t="n">
        <v>0</v>
      </c>
      <c r="K15" s="11" t="n">
        <v>-0.08</v>
      </c>
      <c r="L15" s="11" t="n">
        <v>0</v>
      </c>
    </row>
    <row r="16">
      <c r="A16" s="10" t="inlineStr">
        <is>
          <t>매출채권 증감</t>
        </is>
      </c>
      <c r="D16" s="11" t="n">
        <v>-7.01</v>
      </c>
      <c r="E16" s="11" t="n">
        <v>-5.15</v>
      </c>
      <c r="G16" s="11" t="n">
        <v>-12.29</v>
      </c>
      <c r="I16" s="11" t="n">
        <v>-8.32</v>
      </c>
      <c r="K16" s="11" t="n">
        <v>-7.01</v>
      </c>
      <c r="L16" s="11" t="n">
        <v>-12.29</v>
      </c>
    </row>
    <row r="17">
      <c r="A17" s="10" t="inlineStr">
        <is>
          <t>선급비용 증감</t>
        </is>
      </c>
      <c r="D17" s="11" t="n">
        <v>-0.52</v>
      </c>
      <c r="G17" s="11" t="n">
        <v>-3.34</v>
      </c>
      <c r="K17" s="11" t="n">
        <v>-0.52</v>
      </c>
      <c r="L17" s="11" t="n">
        <v>-3.34</v>
      </c>
    </row>
    <row r="18">
      <c r="A18" s="10" t="inlineStr">
        <is>
          <t>매입채무 증감</t>
        </is>
      </c>
      <c r="D18" s="11" t="n">
        <v>1.82</v>
      </c>
      <c r="E18" s="11" t="n">
        <v>0.68</v>
      </c>
      <c r="G18" s="11" t="n">
        <v>1.72</v>
      </c>
      <c r="I18" s="11" t="n">
        <v>1.12</v>
      </c>
      <c r="K18" s="11" t="n">
        <v>1.82</v>
      </c>
      <c r="L18" s="11" t="n">
        <v>1.72</v>
      </c>
    </row>
    <row r="19">
      <c r="A19" s="10" t="inlineStr">
        <is>
          <t>미지급금·미지급비용 증감</t>
        </is>
      </c>
      <c r="D19" s="11" t="n">
        <v>-1.57</v>
      </c>
      <c r="E19" s="11" t="n">
        <v>0.83</v>
      </c>
      <c r="G19" s="11" t="n">
        <v>2.01</v>
      </c>
      <c r="I19" s="11" t="n">
        <v>1.46</v>
      </c>
      <c r="K19" s="11" t="n">
        <v>-1.57</v>
      </c>
      <c r="L19" s="11" t="n">
        <v>2.01</v>
      </c>
    </row>
    <row r="20">
      <c r="A20" s="10" t="inlineStr">
        <is>
          <t>계약부채 증감</t>
        </is>
      </c>
      <c r="D20" s="11" t="n">
        <v>0.77</v>
      </c>
      <c r="G20" s="11" t="n">
        <v>2.94</v>
      </c>
      <c r="K20" s="11" t="n">
        <v>0.77</v>
      </c>
      <c r="L20" s="11" t="n">
        <v>2.94</v>
      </c>
    </row>
    <row r="21">
      <c r="A21" s="10" t="inlineStr">
        <is>
          <t>예수금 증감</t>
        </is>
      </c>
      <c r="D21" s="11" t="n">
        <v>-0.02</v>
      </c>
      <c r="G21" s="11" t="n">
        <v>1.66</v>
      </c>
      <c r="K21" s="11" t="n">
        <v>-0.02</v>
      </c>
      <c r="L21" s="11" t="n">
        <v>1.66</v>
      </c>
    </row>
    <row r="22">
      <c r="A22" s="10" t="inlineStr">
        <is>
          <t>미지급 소비세 증감</t>
        </is>
      </c>
      <c r="D22" s="11" t="n">
        <v>2.73</v>
      </c>
      <c r="G22" s="11" t="n">
        <v>3.01</v>
      </c>
      <c r="K22" s="11" t="n">
        <v>2.73</v>
      </c>
      <c r="L22" s="11" t="n">
        <v>3.01</v>
      </c>
    </row>
    <row r="23">
      <c r="A23" s="10" t="inlineStr">
        <is>
          <t>파산갱생채권 증감</t>
        </is>
      </c>
      <c r="D23" s="11" t="n">
        <v>2.26</v>
      </c>
      <c r="G23" s="11" t="n">
        <v>0</v>
      </c>
      <c r="K23" s="11" t="n">
        <v>2.26</v>
      </c>
      <c r="L23" s="11" t="n">
        <v>0</v>
      </c>
    </row>
    <row r="24">
      <c r="A24" s="10" t="inlineStr">
        <is>
          <t>기타</t>
        </is>
      </c>
      <c r="D24" s="11" t="n">
        <v>-0.59</v>
      </c>
      <c r="E24" s="11" t="n">
        <v>-1.69</v>
      </c>
      <c r="G24" s="11" t="n">
        <v>0.5600000000000001</v>
      </c>
      <c r="I24" s="11" t="n">
        <v>-3.47</v>
      </c>
      <c r="K24" s="11" t="n">
        <v>-0.59</v>
      </c>
      <c r="L24" s="11" t="n">
        <v>0.5600000000000001</v>
      </c>
    </row>
    <row r="25">
      <c r="A25" s="10" t="inlineStr">
        <is>
          <t>소계</t>
        </is>
      </c>
      <c r="D25" s="11" t="n">
        <v>24.24</v>
      </c>
      <c r="E25" s="11" t="n">
        <v>17.98</v>
      </c>
      <c r="G25" s="11" t="n">
        <v>53.41</v>
      </c>
      <c r="I25" s="11" t="n">
        <v>29.69</v>
      </c>
      <c r="K25" s="11" t="n">
        <v>24.24</v>
      </c>
      <c r="L25" s="11" t="n">
        <v>53.41</v>
      </c>
    </row>
    <row r="26">
      <c r="A26" s="10" t="inlineStr">
        <is>
          <t>이자 수취</t>
        </is>
      </c>
      <c r="D26" s="11" t="n">
        <v>0</v>
      </c>
      <c r="E26" s="11" t="n">
        <v>0.01</v>
      </c>
      <c r="G26" s="11" t="n">
        <v>0.04</v>
      </c>
      <c r="I26" s="11" t="n">
        <v>0.1</v>
      </c>
      <c r="K26" s="11" t="n">
        <v>0</v>
      </c>
      <c r="L26" s="11" t="n">
        <v>0.04</v>
      </c>
    </row>
    <row r="27">
      <c r="A27" s="10" t="inlineStr">
        <is>
          <t>이자 지급</t>
        </is>
      </c>
      <c r="D27" s="11" t="n">
        <v>-0.09</v>
      </c>
      <c r="E27" s="11" t="n">
        <v>-0.06</v>
      </c>
      <c r="G27" s="11" t="n">
        <v>-0.11</v>
      </c>
      <c r="I27" s="11" t="n">
        <v>-0.05</v>
      </c>
      <c r="K27" s="11" t="n">
        <v>-0.09</v>
      </c>
      <c r="L27" s="11" t="n">
        <v>-0.11</v>
      </c>
    </row>
    <row r="28">
      <c r="A28" s="10" t="inlineStr">
        <is>
          <t>보조금 수취</t>
        </is>
      </c>
      <c r="D28" s="11" t="n">
        <v>0.1</v>
      </c>
      <c r="G28" s="11" t="n">
        <v>0</v>
      </c>
      <c r="K28" s="11" t="n">
        <v>0.1</v>
      </c>
      <c r="L28" s="11" t="n">
        <v>0</v>
      </c>
    </row>
    <row r="29">
      <c r="A29" s="10" t="inlineStr">
        <is>
          <t>보험금 수취</t>
        </is>
      </c>
      <c r="D29" s="11" t="n">
        <v>0.08</v>
      </c>
      <c r="G29" s="11" t="n">
        <v>0</v>
      </c>
      <c r="K29" s="11" t="n">
        <v>0.08</v>
      </c>
      <c r="L29" s="11" t="n">
        <v>0</v>
      </c>
    </row>
    <row r="30">
      <c r="A30" s="10" t="inlineStr">
        <is>
          <t>법인세 납부·환급</t>
        </is>
      </c>
      <c r="D30" s="11" t="n">
        <v>-4.99</v>
      </c>
      <c r="G30" s="11" t="n">
        <v>-10.49</v>
      </c>
      <c r="K30" s="11" t="n">
        <v>-4.99</v>
      </c>
      <c r="L30" s="11" t="n">
        <v>-10.49</v>
      </c>
    </row>
    <row r="31">
      <c r="A31" s="10" t="inlineStr">
        <is>
          <t>법인세 납부</t>
        </is>
      </c>
      <c r="E31" s="11" t="n">
        <v>-6.37</v>
      </c>
      <c r="I31" s="11" t="n">
        <v>-10.61</v>
      </c>
    </row>
    <row r="32">
      <c r="A32" s="10" t="inlineStr">
        <is>
          <t>영업활동 현금흐름</t>
        </is>
      </c>
      <c r="D32" s="11" t="n">
        <v>19.34</v>
      </c>
      <c r="E32" s="11" t="n">
        <v>11.56</v>
      </c>
      <c r="G32" s="11" t="n">
        <v>42.86</v>
      </c>
      <c r="I32" s="11" t="n">
        <v>19.13</v>
      </c>
      <c r="K32" s="11" t="n">
        <v>19.34</v>
      </c>
      <c r="L32" s="11" t="n">
        <v>42.86</v>
      </c>
    </row>
    <row r="33">
      <c r="A33" s="10" t="inlineStr">
        <is>
          <t>정기예금 예입</t>
        </is>
      </c>
      <c r="D33" s="11" t="n">
        <v>-0.05</v>
      </c>
      <c r="E33" s="11" t="n">
        <v>-0.05</v>
      </c>
      <c r="G33" s="11" t="n">
        <v>-0.05</v>
      </c>
      <c r="I33" s="11" t="n">
        <v>-10.05</v>
      </c>
      <c r="K33" s="11" t="n">
        <v>-0.05</v>
      </c>
      <c r="L33" s="11" t="n">
        <v>-0.05</v>
      </c>
    </row>
    <row r="34">
      <c r="A34" s="10" t="inlineStr">
        <is>
          <t>정기예금 인출</t>
        </is>
      </c>
      <c r="D34" s="11" t="n">
        <v>0.05</v>
      </c>
      <c r="E34" s="11" t="n">
        <v>0.05</v>
      </c>
      <c r="G34" s="11" t="n">
        <v>0.05</v>
      </c>
      <c r="I34" s="11" t="n">
        <v>0.05</v>
      </c>
      <c r="K34" s="11" t="n">
        <v>0.05</v>
      </c>
      <c r="L34" s="11" t="n">
        <v>0.05</v>
      </c>
    </row>
    <row r="35">
      <c r="A35" s="10" t="inlineStr">
        <is>
          <t>유형자산 취득(설비투자)</t>
        </is>
      </c>
      <c r="D35" s="11" t="n">
        <v>-1.97</v>
      </c>
      <c r="E35" s="11" t="n">
        <v>-0.17</v>
      </c>
      <c r="G35" s="11" t="n">
        <v>-0.33</v>
      </c>
      <c r="I35" s="11" t="n">
        <v>-1.98</v>
      </c>
      <c r="K35" s="11" t="n">
        <v>-1.97</v>
      </c>
      <c r="L35" s="11" t="n">
        <v>-0.33</v>
      </c>
    </row>
    <row r="36">
      <c r="A36" s="10" t="inlineStr">
        <is>
          <t>유형자산 매각</t>
        </is>
      </c>
      <c r="D36" s="11" t="n">
        <v>0.01</v>
      </c>
      <c r="G36" s="11" t="n">
        <v>0</v>
      </c>
      <c r="K36" s="11" t="n">
        <v>0.01</v>
      </c>
      <c r="L36" s="11" t="n">
        <v>0</v>
      </c>
    </row>
    <row r="37">
      <c r="A37" s="10" t="inlineStr">
        <is>
          <t>유형자산 제각 지출</t>
        </is>
      </c>
      <c r="D37" s="11" t="n">
        <v>0</v>
      </c>
      <c r="G37" s="11" t="n">
        <v>-0</v>
      </c>
      <c r="K37" s="11" t="n">
        <v>0</v>
      </c>
      <c r="L37" s="11" t="n">
        <v>-0</v>
      </c>
    </row>
    <row r="38">
      <c r="A38" s="10" t="inlineStr">
        <is>
          <t>임차보증금·보증금 납입</t>
        </is>
      </c>
      <c r="D38" s="11" t="n">
        <v>-2.06</v>
      </c>
      <c r="E38" s="11" t="n">
        <v>0</v>
      </c>
      <c r="G38" s="11" t="n">
        <v>-18.52</v>
      </c>
      <c r="I38" s="11" t="n">
        <v>-17.76</v>
      </c>
      <c r="K38" s="11" t="n">
        <v>-2.06</v>
      </c>
      <c r="L38" s="11" t="n">
        <v>-18.52</v>
      </c>
    </row>
    <row r="39">
      <c r="A39" s="10" t="inlineStr">
        <is>
          <t>임차보증금·보증금 회수</t>
        </is>
      </c>
      <c r="D39" s="11" t="n">
        <v>0</v>
      </c>
      <c r="G39" s="11" t="n">
        <v>0.15</v>
      </c>
      <c r="K39" s="11" t="n">
        <v>0</v>
      </c>
      <c r="L39" s="11" t="n">
        <v>0.15</v>
      </c>
    </row>
    <row r="40">
      <c r="A40" s="10" t="inlineStr">
        <is>
          <t>기타</t>
        </is>
      </c>
      <c r="D40" s="11" t="n">
        <v>0.23</v>
      </c>
      <c r="E40" s="11" t="n">
        <v>0.01</v>
      </c>
      <c r="G40" s="11" t="n">
        <v>-0</v>
      </c>
      <c r="I40" s="11" t="n">
        <v>0</v>
      </c>
      <c r="K40" s="11" t="n">
        <v>0.23</v>
      </c>
      <c r="L40" s="11" t="n">
        <v>-0</v>
      </c>
    </row>
    <row r="41">
      <c r="A41" s="10" t="inlineStr">
        <is>
          <t>투자활동 현금흐름</t>
        </is>
      </c>
      <c r="D41" s="11" t="n">
        <v>-3.79</v>
      </c>
      <c r="E41" s="11" t="n">
        <v>-0.15</v>
      </c>
      <c r="G41" s="11" t="n">
        <v>-18.71</v>
      </c>
      <c r="I41" s="11" t="n">
        <v>-29.74</v>
      </c>
      <c r="K41" s="11" t="n">
        <v>-3.79</v>
      </c>
      <c r="L41" s="11" t="n">
        <v>-18.71</v>
      </c>
    </row>
    <row r="42">
      <c r="A42" s="10" t="inlineStr">
        <is>
          <t>단기차입</t>
        </is>
      </c>
      <c r="D42" s="11" t="n">
        <v>6.9</v>
      </c>
      <c r="E42" s="11" t="n">
        <v>6</v>
      </c>
      <c r="G42" s="11" t="n">
        <v>6</v>
      </c>
      <c r="I42" s="11" t="n">
        <v>0</v>
      </c>
      <c r="K42" s="11" t="n">
        <v>6.9</v>
      </c>
      <c r="L42" s="11" t="n">
        <v>6</v>
      </c>
    </row>
    <row r="43">
      <c r="A43" s="10" t="inlineStr">
        <is>
          <t>단기차입금 상환</t>
        </is>
      </c>
      <c r="D43" s="11" t="n">
        <v>-6.56</v>
      </c>
      <c r="E43" s="11" t="n">
        <v>-4.63</v>
      </c>
      <c r="G43" s="11" t="n">
        <v>-6.63</v>
      </c>
      <c r="I43" s="11" t="n">
        <v>0</v>
      </c>
      <c r="K43" s="11" t="n">
        <v>-6.56</v>
      </c>
      <c r="L43" s="11" t="n">
        <v>-6.63</v>
      </c>
    </row>
    <row r="44">
      <c r="A44" s="10" t="inlineStr">
        <is>
          <t>장기차입</t>
        </is>
      </c>
      <c r="D44" s="11" t="n">
        <v>4.35</v>
      </c>
      <c r="G44" s="11" t="n">
        <v>0</v>
      </c>
      <c r="K44" s="11" t="n">
        <v>4.35</v>
      </c>
      <c r="L44" s="11" t="n">
        <v>0</v>
      </c>
    </row>
    <row r="45">
      <c r="A45" s="10" t="inlineStr">
        <is>
          <t>장기차입금 상환</t>
        </is>
      </c>
      <c r="D45" s="11" t="n">
        <v>-2.43</v>
      </c>
      <c r="E45" s="11" t="n">
        <v>-1.14</v>
      </c>
      <c r="G45" s="11" t="n">
        <v>-2.33</v>
      </c>
      <c r="I45" s="11" t="n">
        <v>-1.21</v>
      </c>
      <c r="K45" s="11" t="n">
        <v>-2.43</v>
      </c>
      <c r="L45" s="11" t="n">
        <v>-2.33</v>
      </c>
    </row>
    <row r="46">
      <c r="A46" s="10" t="inlineStr">
        <is>
          <t>사채 상환</t>
        </is>
      </c>
      <c r="D46" s="11" t="n">
        <v>-0.91</v>
      </c>
      <c r="E46" s="11" t="n">
        <v>-0.43</v>
      </c>
      <c r="G46" s="11" t="n">
        <v>-0.86</v>
      </c>
      <c r="I46" s="11" t="n">
        <v>-0.1</v>
      </c>
      <c r="K46" s="11" t="n">
        <v>-0.91</v>
      </c>
      <c r="L46" s="11" t="n">
        <v>-0.86</v>
      </c>
    </row>
    <row r="47">
      <c r="A47" s="10" t="inlineStr">
        <is>
          <t>주식 발행</t>
        </is>
      </c>
      <c r="D47" s="11" t="n">
        <v>0</v>
      </c>
      <c r="G47" s="11" t="n">
        <v>93.73999999999999</v>
      </c>
      <c r="K47" s="11" t="n">
        <v>0</v>
      </c>
      <c r="L47" s="11" t="n">
        <v>93.73999999999999</v>
      </c>
    </row>
    <row r="48">
      <c r="A48" s="10" t="inlineStr">
        <is>
          <t>상장 관련 비용 지출</t>
        </is>
      </c>
      <c r="D48" s="11" t="n">
        <v>0</v>
      </c>
      <c r="G48" s="11" t="n">
        <v>-0.59</v>
      </c>
      <c r="K48" s="11" t="n">
        <v>0</v>
      </c>
      <c r="L48" s="11" t="n">
        <v>-0.59</v>
      </c>
    </row>
    <row r="49">
      <c r="A49" s="10" t="inlineStr">
        <is>
          <t>기타</t>
        </is>
      </c>
      <c r="D49" s="11" t="n">
        <v>-0.06</v>
      </c>
      <c r="E49" s="11" t="n">
        <v>-0.09</v>
      </c>
      <c r="G49" s="11" t="n">
        <v>-0.19</v>
      </c>
      <c r="I49" s="11" t="n">
        <v>-0.15</v>
      </c>
      <c r="K49" s="11" t="n">
        <v>-0.06</v>
      </c>
      <c r="L49" s="11" t="n">
        <v>-0.19</v>
      </c>
    </row>
    <row r="50">
      <c r="A50" s="10" t="inlineStr">
        <is>
          <t>재무활동 현금흐름</t>
        </is>
      </c>
      <c r="D50" s="11" t="n">
        <v>1.27</v>
      </c>
      <c r="E50" s="11" t="n">
        <v>-0.29</v>
      </c>
      <c r="G50" s="11" t="n">
        <v>89.12</v>
      </c>
      <c r="I50" s="11" t="n">
        <v>-1.46</v>
      </c>
      <c r="K50" s="11" t="n">
        <v>1.27</v>
      </c>
      <c r="L50" s="11" t="n">
        <v>89.12</v>
      </c>
    </row>
    <row r="51">
      <c r="A51" s="10" t="inlineStr">
        <is>
          <t>현금성자산 증감</t>
        </is>
      </c>
      <c r="D51" s="11" t="n">
        <v>16.81</v>
      </c>
      <c r="E51" s="11" t="n">
        <v>11.1</v>
      </c>
      <c r="G51" s="11" t="n">
        <v>113.26</v>
      </c>
      <c r="I51" s="11" t="n">
        <v>-12.07</v>
      </c>
      <c r="K51" s="11" t="n">
        <v>16.81</v>
      </c>
      <c r="L51" s="11" t="n">
        <v>113.26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1" t="inlineStr">
        <is>
          <t>출처 · 쓴 결산단신</t>
        </is>
      </c>
    </row>
    <row r="3">
      <c r="A3" s="12" t="inlineStr">
        <is>
          <t>공시일</t>
        </is>
      </c>
      <c r="B3" s="12" t="inlineStr">
        <is>
          <t>문서</t>
        </is>
      </c>
      <c r="C3" s="12" t="inlineStr">
        <is>
          <t>PDF</t>
        </is>
      </c>
    </row>
    <row r="4">
      <c r="A4" t="inlineStr">
        <is>
          <t>2026-09-11</t>
        </is>
      </c>
      <c r="B4" t="inlineStr">
        <is>
          <t>2027년 1월 결산기 ２분기 결산단신</t>
        </is>
      </c>
      <c r="C4" t="inlineStr">
        <is>
          <t>https://www2.jpx.co.jp/disc/446A0/140120260911535032.pdf</t>
        </is>
      </c>
    </row>
    <row r="5">
      <c r="A5" t="inlineStr">
        <is>
          <t>2026-06-11</t>
        </is>
      </c>
      <c r="B5" t="inlineStr">
        <is>
          <t>2027년 1월 결산기 １분기 결산단신</t>
        </is>
      </c>
      <c r="C5" t="inlineStr">
        <is>
          <t>https://www2.jpx.co.jp/disc/446A0/140120260610567210.pdf</t>
        </is>
      </c>
    </row>
    <row r="6">
      <c r="A6" t="inlineStr">
        <is>
          <t>2026-03-13</t>
        </is>
      </c>
      <c r="B6" t="inlineStr">
        <is>
          <t>2026년 1월 결산기 연간 결산단신</t>
        </is>
      </c>
      <c r="C6" t="inlineStr">
        <is>
          <t>https://www2.jpx.co.jp/disc/446A0/140120260312580943.pdf</t>
        </is>
      </c>
    </row>
    <row r="7">
      <c r="A7" t="inlineStr">
        <is>
          <t>2025-12-12</t>
        </is>
      </c>
      <c r="B7" t="inlineStr">
        <is>
          <t>2026년 1월 결산기 ３분기 결산단신</t>
        </is>
      </c>
      <c r="C7" t="inlineStr">
        <is>
          <t>https://www2.jpx.co.jp/disc/446A0/140120251211517866.pdf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2026-10-25T07:12:55Z</dcterms:created>
  <dcterms:modified xmlns:dcterms="http://purl.org/dc/terms/" xmlns:xsi="http://www.w3.org/2001/XMLSchema-instance" xsi:type="dcterms:W3CDTF">2026-10-25T07:12:55Z</dcterms:modified>
</cp:coreProperties>
</file>