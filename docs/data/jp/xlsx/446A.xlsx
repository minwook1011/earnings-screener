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4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노스샌드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1월 결산 · 일본 기준 · 2027.2Q = 2027년 1월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/>
      <c r="D4" s="12" t="n"/>
      <c r="E4" s="12" t="n"/>
      <c r="F4" s="12" t="n"/>
      <c r="G4" s="12" t="n"/>
      <c r="H4" s="12" t="n"/>
      <c r="I4" s="12" t="n"/>
      <c r="J4" s="12" t="n"/>
      <c r="K4" s="12" t="n">
        <v>6847</v>
      </c>
      <c r="L4" s="12" t="n">
        <v>7824</v>
      </c>
      <c r="M4" s="12" t="n">
        <v>8856</v>
      </c>
      <c r="N4" s="12" t="n">
        <v>9589</v>
      </c>
      <c r="O4" s="11" t="n"/>
      <c r="P4" s="12" t="n"/>
      <c r="Q4" s="12" t="n"/>
      <c r="R4" s="12" t="n"/>
      <c r="S4" s="12" t="n"/>
      <c r="T4" s="12" t="n"/>
      <c r="U4" s="12" t="n"/>
      <c r="V4" s="12" t="n"/>
      <c r="W4" s="12" t="n">
        <v>16417</v>
      </c>
      <c r="X4" s="12" t="n">
        <v>26185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/>
      <c r="D11" s="22" t="n"/>
      <c r="E11" s="22" t="n"/>
      <c r="F11" s="22" t="n"/>
      <c r="G11" s="22" t="n"/>
      <c r="H11" s="22" t="n"/>
      <c r="I11" s="22" t="n"/>
      <c r="J11" s="22" t="n"/>
      <c r="K11" s="22" t="n">
        <v>3556</v>
      </c>
      <c r="L11" s="22" t="n">
        <v>3891</v>
      </c>
      <c r="M11" s="22" t="n">
        <v>4452</v>
      </c>
      <c r="N11" s="22" t="n">
        <v>5084</v>
      </c>
      <c r="O11" s="21" t="n"/>
      <c r="P11" s="22" t="n"/>
      <c r="Q11" s="22" t="n"/>
      <c r="R11" s="22" t="n"/>
      <c r="S11" s="22" t="n"/>
      <c r="T11" s="22" t="n"/>
      <c r="U11" s="22" t="n"/>
      <c r="V11" s="22" t="n"/>
      <c r="W11" s="22" t="n">
        <v>8793</v>
      </c>
      <c r="X11" s="22" t="n">
        <v>13403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/>
      <c r="D15" s="22" t="n"/>
      <c r="E15" s="22" t="n"/>
      <c r="F15" s="22" t="n"/>
      <c r="G15" s="22" t="n"/>
      <c r="H15" s="22" t="n"/>
      <c r="I15" s="22" t="n"/>
      <c r="J15" s="22" t="n"/>
      <c r="K15" s="22" t="n">
        <v>1808</v>
      </c>
      <c r="L15" s="22" t="n">
        <v>2101</v>
      </c>
      <c r="M15" s="22" t="n">
        <v>2595</v>
      </c>
      <c r="N15" s="22" t="n">
        <v>2548</v>
      </c>
      <c r="O15" s="21" t="n"/>
      <c r="P15" s="22" t="n"/>
      <c r="Q15" s="22" t="n"/>
      <c r="R15" s="22" t="n"/>
      <c r="S15" s="22" t="n"/>
      <c r="T15" s="22" t="n"/>
      <c r="U15" s="22" t="n"/>
      <c r="V15" s="22" t="n"/>
      <c r="W15" s="22" t="n">
        <v>4849</v>
      </c>
      <c r="X15" s="22" t="n">
        <v>7234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>
        <v>1482</v>
      </c>
      <c r="L16" s="12" t="n">
        <v>1832</v>
      </c>
      <c r="M16" s="12" t="n">
        <v>1809</v>
      </c>
      <c r="N16" s="12" t="n">
        <v>1957</v>
      </c>
      <c r="O16" s="11" t="n"/>
      <c r="P16" s="12" t="n"/>
      <c r="Q16" s="12" t="n"/>
      <c r="R16" s="12" t="n"/>
      <c r="S16" s="12" t="n"/>
      <c r="T16" s="12" t="n"/>
      <c r="U16" s="12" t="n"/>
      <c r="V16" s="12" t="n"/>
      <c r="W16" s="12" t="n">
        <v>2774</v>
      </c>
      <c r="X16" s="12" t="n">
        <v>5547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>
        <v>1088</v>
      </c>
      <c r="X21" s="22" t="n">
        <v>1916</v>
      </c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>
        <v>63</v>
      </c>
      <c r="X23" s="22" t="n">
        <v>134</v>
      </c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특별이익</t>
        </is>
      </c>
      <c r="B32" s="10" t="n"/>
      <c r="C32" s="21" t="n"/>
      <c r="D32" s="22" t="n"/>
      <c r="E32" s="22" t="n"/>
      <c r="F32" s="22" t="n"/>
      <c r="G32" s="22" t="n"/>
      <c r="H32" s="22" t="n"/>
      <c r="I32" s="22" t="n"/>
      <c r="J32" s="22" t="n"/>
      <c r="K32" s="22" t="n"/>
      <c r="L32" s="22" t="n"/>
      <c r="M32" s="22" t="n"/>
      <c r="N32" s="22" t="n"/>
      <c r="O32" s="21" t="n"/>
      <c r="P32" s="22" t="n"/>
      <c r="Q32" s="22" t="n"/>
      <c r="R32" s="22" t="n"/>
      <c r="S32" s="22" t="n"/>
      <c r="T32" s="22" t="n"/>
      <c r="U32" s="22" t="n"/>
      <c r="V32" s="22" t="n"/>
      <c r="W32" s="22" t="n">
        <v>0</v>
      </c>
      <c r="X32" s="22" t="n">
        <v>0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특별손실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>
        <v>0</v>
      </c>
      <c r="N34" s="22" t="n">
        <v>2</v>
      </c>
      <c r="O34" s="21" t="n"/>
      <c r="P34" s="22" t="n"/>
      <c r="Q34" s="22" t="n"/>
      <c r="R34" s="22" t="n"/>
      <c r="S34" s="22" t="n"/>
      <c r="T34" s="22" t="n"/>
      <c r="U34" s="22" t="n"/>
      <c r="V34" s="22" t="n"/>
      <c r="W34" s="22" t="n">
        <v>0</v>
      </c>
      <c r="X34" s="22" t="n">
        <v>2</v>
      </c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영업외수익</t>
        </is>
      </c>
      <c r="B36" s="10" t="n"/>
      <c r="C36" s="21" t="n"/>
      <c r="D36" s="22" t="n"/>
      <c r="E36" s="22" t="n"/>
      <c r="F36" s="22" t="n"/>
      <c r="G36" s="22" t="n"/>
      <c r="H36" s="22" t="n"/>
      <c r="I36" s="22" t="n"/>
      <c r="J36" s="22" t="n"/>
      <c r="K36" s="22" t="n">
        <v>-1</v>
      </c>
      <c r="L36" s="22" t="n">
        <v>2</v>
      </c>
      <c r="M36" s="22" t="n">
        <v>11</v>
      </c>
      <c r="N36" s="22" t="n">
        <v>4</v>
      </c>
      <c r="O36" s="21" t="n"/>
      <c r="P36" s="22" t="n"/>
      <c r="Q36" s="22" t="n"/>
      <c r="R36" s="22" t="n"/>
      <c r="S36" s="22" t="n"/>
      <c r="T36" s="22" t="n"/>
      <c r="U36" s="22" t="n"/>
      <c r="V36" s="22" t="n"/>
      <c r="W36" s="22" t="n">
        <v>42</v>
      </c>
      <c r="X36" s="22" t="n">
        <v>15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영업외비용</t>
        </is>
      </c>
      <c r="B38" s="10" t="n"/>
      <c r="C38" s="21" t="n"/>
      <c r="D38" s="22" t="n"/>
      <c r="E38" s="22" t="n"/>
      <c r="F38" s="22" t="n"/>
      <c r="G38" s="22" t="n"/>
      <c r="H38" s="22" t="n"/>
      <c r="I38" s="22" t="n"/>
      <c r="J38" s="22" t="n"/>
      <c r="K38" s="22" t="n">
        <v>19</v>
      </c>
      <c r="L38" s="22" t="n">
        <v>53</v>
      </c>
      <c r="M38" s="22" t="n">
        <v>5</v>
      </c>
      <c r="N38" s="22" t="n">
        <v>3</v>
      </c>
      <c r="O38" s="21" t="n"/>
      <c r="P38" s="22" t="n"/>
      <c r="Q38" s="22" t="n"/>
      <c r="R38" s="22" t="n"/>
      <c r="S38" s="22" t="n"/>
      <c r="T38" s="22" t="n"/>
      <c r="U38" s="22" t="n"/>
      <c r="V38" s="22" t="n"/>
      <c r="W38" s="22" t="n">
        <v>17</v>
      </c>
      <c r="X38" s="22" t="n">
        <v>83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>
        <v>1462</v>
      </c>
      <c r="L40" s="12" t="n">
        <v>1779</v>
      </c>
      <c r="M40" s="12" t="n">
        <v>1815</v>
      </c>
      <c r="N40" s="12" t="n">
        <v>1956</v>
      </c>
      <c r="O40" s="11" t="n"/>
      <c r="P40" s="12" t="n"/>
      <c r="Q40" s="12" t="n"/>
      <c r="R40" s="12" t="n"/>
      <c r="S40" s="12" t="n"/>
      <c r="T40" s="12" t="n"/>
      <c r="U40" s="12" t="n"/>
      <c r="V40" s="12" t="n"/>
      <c r="W40" s="12" t="n">
        <v>2799</v>
      </c>
      <c r="X40" s="12" t="n">
        <v>5477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/>
      <c r="D41" s="22" t="n"/>
      <c r="E41" s="22" t="n"/>
      <c r="F41" s="22" t="n"/>
      <c r="G41" s="22" t="n"/>
      <c r="H41" s="22" t="n"/>
      <c r="I41" s="22" t="n"/>
      <c r="J41" s="22" t="n"/>
      <c r="K41" s="22" t="n">
        <v>439</v>
      </c>
      <c r="L41" s="22" t="n">
        <v>316</v>
      </c>
      <c r="M41" s="22" t="n">
        <v>477</v>
      </c>
      <c r="N41" s="22" t="n">
        <v>511</v>
      </c>
      <c r="O41" s="21" t="n"/>
      <c r="P41" s="22" t="n"/>
      <c r="Q41" s="22" t="n"/>
      <c r="R41" s="22" t="n"/>
      <c r="S41" s="22" t="n"/>
      <c r="T41" s="22" t="n"/>
      <c r="U41" s="22" t="n"/>
      <c r="V41" s="22" t="n"/>
      <c r="W41" s="22" t="n">
        <v>825</v>
      </c>
      <c r="X41" s="22" t="n">
        <v>1430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>
        <v>1023</v>
      </c>
      <c r="L43" s="12" t="n">
        <v>1463</v>
      </c>
      <c r="M43" s="12" t="n">
        <v>1337</v>
      </c>
      <c r="N43" s="12" t="n">
        <v>1446</v>
      </c>
      <c r="O43" s="11" t="n"/>
      <c r="P43" s="12" t="n"/>
      <c r="Q43" s="12" t="n"/>
      <c r="R43" s="12" t="n"/>
      <c r="S43" s="12" t="n"/>
      <c r="T43" s="12" t="n"/>
      <c r="U43" s="12" t="n"/>
      <c r="V43" s="12" t="n"/>
      <c r="W43" s="12" t="n">
        <v>1974</v>
      </c>
      <c r="X43" s="12" t="n">
        <v>4046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>
        <v>1023</v>
      </c>
      <c r="L44" s="12" t="n">
        <v>1463</v>
      </c>
      <c r="M44" s="12" t="n">
        <v>1337</v>
      </c>
      <c r="N44" s="12" t="n">
        <v>1446</v>
      </c>
      <c r="O44" s="11" t="n"/>
      <c r="P44" s="12" t="n"/>
      <c r="Q44" s="12" t="n"/>
      <c r="R44" s="12" t="n"/>
      <c r="S44" s="12" t="n"/>
      <c r="T44" s="12" t="n"/>
      <c r="U44" s="12" t="n"/>
      <c r="V44" s="12" t="n"/>
      <c r="W44" s="12" t="n">
        <v>1974</v>
      </c>
      <c r="X44" s="12" t="n">
        <v>4046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(2026.10.23)</t>
        </is>
      </c>
      <c r="B47" s="29" t="n">
        <v>2895</v>
      </c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>
        <v>69000000</v>
      </c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 2026.10.23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2024.3Q</t>
        </is>
      </c>
      <c r="D77" s="5" t="inlineStr">
        <is>
          <t>2024.4Q</t>
        </is>
      </c>
      <c r="E77" s="5" t="inlineStr">
        <is>
          <t>2025.1Q</t>
        </is>
      </c>
      <c r="F77" s="5" t="inlineStr">
        <is>
          <t>2025.2Q</t>
        </is>
      </c>
      <c r="G77" s="5" t="inlineStr">
        <is>
          <t>2025.3Q</t>
        </is>
      </c>
      <c r="H77" s="5" t="inlineStr">
        <is>
          <t>2025.4Q</t>
        </is>
      </c>
      <c r="I77" s="5" t="inlineStr">
        <is>
          <t>2026.1Q</t>
        </is>
      </c>
      <c r="J77" s="5" t="inlineStr">
        <is>
          <t>2026.2Q</t>
        </is>
      </c>
      <c r="K77" s="5" t="inlineStr">
        <is>
          <t>2026.3Q</t>
        </is>
      </c>
      <c r="L77" s="5" t="inlineStr">
        <is>
          <t>2026.4Q</t>
        </is>
      </c>
      <c r="M77" s="5" t="inlineStr">
        <is>
          <t>2027.1Q</t>
        </is>
      </c>
      <c r="N77" s="5" t="inlineStr">
        <is>
          <t>2027.2Q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매출액</t>
        </is>
      </c>
      <c r="K78" s="12" t="n">
        <v>6847</v>
      </c>
      <c r="L78" s="12" t="n">
        <v>7824</v>
      </c>
      <c r="M78" s="12" t="n">
        <v>8856</v>
      </c>
      <c r="N78" s="12" t="n">
        <v>9589</v>
      </c>
      <c r="X78" s="12" t="n">
        <v>7824</v>
      </c>
    </row>
    <row r="79">
      <c r="A79" s="20" t="inlineStr">
        <is>
          <t>매출원가</t>
        </is>
      </c>
      <c r="K79" s="22" t="n">
        <v>3556</v>
      </c>
      <c r="L79" s="22" t="n">
        <v>3891</v>
      </c>
      <c r="M79" s="22" t="n">
        <v>4452</v>
      </c>
      <c r="N79" s="22" t="n">
        <v>5084</v>
      </c>
      <c r="X79" s="22" t="n">
        <v>3891</v>
      </c>
    </row>
    <row r="80">
      <c r="A80" s="9" t="inlineStr">
        <is>
          <t>매출총이익</t>
        </is>
      </c>
      <c r="K80" s="12" t="n">
        <v>3290</v>
      </c>
      <c r="L80" s="12" t="n">
        <v>3933</v>
      </c>
      <c r="M80" s="12" t="n">
        <v>4404</v>
      </c>
      <c r="N80" s="12" t="n">
        <v>4505</v>
      </c>
      <c r="X80" s="12" t="n">
        <v>3933</v>
      </c>
    </row>
    <row r="81">
      <c r="A81" s="20" t="inlineStr">
        <is>
          <t>판매비와 관리비</t>
        </is>
      </c>
      <c r="K81" s="22" t="n">
        <v>1808</v>
      </c>
      <c r="L81" s="22" t="n">
        <v>2101</v>
      </c>
      <c r="M81" s="22" t="n">
        <v>2595</v>
      </c>
      <c r="N81" s="22" t="n">
        <v>2548</v>
      </c>
      <c r="X81" s="22" t="n">
        <v>2101</v>
      </c>
    </row>
    <row r="82">
      <c r="A82" s="9" t="inlineStr">
        <is>
          <t>영업이익</t>
        </is>
      </c>
      <c r="K82" s="12" t="n">
        <v>1482</v>
      </c>
      <c r="L82" s="12" t="n">
        <v>1832</v>
      </c>
      <c r="M82" s="12" t="n">
        <v>1809</v>
      </c>
      <c r="N82" s="12" t="n">
        <v>1957</v>
      </c>
      <c r="X82" s="12" t="n">
        <v>1832</v>
      </c>
    </row>
    <row r="83">
      <c r="A83" s="20" t="inlineStr">
        <is>
          <t>이자수익</t>
        </is>
      </c>
      <c r="K83" s="22" t="n">
        <v>3</v>
      </c>
      <c r="L83" s="22" t="n">
        <v>0</v>
      </c>
      <c r="M83" s="22" t="n">
        <v>10</v>
      </c>
      <c r="N83" s="22" t="n">
        <v>0</v>
      </c>
      <c r="X83" s="22" t="n">
        <v>0</v>
      </c>
    </row>
    <row r="84">
      <c r="A84" s="20" t="inlineStr">
        <is>
          <t>임대료 수익</t>
        </is>
      </c>
      <c r="K84" s="22" t="n">
        <v>1</v>
      </c>
      <c r="L84" s="22" t="n">
        <v>1</v>
      </c>
      <c r="X84" s="22" t="n">
        <v>1</v>
      </c>
    </row>
    <row r="85">
      <c r="A85" s="20" t="inlineStr">
        <is>
          <t>기타</t>
        </is>
      </c>
      <c r="K85" s="22" t="n">
        <v>1</v>
      </c>
      <c r="L85" s="22" t="n">
        <v>0</v>
      </c>
      <c r="M85" s="22" t="n">
        <v>1</v>
      </c>
      <c r="N85" s="22" t="n">
        <v>2</v>
      </c>
      <c r="X85" s="22" t="n">
        <v>0</v>
      </c>
    </row>
    <row r="86">
      <c r="A86" s="20" t="inlineStr">
        <is>
          <t>영업외수익 합계</t>
        </is>
      </c>
      <c r="K86" s="22" t="n">
        <v>-1</v>
      </c>
      <c r="L86" s="22" t="n">
        <v>2</v>
      </c>
      <c r="M86" s="22" t="n">
        <v>11</v>
      </c>
      <c r="N86" s="22" t="n">
        <v>4</v>
      </c>
      <c r="X86" s="22" t="n">
        <v>2</v>
      </c>
    </row>
    <row r="87">
      <c r="A87" s="20" t="inlineStr">
        <is>
          <t>이자비용</t>
        </is>
      </c>
      <c r="K87" s="22" t="n">
        <v>2</v>
      </c>
      <c r="L87" s="22" t="n">
        <v>3</v>
      </c>
      <c r="M87" s="22" t="n">
        <v>2</v>
      </c>
      <c r="N87" s="22" t="n">
        <v>3</v>
      </c>
      <c r="X87" s="22" t="n">
        <v>3</v>
      </c>
    </row>
    <row r="88">
      <c r="A88" s="20" t="inlineStr">
        <is>
          <t>사채이자</t>
        </is>
      </c>
      <c r="K88" s="22" t="n">
        <v>0</v>
      </c>
      <c r="L88" s="22" t="n">
        <v>0</v>
      </c>
      <c r="M88" s="22" t="n">
        <v>0</v>
      </c>
      <c r="N88" s="22" t="n">
        <v>0</v>
      </c>
      <c r="X88" s="22" t="n">
        <v>0</v>
      </c>
    </row>
    <row r="89">
      <c r="A89" s="20" t="inlineStr">
        <is>
          <t>외환차손</t>
        </is>
      </c>
      <c r="K89" s="22" t="n">
        <v>6</v>
      </c>
      <c r="L89" s="22" t="n">
        <v>0</v>
      </c>
      <c r="M89" s="22" t="n">
        <v>1</v>
      </c>
      <c r="N89" s="22" t="n">
        <v>1</v>
      </c>
      <c r="X89" s="22" t="n">
        <v>0</v>
      </c>
    </row>
    <row r="90">
      <c r="A90" s="20" t="inlineStr">
        <is>
          <t>상장 관련 비용</t>
        </is>
      </c>
      <c r="L90" s="22" t="n">
        <v>48</v>
      </c>
      <c r="X90" s="22" t="n">
        <v>48</v>
      </c>
    </row>
    <row r="91">
      <c r="A91" s="20" t="inlineStr">
        <is>
          <t>기타</t>
        </is>
      </c>
      <c r="K91" s="22" t="n">
        <v>-1</v>
      </c>
      <c r="L91" s="22" t="n">
        <v>2</v>
      </c>
      <c r="M91" s="22" t="n">
        <v>0</v>
      </c>
      <c r="N91" s="22" t="n">
        <v>0</v>
      </c>
      <c r="X91" s="22" t="n">
        <v>2</v>
      </c>
    </row>
    <row r="92">
      <c r="A92" s="20" t="inlineStr">
        <is>
          <t>영업외비용 합계</t>
        </is>
      </c>
      <c r="K92" s="22" t="n">
        <v>19</v>
      </c>
      <c r="L92" s="22" t="n">
        <v>53</v>
      </c>
      <c r="M92" s="22" t="n">
        <v>5</v>
      </c>
      <c r="N92" s="22" t="n">
        <v>3</v>
      </c>
      <c r="X92" s="22" t="n">
        <v>53</v>
      </c>
    </row>
    <row r="93">
      <c r="A93" s="9" t="inlineStr">
        <is>
          <t>경상이익</t>
        </is>
      </c>
      <c r="K93" s="12" t="n">
        <v>1462</v>
      </c>
      <c r="L93" s="12" t="n">
        <v>1781</v>
      </c>
      <c r="M93" s="12" t="n">
        <v>1815</v>
      </c>
      <c r="N93" s="12" t="n">
        <v>1958</v>
      </c>
      <c r="X93" s="12" t="n">
        <v>1781</v>
      </c>
    </row>
    <row r="94">
      <c r="A94" s="20" t="inlineStr">
        <is>
          <t>고정자산 제각손실</t>
        </is>
      </c>
      <c r="M94" s="22" t="n">
        <v>0</v>
      </c>
      <c r="N94" s="22" t="n">
        <v>2</v>
      </c>
    </row>
    <row r="95">
      <c r="A95" s="20" t="inlineStr">
        <is>
          <t>특별손실 합계</t>
        </is>
      </c>
      <c r="M95" s="22" t="n">
        <v>0</v>
      </c>
      <c r="N95" s="22" t="n">
        <v>2</v>
      </c>
    </row>
    <row r="96">
      <c r="A96" s="9" t="inlineStr">
        <is>
          <t>법인세차감전 순이익</t>
        </is>
      </c>
      <c r="K96" s="12" t="n">
        <v>1462</v>
      </c>
      <c r="L96" s="12" t="n">
        <v>1779</v>
      </c>
      <c r="M96" s="12" t="n">
        <v>1815</v>
      </c>
      <c r="N96" s="12" t="n">
        <v>1956</v>
      </c>
      <c r="X96" s="12" t="n">
        <v>1779</v>
      </c>
    </row>
    <row r="97">
      <c r="A97" s="20" t="inlineStr">
        <is>
          <t>법인세 등</t>
        </is>
      </c>
      <c r="K97" s="22" t="n">
        <v>439</v>
      </c>
      <c r="L97" s="22" t="n">
        <v>316</v>
      </c>
      <c r="M97" s="22" t="n">
        <v>477</v>
      </c>
      <c r="N97" s="22" t="n">
        <v>511</v>
      </c>
      <c r="X97" s="22" t="n">
        <v>316</v>
      </c>
    </row>
    <row r="98">
      <c r="A98" s="9" t="inlineStr">
        <is>
          <t>순이익</t>
        </is>
      </c>
      <c r="K98" s="12" t="n">
        <v>1023</v>
      </c>
      <c r="L98" s="12" t="n">
        <v>1463</v>
      </c>
      <c r="M98" s="12" t="n">
        <v>1337</v>
      </c>
      <c r="N98" s="12" t="n">
        <v>1446</v>
      </c>
      <c r="X98" s="12" t="n">
        <v>1463</v>
      </c>
    </row>
    <row r="100">
      <c r="A100" s="18" t="inlineStr">
        <is>
          <t>현금흐름표 · 전 항목</t>
        </is>
      </c>
      <c r="B100" s="44" t="inlineStr">
        <is>
          <t>분기 = 결산기 첫날부터 누계(공시 그대로)</t>
        </is>
      </c>
      <c r="C100" s="18" t="n"/>
      <c r="D100" s="18" t="n"/>
      <c r="E100" s="18" t="n"/>
      <c r="F100" s="18" t="n"/>
      <c r="G100" s="18" t="n"/>
      <c r="H100" s="18" t="n"/>
      <c r="I100" s="18" t="n"/>
      <c r="J100" s="18" t="n"/>
      <c r="K100" s="18" t="n"/>
      <c r="L100" s="18" t="n"/>
      <c r="M100" s="18" t="n"/>
      <c r="N100" s="18" t="n"/>
      <c r="O100" s="18" t="n"/>
      <c r="P100" s="18" t="n"/>
      <c r="Q100" s="18" t="n"/>
      <c r="R100" s="18" t="n"/>
      <c r="S100" s="18" t="n"/>
      <c r="T100" s="18" t="n"/>
      <c r="U100" s="18" t="n"/>
      <c r="V100" s="18" t="n"/>
      <c r="W100" s="18" t="n"/>
      <c r="X100" s="18" t="n"/>
      <c r="Y100" s="18" t="n"/>
      <c r="Z100" s="18" t="n"/>
      <c r="AA100" s="18" t="n"/>
      <c r="AB100" s="18" t="n"/>
      <c r="AC100" s="18" t="n"/>
    </row>
    <row r="101">
      <c r="A101" s="5" t="inlineStr">
        <is>
          <t>항목</t>
        </is>
      </c>
      <c r="B101" s="5" t="inlineStr">
        <is>
          <t>참고</t>
        </is>
      </c>
      <c r="C101" s="5" t="inlineStr">
        <is>
          <t>2024.3Q</t>
        </is>
      </c>
      <c r="D101" s="5" t="inlineStr">
        <is>
          <t>2024.4Q</t>
        </is>
      </c>
      <c r="E101" s="5" t="inlineStr">
        <is>
          <t>2025.1Q</t>
        </is>
      </c>
      <c r="F101" s="5" t="inlineStr">
        <is>
          <t>2025.2Q</t>
        </is>
      </c>
      <c r="G101" s="5" t="inlineStr">
        <is>
          <t>2025.3Q</t>
        </is>
      </c>
      <c r="H101" s="5" t="inlineStr">
        <is>
          <t>2025.4Q</t>
        </is>
      </c>
      <c r="I101" s="5" t="inlineStr">
        <is>
          <t>2026.1Q</t>
        </is>
      </c>
      <c r="J101" s="5" t="inlineStr">
        <is>
          <t>2026.2Q</t>
        </is>
      </c>
      <c r="K101" s="5" t="inlineStr">
        <is>
          <t>2026.3Q</t>
        </is>
      </c>
      <c r="L101" s="5" t="inlineStr">
        <is>
          <t>2026.4Q</t>
        </is>
      </c>
      <c r="M101" s="5" t="inlineStr">
        <is>
          <t>2027.1Q</t>
        </is>
      </c>
      <c r="N101" s="5" t="inlineStr">
        <is>
          <t>2027.2Q</t>
        </is>
      </c>
      <c r="O101" s="5" t="inlineStr">
        <is>
          <t>2017</t>
        </is>
      </c>
      <c r="P101" s="5" t="inlineStr">
        <is>
          <t>2018</t>
        </is>
      </c>
      <c r="Q101" s="5" t="inlineStr">
        <is>
          <t>2019</t>
        </is>
      </c>
      <c r="R101" s="5" t="inlineStr">
        <is>
          <t>2020</t>
        </is>
      </c>
      <c r="S101" s="5" t="inlineStr">
        <is>
          <t>2021</t>
        </is>
      </c>
      <c r="T101" s="5" t="inlineStr">
        <is>
          <t>2022</t>
        </is>
      </c>
      <c r="U101" s="5" t="inlineStr">
        <is>
          <t>2023</t>
        </is>
      </c>
      <c r="V101" s="5" t="inlineStr">
        <is>
          <t>2024</t>
        </is>
      </c>
      <c r="W101" s="5" t="inlineStr">
        <is>
          <t>2025</t>
        </is>
      </c>
      <c r="X101" s="5" t="inlineStr">
        <is>
          <t>2026</t>
        </is>
      </c>
      <c r="Y101" s="5" t="inlineStr">
        <is>
          <t>2027(MW)</t>
        </is>
      </c>
      <c r="Z101" s="5" t="inlineStr">
        <is>
          <t>2028(MW)</t>
        </is>
      </c>
      <c r="AA101" s="5" t="inlineStr">
        <is>
          <t>2029(MW)</t>
        </is>
      </c>
      <c r="AB101" s="5" t="inlineStr">
        <is>
          <t>2030(MW)</t>
        </is>
      </c>
      <c r="AC101" s="5" t="inlineStr">
        <is>
          <t>2031(MW)</t>
        </is>
      </c>
    </row>
    <row r="102">
      <c r="A102" s="9" t="inlineStr">
        <is>
          <t>법인세차감전 순이익</t>
        </is>
      </c>
      <c r="H102" s="12" t="n">
        <v>2799</v>
      </c>
      <c r="J102" s="12" t="n">
        <v>2236</v>
      </c>
      <c r="L102" s="12" t="n">
        <v>5477</v>
      </c>
      <c r="N102" s="12" t="n">
        <v>3771</v>
      </c>
      <c r="W102" s="12" t="n">
        <v>2799</v>
      </c>
      <c r="X102" s="12" t="n">
        <v>5477</v>
      </c>
    </row>
    <row r="103">
      <c r="A103" s="20" t="inlineStr">
        <is>
          <t>감가상각비 및 기타 상각비</t>
        </is>
      </c>
      <c r="H103" s="22" t="n">
        <v>91</v>
      </c>
      <c r="J103" s="22" t="n">
        <v>73</v>
      </c>
      <c r="L103" s="22" t="n">
        <v>150</v>
      </c>
      <c r="N103" s="22" t="n">
        <v>124</v>
      </c>
      <c r="W103" s="22" t="n">
        <v>91</v>
      </c>
      <c r="X103" s="22" t="n">
        <v>150</v>
      </c>
    </row>
    <row r="104">
      <c r="A104" s="20" t="inlineStr">
        <is>
          <t>고정자산 매각이익</t>
        </is>
      </c>
      <c r="H104" s="22" t="n">
        <v>-0</v>
      </c>
      <c r="L104" s="22" t="n">
        <v>0</v>
      </c>
      <c r="W104" s="22" t="n">
        <v>-0</v>
      </c>
      <c r="X104" s="22" t="n">
        <v>0</v>
      </c>
    </row>
    <row r="105">
      <c r="A105" s="20" t="inlineStr">
        <is>
          <t>고정자산 제각손실</t>
        </is>
      </c>
      <c r="H105" s="22" t="n">
        <v>0</v>
      </c>
      <c r="J105" s="22" t="n">
        <v>0</v>
      </c>
      <c r="L105" s="22" t="n">
        <v>2</v>
      </c>
      <c r="N105" s="22" t="n">
        <v>2</v>
      </c>
      <c r="W105" s="22" t="n">
        <v>0</v>
      </c>
      <c r="X105" s="22" t="n">
        <v>2</v>
      </c>
    </row>
    <row r="106">
      <c r="A106" s="20" t="inlineStr">
        <is>
          <t>상여충당금 증감</t>
        </is>
      </c>
      <c r="H106" s="22" t="n">
        <v>0</v>
      </c>
      <c r="J106" s="22" t="n">
        <v>15</v>
      </c>
      <c r="L106" s="22" t="n">
        <v>13</v>
      </c>
      <c r="N106" s="22" t="n">
        <v>-6</v>
      </c>
      <c r="W106" s="22" t="n">
        <v>0</v>
      </c>
      <c r="X106" s="22" t="n">
        <v>13</v>
      </c>
    </row>
    <row r="107">
      <c r="A107" s="20" t="inlineStr">
        <is>
          <t>대손충당금 증감</t>
        </is>
      </c>
      <c r="H107" s="22" t="n">
        <v>1</v>
      </c>
      <c r="J107" s="22" t="n">
        <v>2</v>
      </c>
      <c r="L107" s="22" t="n">
        <v>2</v>
      </c>
      <c r="N107" s="22" t="n">
        <v>2</v>
      </c>
      <c r="W107" s="22" t="n">
        <v>1</v>
      </c>
      <c r="X107" s="22" t="n">
        <v>2</v>
      </c>
    </row>
    <row r="108">
      <c r="A108" s="20" t="inlineStr">
        <is>
          <t>관계회사 정리손실 충당금 증감</t>
        </is>
      </c>
      <c r="H108" s="22" t="n">
        <v>-244</v>
      </c>
      <c r="L108" s="22" t="n">
        <v>0</v>
      </c>
      <c r="W108" s="22" t="n">
        <v>-244</v>
      </c>
      <c r="X108" s="22" t="n">
        <v>0</v>
      </c>
    </row>
    <row r="109">
      <c r="A109" s="20" t="inlineStr">
        <is>
          <t>이자수익</t>
        </is>
      </c>
      <c r="H109" s="22" t="n">
        <v>-0</v>
      </c>
      <c r="J109" s="22" t="n">
        <v>-1</v>
      </c>
      <c r="L109" s="22" t="n">
        <v>-4</v>
      </c>
      <c r="N109" s="22" t="n">
        <v>-10</v>
      </c>
      <c r="W109" s="22" t="n">
        <v>-0</v>
      </c>
      <c r="X109" s="22" t="n">
        <v>-4</v>
      </c>
    </row>
    <row r="110">
      <c r="A110" s="20" t="inlineStr">
        <is>
          <t>이자비용</t>
        </is>
      </c>
      <c r="H110" s="22" t="n">
        <v>8</v>
      </c>
      <c r="J110" s="22" t="n">
        <v>6</v>
      </c>
      <c r="L110" s="22" t="n">
        <v>11</v>
      </c>
      <c r="N110" s="22" t="n">
        <v>5</v>
      </c>
      <c r="W110" s="22" t="n">
        <v>8</v>
      </c>
      <c r="X110" s="22" t="n">
        <v>11</v>
      </c>
    </row>
    <row r="111">
      <c r="A111" s="20" t="inlineStr">
        <is>
          <t>상장 관련 비용</t>
        </is>
      </c>
      <c r="H111" s="22" t="n">
        <v>0</v>
      </c>
      <c r="L111" s="22" t="n">
        <v>59</v>
      </c>
      <c r="W111" s="22" t="n">
        <v>0</v>
      </c>
      <c r="X111" s="22" t="n">
        <v>59</v>
      </c>
    </row>
    <row r="112">
      <c r="A112" s="20" t="inlineStr">
        <is>
          <t>보조금 수입</t>
        </is>
      </c>
      <c r="H112" s="22" t="n">
        <v>-10</v>
      </c>
      <c r="L112" s="22" t="n">
        <v>0</v>
      </c>
      <c r="W112" s="22" t="n">
        <v>-10</v>
      </c>
      <c r="X112" s="22" t="n">
        <v>0</v>
      </c>
    </row>
    <row r="113">
      <c r="A113" s="20" t="inlineStr">
        <is>
          <t>보험환급금</t>
        </is>
      </c>
      <c r="H113" s="22" t="n">
        <v>-8</v>
      </c>
      <c r="L113" s="22" t="n">
        <v>0</v>
      </c>
      <c r="W113" s="22" t="n">
        <v>-8</v>
      </c>
      <c r="X113" s="22" t="n">
        <v>0</v>
      </c>
    </row>
    <row r="114">
      <c r="A114" s="20" t="inlineStr">
        <is>
          <t>매출채권 증감</t>
        </is>
      </c>
      <c r="H114" s="22" t="n">
        <v>-701</v>
      </c>
      <c r="J114" s="22" t="n">
        <v>-515</v>
      </c>
      <c r="L114" s="22" t="n">
        <v>-1229</v>
      </c>
      <c r="N114" s="22" t="n">
        <v>-832</v>
      </c>
      <c r="W114" s="22" t="n">
        <v>-701</v>
      </c>
      <c r="X114" s="22" t="n">
        <v>-1229</v>
      </c>
    </row>
    <row r="115">
      <c r="A115" s="20" t="inlineStr">
        <is>
          <t>선급비용 증감</t>
        </is>
      </c>
      <c r="H115" s="22" t="n">
        <v>-52</v>
      </c>
      <c r="L115" s="22" t="n">
        <v>-334</v>
      </c>
      <c r="W115" s="22" t="n">
        <v>-52</v>
      </c>
      <c r="X115" s="22" t="n">
        <v>-334</v>
      </c>
    </row>
    <row r="116">
      <c r="A116" s="20" t="inlineStr">
        <is>
          <t>매입채무 증감</t>
        </is>
      </c>
      <c r="H116" s="22" t="n">
        <v>182</v>
      </c>
      <c r="J116" s="22" t="n">
        <v>68</v>
      </c>
      <c r="L116" s="22" t="n">
        <v>172</v>
      </c>
      <c r="N116" s="22" t="n">
        <v>112</v>
      </c>
      <c r="W116" s="22" t="n">
        <v>182</v>
      </c>
      <c r="X116" s="22" t="n">
        <v>172</v>
      </c>
    </row>
    <row r="117">
      <c r="A117" s="20" t="inlineStr">
        <is>
          <t>미지급금·미지급비용 증감</t>
        </is>
      </c>
      <c r="H117" s="22" t="n">
        <v>-157</v>
      </c>
      <c r="J117" s="22" t="n">
        <v>83</v>
      </c>
      <c r="L117" s="22" t="n">
        <v>201</v>
      </c>
      <c r="N117" s="22" t="n">
        <v>146</v>
      </c>
      <c r="W117" s="22" t="n">
        <v>-157</v>
      </c>
      <c r="X117" s="22" t="n">
        <v>201</v>
      </c>
    </row>
    <row r="118">
      <c r="A118" s="20" t="inlineStr">
        <is>
          <t>계약부채 증감</t>
        </is>
      </c>
      <c r="H118" s="22" t="n">
        <v>77</v>
      </c>
      <c r="L118" s="22" t="n">
        <v>294</v>
      </c>
      <c r="W118" s="22" t="n">
        <v>77</v>
      </c>
      <c r="X118" s="22" t="n">
        <v>294</v>
      </c>
    </row>
    <row r="119">
      <c r="A119" s="20" t="inlineStr">
        <is>
          <t>예수금 증감</t>
        </is>
      </c>
      <c r="H119" s="22" t="n">
        <v>-2</v>
      </c>
      <c r="L119" s="22" t="n">
        <v>166</v>
      </c>
      <c r="W119" s="22" t="n">
        <v>-2</v>
      </c>
      <c r="X119" s="22" t="n">
        <v>166</v>
      </c>
    </row>
    <row r="120">
      <c r="A120" s="20" t="inlineStr">
        <is>
          <t>미지급 소비세 증감</t>
        </is>
      </c>
      <c r="H120" s="22" t="n">
        <v>273</v>
      </c>
      <c r="L120" s="22" t="n">
        <v>301</v>
      </c>
      <c r="W120" s="22" t="n">
        <v>273</v>
      </c>
      <c r="X120" s="22" t="n">
        <v>301</v>
      </c>
    </row>
    <row r="121">
      <c r="A121" s="20" t="inlineStr">
        <is>
          <t>파산갱생채권 증감</t>
        </is>
      </c>
      <c r="H121" s="22" t="n">
        <v>226</v>
      </c>
      <c r="L121" s="22" t="n">
        <v>0</v>
      </c>
      <c r="W121" s="22" t="n">
        <v>226</v>
      </c>
      <c r="X121" s="22" t="n">
        <v>0</v>
      </c>
    </row>
    <row r="122">
      <c r="A122" s="20" t="inlineStr">
        <is>
          <t>기타</t>
        </is>
      </c>
      <c r="H122" s="22" t="n">
        <v>-59</v>
      </c>
      <c r="J122" s="22" t="n">
        <v>-169</v>
      </c>
      <c r="L122" s="22" t="n">
        <v>56</v>
      </c>
      <c r="N122" s="22" t="n">
        <v>-347</v>
      </c>
      <c r="W122" s="22" t="n">
        <v>-59</v>
      </c>
      <c r="X122" s="22" t="n">
        <v>56</v>
      </c>
    </row>
    <row r="123">
      <c r="A123" s="20" t="inlineStr">
        <is>
          <t>소계</t>
        </is>
      </c>
      <c r="H123" s="22" t="n">
        <v>2424</v>
      </c>
      <c r="J123" s="22" t="n">
        <v>1798</v>
      </c>
      <c r="L123" s="22" t="n">
        <v>5341</v>
      </c>
      <c r="N123" s="22" t="n">
        <v>2969</v>
      </c>
      <c r="W123" s="22" t="n">
        <v>2424</v>
      </c>
      <c r="X123" s="22" t="n">
        <v>5341</v>
      </c>
    </row>
    <row r="124">
      <c r="A124" s="20" t="inlineStr">
        <is>
          <t>이자 수취</t>
        </is>
      </c>
      <c r="H124" s="22" t="n">
        <v>0</v>
      </c>
      <c r="J124" s="22" t="n">
        <v>1</v>
      </c>
      <c r="L124" s="22" t="n">
        <v>4</v>
      </c>
      <c r="N124" s="22" t="n">
        <v>10</v>
      </c>
      <c r="W124" s="22" t="n">
        <v>0</v>
      </c>
      <c r="X124" s="22" t="n">
        <v>4</v>
      </c>
    </row>
    <row r="125">
      <c r="A125" s="20" t="inlineStr">
        <is>
          <t>이자 지급</t>
        </is>
      </c>
      <c r="H125" s="22" t="n">
        <v>-9</v>
      </c>
      <c r="J125" s="22" t="n">
        <v>-6</v>
      </c>
      <c r="L125" s="22" t="n">
        <v>-11</v>
      </c>
      <c r="N125" s="22" t="n">
        <v>-5</v>
      </c>
      <c r="W125" s="22" t="n">
        <v>-9</v>
      </c>
      <c r="X125" s="22" t="n">
        <v>-11</v>
      </c>
    </row>
    <row r="126">
      <c r="A126" s="20" t="inlineStr">
        <is>
          <t>보조금 수취</t>
        </is>
      </c>
      <c r="H126" s="22" t="n">
        <v>10</v>
      </c>
      <c r="L126" s="22" t="n">
        <v>0</v>
      </c>
      <c r="W126" s="22" t="n">
        <v>10</v>
      </c>
      <c r="X126" s="22" t="n">
        <v>0</v>
      </c>
    </row>
    <row r="127">
      <c r="A127" s="20" t="inlineStr">
        <is>
          <t>보험금 수취</t>
        </is>
      </c>
      <c r="H127" s="22" t="n">
        <v>8</v>
      </c>
      <c r="L127" s="22" t="n">
        <v>0</v>
      </c>
      <c r="W127" s="22" t="n">
        <v>8</v>
      </c>
      <c r="X127" s="22" t="n">
        <v>0</v>
      </c>
    </row>
    <row r="128">
      <c r="A128" s="20" t="inlineStr">
        <is>
          <t>법인세 납부·환급</t>
        </is>
      </c>
      <c r="H128" s="22" t="n">
        <v>-499</v>
      </c>
      <c r="L128" s="22" t="n">
        <v>-1049</v>
      </c>
      <c r="W128" s="22" t="n">
        <v>-499</v>
      </c>
      <c r="X128" s="22" t="n">
        <v>-1049</v>
      </c>
    </row>
    <row r="129">
      <c r="A129" s="20" t="inlineStr">
        <is>
          <t>법인세 납부</t>
        </is>
      </c>
      <c r="J129" s="22" t="n">
        <v>-637</v>
      </c>
      <c r="N129" s="22" t="n">
        <v>-1061</v>
      </c>
    </row>
    <row r="130">
      <c r="A130" s="9" t="inlineStr">
        <is>
          <t>영업활동 현금흐름</t>
        </is>
      </c>
      <c r="H130" s="12" t="n">
        <v>1934</v>
      </c>
      <c r="J130" s="12" t="n">
        <v>1156</v>
      </c>
      <c r="L130" s="12" t="n">
        <v>4286</v>
      </c>
      <c r="N130" s="12" t="n">
        <v>1913</v>
      </c>
      <c r="W130" s="12" t="n">
        <v>1934</v>
      </c>
      <c r="X130" s="12" t="n">
        <v>4286</v>
      </c>
    </row>
    <row r="131">
      <c r="A131" s="20" t="inlineStr">
        <is>
          <t>정기예금 예입</t>
        </is>
      </c>
      <c r="H131" s="22" t="n">
        <v>-5</v>
      </c>
      <c r="J131" s="22" t="n">
        <v>-5</v>
      </c>
      <c r="L131" s="22" t="n">
        <v>-5</v>
      </c>
      <c r="N131" s="22" t="n">
        <v>-1005</v>
      </c>
      <c r="W131" s="22" t="n">
        <v>-5</v>
      </c>
      <c r="X131" s="22" t="n">
        <v>-5</v>
      </c>
    </row>
    <row r="132">
      <c r="A132" s="20" t="inlineStr">
        <is>
          <t>정기예금 인출</t>
        </is>
      </c>
      <c r="H132" s="22" t="n">
        <v>5</v>
      </c>
      <c r="J132" s="22" t="n">
        <v>5</v>
      </c>
      <c r="L132" s="22" t="n">
        <v>5</v>
      </c>
      <c r="N132" s="22" t="n">
        <v>5</v>
      </c>
      <c r="W132" s="22" t="n">
        <v>5</v>
      </c>
      <c r="X132" s="22" t="n">
        <v>5</v>
      </c>
    </row>
    <row r="133">
      <c r="A133" s="20" t="inlineStr">
        <is>
          <t>유형자산 취득(설비투자)</t>
        </is>
      </c>
      <c r="H133" s="22" t="n">
        <v>-197</v>
      </c>
      <c r="J133" s="22" t="n">
        <v>-17</v>
      </c>
      <c r="L133" s="22" t="n">
        <v>-33</v>
      </c>
      <c r="N133" s="22" t="n">
        <v>-198</v>
      </c>
      <c r="W133" s="22" t="n">
        <v>-197</v>
      </c>
      <c r="X133" s="22" t="n">
        <v>-33</v>
      </c>
    </row>
    <row r="134">
      <c r="A134" s="20" t="inlineStr">
        <is>
          <t>유형자산 매각</t>
        </is>
      </c>
      <c r="H134" s="22" t="n">
        <v>1</v>
      </c>
      <c r="L134" s="22" t="n">
        <v>0</v>
      </c>
      <c r="W134" s="22" t="n">
        <v>1</v>
      </c>
      <c r="X134" s="22" t="n">
        <v>0</v>
      </c>
    </row>
    <row r="135">
      <c r="A135" s="20" t="inlineStr">
        <is>
          <t>유형자산 제각 지출</t>
        </is>
      </c>
      <c r="H135" s="22" t="n">
        <v>0</v>
      </c>
      <c r="L135" s="22" t="n">
        <v>-0</v>
      </c>
      <c r="W135" s="22" t="n">
        <v>0</v>
      </c>
      <c r="X135" s="22" t="n">
        <v>-0</v>
      </c>
    </row>
    <row r="136">
      <c r="A136" s="20" t="inlineStr">
        <is>
          <t>임차보증금·보증금 납입</t>
        </is>
      </c>
      <c r="H136" s="22" t="n">
        <v>-206</v>
      </c>
      <c r="J136" s="22" t="n">
        <v>0</v>
      </c>
      <c r="L136" s="22" t="n">
        <v>-1852</v>
      </c>
      <c r="N136" s="22" t="n">
        <v>-1776</v>
      </c>
      <c r="W136" s="22" t="n">
        <v>-206</v>
      </c>
      <c r="X136" s="22" t="n">
        <v>-1852</v>
      </c>
    </row>
    <row r="137">
      <c r="A137" s="20" t="inlineStr">
        <is>
          <t>임차보증금·보증금 회수</t>
        </is>
      </c>
      <c r="H137" s="22" t="n">
        <v>0</v>
      </c>
      <c r="L137" s="22" t="n">
        <v>15</v>
      </c>
      <c r="W137" s="22" t="n">
        <v>0</v>
      </c>
      <c r="X137" s="22" t="n">
        <v>15</v>
      </c>
    </row>
    <row r="138">
      <c r="A138" s="20" t="inlineStr">
        <is>
          <t>기타</t>
        </is>
      </c>
      <c r="H138" s="22" t="n">
        <v>23</v>
      </c>
      <c r="J138" s="22" t="n">
        <v>1</v>
      </c>
      <c r="L138" s="22" t="n">
        <v>-0</v>
      </c>
      <c r="N138" s="22" t="n">
        <v>0</v>
      </c>
      <c r="W138" s="22" t="n">
        <v>23</v>
      </c>
      <c r="X138" s="22" t="n">
        <v>-0</v>
      </c>
    </row>
    <row r="139">
      <c r="A139" s="9" t="inlineStr">
        <is>
          <t>투자활동 현금흐름</t>
        </is>
      </c>
      <c r="H139" s="12" t="n">
        <v>-379</v>
      </c>
      <c r="J139" s="12" t="n">
        <v>-15</v>
      </c>
      <c r="L139" s="12" t="n">
        <v>-1871</v>
      </c>
      <c r="N139" s="12" t="n">
        <v>-2974</v>
      </c>
      <c r="W139" s="12" t="n">
        <v>-379</v>
      </c>
      <c r="X139" s="12" t="n">
        <v>-1871</v>
      </c>
    </row>
    <row r="140">
      <c r="A140" s="20" t="inlineStr">
        <is>
          <t>단기차입</t>
        </is>
      </c>
      <c r="H140" s="22" t="n">
        <v>690</v>
      </c>
      <c r="J140" s="22" t="n">
        <v>600</v>
      </c>
      <c r="L140" s="22" t="n">
        <v>600</v>
      </c>
      <c r="N140" s="22" t="n">
        <v>0</v>
      </c>
      <c r="W140" s="22" t="n">
        <v>690</v>
      </c>
      <c r="X140" s="22" t="n">
        <v>600</v>
      </c>
    </row>
    <row r="141">
      <c r="A141" s="20" t="inlineStr">
        <is>
          <t>단기차입금 상환</t>
        </is>
      </c>
      <c r="H141" s="22" t="n">
        <v>-656</v>
      </c>
      <c r="J141" s="22" t="n">
        <v>-463</v>
      </c>
      <c r="L141" s="22" t="n">
        <v>-663</v>
      </c>
      <c r="N141" s="22" t="n">
        <v>0</v>
      </c>
      <c r="W141" s="22" t="n">
        <v>-656</v>
      </c>
      <c r="X141" s="22" t="n">
        <v>-663</v>
      </c>
    </row>
    <row r="142">
      <c r="A142" s="20" t="inlineStr">
        <is>
          <t>장기차입</t>
        </is>
      </c>
      <c r="H142" s="22" t="n">
        <v>435</v>
      </c>
      <c r="L142" s="22" t="n">
        <v>0</v>
      </c>
      <c r="W142" s="22" t="n">
        <v>435</v>
      </c>
      <c r="X142" s="22" t="n">
        <v>0</v>
      </c>
    </row>
    <row r="143">
      <c r="A143" s="20" t="inlineStr">
        <is>
          <t>장기차입금 상환</t>
        </is>
      </c>
      <c r="H143" s="22" t="n">
        <v>-243</v>
      </c>
      <c r="J143" s="22" t="n">
        <v>-114</v>
      </c>
      <c r="L143" s="22" t="n">
        <v>-233</v>
      </c>
      <c r="N143" s="22" t="n">
        <v>-121</v>
      </c>
      <c r="W143" s="22" t="n">
        <v>-243</v>
      </c>
      <c r="X143" s="22" t="n">
        <v>-233</v>
      </c>
    </row>
    <row r="144">
      <c r="A144" s="20" t="inlineStr">
        <is>
          <t>사채 상환</t>
        </is>
      </c>
      <c r="H144" s="22" t="n">
        <v>-91</v>
      </c>
      <c r="J144" s="22" t="n">
        <v>-43</v>
      </c>
      <c r="L144" s="22" t="n">
        <v>-86</v>
      </c>
      <c r="N144" s="22" t="n">
        <v>-10</v>
      </c>
      <c r="W144" s="22" t="n">
        <v>-91</v>
      </c>
      <c r="X144" s="22" t="n">
        <v>-86</v>
      </c>
    </row>
    <row r="145">
      <c r="A145" s="20" t="inlineStr">
        <is>
          <t>주식 발행</t>
        </is>
      </c>
      <c r="H145" s="22" t="n">
        <v>0</v>
      </c>
      <c r="L145" s="22" t="n">
        <v>9374</v>
      </c>
      <c r="W145" s="22" t="n">
        <v>0</v>
      </c>
      <c r="X145" s="22" t="n">
        <v>9374</v>
      </c>
    </row>
    <row r="146">
      <c r="A146" s="20" t="inlineStr">
        <is>
          <t>상장 관련 비용 지출</t>
        </is>
      </c>
      <c r="H146" s="22" t="n">
        <v>0</v>
      </c>
      <c r="L146" s="22" t="n">
        <v>-59</v>
      </c>
      <c r="W146" s="22" t="n">
        <v>0</v>
      </c>
      <c r="X146" s="22" t="n">
        <v>-59</v>
      </c>
    </row>
    <row r="147">
      <c r="A147" s="20" t="inlineStr">
        <is>
          <t>기타</t>
        </is>
      </c>
      <c r="H147" s="22" t="n">
        <v>-6</v>
      </c>
      <c r="J147" s="22" t="n">
        <v>-9</v>
      </c>
      <c r="L147" s="22" t="n">
        <v>-19</v>
      </c>
      <c r="N147" s="22" t="n">
        <v>-15</v>
      </c>
      <c r="W147" s="22" t="n">
        <v>-6</v>
      </c>
      <c r="X147" s="22" t="n">
        <v>-19</v>
      </c>
    </row>
    <row r="148">
      <c r="A148" s="9" t="inlineStr">
        <is>
          <t>재무활동 현금흐름</t>
        </is>
      </c>
      <c r="H148" s="12" t="n">
        <v>127</v>
      </c>
      <c r="J148" s="12" t="n">
        <v>-29</v>
      </c>
      <c r="L148" s="12" t="n">
        <v>8912</v>
      </c>
      <c r="N148" s="12" t="n">
        <v>-146</v>
      </c>
      <c r="W148" s="12" t="n">
        <v>127</v>
      </c>
      <c r="X148" s="12" t="n">
        <v>8912</v>
      </c>
    </row>
    <row r="149">
      <c r="A149" s="20" t="inlineStr">
        <is>
          <t>현금성자산 증감</t>
        </is>
      </c>
      <c r="H149" s="22" t="n">
        <v>1681</v>
      </c>
      <c r="J149" s="22" t="n">
        <v>1110</v>
      </c>
      <c r="L149" s="22" t="n">
        <v>11326</v>
      </c>
      <c r="N149" s="22" t="n">
        <v>-1207</v>
      </c>
      <c r="W149" s="22" t="n">
        <v>1681</v>
      </c>
      <c r="X149" s="22" t="n">
        <v>11326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119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</cols>
  <sheetData>
    <row r="1" ht="30" customHeight="1">
      <c r="A1" s="1" t="inlineStr">
        <is>
          <t>노스샌드 재무상태표</t>
        </is>
      </c>
    </row>
    <row r="2">
      <c r="A2" s="45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2025</t>
        </is>
      </c>
      <c r="I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</row>
    <row r="5">
      <c r="A5" s="9" t="inlineStr">
        <is>
          <t>유동자산</t>
        </is>
      </c>
      <c r="B5" s="10" t="n"/>
      <c r="C5" s="11" t="n"/>
      <c r="D5" s="12" t="n">
        <v>8617</v>
      </c>
      <c r="E5" s="12" t="n">
        <v>18598</v>
      </c>
      <c r="F5" s="12" t="n">
        <v>17348</v>
      </c>
      <c r="G5" s="12" t="n">
        <v>19297</v>
      </c>
      <c r="H5" s="11" t="n">
        <v>5642</v>
      </c>
      <c r="I5" s="12" t="n">
        <v>18598</v>
      </c>
    </row>
    <row r="6">
      <c r="A6" s="20" t="inlineStr">
        <is>
          <t>현금및현금성자산</t>
        </is>
      </c>
      <c r="B6" s="10" t="n"/>
      <c r="C6" s="21" t="n"/>
      <c r="D6" s="22" t="n">
        <v>5090</v>
      </c>
      <c r="E6" s="22" t="n">
        <v>14602</v>
      </c>
      <c r="F6" s="22" t="n">
        <v>13198</v>
      </c>
      <c r="G6" s="22" t="n">
        <v>14394</v>
      </c>
      <c r="H6" s="21" t="n">
        <v>3276</v>
      </c>
      <c r="I6" s="22" t="n">
        <v>14602</v>
      </c>
    </row>
    <row r="7">
      <c r="A7" s="20" t="inlineStr">
        <is>
          <t>단기금융상품</t>
        </is>
      </c>
      <c r="B7" s="10" t="n"/>
      <c r="C7" s="21" t="n"/>
      <c r="D7" s="22" t="n"/>
      <c r="E7" s="22" t="n"/>
      <c r="F7" s="22" t="n"/>
      <c r="G7" s="22" t="n"/>
      <c r="H7" s="21" t="n"/>
      <c r="I7" s="22" t="n"/>
    </row>
    <row r="8">
      <c r="A8" s="20" t="inlineStr">
        <is>
          <t>매출채권</t>
        </is>
      </c>
      <c r="B8" s="10" t="n"/>
      <c r="C8" s="21" t="n"/>
      <c r="D8" s="22" t="n">
        <v>2805</v>
      </c>
      <c r="E8" s="22" t="n">
        <v>3167</v>
      </c>
      <c r="F8" s="22" t="n">
        <v>3459</v>
      </c>
      <c r="G8" s="22" t="n">
        <v>3999</v>
      </c>
      <c r="H8" s="21" t="n">
        <v>1937</v>
      </c>
      <c r="I8" s="22" t="n">
        <v>3167</v>
      </c>
    </row>
    <row r="9">
      <c r="A9" s="20" t="inlineStr">
        <is>
          <t>재고자산</t>
        </is>
      </c>
      <c r="B9" s="10" t="n"/>
      <c r="C9" s="21" t="n"/>
      <c r="D9" s="22" t="n"/>
      <c r="E9" s="22" t="n"/>
      <c r="F9" s="22" t="n"/>
      <c r="G9" s="22" t="n"/>
      <c r="H9" s="21" t="n"/>
      <c r="I9" s="22" t="n"/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</row>
    <row r="11">
      <c r="A11" s="9" t="inlineStr">
        <is>
          <t>비유동자산</t>
        </is>
      </c>
      <c r="B11" s="10" t="n"/>
      <c r="C11" s="11" t="n"/>
      <c r="D11" s="12" t="n">
        <v>1307</v>
      </c>
      <c r="E11" s="12" t="n">
        <v>3263</v>
      </c>
      <c r="F11" s="12" t="n">
        <v>4903</v>
      </c>
      <c r="G11" s="12" t="n">
        <v>5078</v>
      </c>
      <c r="H11" s="11" t="n">
        <v>1361</v>
      </c>
      <c r="I11" s="12" t="n">
        <v>3263</v>
      </c>
    </row>
    <row r="12">
      <c r="A12" s="20" t="inlineStr">
        <is>
          <t>유형자산</t>
        </is>
      </c>
      <c r="B12" s="10" t="n"/>
      <c r="C12" s="21" t="n"/>
      <c r="D12" s="22" t="n">
        <v>677</v>
      </c>
      <c r="E12" s="22" t="n">
        <v>654</v>
      </c>
      <c r="F12" s="22" t="n">
        <v>736</v>
      </c>
      <c r="G12" s="22" t="n">
        <v>829</v>
      </c>
      <c r="H12" s="21" t="n">
        <v>740</v>
      </c>
      <c r="I12" s="22" t="n">
        <v>654</v>
      </c>
    </row>
    <row r="13">
      <c r="A13" s="20" t="inlineStr">
        <is>
          <t>무형자산</t>
        </is>
      </c>
      <c r="B13" s="10" t="n"/>
      <c r="C13" s="21" t="n"/>
      <c r="D13" s="22" t="n"/>
      <c r="E13" s="22" t="n"/>
      <c r="F13" s="22" t="n"/>
      <c r="G13" s="22" t="n"/>
      <c r="H13" s="21" t="n"/>
      <c r="I13" s="22" t="n"/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</row>
    <row r="16">
      <c r="A16" s="9" t="inlineStr">
        <is>
          <t>자산총계</t>
        </is>
      </c>
      <c r="B16" s="10" t="n"/>
      <c r="C16" s="11" t="n"/>
      <c r="D16" s="12" t="n">
        <v>9925</v>
      </c>
      <c r="E16" s="12" t="n">
        <v>21861</v>
      </c>
      <c r="F16" s="12" t="n">
        <v>22251</v>
      </c>
      <c r="G16" s="12" t="n">
        <v>24376</v>
      </c>
      <c r="H16" s="11" t="n">
        <v>7003</v>
      </c>
      <c r="I16" s="12" t="n">
        <v>21861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</row>
    <row r="18">
      <c r="A18" s="9" t="inlineStr">
        <is>
          <t>유동부채</t>
        </is>
      </c>
      <c r="B18" s="10" t="n"/>
      <c r="C18" s="11" t="n"/>
      <c r="D18" s="12" t="n">
        <v>3591</v>
      </c>
      <c r="E18" s="12" t="n">
        <v>4735</v>
      </c>
      <c r="F18" s="12" t="n">
        <v>3831</v>
      </c>
      <c r="G18" s="12" t="n">
        <v>4522</v>
      </c>
      <c r="H18" s="11" t="n">
        <v>3051</v>
      </c>
      <c r="I18" s="12" t="n">
        <v>4735</v>
      </c>
    </row>
    <row r="19">
      <c r="A19" s="20" t="inlineStr">
        <is>
          <t>매입채무</t>
        </is>
      </c>
      <c r="B19" s="10" t="n"/>
      <c r="C19" s="21" t="n"/>
      <c r="D19" s="22" t="n">
        <v>524</v>
      </c>
      <c r="E19" s="22" t="n">
        <v>593</v>
      </c>
      <c r="F19" s="22" t="n">
        <v>698</v>
      </c>
      <c r="G19" s="22" t="n">
        <v>705</v>
      </c>
      <c r="H19" s="21" t="n">
        <v>421</v>
      </c>
      <c r="I19" s="22" t="n">
        <v>593</v>
      </c>
    </row>
    <row r="20">
      <c r="A20" s="20" t="inlineStr">
        <is>
          <t>단기차입금</t>
        </is>
      </c>
      <c r="B20" s="10" t="n"/>
      <c r="C20" s="21" t="n"/>
      <c r="D20" s="22" t="n">
        <v>0</v>
      </c>
      <c r="E20" s="22" t="n">
        <v>0</v>
      </c>
      <c r="F20" s="22" t="n"/>
      <c r="G20" s="22" t="n"/>
      <c r="H20" s="21" t="n">
        <v>63</v>
      </c>
      <c r="I20" s="22" t="n">
        <v>0</v>
      </c>
    </row>
    <row r="21">
      <c r="A21" s="20" t="inlineStr">
        <is>
          <t>유동성장기부채</t>
        </is>
      </c>
      <c r="B21" s="10" t="n"/>
      <c r="C21" s="21" t="n"/>
      <c r="D21" s="22" t="n">
        <v>259</v>
      </c>
      <c r="E21" s="22" t="n">
        <v>260</v>
      </c>
      <c r="F21" s="22" t="n">
        <v>243</v>
      </c>
      <c r="G21" s="22" t="n">
        <v>236</v>
      </c>
      <c r="H21" s="21" t="n">
        <v>319</v>
      </c>
      <c r="I21" s="22" t="n">
        <v>260</v>
      </c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</row>
    <row r="23">
      <c r="A23" s="9" t="inlineStr">
        <is>
          <t>비유동부채</t>
        </is>
      </c>
      <c r="B23" s="10" t="n"/>
      <c r="C23" s="11" t="n"/>
      <c r="D23" s="12" t="n">
        <v>716</v>
      </c>
      <c r="E23" s="12" t="n">
        <v>670</v>
      </c>
      <c r="F23" s="12" t="n">
        <v>626</v>
      </c>
      <c r="G23" s="12" t="n">
        <v>615</v>
      </c>
      <c r="H23" s="11" t="n">
        <v>918</v>
      </c>
      <c r="I23" s="12" t="n">
        <v>670</v>
      </c>
    </row>
    <row r="24">
      <c r="A24" s="20" t="inlineStr">
        <is>
          <t>장기차입금</t>
        </is>
      </c>
      <c r="B24" s="10" t="n"/>
      <c r="C24" s="21" t="n"/>
      <c r="D24" s="22" t="n">
        <v>422</v>
      </c>
      <c r="E24" s="22" t="n">
        <v>361</v>
      </c>
      <c r="F24" s="22" t="n">
        <v>307</v>
      </c>
      <c r="G24" s="22" t="n">
        <v>254</v>
      </c>
      <c r="H24" s="21" t="n">
        <v>602</v>
      </c>
      <c r="I24" s="22" t="n">
        <v>361</v>
      </c>
    </row>
    <row r="25">
      <c r="A25" s="20" t="inlineStr">
        <is>
          <t>사채</t>
        </is>
      </c>
      <c r="B25" s="10" t="n"/>
      <c r="C25" s="21" t="n"/>
      <c r="D25" s="22" t="n">
        <v>0</v>
      </c>
      <c r="E25" s="22" t="n">
        <v>0</v>
      </c>
      <c r="F25" s="22" t="n"/>
      <c r="G25" s="22" t="n"/>
      <c r="H25" s="21" t="n">
        <v>20</v>
      </c>
      <c r="I25" s="22" t="n">
        <v>0</v>
      </c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</row>
    <row r="27">
      <c r="A27" s="9" t="inlineStr">
        <is>
          <t>부채총계</t>
        </is>
      </c>
      <c r="B27" s="10" t="n"/>
      <c r="C27" s="11" t="n"/>
      <c r="D27" s="12" t="n">
        <v>4307</v>
      </c>
      <c r="E27" s="12" t="n">
        <v>5406</v>
      </c>
      <c r="F27" s="12" t="n">
        <v>4458</v>
      </c>
      <c r="G27" s="12" t="n">
        <v>5137</v>
      </c>
      <c r="H27" s="11" t="n">
        <v>3969</v>
      </c>
      <c r="I27" s="12" t="n">
        <v>5406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</row>
    <row r="31">
      <c r="A31" s="9" t="inlineStr">
        <is>
          <t>지배주주지분</t>
        </is>
      </c>
      <c r="B31" s="10" t="n"/>
      <c r="C31" s="11" t="n"/>
      <c r="D31" s="12" t="n">
        <v>5617</v>
      </c>
      <c r="E31" s="12" t="n">
        <v>16455</v>
      </c>
      <c r="F31" s="12" t="n">
        <v>17793</v>
      </c>
      <c r="G31" s="12" t="n">
        <v>19238</v>
      </c>
      <c r="H31" s="11" t="n">
        <v>3033</v>
      </c>
      <c r="I31" s="12" t="n">
        <v>16455</v>
      </c>
    </row>
    <row r="32">
      <c r="A32" s="20" t="inlineStr">
        <is>
          <t>자본금</t>
        </is>
      </c>
      <c r="B32" s="10" t="n"/>
      <c r="C32" s="21" t="n"/>
      <c r="D32" s="22" t="n">
        <v>30</v>
      </c>
      <c r="E32" s="22" t="n">
        <v>4717</v>
      </c>
      <c r="F32" s="22" t="n">
        <v>4717</v>
      </c>
      <c r="G32" s="22" t="n">
        <v>4717</v>
      </c>
      <c r="H32" s="21" t="n">
        <v>30</v>
      </c>
      <c r="I32" s="22" t="n">
        <v>4717</v>
      </c>
    </row>
    <row r="33">
      <c r="A33" s="20" t="inlineStr">
        <is>
          <t>이익잉여금</t>
        </is>
      </c>
      <c r="B33" s="10" t="n"/>
      <c r="C33" s="21" t="n"/>
      <c r="D33" s="22" t="n">
        <v>5540</v>
      </c>
      <c r="E33" s="22" t="n">
        <v>7003</v>
      </c>
      <c r="F33" s="22" t="n">
        <v>8341</v>
      </c>
      <c r="G33" s="22" t="n">
        <v>9786</v>
      </c>
      <c r="H33" s="21" t="n">
        <v>2956</v>
      </c>
      <c r="I33" s="22" t="n">
        <v>7003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</row>
    <row r="35">
      <c r="A35" s="9" t="inlineStr">
        <is>
          <t>자본총계</t>
        </is>
      </c>
      <c r="B35" s="10" t="n"/>
      <c r="C35" s="11" t="n"/>
      <c r="D35" s="12" t="n">
        <v>5617</v>
      </c>
      <c r="E35" s="12" t="n">
        <v>16455</v>
      </c>
      <c r="F35" s="12" t="n">
        <v>17793</v>
      </c>
      <c r="G35" s="12" t="n">
        <v>19238</v>
      </c>
      <c r="H35" s="11" t="n">
        <v>3033</v>
      </c>
      <c r="I35" s="12" t="n">
        <v>16455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4286</v>
      </c>
      <c r="F37" s="12" t="n"/>
      <c r="G37" s="12" t="n">
        <v>5043</v>
      </c>
      <c r="H37" s="11" t="n">
        <v>1934</v>
      </c>
      <c r="I37" s="12" t="n">
        <v>4286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/>
      <c r="D38" s="22" t="n"/>
      <c r="E38" s="22" t="n">
        <v>33</v>
      </c>
      <c r="F38" s="22" t="n"/>
      <c r="G38" s="22" t="n">
        <v>214</v>
      </c>
      <c r="H38" s="21" t="n">
        <v>197</v>
      </c>
      <c r="I38" s="22" t="n">
        <v>33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/>
      <c r="D40" s="22" t="n"/>
      <c r="E40" s="22" t="n"/>
      <c r="F40" s="22" t="n"/>
      <c r="G40" s="22" t="n"/>
      <c r="H40" s="21" t="n"/>
      <c r="I40" s="22" t="n"/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</row>
    <row r="43">
      <c r="A43" s="46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</row>
    <row r="44">
      <c r="A44" s="46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</row>
    <row r="45">
      <c r="A45" s="46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</row>
    <row r="46">
      <c r="A46" s="46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</row>
    <row r="47">
      <c r="A47" s="46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</row>
    <row r="48">
      <c r="A48" s="46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IFERROR(('연간'!W16)/('연간'!W38),"")</f>
        <v/>
      </c>
      <c r="I48" s="33">
        <f>IFERROR(('연간'!X16)/('연간'!X38),"")</f>
        <v/>
      </c>
    </row>
    <row r="49">
      <c r="A49" s="46" t="inlineStr">
        <is>
          <t>차입금 상환연수</t>
        </is>
      </c>
      <c r="B49" s="10" t="inlineStr">
        <is>
          <t>4년↓ (버핏)</t>
        </is>
      </c>
      <c r="C49" s="47">
        <f>IFERROR(IF((IF(COUNT('연간'!G44:J44)&lt;4,"",SUM('연간'!G44:J44)))&lt;=0,"적자",C28/(IF(COUNT('연간'!G44:J44)&lt;4,"",SUM('연간'!G44:J44)))),"")</f>
        <v/>
      </c>
      <c r="D49" s="48">
        <f>IFERROR(IF((IF(COUNT('연간'!H44:K44)&lt;4,"",SUM('연간'!H44:K44)))&lt;=0,"적자",D28/(IF(COUNT('연간'!H44:K44)&lt;4,"",SUM('연간'!H44:K44)))),"")</f>
        <v/>
      </c>
      <c r="E49" s="48">
        <f>IFERROR(IF((IF(COUNT('연간'!I44:L44)&lt;4,"",SUM('연간'!I44:L44)))&lt;=0,"적자",E28/(IF(COUNT('연간'!I44:L44)&lt;4,"",SUM('연간'!I44:L44)))),"")</f>
        <v/>
      </c>
      <c r="F49" s="48">
        <f>IFERROR(IF((IF(COUNT('연간'!J44:M44)&lt;4,"",SUM('연간'!J44:M44)))&lt;=0,"적자",F28/(IF(COUNT('연간'!J44:M44)&lt;4,"",SUM('연간'!J44:M44)))),"")</f>
        <v/>
      </c>
      <c r="G49" s="48">
        <f>IFERROR(IF((IF(COUNT('연간'!K44:N44)&lt;4,"",SUM('연간'!K44:N44)))&lt;=0,"적자",G28/(IF(COUNT('연간'!K44:N44)&lt;4,"",SUM('연간'!K44:N44)))),"")</f>
        <v/>
      </c>
      <c r="H49" s="47">
        <f>IFERROR(IF(('연간'!W44)&lt;=0,"적자",H28/('연간'!W44)),"")</f>
        <v/>
      </c>
      <c r="I49" s="48">
        <f>IFERROR(IF(('연간'!X44)&lt;=0,"적자",I28/('연간'!X44)),"")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</row>
    <row r="51">
      <c r="A51" s="46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IFERROR(('연간'!W44)/H31,"")</f>
        <v/>
      </c>
      <c r="I51" s="38">
        <f>IFERROR(('연간'!X44)/I31,"")</f>
        <v/>
      </c>
    </row>
    <row r="52">
      <c r="A52" s="46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IFERROR(('연간'!W43)/H16,"")</f>
        <v/>
      </c>
      <c r="I52" s="38">
        <f>IFERROR(('연간'!X43)/I16,"")</f>
        <v/>
      </c>
    </row>
    <row r="53">
      <c r="A53" s="46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IFERROR(('연간'!W16)*(1-0.3)/(H35+H29),"")</f>
        <v/>
      </c>
      <c r="I53" s="38">
        <f>IFERROR(('연간'!X16)*(1-0.3)/(I35+I29),"")</f>
        <v/>
      </c>
    </row>
    <row r="54">
      <c r="A54" s="46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IFERROR(('연간'!W12)/('연간'!W4),"")</f>
        <v/>
      </c>
      <c r="I54" s="38">
        <f>IFERROR(('연간'!X12)/('연간'!X4),"")</f>
        <v/>
      </c>
    </row>
    <row r="55">
      <c r="A55" s="46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IFERROR(('연간'!W16)/('연간'!W4),"")</f>
        <v/>
      </c>
      <c r="I55" s="38">
        <f>IFERROR(('연간'!X16)/('연간'!X4),"")</f>
        <v/>
      </c>
    </row>
    <row r="56">
      <c r="A56" s="46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IFERROR(('연간'!W43)/('연간'!W4),"")</f>
        <v/>
      </c>
      <c r="I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</row>
    <row r="58">
      <c r="A58" s="46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IFERROR(('연간'!W4)/H16,"")</f>
        <v/>
      </c>
      <c r="I58" s="33">
        <f>IFERROR(('연간'!X4)/I16,"")</f>
        <v/>
      </c>
    </row>
    <row r="59">
      <c r="A59" s="46" t="inlineStr">
        <is>
          <t>매출채권회전일수</t>
        </is>
      </c>
      <c r="B59" s="10" t="inlineStr">
        <is>
          <t>짧을수록↑</t>
        </is>
      </c>
      <c r="C59" s="49">
        <f>IFERROR(C8/(IF(COUNT('연간'!G4:J4)&lt;4,"",SUM('연간'!G4:J4)))*365,"")</f>
        <v/>
      </c>
      <c r="D59" s="50">
        <f>IFERROR(D8/(IF(COUNT('연간'!H4:K4)&lt;4,"",SUM('연간'!H4:K4)))*365,"")</f>
        <v/>
      </c>
      <c r="E59" s="50">
        <f>IFERROR(E8/(IF(COUNT('연간'!I4:L4)&lt;4,"",SUM('연간'!I4:L4)))*365,"")</f>
        <v/>
      </c>
      <c r="F59" s="50">
        <f>IFERROR(F8/(IF(COUNT('연간'!J4:M4)&lt;4,"",SUM('연간'!J4:M4)))*365,"")</f>
        <v/>
      </c>
      <c r="G59" s="50">
        <f>IFERROR(G8/(IF(COUNT('연간'!K4:N4)&lt;4,"",SUM('연간'!K4:N4)))*365,"")</f>
        <v/>
      </c>
      <c r="H59" s="49">
        <f>IFERROR(H8/('연간'!W4)*365,"")</f>
        <v/>
      </c>
      <c r="I59" s="50">
        <f>IFERROR(I8/('연간'!X4)*365,"")</f>
        <v/>
      </c>
    </row>
    <row r="60">
      <c r="A60" s="46" t="inlineStr">
        <is>
          <t>재고자산회전일수</t>
        </is>
      </c>
      <c r="B60" s="10" t="inlineStr">
        <is>
          <t>짧을수록↑</t>
        </is>
      </c>
      <c r="C60" s="49">
        <f>IFERROR(C9/(IF(COUNT('연간'!G11:J11)&lt;4,"",SUM('연간'!G11:J11)))*365,"")</f>
        <v/>
      </c>
      <c r="D60" s="50">
        <f>IFERROR(D9/(IF(COUNT('연간'!H11:K11)&lt;4,"",SUM('연간'!H11:K11)))*365,"")</f>
        <v/>
      </c>
      <c r="E60" s="50">
        <f>IFERROR(E9/(IF(COUNT('연간'!I11:L11)&lt;4,"",SUM('연간'!I11:L11)))*365,"")</f>
        <v/>
      </c>
      <c r="F60" s="50">
        <f>IFERROR(F9/(IF(COUNT('연간'!J11:M11)&lt;4,"",SUM('연간'!J11:M11)))*365,"")</f>
        <v/>
      </c>
      <c r="G60" s="50">
        <f>IFERROR(G9/(IF(COUNT('연간'!K11:N11)&lt;4,"",SUM('연간'!K11:N11)))*365,"")</f>
        <v/>
      </c>
      <c r="H60" s="49">
        <f>IFERROR(H9/('연간'!W11)*365,"")</f>
        <v/>
      </c>
      <c r="I60" s="50">
        <f>IFERROR(I9/('연간'!X11)*365,"")</f>
        <v/>
      </c>
    </row>
    <row r="61">
      <c r="A61" s="46" t="inlineStr">
        <is>
          <t>매입채무회전일수</t>
        </is>
      </c>
      <c r="B61" s="10" t="inlineStr">
        <is>
          <t>길수록 유리</t>
        </is>
      </c>
      <c r="C61" s="49">
        <f>IFERROR(C19/(IF(COUNT('연간'!G11:J11)&lt;4,"",SUM('연간'!G11:J11)))*365,"")</f>
        <v/>
      </c>
      <c r="D61" s="50">
        <f>IFERROR(D19/(IF(COUNT('연간'!H11:K11)&lt;4,"",SUM('연간'!H11:K11)))*365,"")</f>
        <v/>
      </c>
      <c r="E61" s="50">
        <f>IFERROR(E19/(IF(COUNT('연간'!I11:L11)&lt;4,"",SUM('연간'!I11:L11)))*365,"")</f>
        <v/>
      </c>
      <c r="F61" s="50">
        <f>IFERROR(F19/(IF(COUNT('연간'!J11:M11)&lt;4,"",SUM('연간'!J11:M11)))*365,"")</f>
        <v/>
      </c>
      <c r="G61" s="50">
        <f>IFERROR(G19/(IF(COUNT('연간'!K11:N11)&lt;4,"",SUM('연간'!K11:N11)))*365,"")</f>
        <v/>
      </c>
      <c r="H61" s="49">
        <f>IFERROR(H19/('연간'!W11)*365,"")</f>
        <v/>
      </c>
      <c r="I61" s="50">
        <f>IFERROR(I19/('연간'!X11)*365,"")</f>
        <v/>
      </c>
    </row>
    <row r="62">
      <c r="A62" s="46" t="inlineStr">
        <is>
          <t>현금전환주기 (CCC)</t>
        </is>
      </c>
      <c r="B62" s="10" t="inlineStr">
        <is>
          <t>짧을수록↑</t>
        </is>
      </c>
      <c r="C62" s="49">
        <f>IF(OR(C59="",C60="",C61=""),"",IFERROR(C59+C60-C61,""))</f>
        <v/>
      </c>
      <c r="D62" s="50">
        <f>IF(OR(D59="",D60="",D61=""),"",IFERROR(D59+D60-D61,""))</f>
        <v/>
      </c>
      <c r="E62" s="50">
        <f>IF(OR(E59="",E60="",E61=""),"",IFERROR(E59+E60-E61,""))</f>
        <v/>
      </c>
      <c r="F62" s="50">
        <f>IF(OR(F59="",F60="",F61=""),"",IFERROR(F59+F60-F61,""))</f>
        <v/>
      </c>
      <c r="G62" s="50">
        <f>IF(OR(G59="",G60="",G61=""),"",IFERROR(G59+G60-G61,""))</f>
        <v/>
      </c>
      <c r="H62" s="49">
        <f>IF(OR(H59="",H60="",H61=""),"",IFERROR(H59+H60-H61,""))</f>
        <v/>
      </c>
      <c r="I62" s="50">
        <f>IF(OR(I59="",I60="",I61=""),"",IFERROR(I59+I60-I61,""))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</row>
    <row r="64">
      <c r="A64" s="46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IF(H37="","",IFERROR(H37/('연간'!W43),""))</f>
        <v/>
      </c>
      <c r="I64" s="33">
        <f>IF(I37="","",IFERROR(I37/('연간'!X43),""))</f>
        <v/>
      </c>
    </row>
    <row r="65">
      <c r="A65" s="46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IF(H39="","",IFERROR(H39/('연간'!W4),""))</f>
        <v/>
      </c>
      <c r="I65" s="38">
        <f>IF(I39="","",IFERROR(I39/('연간'!X4),""))</f>
        <v/>
      </c>
    </row>
    <row r="66">
      <c r="A66" s="46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IF(H38="","",IFERROR(H38/('연간'!W4),""))</f>
        <v/>
      </c>
      <c r="I66" s="38">
        <f>IF(I38="","",IFERROR(I38/('연간'!X4),""))</f>
        <v/>
      </c>
    </row>
    <row r="67">
      <c r="A67" s="46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IF(H40="","",IFERROR(H40/('연간'!W44),""))</f>
        <v/>
      </c>
      <c r="I67" s="38">
        <f>IF(I40="","",IFERROR(I40/('연간'!X44),""))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2025</t>
        </is>
      </c>
      <c r="I70" s="5" t="inlineStr">
        <is>
          <t>2026</t>
        </is>
      </c>
    </row>
    <row r="71">
      <c r="A71" s="20" t="inlineStr">
        <is>
          <t>현금 및 예금</t>
        </is>
      </c>
      <c r="D71" s="22" t="n">
        <v>5090</v>
      </c>
      <c r="E71" s="22" t="n">
        <v>14602</v>
      </c>
      <c r="F71" s="22" t="n">
        <v>13198</v>
      </c>
      <c r="G71" s="22" t="n">
        <v>14394</v>
      </c>
      <c r="H71" s="22" t="n">
        <v>3276</v>
      </c>
      <c r="I71" s="22" t="n">
        <v>14602</v>
      </c>
    </row>
    <row r="72">
      <c r="A72" s="20" t="inlineStr">
        <is>
          <t>매출채권</t>
        </is>
      </c>
      <c r="D72" s="22" t="n">
        <v>2805</v>
      </c>
      <c r="E72" s="22" t="n">
        <v>3167</v>
      </c>
      <c r="F72" s="22" t="n">
        <v>3459</v>
      </c>
      <c r="G72" s="22" t="n">
        <v>3999</v>
      </c>
      <c r="H72" s="22" t="n">
        <v>1937</v>
      </c>
      <c r="I72" s="22" t="n">
        <v>3167</v>
      </c>
    </row>
    <row r="73">
      <c r="A73" s="20" t="inlineStr">
        <is>
          <t>선급비용</t>
        </is>
      </c>
      <c r="E73" s="22" t="n">
        <v>742</v>
      </c>
      <c r="H73" s="22" t="n">
        <v>357</v>
      </c>
      <c r="I73" s="22" t="n">
        <v>742</v>
      </c>
    </row>
    <row r="74">
      <c r="A74" s="20" t="inlineStr">
        <is>
          <t>기타</t>
        </is>
      </c>
      <c r="D74" s="22" t="n">
        <v>733</v>
      </c>
      <c r="E74" s="22" t="n">
        <v>839</v>
      </c>
      <c r="F74" s="22" t="n">
        <v>702</v>
      </c>
      <c r="G74" s="22" t="n">
        <v>916</v>
      </c>
      <c r="H74" s="22" t="n">
        <v>79</v>
      </c>
      <c r="I74" s="22" t="n">
        <v>839</v>
      </c>
    </row>
    <row r="75">
      <c r="A75" s="20" t="inlineStr">
        <is>
          <t>대손충당금</t>
        </is>
      </c>
      <c r="D75" s="22" t="n">
        <v>-11</v>
      </c>
      <c r="E75" s="22" t="n">
        <v>-11</v>
      </c>
      <c r="F75" s="22" t="n">
        <v>-12</v>
      </c>
      <c r="G75" s="22" t="n">
        <v>-14</v>
      </c>
      <c r="H75" s="22" t="n">
        <v>-8</v>
      </c>
      <c r="I75" s="22" t="n">
        <v>-11</v>
      </c>
    </row>
    <row r="76">
      <c r="A76" s="9" t="inlineStr">
        <is>
          <t>유동자산 합계</t>
        </is>
      </c>
      <c r="D76" s="12" t="n">
        <v>8617</v>
      </c>
      <c r="E76" s="12" t="n">
        <v>18598</v>
      </c>
      <c r="F76" s="12" t="n">
        <v>17348</v>
      </c>
      <c r="G76" s="12" t="n">
        <v>19297</v>
      </c>
      <c r="H76" s="12" t="n">
        <v>5642</v>
      </c>
      <c r="I76" s="12" t="n">
        <v>18598</v>
      </c>
    </row>
    <row r="77">
      <c r="A77" s="20" t="inlineStr">
        <is>
          <t>건물(순액)</t>
        </is>
      </c>
      <c r="E77" s="22" t="n">
        <v>447</v>
      </c>
      <c r="H77" s="22" t="n">
        <v>507</v>
      </c>
      <c r="I77" s="22" t="n">
        <v>447</v>
      </c>
    </row>
    <row r="78">
      <c r="A78" s="20" t="inlineStr">
        <is>
          <t>차량운반구(순액)</t>
        </is>
      </c>
      <c r="E78" s="22" t="n">
        <v>1</v>
      </c>
      <c r="H78" s="22" t="n">
        <v>2</v>
      </c>
      <c r="I78" s="22" t="n">
        <v>1</v>
      </c>
    </row>
    <row r="79">
      <c r="A79" s="20" t="inlineStr">
        <is>
          <t>공구·기구·비품(순액)</t>
        </is>
      </c>
      <c r="E79" s="22" t="n">
        <v>106</v>
      </c>
      <c r="H79" s="22" t="n">
        <v>143</v>
      </c>
      <c r="I79" s="22" t="n">
        <v>106</v>
      </c>
    </row>
    <row r="80">
      <c r="A80" s="20" t="inlineStr">
        <is>
          <t>리스자산(순액)</t>
        </is>
      </c>
      <c r="E80" s="22" t="n">
        <v>99</v>
      </c>
      <c r="H80" s="22" t="n">
        <v>86</v>
      </c>
      <c r="I80" s="22" t="n">
        <v>99</v>
      </c>
    </row>
    <row r="81">
      <c r="A81" s="20" t="inlineStr">
        <is>
          <t>건설중인자산</t>
        </is>
      </c>
      <c r="E81" s="22" t="n">
        <v>0</v>
      </c>
      <c r="H81" s="22" t="n">
        <v>0</v>
      </c>
      <c r="I81" s="22" t="n">
        <v>0</v>
      </c>
    </row>
    <row r="82">
      <c r="A82" s="20" t="inlineStr">
        <is>
          <t>유형자산</t>
        </is>
      </c>
      <c r="D82" s="22" t="n">
        <v>677</v>
      </c>
      <c r="E82" s="22" t="n">
        <v>654</v>
      </c>
      <c r="F82" s="22" t="n">
        <v>736</v>
      </c>
      <c r="G82" s="22" t="n">
        <v>829</v>
      </c>
      <c r="H82" s="22" t="n">
        <v>740</v>
      </c>
      <c r="I82" s="22" t="n">
        <v>654</v>
      </c>
    </row>
    <row r="83">
      <c r="A83" s="20" t="inlineStr">
        <is>
          <t>장기선급비용</t>
        </is>
      </c>
      <c r="E83" s="22" t="n">
        <v>127</v>
      </c>
      <c r="F83" s="22" t="n">
        <v>29</v>
      </c>
      <c r="H83" s="22" t="n">
        <v>0</v>
      </c>
      <c r="I83" s="22" t="n">
        <v>127</v>
      </c>
    </row>
    <row r="84">
      <c r="A84" s="20" t="inlineStr">
        <is>
          <t>임차보증금·보증금</t>
        </is>
      </c>
      <c r="E84" s="22" t="n">
        <v>2268</v>
      </c>
      <c r="F84" s="22" t="n">
        <v>3924</v>
      </c>
      <c r="G84" s="22" t="n">
        <v>4013</v>
      </c>
      <c r="H84" s="22" t="n">
        <v>448</v>
      </c>
      <c r="I84" s="22" t="n">
        <v>2268</v>
      </c>
    </row>
    <row r="85">
      <c r="A85" s="20" t="inlineStr">
        <is>
          <t>이연법인세자산</t>
        </is>
      </c>
      <c r="E85" s="22" t="n">
        <v>204</v>
      </c>
      <c r="F85" s="22" t="n">
        <v>204</v>
      </c>
      <c r="H85" s="22" t="n">
        <v>163</v>
      </c>
      <c r="I85" s="22" t="n">
        <v>204</v>
      </c>
    </row>
    <row r="86">
      <c r="A86" s="20" t="inlineStr">
        <is>
          <t>기타</t>
        </is>
      </c>
      <c r="E86" s="22" t="n">
        <v>340</v>
      </c>
      <c r="F86" s="22" t="n">
        <v>8</v>
      </c>
      <c r="G86" s="22" t="n">
        <v>235</v>
      </c>
      <c r="H86" s="22" t="n">
        <v>7</v>
      </c>
      <c r="I86" s="22" t="n">
        <v>340</v>
      </c>
    </row>
    <row r="87">
      <c r="A87" s="20" t="inlineStr">
        <is>
          <t>투자 및 기타자산 합계</t>
        </is>
      </c>
      <c r="D87" s="22" t="n">
        <v>630</v>
      </c>
      <c r="E87" s="22" t="n">
        <v>2609</v>
      </c>
      <c r="F87" s="22" t="n">
        <v>4166</v>
      </c>
      <c r="G87" s="22" t="n">
        <v>4248</v>
      </c>
      <c r="H87" s="22" t="n">
        <v>620</v>
      </c>
      <c r="I87" s="22" t="n">
        <v>2609</v>
      </c>
    </row>
    <row r="88">
      <c r="A88" s="9" t="inlineStr">
        <is>
          <t>비유동자산 합계</t>
        </is>
      </c>
      <c r="D88" s="12" t="n">
        <v>1307</v>
      </c>
      <c r="E88" s="12" t="n">
        <v>3263</v>
      </c>
      <c r="F88" s="12" t="n">
        <v>4903</v>
      </c>
      <c r="G88" s="12" t="n">
        <v>5078</v>
      </c>
      <c r="H88" s="12" t="n">
        <v>1361</v>
      </c>
      <c r="I88" s="12" t="n">
        <v>3263</v>
      </c>
    </row>
    <row r="89">
      <c r="A89" s="9" t="inlineStr">
        <is>
          <t>자산 합계</t>
        </is>
      </c>
      <c r="D89" s="12" t="n">
        <v>9925</v>
      </c>
      <c r="E89" s="12" t="n">
        <v>21861</v>
      </c>
      <c r="F89" s="12" t="n">
        <v>22251</v>
      </c>
      <c r="G89" s="12" t="n">
        <v>24376</v>
      </c>
      <c r="H89" s="12" t="n">
        <v>7003</v>
      </c>
      <c r="I89" s="12" t="n">
        <v>21861</v>
      </c>
    </row>
    <row r="90">
      <c r="A90" s="20" t="inlineStr">
        <is>
          <t>매입채무</t>
        </is>
      </c>
      <c r="D90" s="22" t="n">
        <v>524</v>
      </c>
      <c r="E90" s="22" t="n">
        <v>593</v>
      </c>
      <c r="F90" s="22" t="n">
        <v>698</v>
      </c>
      <c r="G90" s="22" t="n">
        <v>705</v>
      </c>
      <c r="H90" s="22" t="n">
        <v>421</v>
      </c>
      <c r="I90" s="22" t="n">
        <v>593</v>
      </c>
    </row>
    <row r="91">
      <c r="A91" s="20" t="inlineStr">
        <is>
          <t>단기차입금</t>
        </is>
      </c>
      <c r="D91" s="22" t="n">
        <v>0</v>
      </c>
      <c r="E91" s="22" t="n">
        <v>0</v>
      </c>
      <c r="H91" s="22" t="n">
        <v>63</v>
      </c>
      <c r="I91" s="22" t="n">
        <v>0</v>
      </c>
    </row>
    <row r="92">
      <c r="A92" s="20" t="inlineStr">
        <is>
          <t>1년 내 상환 사채</t>
        </is>
      </c>
      <c r="D92" s="22" t="n">
        <v>20</v>
      </c>
      <c r="E92" s="22" t="n">
        <v>20</v>
      </c>
      <c r="F92" s="22" t="n">
        <v>10</v>
      </c>
      <c r="G92" s="22" t="n">
        <v>10</v>
      </c>
      <c r="H92" s="22" t="n">
        <v>86</v>
      </c>
      <c r="I92" s="22" t="n">
        <v>20</v>
      </c>
    </row>
    <row r="93">
      <c r="A93" s="20" t="inlineStr">
        <is>
          <t>1년 내 상환 장기차입금</t>
        </is>
      </c>
      <c r="D93" s="22" t="n">
        <v>239</v>
      </c>
      <c r="E93" s="22" t="n">
        <v>240</v>
      </c>
      <c r="F93" s="22" t="n">
        <v>233</v>
      </c>
      <c r="G93" s="22" t="n">
        <v>226</v>
      </c>
      <c r="H93" s="22" t="n">
        <v>233</v>
      </c>
      <c r="I93" s="22" t="n">
        <v>240</v>
      </c>
    </row>
    <row r="94">
      <c r="A94" s="20" t="inlineStr">
        <is>
          <t>리스부채</t>
        </is>
      </c>
      <c r="D94" s="22" t="n">
        <v>20</v>
      </c>
      <c r="E94" s="22" t="n">
        <v>23</v>
      </c>
      <c r="F94" s="22" t="n">
        <v>28</v>
      </c>
      <c r="G94" s="22" t="n">
        <v>40</v>
      </c>
      <c r="H94" s="22" t="n">
        <v>18</v>
      </c>
      <c r="I94" s="22" t="n">
        <v>23</v>
      </c>
    </row>
    <row r="95">
      <c r="A95" s="20" t="inlineStr">
        <is>
          <t>미지급금·미지급비용</t>
        </is>
      </c>
      <c r="D95" s="22" t="n">
        <v>689</v>
      </c>
      <c r="E95" s="22" t="n">
        <v>858</v>
      </c>
      <c r="F95" s="22" t="n">
        <v>772</v>
      </c>
      <c r="G95" s="22" t="n">
        <v>1005</v>
      </c>
      <c r="H95" s="22" t="n">
        <v>622</v>
      </c>
      <c r="I95" s="22" t="n">
        <v>858</v>
      </c>
    </row>
    <row r="96">
      <c r="A96" s="20" t="inlineStr">
        <is>
          <t>미지급법인세</t>
        </is>
      </c>
      <c r="D96" s="22" t="n">
        <v>703</v>
      </c>
      <c r="E96" s="22" t="n">
        <v>1253</v>
      </c>
      <c r="F96" s="22" t="n">
        <v>535</v>
      </c>
      <c r="G96" s="22" t="n">
        <v>1098</v>
      </c>
      <c r="H96" s="22" t="n">
        <v>637</v>
      </c>
      <c r="I96" s="22" t="n">
        <v>1253</v>
      </c>
    </row>
    <row r="97">
      <c r="A97" s="20" t="inlineStr">
        <is>
          <t>미지급 소비세</t>
        </is>
      </c>
      <c r="E97" s="22" t="n">
        <v>951</v>
      </c>
      <c r="H97" s="22" t="n">
        <v>649</v>
      </c>
      <c r="I97" s="22" t="n">
        <v>951</v>
      </c>
    </row>
    <row r="98">
      <c r="A98" s="20" t="inlineStr">
        <is>
          <t>계약부채</t>
        </is>
      </c>
      <c r="E98" s="22" t="n">
        <v>579</v>
      </c>
      <c r="H98" s="22" t="n">
        <v>284</v>
      </c>
      <c r="I98" s="22" t="n">
        <v>579</v>
      </c>
    </row>
    <row r="99">
      <c r="A99" s="20" t="inlineStr">
        <is>
          <t>예수금</t>
        </is>
      </c>
      <c r="E99" s="22" t="n">
        <v>201</v>
      </c>
      <c r="H99" s="22" t="n">
        <v>35</v>
      </c>
      <c r="I99" s="22" t="n">
        <v>201</v>
      </c>
    </row>
    <row r="100">
      <c r="A100" s="20" t="inlineStr">
        <is>
          <t>상여충당금</t>
        </is>
      </c>
      <c r="D100" s="22" t="n">
        <v>31</v>
      </c>
      <c r="E100" s="22" t="n">
        <v>13</v>
      </c>
      <c r="F100" s="22" t="n">
        <v>30</v>
      </c>
      <c r="G100" s="22" t="n">
        <v>7</v>
      </c>
      <c r="H100" s="22" t="n">
        <v>0</v>
      </c>
      <c r="I100" s="22" t="n">
        <v>13</v>
      </c>
    </row>
    <row r="101">
      <c r="A101" s="20" t="inlineStr">
        <is>
          <t>기타</t>
        </is>
      </c>
      <c r="D101" s="22" t="n">
        <v>1362</v>
      </c>
      <c r="E101" s="22" t="n">
        <v>1732</v>
      </c>
      <c r="F101" s="22" t="n">
        <v>1522</v>
      </c>
      <c r="G101" s="22" t="n">
        <v>1429</v>
      </c>
      <c r="H101" s="22" t="n">
        <v>969</v>
      </c>
      <c r="I101" s="22" t="n">
        <v>1732</v>
      </c>
    </row>
    <row r="102">
      <c r="A102" s="9" t="inlineStr">
        <is>
          <t>유동부채 합계</t>
        </is>
      </c>
      <c r="D102" s="12" t="n">
        <v>3591</v>
      </c>
      <c r="E102" s="12" t="n">
        <v>4735</v>
      </c>
      <c r="F102" s="12" t="n">
        <v>3831</v>
      </c>
      <c r="G102" s="12" t="n">
        <v>4522</v>
      </c>
      <c r="H102" s="12" t="n">
        <v>3051</v>
      </c>
      <c r="I102" s="12" t="n">
        <v>4735</v>
      </c>
    </row>
    <row r="103">
      <c r="A103" s="20" t="inlineStr">
        <is>
          <t>사채</t>
        </is>
      </c>
      <c r="D103" s="22" t="n">
        <v>0</v>
      </c>
      <c r="E103" s="22" t="n">
        <v>0</v>
      </c>
      <c r="H103" s="22" t="n">
        <v>20</v>
      </c>
      <c r="I103" s="22" t="n">
        <v>0</v>
      </c>
    </row>
    <row r="104">
      <c r="A104" s="20" t="inlineStr">
        <is>
          <t>장기차입금</t>
        </is>
      </c>
      <c r="D104" s="22" t="n">
        <v>422</v>
      </c>
      <c r="E104" s="22" t="n">
        <v>361</v>
      </c>
      <c r="F104" s="22" t="n">
        <v>307</v>
      </c>
      <c r="G104" s="22" t="n">
        <v>254</v>
      </c>
      <c r="H104" s="22" t="n">
        <v>602</v>
      </c>
      <c r="I104" s="22" t="n">
        <v>361</v>
      </c>
    </row>
    <row r="105">
      <c r="A105" s="20" t="inlineStr">
        <is>
          <t>리스부채</t>
        </is>
      </c>
      <c r="D105" s="22" t="n">
        <v>76</v>
      </c>
      <c r="E105" s="22" t="n">
        <v>89</v>
      </c>
      <c r="F105" s="22" t="n">
        <v>99</v>
      </c>
      <c r="G105" s="22" t="n">
        <v>139</v>
      </c>
      <c r="H105" s="22" t="n">
        <v>79</v>
      </c>
      <c r="I105" s="22" t="n">
        <v>89</v>
      </c>
    </row>
    <row r="106">
      <c r="A106" s="20" t="inlineStr">
        <is>
          <t>자산복구부채</t>
        </is>
      </c>
      <c r="D106" s="22" t="n">
        <v>217</v>
      </c>
      <c r="E106" s="22" t="n">
        <v>218</v>
      </c>
      <c r="F106" s="22" t="n">
        <v>220</v>
      </c>
      <c r="G106" s="22" t="n">
        <v>221</v>
      </c>
      <c r="H106" s="22" t="n">
        <v>215</v>
      </c>
      <c r="I106" s="22" t="n">
        <v>218</v>
      </c>
    </row>
    <row r="107">
      <c r="A107" s="9" t="inlineStr">
        <is>
          <t>비유동부채 합계</t>
        </is>
      </c>
      <c r="D107" s="12" t="n">
        <v>716</v>
      </c>
      <c r="E107" s="12" t="n">
        <v>670</v>
      </c>
      <c r="F107" s="12" t="n">
        <v>626</v>
      </c>
      <c r="G107" s="12" t="n">
        <v>615</v>
      </c>
      <c r="H107" s="12" t="n">
        <v>918</v>
      </c>
      <c r="I107" s="12" t="n">
        <v>670</v>
      </c>
    </row>
    <row r="108">
      <c r="A108" s="9" t="inlineStr">
        <is>
          <t>부채 합계</t>
        </is>
      </c>
      <c r="D108" s="12" t="n">
        <v>4307</v>
      </c>
      <c r="E108" s="12" t="n">
        <v>5406</v>
      </c>
      <c r="F108" s="12" t="n">
        <v>4458</v>
      </c>
      <c r="G108" s="12" t="n">
        <v>5137</v>
      </c>
      <c r="H108" s="12" t="n">
        <v>3969</v>
      </c>
      <c r="I108" s="12" t="n">
        <v>5406</v>
      </c>
    </row>
    <row r="109">
      <c r="A109" s="20" t="inlineStr">
        <is>
          <t>자본금</t>
        </is>
      </c>
      <c r="D109" s="22" t="n">
        <v>30</v>
      </c>
      <c r="E109" s="22" t="n">
        <v>4717</v>
      </c>
      <c r="F109" s="22" t="n">
        <v>4717</v>
      </c>
      <c r="G109" s="22" t="n">
        <v>4717</v>
      </c>
      <c r="H109" s="22" t="n">
        <v>30</v>
      </c>
      <c r="I109" s="22" t="n">
        <v>4717</v>
      </c>
    </row>
    <row r="110">
      <c r="A110" s="20" t="inlineStr">
        <is>
          <t>자본준비금</t>
        </is>
      </c>
      <c r="E110" s="22" t="n">
        <v>4687</v>
      </c>
      <c r="H110" s="22" t="n">
        <v>0</v>
      </c>
      <c r="I110" s="22" t="n">
        <v>4687</v>
      </c>
    </row>
    <row r="111">
      <c r="A111" s="20" t="inlineStr">
        <is>
          <t>기타자본잉여금</t>
        </is>
      </c>
      <c r="E111" s="22" t="n">
        <v>46</v>
      </c>
      <c r="H111" s="22" t="n">
        <v>46</v>
      </c>
      <c r="I111" s="22" t="n">
        <v>46</v>
      </c>
    </row>
    <row r="112">
      <c r="A112" s="20" t="inlineStr">
        <is>
          <t>자본잉여금</t>
        </is>
      </c>
      <c r="D112" s="22" t="n">
        <v>46</v>
      </c>
      <c r="E112" s="22" t="n">
        <v>4734</v>
      </c>
      <c r="F112" s="22" t="n">
        <v>4734</v>
      </c>
      <c r="G112" s="22" t="n">
        <v>4734</v>
      </c>
      <c r="H112" s="22" t="n">
        <v>46</v>
      </c>
      <c r="I112" s="22" t="n">
        <v>4734</v>
      </c>
    </row>
    <row r="113">
      <c r="A113" s="20" t="inlineStr">
        <is>
          <t>이익준비금</t>
        </is>
      </c>
      <c r="E113" s="22" t="n">
        <v>7</v>
      </c>
      <c r="H113" s="22" t="n">
        <v>7</v>
      </c>
      <c r="I113" s="22" t="n">
        <v>7</v>
      </c>
    </row>
    <row r="114">
      <c r="A114" s="20" t="inlineStr">
        <is>
          <t>이월이익잉여금</t>
        </is>
      </c>
      <c r="E114" s="22" t="n">
        <v>6996</v>
      </c>
      <c r="H114" s="22" t="n">
        <v>2949</v>
      </c>
      <c r="I114" s="22" t="n">
        <v>6996</v>
      </c>
    </row>
    <row r="115">
      <c r="A115" s="20" t="inlineStr">
        <is>
          <t>이익잉여금</t>
        </is>
      </c>
      <c r="D115" s="22" t="n">
        <v>5540</v>
      </c>
      <c r="E115" s="22" t="n">
        <v>7003</v>
      </c>
      <c r="F115" s="22" t="n">
        <v>8341</v>
      </c>
      <c r="G115" s="22" t="n">
        <v>9786</v>
      </c>
      <c r="H115" s="22" t="n">
        <v>2956</v>
      </c>
      <c r="I115" s="22" t="n">
        <v>7003</v>
      </c>
    </row>
    <row r="116">
      <c r="A116" s="9" t="inlineStr">
        <is>
          <t>주주자본 합계</t>
        </is>
      </c>
      <c r="D116" s="12" t="n">
        <v>5617</v>
      </c>
      <c r="E116" s="12" t="n">
        <v>16455</v>
      </c>
      <c r="F116" s="12" t="n">
        <v>17793</v>
      </c>
      <c r="G116" s="12" t="n">
        <v>19238</v>
      </c>
      <c r="H116" s="12" t="n">
        <v>3033</v>
      </c>
      <c r="I116" s="12" t="n">
        <v>16455</v>
      </c>
    </row>
    <row r="117">
      <c r="A117" s="20" t="inlineStr">
        <is>
          <t>신주예약권</t>
        </is>
      </c>
      <c r="D117" s="22" t="n">
        <v>0</v>
      </c>
      <c r="E117" s="22" t="n">
        <v>0</v>
      </c>
      <c r="F117" s="22" t="n">
        <v>0</v>
      </c>
      <c r="G117" s="22" t="n">
        <v>0</v>
      </c>
      <c r="H117" s="22" t="n">
        <v>0</v>
      </c>
      <c r="I117" s="22" t="n">
        <v>0</v>
      </c>
    </row>
    <row r="118">
      <c r="A118" s="9" t="inlineStr">
        <is>
          <t>순자산 합계</t>
        </is>
      </c>
      <c r="D118" s="12" t="n">
        <v>5617</v>
      </c>
      <c r="E118" s="12" t="n">
        <v>16455</v>
      </c>
      <c r="F118" s="12" t="n">
        <v>17793</v>
      </c>
      <c r="G118" s="12" t="n">
        <v>19238</v>
      </c>
      <c r="H118" s="12" t="n">
        <v>3033</v>
      </c>
      <c r="I118" s="12" t="n">
        <v>16455</v>
      </c>
    </row>
    <row r="119">
      <c r="A119" s="9" t="inlineStr">
        <is>
          <t>부채·순자산 합계</t>
        </is>
      </c>
      <c r="D119" s="12" t="n">
        <v>9925</v>
      </c>
      <c r="E119" s="12" t="n">
        <v>21861</v>
      </c>
      <c r="F119" s="12" t="n">
        <v>22251</v>
      </c>
      <c r="G119" s="12" t="n">
        <v>24376</v>
      </c>
      <c r="H119" s="12" t="n">
        <v>7003</v>
      </c>
      <c r="I119" s="12" t="n">
        <v>21861</v>
      </c>
    </row>
  </sheetData>
  <conditionalFormatting sqref="C43:I43">
    <cfRule type="expression" priority="1" dxfId="0">
      <formula>AND(ISNUMBER(C43),C43&gt;1.0)</formula>
    </cfRule>
  </conditionalFormatting>
  <conditionalFormatting sqref="C44:I44">
    <cfRule type="expression" priority="2" dxfId="0">
      <formula>AND(ISNUMBER(C44),C44&gt;0.5)</formula>
    </cfRule>
  </conditionalFormatting>
  <conditionalFormatting sqref="C45:I45">
    <cfRule type="expression" priority="3" dxfId="0">
      <formula>AND(ISNUMBER(C45),C45&lt;0.5)</formula>
    </cfRule>
  </conditionalFormatting>
  <conditionalFormatting sqref="C46:I46">
    <cfRule type="expression" priority="4" dxfId="0">
      <formula>AND(ISNUMBER(C46),C46&lt;1.5)</formula>
    </cfRule>
  </conditionalFormatting>
  <conditionalFormatting sqref="C47:I47">
    <cfRule type="expression" priority="5" dxfId="0">
      <formula>AND(ISNUMBER(C47),C47&lt;1.0)</formula>
    </cfRule>
  </conditionalFormatting>
  <conditionalFormatting sqref="C48:I48">
    <cfRule type="expression" priority="6" dxfId="0">
      <formula>AND(ISNUMBER(C48),C48&lt;5)</formula>
    </cfRule>
  </conditionalFormatting>
  <conditionalFormatting sqref="C49:I49">
    <cfRule type="expression" priority="7" dxfId="0">
      <formula>AND(ISNUMBER(C49),C49&gt;4)</formula>
    </cfRule>
  </conditionalFormatting>
  <conditionalFormatting sqref="C51:I51">
    <cfRule type="expression" priority="8" dxfId="0">
      <formula>AND(ISNUMBER(C51),C51&lt;0.15)</formula>
    </cfRule>
  </conditionalFormatting>
  <conditionalFormatting sqref="C52:I52">
    <cfRule type="expression" priority="9" dxfId="0">
      <formula>AND(ISNUMBER(C52),C52&lt;0.05)</formula>
    </cfRule>
  </conditionalFormatting>
  <conditionalFormatting sqref="C53:I53">
    <cfRule type="expression" priority="10" dxfId="0">
      <formula>AND(ISNUMBER(C53),C53&lt;0.1)</formula>
    </cfRule>
  </conditionalFormatting>
  <conditionalFormatting sqref="C54:I54">
    <cfRule type="expression" priority="11" dxfId="0">
      <formula>AND(ISNUMBER(C54),C54&lt;0.4)</formula>
    </cfRule>
  </conditionalFormatting>
  <conditionalFormatting sqref="C55:I55">
    <cfRule type="expression" priority="12" dxfId="0">
      <formula>AND(ISNUMBER(C55),C55&lt;0.15)</formula>
    </cfRule>
  </conditionalFormatting>
  <conditionalFormatting sqref="C56:I56">
    <cfRule type="expression" priority="13" dxfId="0">
      <formula>AND(ISNUMBER(C56),C56&lt;0.1)</formula>
    </cfRule>
  </conditionalFormatting>
  <conditionalFormatting sqref="C64:I64">
    <cfRule type="expression" priority="14" dxfId="0">
      <formula>AND(ISNUMBER(C64),C64&lt;1.0)</formula>
    </cfRule>
  </conditionalFormatting>
  <conditionalFormatting sqref="C65:I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44" customWidth="1" min="9" max="9"/>
  </cols>
  <sheetData>
    <row r="1">
      <c r="A1" s="51" t="inlineStr">
        <is>
          <t>노스샌드 섹터·사업 데이터</t>
        </is>
      </c>
    </row>
    <row r="2">
      <c r="A2" s="52" t="inlineStr">
        <is>
          <t>2단계 보고서를 만들 때 모은 자료 · 월차 · 출처는 맨 오른쪽</t>
        </is>
      </c>
    </row>
    <row r="4">
      <c r="A4" s="53" t="inlineStr">
        <is>
          <t>상반기 fy27</t>
        </is>
      </c>
      <c r="B4" s="53" t="n"/>
      <c r="C4" s="53" t="n"/>
      <c r="D4" s="53" t="n"/>
      <c r="E4" s="53" t="n"/>
      <c r="F4" s="53" t="n"/>
      <c r="G4" s="53" t="n"/>
      <c r="H4" s="53" t="n"/>
      <c r="I4" s="53" t="n"/>
    </row>
    <row r="5">
      <c r="A5" s="54" t="inlineStr">
        <is>
          <t>항목</t>
        </is>
      </c>
      <c r="B5" s="54" t="inlineStr">
        <is>
          <t>값</t>
        </is>
      </c>
      <c r="I5" s="54" t="inlineStr">
        <is>
          <t>출처</t>
        </is>
      </c>
    </row>
    <row r="6">
      <c r="A6" s="55" t="inlineStr">
        <is>
          <t>매출</t>
        </is>
      </c>
      <c r="B6" s="56" t="n">
        <v>184.45</v>
      </c>
      <c r="I6" s="57" t="inlineStr">
        <is>
          <t>2단계 보고서 자료(회사 설명회 자료·공시)</t>
        </is>
      </c>
    </row>
    <row r="7">
      <c r="A7" s="55" t="inlineStr">
        <is>
          <t>YoY 매출</t>
        </is>
      </c>
      <c r="B7" s="56" t="n">
        <v>60.2</v>
      </c>
    </row>
    <row r="8">
      <c r="A8" s="55" t="inlineStr">
        <is>
          <t>영업이익</t>
        </is>
      </c>
      <c r="B8" s="56" t="n">
        <v>37.66</v>
      </c>
    </row>
    <row r="9">
      <c r="A9" s="55" t="inlineStr">
        <is>
          <t>YoY 영업이익</t>
        </is>
      </c>
      <c r="B9" s="56" t="n">
        <v>68.7</v>
      </c>
    </row>
    <row r="10">
      <c r="A10" s="55" t="inlineStr">
        <is>
          <t>순이익</t>
        </is>
      </c>
      <c r="B10" s="56" t="n">
        <v>27.83</v>
      </c>
    </row>
    <row r="11">
      <c r="A11" s="55" t="inlineStr">
        <is>
          <t>YoY 순이익</t>
        </is>
      </c>
      <c r="B11" s="56" t="n">
        <v>78.3</v>
      </c>
    </row>
    <row r="12">
      <c r="A12" s="55" t="inlineStr">
        <is>
          <t>EPS</t>
        </is>
      </c>
      <c r="B12" s="56" t="n">
        <v>40.33</v>
      </c>
    </row>
    <row r="14">
      <c r="A14" s="53" t="inlineStr">
        <is>
          <t>bs 2q</t>
        </is>
      </c>
      <c r="B14" s="53" t="n"/>
      <c r="C14" s="53" t="n"/>
      <c r="D14" s="53" t="n"/>
      <c r="E14" s="53" t="n"/>
      <c r="F14" s="53" t="n"/>
      <c r="G14" s="53" t="n"/>
      <c r="H14" s="53" t="n"/>
      <c r="I14" s="53" t="n"/>
    </row>
    <row r="15">
      <c r="A15" s="54" t="inlineStr">
        <is>
          <t>항목</t>
        </is>
      </c>
      <c r="B15" s="54" t="inlineStr">
        <is>
          <t>값</t>
        </is>
      </c>
      <c r="I15" s="54" t="inlineStr">
        <is>
          <t>출처</t>
        </is>
      </c>
    </row>
    <row r="16">
      <c r="A16" s="55" t="inlineStr">
        <is>
          <t>합계 assets</t>
        </is>
      </c>
      <c r="B16" s="56" t="n">
        <v>243.76</v>
      </c>
      <c r="I16" s="57" t="inlineStr">
        <is>
          <t>FY26 재무활동 +89.12억 = 상장 공모 자금</t>
        </is>
      </c>
    </row>
    <row r="17">
      <c r="A17" s="55" t="inlineStr">
        <is>
          <t>equity</t>
        </is>
      </c>
      <c r="B17" s="56" t="n">
        <v>192.38</v>
      </c>
    </row>
    <row r="18">
      <c r="A18" s="55" t="inlineStr">
        <is>
          <t>equity ratio</t>
        </is>
      </c>
      <c r="B18" s="56" t="n">
        <v>78.90000000000001</v>
      </c>
    </row>
    <row r="19">
      <c r="A19" s="55" t="inlineStr">
        <is>
          <t>cash fy26 end</t>
        </is>
      </c>
      <c r="B19" s="56" t="n">
        <v>145.97</v>
      </c>
    </row>
    <row r="20">
      <c r="A20" s="55" t="inlineStr">
        <is>
          <t>cfo fy26</t>
        </is>
      </c>
      <c r="B20" s="56" t="n">
        <v>42.86</v>
      </c>
    </row>
    <row r="22">
      <c r="A22" s="53" t="inlineStr">
        <is>
          <t>가이던스 implied 하반기 fy2027</t>
        </is>
      </c>
      <c r="B22" s="53" t="n"/>
      <c r="C22" s="53" t="n"/>
      <c r="D22" s="53" t="n"/>
      <c r="E22" s="53" t="n"/>
      <c r="F22" s="53" t="n"/>
      <c r="G22" s="53" t="n"/>
      <c r="H22" s="53" t="n"/>
      <c r="I22" s="53" t="n"/>
    </row>
    <row r="23">
      <c r="A23" s="54" t="inlineStr">
        <is>
          <t>항목</t>
        </is>
      </c>
      <c r="B23" s="54" t="inlineStr">
        <is>
          <t>값</t>
        </is>
      </c>
      <c r="I23" s="54" t="inlineStr">
        <is>
          <t>출처</t>
        </is>
      </c>
    </row>
    <row r="24">
      <c r="A24" s="55" t="inlineStr">
        <is>
          <t>매출</t>
        </is>
      </c>
      <c r="B24" s="56" t="n">
        <v>221.15</v>
      </c>
      <c r="I24" s="57" t="inlineStr">
        <is>
          <t>연간 가이던스 − 상반기(계산), 3Q+4Q 평균 매출 110.6억/분기</t>
        </is>
      </c>
    </row>
    <row r="25">
      <c r="A25" s="55" t="inlineStr">
        <is>
          <t>영업이익</t>
        </is>
      </c>
      <c r="B25" s="56" t="n">
        <v>54.41</v>
      </c>
    </row>
    <row r="27">
      <c r="A27" s="53" t="inlineStr">
        <is>
          <t>컨센서스 · FY2027</t>
        </is>
      </c>
      <c r="B27" s="53" t="n"/>
      <c r="C27" s="53" t="n"/>
      <c r="D27" s="53" t="n"/>
      <c r="E27" s="53" t="n"/>
      <c r="F27" s="53" t="n"/>
      <c r="G27" s="53" t="n"/>
      <c r="H27" s="53" t="n"/>
      <c r="I27" s="53" t="n"/>
    </row>
    <row r="28">
      <c r="A28" s="54" t="inlineStr">
        <is>
          <t>항목</t>
        </is>
      </c>
      <c r="B28" s="54" t="inlineStr">
        <is>
          <t>값</t>
        </is>
      </c>
      <c r="I28" s="54" t="inlineStr">
        <is>
          <t>출처</t>
        </is>
      </c>
    </row>
    <row r="29">
      <c r="A29" s="55" t="inlineStr">
        <is>
          <t>매출</t>
        </is>
      </c>
      <c r="B29" s="56" t="n">
        <v>407</v>
      </c>
      <c r="I29" s="57" t="inlineStr">
        <is>
          <t>야후 파이낸스 26.10.23, 애널리스트 2명(시장 컨센서스 아님)</t>
        </is>
      </c>
    </row>
    <row r="30">
      <c r="A30" s="55" t="inlineStr">
        <is>
          <t>EPS</t>
        </is>
      </c>
      <c r="B30" s="56" t="n">
        <v>100.65</v>
      </c>
    </row>
    <row r="31">
      <c r="A31" s="55" t="inlineStr">
        <is>
          <t>EPS 30d ago</t>
        </is>
      </c>
      <c r="B31" s="56" t="n">
        <v>92.7</v>
      </c>
    </row>
    <row r="33">
      <c r="A33" s="53" t="inlineStr">
        <is>
          <t>컨센서스 · FY2028</t>
        </is>
      </c>
      <c r="B33" s="53" t="n"/>
      <c r="C33" s="53" t="n"/>
      <c r="D33" s="53" t="n"/>
      <c r="E33" s="53" t="n"/>
      <c r="F33" s="53" t="n"/>
      <c r="G33" s="53" t="n"/>
      <c r="H33" s="53" t="n"/>
      <c r="I33" s="53" t="n"/>
    </row>
    <row r="34">
      <c r="A34" s="54" t="inlineStr">
        <is>
          <t>항목</t>
        </is>
      </c>
      <c r="B34" s="54" t="inlineStr">
        <is>
          <t>값</t>
        </is>
      </c>
      <c r="I34" s="54" t="inlineStr">
        <is>
          <t>출처</t>
        </is>
      </c>
    </row>
    <row r="35">
      <c r="A35" s="55" t="inlineStr">
        <is>
          <t>매출</t>
        </is>
      </c>
      <c r="B35" s="56" t="n">
        <v>571.5</v>
      </c>
      <c r="I35" s="57" t="inlineStr">
        <is>
          <t>야후 파이낸스 26.10.23, 애널리스트 2명(시장 컨센서스 아님)</t>
        </is>
      </c>
    </row>
    <row r="36">
      <c r="A36" s="55" t="inlineStr">
        <is>
          <t>EPS</t>
        </is>
      </c>
      <c r="B36" s="56" t="n">
        <v>143.3</v>
      </c>
    </row>
    <row r="37">
      <c r="A37" s="55" t="inlineStr">
        <is>
          <t>EPS 30d ago</t>
        </is>
      </c>
      <c r="B37" s="56" t="n">
        <v>126.9</v>
      </c>
    </row>
    <row r="39">
      <c r="A39" s="53" t="inlineStr">
        <is>
          <t>컨센서스 · 목표주가 가격</t>
        </is>
      </c>
      <c r="B39" s="53" t="n"/>
      <c r="C39" s="53" t="n"/>
      <c r="D39" s="53" t="n"/>
      <c r="E39" s="53" t="n"/>
      <c r="F39" s="53" t="n"/>
      <c r="G39" s="53" t="n"/>
      <c r="H39" s="53" t="n"/>
      <c r="I39" s="53" t="n"/>
    </row>
    <row r="40">
      <c r="A40" s="54" t="inlineStr">
        <is>
          <t>항목</t>
        </is>
      </c>
      <c r="B40" s="54" t="inlineStr">
        <is>
          <t>값</t>
        </is>
      </c>
      <c r="I40" s="54" t="inlineStr">
        <is>
          <t>출처</t>
        </is>
      </c>
    </row>
    <row r="41">
      <c r="A41" s="55" t="inlineStr">
        <is>
          <t>평균</t>
        </is>
      </c>
      <c r="B41" s="58" t="n">
        <v>3200</v>
      </c>
      <c r="I41" s="57" t="inlineStr">
        <is>
          <t>야후 파이낸스 26.10.23, 애널리스트 2명(시장 컨센서스 아님)</t>
        </is>
      </c>
    </row>
    <row r="42">
      <c r="A42" s="55" t="inlineStr">
        <is>
          <t>애널리스트 수</t>
        </is>
      </c>
      <c r="B42" s="58" t="n">
        <v>1</v>
      </c>
    </row>
    <row r="44">
      <c r="A44" s="53" t="inlineStr">
        <is>
          <t>밸류에이션 now</t>
        </is>
      </c>
      <c r="B44" s="53" t="n"/>
      <c r="C44" s="53" t="n"/>
      <c r="D44" s="53" t="n"/>
      <c r="E44" s="53" t="n"/>
      <c r="F44" s="53" t="n"/>
      <c r="G44" s="53" t="n"/>
      <c r="H44" s="53" t="n"/>
      <c r="I44" s="53" t="n"/>
    </row>
    <row r="45">
      <c r="A45" s="54" t="inlineStr">
        <is>
          <t>항목</t>
        </is>
      </c>
      <c r="B45" s="54" t="inlineStr">
        <is>
          <t>값</t>
        </is>
      </c>
      <c r="I45" s="54" t="inlineStr">
        <is>
          <t>출처</t>
        </is>
      </c>
    </row>
    <row r="46">
      <c r="A46" s="55" t="inlineStr">
        <is>
          <t>PER 가이던스</t>
        </is>
      </c>
      <c r="B46" s="56" t="n">
        <v>29.3</v>
      </c>
      <c r="I46" s="57" t="inlineStr">
        <is>
          <t>2단계 보고서 자료(회사 설명회 자료·공시)</t>
        </is>
      </c>
    </row>
    <row r="47">
      <c r="A47" s="55" t="inlineStr">
        <is>
          <t>PER cons fy28</t>
        </is>
      </c>
      <c r="B47" s="56" t="n">
        <v>20.2</v>
      </c>
    </row>
    <row r="48">
      <c r="A48" s="55" t="inlineStr">
        <is>
          <t>trailing PER yahoo</t>
        </is>
      </c>
      <c r="B48" s="56" t="n">
        <v>39.7</v>
      </c>
    </row>
    <row r="49">
      <c r="A49" s="55" t="inlineStr">
        <is>
          <t>PBR approx</t>
        </is>
      </c>
      <c r="B49" s="56" t="n">
        <v>10.4</v>
      </c>
    </row>
    <row r="51">
      <c r="A51" s="53" t="inlineStr">
        <is>
          <t>stock range · chg</t>
        </is>
      </c>
      <c r="B51" s="53" t="n"/>
      <c r="C51" s="53" t="n"/>
      <c r="D51" s="53" t="n"/>
      <c r="E51" s="53" t="n"/>
      <c r="F51" s="53" t="n"/>
      <c r="G51" s="53" t="n"/>
      <c r="H51" s="53" t="n"/>
      <c r="I51" s="53" t="n"/>
    </row>
    <row r="52">
      <c r="A52" s="54" t="inlineStr">
        <is>
          <t>항목</t>
        </is>
      </c>
      <c r="B52" s="54" t="inlineStr">
        <is>
          <t>값</t>
        </is>
      </c>
      <c r="I52" s="54" t="inlineStr">
        <is>
          <t>출처</t>
        </is>
      </c>
    </row>
    <row r="53">
      <c r="A53" s="55" t="inlineStr">
        <is>
          <t>1w</t>
        </is>
      </c>
      <c r="B53" s="56" t="n">
        <v>8</v>
      </c>
      <c r="I53" s="57" t="inlineStr">
        <is>
          <t>2단계 보고서 자료(회사 설명회 자료·공시)</t>
        </is>
      </c>
    </row>
    <row r="54">
      <c r="A54" s="55" t="inlineStr">
        <is>
          <t>1m</t>
        </is>
      </c>
      <c r="B54" s="56" t="n">
        <v>25.4</v>
      </c>
    </row>
    <row r="55">
      <c r="A55" s="55" t="inlineStr">
        <is>
          <t>3m</t>
        </is>
      </c>
      <c r="B55" s="56" t="n">
        <v>99.7</v>
      </c>
    </row>
    <row r="56">
      <c r="A56" s="55" t="inlineStr">
        <is>
          <t>6m</t>
        </is>
      </c>
      <c r="B56" s="56" t="n">
        <v>112.1</v>
      </c>
    </row>
    <row r="57">
      <c r="A57" s="55" t="inlineStr">
        <is>
          <t>ytd</t>
        </is>
      </c>
      <c r="B57" s="56" t="n">
        <v>62.5</v>
      </c>
    </row>
    <row r="58">
      <c r="A58" s="55" t="inlineStr">
        <is>
          <t>since first</t>
        </is>
      </c>
      <c r="B58" s="56" t="n">
        <v>97.3</v>
      </c>
    </row>
    <row r="60">
      <c r="A60" s="53" t="inlineStr">
        <is>
          <t>peers · 6532 베이커런트(2월 결산, IFRS)</t>
        </is>
      </c>
      <c r="B60" s="53" t="n"/>
      <c r="C60" s="53" t="n"/>
      <c r="D60" s="53" t="n"/>
      <c r="E60" s="53" t="n"/>
      <c r="F60" s="53" t="n"/>
      <c r="G60" s="53" t="n"/>
      <c r="H60" s="53" t="n"/>
      <c r="I60" s="53" t="n"/>
    </row>
    <row r="61">
      <c r="A61" s="54" t="inlineStr">
        <is>
          <t>항목</t>
        </is>
      </c>
      <c r="B61" s="54" t="inlineStr">
        <is>
          <t>값</t>
        </is>
      </c>
      <c r="I61" s="54" t="inlineStr">
        <is>
          <t>출처</t>
        </is>
      </c>
    </row>
    <row r="62">
      <c r="A62" s="55" t="inlineStr">
        <is>
          <t>cons FY27 EPS</t>
        </is>
      </c>
      <c r="B62" s="56" t="n">
        <v>327.5</v>
      </c>
      <c r="I62" s="57" t="inlineStr">
        <is>
          <t>억 엔, 분기 단독(누계 차분), 결산월 다름 — 달력 분기로 맞출 것</t>
        </is>
      </c>
    </row>
    <row r="63">
      <c r="A63" s="55" t="inlineStr">
        <is>
          <t>cons FY28 EPS</t>
        </is>
      </c>
      <c r="B63" s="56" t="n">
        <v>410.6</v>
      </c>
    </row>
    <row r="64">
      <c r="A64" s="55" t="inlineStr">
        <is>
          <t>가격</t>
        </is>
      </c>
      <c r="B64" s="58" t="n">
        <v>11500</v>
      </c>
    </row>
    <row r="65">
      <c r="A65" s="55" t="inlineStr">
        <is>
          <t>mcap</t>
        </is>
      </c>
      <c r="B65" s="58" t="n">
        <v>16903</v>
      </c>
    </row>
    <row r="66">
      <c r="A66" s="55" t="inlineStr">
        <is>
          <t>목표주가 평균</t>
        </is>
      </c>
      <c r="B66" s="58" t="n">
        <v>9342</v>
      </c>
    </row>
    <row r="68">
      <c r="A68" s="53" t="inlineStr">
        <is>
          <t>peers · 9168 라이즈 컨설팅 그룹(2월, IFRS)</t>
        </is>
      </c>
      <c r="B68" s="53" t="n"/>
      <c r="C68" s="53" t="n"/>
      <c r="D68" s="53" t="n"/>
      <c r="E68" s="53" t="n"/>
      <c r="F68" s="53" t="n"/>
      <c r="G68" s="53" t="n"/>
      <c r="H68" s="53" t="n"/>
      <c r="I68" s="53" t="n"/>
    </row>
    <row r="69">
      <c r="A69" s="54" t="inlineStr">
        <is>
          <t>항목</t>
        </is>
      </c>
      <c r="B69" s="54" t="inlineStr">
        <is>
          <t>값</t>
        </is>
      </c>
      <c r="I69" s="54" t="inlineStr">
        <is>
          <t>출처</t>
        </is>
      </c>
    </row>
    <row r="70">
      <c r="A70" s="55" t="inlineStr">
        <is>
          <t>가격</t>
        </is>
      </c>
      <c r="B70" s="58" t="n">
        <v>360</v>
      </c>
      <c r="I70" s="57" t="inlineStr">
        <is>
          <t>억 엔, 분기 단독(누계 차분), 결산월 다름 — 달력 분기로 맞출 것</t>
        </is>
      </c>
    </row>
    <row r="71">
      <c r="A71" s="55" t="inlineStr">
        <is>
          <t>mcap</t>
        </is>
      </c>
      <c r="B71" s="58" t="n">
        <v>87</v>
      </c>
    </row>
    <row r="73">
      <c r="A73" s="53" t="inlineStr">
        <is>
          <t>peers · 6088 시그마크시스 HD(3월, 일본기준)</t>
        </is>
      </c>
      <c r="B73" s="53" t="n"/>
      <c r="C73" s="53" t="n"/>
      <c r="D73" s="53" t="n"/>
      <c r="E73" s="53" t="n"/>
      <c r="F73" s="53" t="n"/>
      <c r="G73" s="53" t="n"/>
      <c r="H73" s="53" t="n"/>
      <c r="I73" s="53" t="n"/>
    </row>
    <row r="74">
      <c r="A74" s="54" t="inlineStr">
        <is>
          <t>항목</t>
        </is>
      </c>
      <c r="B74" s="54" t="inlineStr">
        <is>
          <t>값</t>
        </is>
      </c>
      <c r="I74" s="54" t="inlineStr">
        <is>
          <t>출처</t>
        </is>
      </c>
    </row>
    <row r="75">
      <c r="A75" s="55" t="inlineStr">
        <is>
          <t>가격</t>
        </is>
      </c>
      <c r="B75" s="58" t="n">
        <v>631</v>
      </c>
      <c r="I75" s="57" t="inlineStr">
        <is>
          <t>억 엔, 분기 단독(누계 차분), 결산월 다름 — 달력 분기로 맞출 것</t>
        </is>
      </c>
    </row>
    <row r="76">
      <c r="A76" s="55" t="inlineStr">
        <is>
          <t>mcap</t>
        </is>
      </c>
      <c r="B76" s="58" t="n">
        <v>508</v>
      </c>
    </row>
    <row r="77">
      <c r="A77" s="55" t="inlineStr">
        <is>
          <t>cons FY27 EPS</t>
        </is>
      </c>
      <c r="B77" s="56" t="n">
        <v>54.9</v>
      </c>
    </row>
    <row r="79">
      <c r="A79" s="53" t="inlineStr">
        <is>
          <t>peers · 3697 SHIFT(8월, 일본기준)</t>
        </is>
      </c>
      <c r="B79" s="53" t="n"/>
      <c r="C79" s="53" t="n"/>
      <c r="D79" s="53" t="n"/>
      <c r="E79" s="53" t="n"/>
      <c r="F79" s="53" t="n"/>
      <c r="G79" s="53" t="n"/>
      <c r="H79" s="53" t="n"/>
      <c r="I79" s="53" t="n"/>
    </row>
    <row r="80">
      <c r="A80" s="54" t="inlineStr">
        <is>
          <t>항목</t>
        </is>
      </c>
      <c r="B80" s="54" t="inlineStr">
        <is>
          <t>값</t>
        </is>
      </c>
      <c r="I80" s="54" t="inlineStr">
        <is>
          <t>출처</t>
        </is>
      </c>
    </row>
    <row r="81">
      <c r="A81" s="55" t="inlineStr">
        <is>
          <t>FY27 guide 매출</t>
        </is>
      </c>
      <c r="B81" s="58" t="n">
        <v>1900</v>
      </c>
      <c r="I81" s="57" t="inlineStr">
        <is>
          <t>억 엔, 분기 단독(누계 차분), 결산월 다름 — 달력 분기로 맞출 것</t>
        </is>
      </c>
    </row>
    <row r="82">
      <c r="A82" s="55" t="inlineStr">
        <is>
          <t>가격</t>
        </is>
      </c>
      <c r="B82" s="58" t="n">
        <v>1156</v>
      </c>
    </row>
    <row r="83">
      <c r="A83" s="55" t="inlineStr">
        <is>
          <t>mcap</t>
        </is>
      </c>
      <c r="B83" s="58" t="n">
        <v>2955</v>
      </c>
    </row>
    <row r="84">
      <c r="A84" s="55" t="inlineStr">
        <is>
          <t>cons FY27 EPS</t>
        </is>
      </c>
      <c r="B84" s="56" t="n">
        <v>54.1</v>
      </c>
    </row>
    <row r="86">
      <c r="A86" s="53" t="inlineStr">
        <is>
          <t>annual 실적</t>
        </is>
      </c>
      <c r="B86" s="53" t="n"/>
      <c r="C86" s="53" t="n"/>
      <c r="D86" s="53" t="n"/>
      <c r="E86" s="53" t="n"/>
      <c r="F86" s="53" t="n"/>
      <c r="G86" s="53" t="n"/>
      <c r="H86" s="53" t="n"/>
      <c r="I86" s="53" t="n"/>
    </row>
    <row r="87">
      <c r="A87" s="54" t="inlineStr">
        <is>
          <t>항목</t>
        </is>
      </c>
      <c r="B87" s="54" t="inlineStr">
        <is>
          <t>span</t>
        </is>
      </c>
      <c r="C87" s="54" t="inlineStr">
        <is>
          <t>매출</t>
        </is>
      </c>
      <c r="D87" s="54" t="inlineStr">
        <is>
          <t>영업이익</t>
        </is>
      </c>
      <c r="E87" s="54" t="inlineStr">
        <is>
          <t>note</t>
        </is>
      </c>
      <c r="I87" s="54" t="inlineStr">
        <is>
          <t>출처</t>
        </is>
      </c>
    </row>
    <row r="88">
      <c r="A88" s="55" t="inlineStr">
        <is>
          <t>FY2024</t>
        </is>
      </c>
      <c r="B88" s="59" t="inlineStr">
        <is>
          <t>23.2~24.1</t>
        </is>
      </c>
      <c r="C88" s="56" t="n">
        <v>91.5</v>
      </c>
      <c r="D88" s="56" t="n">
        <v>10.9</v>
      </c>
      <c r="E88" s="59" t="inlineStr">
        <is>
          <t>FY25 결산단신 증감률로 역산(계산: 164.17/1.795, 27.74/2.537) — 유가증권신고서로 확인 필요</t>
        </is>
      </c>
      <c r="I88" s="57" t="inlineStr">
        <is>
          <t>2단계 보고서 자료(회사 설명회 자료·공시)</t>
        </is>
      </c>
    </row>
    <row r="89">
      <c r="A89" s="55" t="inlineStr">
        <is>
          <t>FY2025</t>
        </is>
      </c>
      <c r="B89" s="59" t="inlineStr">
        <is>
          <t>24.2~25.1</t>
        </is>
      </c>
      <c r="C89" s="56" t="n">
        <v>164.17</v>
      </c>
      <c r="D89" s="56" t="n">
        <v>27.74</v>
      </c>
      <c r="E89" s="59" t="n"/>
    </row>
    <row r="90">
      <c r="A90" s="55" t="inlineStr">
        <is>
          <t>FY2026</t>
        </is>
      </c>
      <c r="B90" s="59" t="inlineStr">
        <is>
          <t>25.2~26.1</t>
        </is>
      </c>
      <c r="C90" s="56" t="n">
        <v>261.85</v>
      </c>
      <c r="D90" s="56" t="n">
        <v>55.47</v>
      </c>
      <c r="E90" s="59" t="n"/>
    </row>
    <row r="92">
      <c r="A92" s="53" t="inlineStr">
        <is>
          <t>quarterly 실적</t>
        </is>
      </c>
      <c r="B92" s="53" t="n"/>
      <c r="C92" s="53" t="n"/>
      <c r="D92" s="53" t="n"/>
      <c r="E92" s="53" t="n"/>
      <c r="F92" s="53" t="n"/>
      <c r="G92" s="53" t="n"/>
      <c r="H92" s="53" t="n"/>
      <c r="I92" s="53" t="n"/>
    </row>
    <row r="93">
      <c r="A93" s="54" t="inlineStr">
        <is>
          <t>항목</t>
        </is>
      </c>
      <c r="B93" s="54" t="inlineStr">
        <is>
          <t>span</t>
        </is>
      </c>
      <c r="C93" s="54" t="inlineStr">
        <is>
          <t>매출</t>
        </is>
      </c>
      <c r="D93" s="54" t="inlineStr">
        <is>
          <t>영업이익</t>
        </is>
      </c>
      <c r="E93" s="54" t="inlineStr">
        <is>
          <t>ord</t>
        </is>
      </c>
      <c r="F93" s="54" t="inlineStr">
        <is>
          <t>순이익</t>
        </is>
      </c>
      <c r="G93" s="54" t="inlineStr">
        <is>
          <t>note</t>
        </is>
      </c>
      <c r="I93" s="54" t="inlineStr">
        <is>
          <t>출처</t>
        </is>
      </c>
    </row>
    <row r="94">
      <c r="A94" s="55" t="inlineStr">
        <is>
          <t>FY2026-H1</t>
        </is>
      </c>
      <c r="B94" s="59" t="inlineStr">
        <is>
          <t>25.2~7</t>
        </is>
      </c>
      <c r="C94" s="56" t="n">
        <v>115.14</v>
      </c>
      <c r="D94" s="56" t="n">
        <v>22.33</v>
      </c>
      <c r="E94" s="56" t="n">
        <v>22.36</v>
      </c>
      <c r="F94" s="56" t="n">
        <v>15.6</v>
      </c>
      <c r="G94" s="59" t="inlineStr">
        <is>
          <t>상장 전이라 1Q·2Q 단독 공시 없음 — 설명회 자료에서 분기 분리 확인 필요</t>
        </is>
      </c>
      <c r="I94" s="57" t="inlineStr">
        <is>
          <t>2단계 보고서 자료(회사 설명회 자료·공시)</t>
        </is>
      </c>
    </row>
    <row r="95">
      <c r="A95" s="55" t="inlineStr">
        <is>
          <t>2026-Q3</t>
        </is>
      </c>
      <c r="B95" s="59" t="inlineStr">
        <is>
          <t>25.8~10</t>
        </is>
      </c>
      <c r="C95" s="56" t="n">
        <v>68.47</v>
      </c>
      <c r="D95" s="56" t="n">
        <v>14.82</v>
      </c>
      <c r="E95" s="59" t="n"/>
      <c r="F95" s="56" t="n">
        <v>10.23</v>
      </c>
      <c r="G95" s="59" t="n"/>
    </row>
    <row r="96">
      <c r="A96" s="55" t="inlineStr">
        <is>
          <t>2026-Q4</t>
        </is>
      </c>
      <c r="B96" s="59" t="inlineStr">
        <is>
          <t>25.11~26.1</t>
        </is>
      </c>
      <c r="C96" s="56" t="n">
        <v>78.23999999999999</v>
      </c>
      <c r="D96" s="56" t="n">
        <v>18.32</v>
      </c>
      <c r="E96" s="56" t="n">
        <v>17.81</v>
      </c>
      <c r="F96" s="56" t="n">
        <v>14.63</v>
      </c>
      <c r="G96" s="59" t="n"/>
    </row>
    <row r="97">
      <c r="A97" s="55" t="inlineStr">
        <is>
          <t>2027-Q1</t>
        </is>
      </c>
      <c r="B97" s="59" t="inlineStr">
        <is>
          <t>26.2~4</t>
        </is>
      </c>
      <c r="C97" s="56" t="n">
        <v>88.56</v>
      </c>
      <c r="D97" s="56" t="n">
        <v>18.09</v>
      </c>
      <c r="E97" s="56" t="n">
        <v>18.15</v>
      </c>
      <c r="F97" s="56" t="n">
        <v>13.37</v>
      </c>
      <c r="G97" s="59" t="n"/>
    </row>
    <row r="98">
      <c r="A98" s="55" t="inlineStr">
        <is>
          <t>2027-Q2</t>
        </is>
      </c>
      <c r="B98" s="59" t="inlineStr">
        <is>
          <t>26.5~7</t>
        </is>
      </c>
      <c r="C98" s="56" t="n">
        <v>95.89</v>
      </c>
      <c r="D98" s="56" t="n">
        <v>19.57</v>
      </c>
      <c r="E98" s="56" t="n">
        <v>19.58</v>
      </c>
      <c r="F98" s="56" t="n">
        <v>14.46</v>
      </c>
      <c r="G98" s="59" t="n"/>
    </row>
    <row r="100">
      <c r="A100" s="53" t="inlineStr">
        <is>
          <t>가이던스 path fy2027</t>
        </is>
      </c>
      <c r="B100" s="53" t="n"/>
      <c r="C100" s="53" t="n"/>
      <c r="D100" s="53" t="n"/>
      <c r="E100" s="53" t="n"/>
      <c r="F100" s="53" t="n"/>
      <c r="G100" s="53" t="n"/>
      <c r="H100" s="53" t="n"/>
      <c r="I100" s="53" t="n"/>
    </row>
    <row r="101">
      <c r="A101" s="54" t="inlineStr">
        <is>
          <t>항목</t>
        </is>
      </c>
      <c r="B101" s="54" t="inlineStr">
        <is>
          <t>kind</t>
        </is>
      </c>
      <c r="C101" s="54" t="inlineStr">
        <is>
          <t>매출</t>
        </is>
      </c>
      <c r="D101" s="54" t="inlineStr">
        <is>
          <t>영업이익</t>
        </is>
      </c>
      <c r="E101" s="54" t="inlineStr">
        <is>
          <t>ord</t>
        </is>
      </c>
      <c r="F101" s="54" t="inlineStr">
        <is>
          <t>순이익</t>
        </is>
      </c>
      <c r="G101" s="54" t="inlineStr">
        <is>
          <t>EPS</t>
        </is>
      </c>
      <c r="H101" s="54" t="inlineStr">
        <is>
          <t>dps</t>
        </is>
      </c>
      <c r="I101" s="54" t="inlineStr">
        <is>
          <t>출처</t>
        </is>
      </c>
    </row>
    <row r="102">
      <c r="A102" s="55" t="inlineStr">
        <is>
          <t>2026-03-13</t>
        </is>
      </c>
      <c r="B102" s="59" t="inlineStr">
        <is>
          <t>최초</t>
        </is>
      </c>
      <c r="C102" s="56" t="n">
        <v>384.93</v>
      </c>
      <c r="D102" s="56" t="n">
        <v>86.3</v>
      </c>
      <c r="E102" s="56" t="n">
        <v>86.47</v>
      </c>
      <c r="F102" s="56" t="n">
        <v>64.05</v>
      </c>
      <c r="G102" s="56" t="n">
        <v>92.83</v>
      </c>
      <c r="H102" s="58" t="n">
        <v>33</v>
      </c>
      <c r="I102" s="57" t="inlineStr">
        <is>
          <t>2단계 보고서 자료(회사 설명회 자료·공시)</t>
        </is>
      </c>
    </row>
    <row r="103">
      <c r="A103" s="55" t="inlineStr">
        <is>
          <t>2026-09-11</t>
        </is>
      </c>
      <c r="B103" s="59" t="inlineStr">
        <is>
          <t>상향(2Q 발표 때)</t>
        </is>
      </c>
      <c r="C103" s="56" t="n">
        <v>405.6</v>
      </c>
      <c r="D103" s="56" t="n">
        <v>92.06999999999999</v>
      </c>
      <c r="E103" s="56" t="n">
        <v>92.20999999999999</v>
      </c>
      <c r="F103" s="56" t="n">
        <v>68.23</v>
      </c>
      <c r="G103" s="56" t="n">
        <v>98.89</v>
      </c>
      <c r="H103" s="58" t="n">
        <v>35</v>
      </c>
    </row>
    <row r="105">
      <c r="A105" s="53" t="inlineStr">
        <is>
          <t>가이던스 path fy2026</t>
        </is>
      </c>
      <c r="B105" s="53" t="n"/>
      <c r="C105" s="53" t="n"/>
      <c r="D105" s="53" t="n"/>
      <c r="E105" s="53" t="n"/>
      <c r="F105" s="53" t="n"/>
      <c r="G105" s="53" t="n"/>
      <c r="H105" s="53" t="n"/>
      <c r="I105" s="53" t="n"/>
    </row>
    <row r="106">
      <c r="A106" s="54" t="inlineStr">
        <is>
          <t>항목</t>
        </is>
      </c>
      <c r="B106" s="54" t="inlineStr">
        <is>
          <t>kind</t>
        </is>
      </c>
      <c r="C106" s="54" t="inlineStr">
        <is>
          <t>note</t>
        </is>
      </c>
      <c r="I106" s="54" t="inlineStr">
        <is>
          <t>출처</t>
        </is>
      </c>
    </row>
    <row r="107">
      <c r="A107" s="55" t="inlineStr">
        <is>
          <t>2026-01-23</t>
        </is>
      </c>
      <c r="B107" s="59" t="inlineStr">
        <is>
          <t>수정 공시</t>
        </is>
      </c>
      <c r="C107" s="59" t="inlineStr">
        <is>
          <t>FY26 통기 예상 수정(숫자는 원문 doc 140120260121536455 확인 필요) — 2026-03-13 '예상과 실적 차이' 공시도 있음(doc 140120260313581100)</t>
        </is>
      </c>
      <c r="I107" s="57" t="inlineStr">
        <is>
          <t>2단계 보고서 자료(회사 설명회 자료·공시)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1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2026-09-11</t>
        </is>
      </c>
      <c r="B4" t="inlineStr">
        <is>
          <t>2027년 1월 결산기 ２분기 결산단신</t>
        </is>
      </c>
      <c r="C4" t="inlineStr">
        <is>
          <t>https://www2.jpx.co.jp/disc/446A0/140120260911535032.pdf</t>
        </is>
      </c>
    </row>
    <row r="5">
      <c r="A5" t="inlineStr">
        <is>
          <t>2026-06-11</t>
        </is>
      </c>
      <c r="B5" t="inlineStr">
        <is>
          <t>2027년 1월 결산기 １분기 결산단신</t>
        </is>
      </c>
      <c r="C5" t="inlineStr">
        <is>
          <t>https://www2.jpx.co.jp/disc/446A0/140120260610567210.pdf</t>
        </is>
      </c>
    </row>
    <row r="6">
      <c r="A6" t="inlineStr">
        <is>
          <t>2026-03-13</t>
        </is>
      </c>
      <c r="B6" t="inlineStr">
        <is>
          <t>2026년 1월 결산기 연간 결산단신</t>
        </is>
      </c>
      <c r="C6" t="inlineStr">
        <is>
          <t>https://www2.jpx.co.jp/disc/446A0/140120260312580943.pdf</t>
        </is>
      </c>
    </row>
    <row r="7">
      <c r="A7" t="inlineStr">
        <is>
          <t>2025-12-12</t>
        </is>
      </c>
      <c r="B7" t="inlineStr">
        <is>
          <t>2026년 1월 결산기 ３분기 결산단신</t>
        </is>
      </c>
      <c r="C7" t="inlineStr">
        <is>
          <t>https://www2.jpx.co.jp/disc/446A0/140120251211517866.pdf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2026-10-25T07:47:46Z</dcterms:created>
  <dcterms:modified xmlns:dcterms="http://purl.org/dc/terms/" xmlns:xsi="http://www.w3.org/2001/XMLSchema-instance" xsi:type="dcterms:W3CDTF">2026-10-25T07:47:46Z</dcterms:modified>
</cp:coreProperties>
</file>