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ser>
          <idx val="4"/>
          <order val="4"/>
          <tx>
            <strRef>
              <f>'재무제표 한눈에 보기'!A28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보기'!$B$28:$AO$28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30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49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49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9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후지보홀딩스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9609</v>
      </c>
      <c r="D4" s="12" t="n">
        <v>9401</v>
      </c>
      <c r="E4" s="12" t="n">
        <v>10381</v>
      </c>
      <c r="F4" s="12" t="n">
        <v>10679</v>
      </c>
      <c r="G4" s="12" t="n">
        <v>11132</v>
      </c>
      <c r="H4" s="12" t="n">
        <v>10720</v>
      </c>
      <c r="I4" s="12" t="n">
        <v>11253</v>
      </c>
      <c r="J4" s="12" t="n">
        <v>11275</v>
      </c>
      <c r="K4" s="12" t="n">
        <v>11805</v>
      </c>
      <c r="L4" s="12" t="n">
        <v>11596</v>
      </c>
      <c r="M4" s="12" t="n">
        <v>13172</v>
      </c>
      <c r="N4" s="12" t="n">
        <v>14182</v>
      </c>
      <c r="O4" s="11" t="n">
        <v>40878</v>
      </c>
      <c r="P4" s="12" t="n">
        <v>35891</v>
      </c>
      <c r="Q4" s="12" t="n">
        <v>37097</v>
      </c>
      <c r="R4" s="12" t="n">
        <v>38701</v>
      </c>
      <c r="S4" s="12" t="n">
        <v>36932</v>
      </c>
      <c r="T4" s="12" t="n">
        <v>35916</v>
      </c>
      <c r="U4" s="12" t="n">
        <v>37669</v>
      </c>
      <c r="V4" s="12" t="n">
        <v>36108</v>
      </c>
      <c r="W4" s="12" t="n">
        <v>42912</v>
      </c>
      <c r="X4" s="12" t="n">
        <v>45929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AbrasiveReportableSegmentsMember</t>
        </is>
      </c>
      <c r="B7" s="10" t="n"/>
      <c r="C7" s="19" t="n">
        <v>3717</v>
      </c>
      <c r="D7" s="20" t="n">
        <v>3978</v>
      </c>
      <c r="E7" s="20" t="n"/>
      <c r="F7" s="20" t="n"/>
      <c r="G7" s="20" t="n">
        <v>5127</v>
      </c>
      <c r="H7" s="20" t="n">
        <v>4971</v>
      </c>
      <c r="I7" s="20" t="n"/>
      <c r="J7" s="20" t="n"/>
      <c r="K7" s="20" t="n">
        <v>5785</v>
      </c>
      <c r="L7" s="20" t="n">
        <v>6032</v>
      </c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13416</v>
      </c>
      <c r="W7" s="20" t="n">
        <v>19307</v>
      </c>
      <c r="X7" s="20" t="n">
        <v>22561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ChemicalIndustryProductsReportableSegmentsMember</t>
        </is>
      </c>
      <c r="B10" s="10" t="n"/>
      <c r="C10" s="19" t="n">
        <v>2981</v>
      </c>
      <c r="D10" s="20" t="n">
        <v>3152</v>
      </c>
      <c r="E10" s="20" t="n"/>
      <c r="F10" s="20" t="n"/>
      <c r="G10" s="20" t="n">
        <v>3269</v>
      </c>
      <c r="H10" s="20" t="n">
        <v>3385</v>
      </c>
      <c r="I10" s="20" t="n"/>
      <c r="J10" s="20" t="n"/>
      <c r="K10" s="20" t="n">
        <v>3491</v>
      </c>
      <c r="L10" s="20" t="n">
        <v>3410</v>
      </c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12519</v>
      </c>
      <c r="W10" s="20" t="n">
        <v>13474</v>
      </c>
      <c r="X10" s="20" t="n">
        <v>14113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LifestyleApparelReportableSegmentMember</t>
        </is>
      </c>
      <c r="B13" s="10" t="n"/>
      <c r="C13" s="19" t="n">
        <v>1953</v>
      </c>
      <c r="D13" s="20" t="n">
        <v>1550</v>
      </c>
      <c r="E13" s="20" t="n">
        <v>1796</v>
      </c>
      <c r="F13" s="20" t="n">
        <v>1748</v>
      </c>
      <c r="G13" s="20" t="n">
        <v>1834</v>
      </c>
      <c r="H13" s="20" t="n">
        <v>1589</v>
      </c>
      <c r="I13" s="20" t="n">
        <v>1615</v>
      </c>
      <c r="J13" s="20" t="n">
        <v>1531</v>
      </c>
      <c r="K13" s="20" t="n">
        <v>1772</v>
      </c>
      <c r="L13" s="20" t="n">
        <v>1405</v>
      </c>
      <c r="M13" s="20" t="n">
        <v>1380</v>
      </c>
      <c r="N13" s="20" t="n">
        <v>1410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6952</v>
      </c>
      <c r="W13" s="20" t="n">
        <v>6967</v>
      </c>
      <c r="X13" s="20" t="n">
        <v>6323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기타</t>
        </is>
      </c>
      <c r="B16" s="10" t="n"/>
      <c r="C16" s="19" t="n">
        <v>958</v>
      </c>
      <c r="D16" s="20" t="n">
        <v>720</v>
      </c>
      <c r="E16" s="20" t="n">
        <v>667</v>
      </c>
      <c r="F16" s="20" t="n">
        <v>818</v>
      </c>
      <c r="G16" s="20" t="n">
        <v>902</v>
      </c>
      <c r="H16" s="20" t="n">
        <v>775</v>
      </c>
      <c r="I16" s="20" t="n">
        <v>760</v>
      </c>
      <c r="J16" s="20" t="n">
        <v>666</v>
      </c>
      <c r="K16" s="20" t="n">
        <v>756</v>
      </c>
      <c r="L16" s="20" t="n">
        <v>748</v>
      </c>
      <c r="M16" s="20" t="n">
        <v>709</v>
      </c>
      <c r="N16" s="20" t="n">
        <v>1030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3219</v>
      </c>
      <c r="W16" s="20" t="n">
        <v>3162</v>
      </c>
      <c r="X16" s="20" t="n">
        <v>2930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>
        <v>10381</v>
      </c>
      <c r="F19" s="20" t="n"/>
      <c r="G19" s="20" t="n"/>
      <c r="H19" s="20" t="n"/>
      <c r="I19" s="20" t="n">
        <v>11253</v>
      </c>
      <c r="J19" s="20" t="n"/>
      <c r="K19" s="20" t="n"/>
      <c r="L19" s="20" t="n"/>
      <c r="M19" s="20" t="n">
        <v>13172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AbrasiveReportableSegmentMember</t>
        </is>
      </c>
      <c r="B22" s="10" t="n"/>
      <c r="C22" s="19" t="n"/>
      <c r="D22" s="20" t="n"/>
      <c r="E22" s="20" t="n">
        <v>4620</v>
      </c>
      <c r="F22" s="20" t="n"/>
      <c r="G22" s="20" t="n"/>
      <c r="H22" s="20" t="n"/>
      <c r="I22" s="20" t="n">
        <v>5240</v>
      </c>
      <c r="J22" s="20" t="n"/>
      <c r="K22" s="20" t="n"/>
      <c r="L22" s="20" t="n"/>
      <c r="M22" s="20" t="n">
        <v>6499</v>
      </c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ChemicalIndustryProductsReportableSegmentMember</t>
        </is>
      </c>
      <c r="B25" s="10" t="n"/>
      <c r="C25" s="19" t="n"/>
      <c r="D25" s="20" t="n"/>
      <c r="E25" s="20" t="n">
        <v>3296</v>
      </c>
      <c r="F25" s="20" t="n"/>
      <c r="G25" s="20" t="n"/>
      <c r="H25" s="20" t="n"/>
      <c r="I25" s="20" t="n">
        <v>3636</v>
      </c>
      <c r="J25" s="20" t="n"/>
      <c r="K25" s="20" t="n"/>
      <c r="L25" s="20" t="n"/>
      <c r="M25" s="20" t="n">
        <v>4582</v>
      </c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6559</v>
      </c>
      <c r="D29" s="20" t="n">
        <v>6610</v>
      </c>
      <c r="E29" s="20" t="n">
        <v>6814</v>
      </c>
      <c r="F29" s="20" t="n">
        <v>7058</v>
      </c>
      <c r="G29" s="20" t="n">
        <v>7043</v>
      </c>
      <c r="H29" s="20" t="n">
        <v>7113</v>
      </c>
      <c r="I29" s="20" t="n">
        <v>7201</v>
      </c>
      <c r="J29" s="20" t="n">
        <v>7221</v>
      </c>
      <c r="K29" s="20" t="n">
        <v>7326</v>
      </c>
      <c r="L29" s="20" t="n">
        <v>7244</v>
      </c>
      <c r="M29" s="20" t="n">
        <v>8406</v>
      </c>
      <c r="N29" s="20" t="n">
        <v>9415</v>
      </c>
      <c r="O29" s="19" t="n">
        <v>25591</v>
      </c>
      <c r="P29" s="20" t="n">
        <v>23453</v>
      </c>
      <c r="Q29" s="20" t="n">
        <v>24685</v>
      </c>
      <c r="R29" s="20" t="n">
        <v>25962</v>
      </c>
      <c r="S29" s="20" t="n">
        <v>24728</v>
      </c>
      <c r="T29" s="20" t="n">
        <v>23242</v>
      </c>
      <c r="U29" s="20" t="n">
        <v>25523</v>
      </c>
      <c r="V29" s="20" t="n">
        <v>25495</v>
      </c>
      <c r="W29" s="20" t="n">
        <v>28028</v>
      </c>
      <c r="X29" s="20" t="n">
        <v>28992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18" t="inlineStr">
        <is>
          <t>매출총이익</t>
        </is>
      </c>
      <c r="B31" s="10" t="n"/>
      <c r="C31" s="19">
        <f>IF(OR(C4="",C29=""),"",IFERROR(C4-C29,""))</f>
        <v/>
      </c>
      <c r="D31" s="20">
        <f>IF(OR(D4="",D29=""),"",IFERROR(D4-D29,""))</f>
        <v/>
      </c>
      <c r="E31" s="20">
        <f>IF(OR(E4="",E29=""),"",IFERROR(E4-E29,""))</f>
        <v/>
      </c>
      <c r="F31" s="20">
        <f>IF(OR(F4="",F29=""),"",IFERROR(F4-F29,""))</f>
        <v/>
      </c>
      <c r="G31" s="20">
        <f>IF(OR(G4="",G29=""),"",IFERROR(G4-G29,""))</f>
        <v/>
      </c>
      <c r="H31" s="20">
        <f>IF(OR(H4="",H29=""),"",IFERROR(H4-H29,""))</f>
        <v/>
      </c>
      <c r="I31" s="20">
        <f>IF(OR(I4="",I29=""),"",IFERROR(I4-I29,""))</f>
        <v/>
      </c>
      <c r="J31" s="20">
        <f>IF(OR(J4="",J29=""),"",IFERROR(J4-J29,""))</f>
        <v/>
      </c>
      <c r="K31" s="20">
        <f>IF(OR(K4="",K29=""),"",IFERROR(K4-K29,""))</f>
        <v/>
      </c>
      <c r="L31" s="20">
        <f>IF(OR(L4="",L29=""),"",IFERROR(L4-L29,""))</f>
        <v/>
      </c>
      <c r="M31" s="20">
        <f>IF(OR(M4="",M29=""),"",IFERROR(M4-M29,""))</f>
        <v/>
      </c>
      <c r="N31" s="20">
        <f>IF(OR(N4="",N29=""),"",IFERROR(N4-N29,""))</f>
        <v/>
      </c>
      <c r="O31" s="19">
        <f>IF(OR(O4="",O29=""),"",IFERROR(O4-O29,""))</f>
        <v/>
      </c>
      <c r="P31" s="20">
        <f>IF(OR(P4="",P29=""),"",IFERROR(P4-P29,""))</f>
        <v/>
      </c>
      <c r="Q31" s="20">
        <f>IF(OR(Q4="",Q29=""),"",IFERROR(Q4-Q29,""))</f>
        <v/>
      </c>
      <c r="R31" s="20">
        <f>IF(OR(R4="",R29=""),"",IFERROR(R4-R29,""))</f>
        <v/>
      </c>
      <c r="S31" s="20">
        <f>IF(OR(S4="",S29=""),"",IFERROR(S4-S29,""))</f>
        <v/>
      </c>
      <c r="T31" s="20">
        <f>IF(OR(T4="",T29=""),"",IFERROR(T4-T29,""))</f>
        <v/>
      </c>
      <c r="U31" s="20">
        <f>IF(OR(U4="",U29=""),"",IFERROR(U4-U29,""))</f>
        <v/>
      </c>
      <c r="V31" s="20">
        <f>IF(OR(V4="",V29=""),"",IFERROR(V4-V29,""))</f>
        <v/>
      </c>
      <c r="W31" s="20">
        <f>IF(OR(W4="",W29=""),"",IFERROR(W4-W29,""))</f>
        <v/>
      </c>
      <c r="X31" s="20">
        <f>IF(OR(X4="",X29=""),"",IFERROR(X4-X29,""))</f>
        <v/>
      </c>
      <c r="Y31" s="19" t="n"/>
      <c r="Z31" s="20" t="n"/>
      <c r="AA31" s="20" t="n"/>
      <c r="AB31" s="20" t="n"/>
      <c r="AC31" s="20" t="n"/>
    </row>
    <row r="32">
      <c r="A32" s="13" t="inlineStr">
        <is>
          <t>GPM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IF(OR(G31="",C31=""),"",IF(C31&lt;=0,"",IFERROR(G31/C31-1,"")))</f>
        <v/>
      </c>
      <c r="H33" s="15">
        <f>IF(OR(H31="",D31=""),"",IF(D31&lt;=0,"",IFERROR(H31/D31-1,"")))</f>
        <v/>
      </c>
      <c r="I33" s="15">
        <f>IF(OR(I31="",E31=""),"",IF(E31&lt;=0,"",IFERROR(I31/E31-1,"")))</f>
        <v/>
      </c>
      <c r="J33" s="15">
        <f>IF(OR(J31="",F31=""),"",IF(F31&lt;=0,"",IFERROR(J31/F31-1,"")))</f>
        <v/>
      </c>
      <c r="K33" s="15">
        <f>IF(OR(K31="",G31=""),"",IF(G31&lt;=0,"",IFERROR(K31/G31-1,"")))</f>
        <v/>
      </c>
      <c r="L33" s="15">
        <f>IF(OR(L31="",H31=""),"",IF(H31&lt;=0,"",IFERROR(L31/H31-1,"")))</f>
        <v/>
      </c>
      <c r="M33" s="15">
        <f>IF(OR(M31="",I31=""),"",IF(I31&lt;=0,"",IFERROR(M31/I31-1,"")))</f>
        <v/>
      </c>
      <c r="N33" s="15">
        <f>IF(OR(N31="",J31=""),"",IF(J31&lt;=0,"",IFERROR(N31/J31-1,"")))</f>
        <v/>
      </c>
      <c r="O33" s="14" t="n"/>
      <c r="P33" s="15">
        <f>IF(OR(P31="",O31=""),"",IF(O31&lt;=0,"",IFERROR(P31/O31-1,"")))</f>
        <v/>
      </c>
      <c r="Q33" s="15">
        <f>IF(OR(Q31="",P31=""),"",IF(P31&lt;=0,"",IFERROR(Q31/P31-1,"")))</f>
        <v/>
      </c>
      <c r="R33" s="15">
        <f>IF(OR(R31="",Q31=""),"",IF(Q31&lt;=0,"",IFERROR(R31/Q31-1,"")))</f>
        <v/>
      </c>
      <c r="S33" s="15">
        <f>IF(OR(S31="",R31=""),"",IF(R31&lt;=0,"",IFERROR(S31/R31-1,"")))</f>
        <v/>
      </c>
      <c r="T33" s="15">
        <f>IF(OR(T31="",S31=""),"",IF(S31&lt;=0,"",IFERROR(T31/S31-1,"")))</f>
        <v/>
      </c>
      <c r="U33" s="15">
        <f>IF(OR(U31="",T31=""),"",IF(T31&lt;=0,"",IFERROR(U31/T31-1,"")))</f>
        <v/>
      </c>
      <c r="V33" s="15">
        <f>IF(OR(V31="",U31=""),"",IF(U31&lt;=0,"",IFERROR(V31/U31-1,"")))</f>
        <v/>
      </c>
      <c r="W33" s="15">
        <f>IF(OR(W31="",V31=""),"",IF(V31&lt;=0,"",IFERROR(W31/V31-1,"")))</f>
        <v/>
      </c>
      <c r="X33" s="15">
        <f>IF(OR(X31="",W31=""),"",IF(W31&lt;=0,"",IFERROR(X31/W31-1,"")))</f>
        <v/>
      </c>
      <c r="Y33" s="14">
        <f>IF(OR(Y31="",X31=""),"",IF(X31&lt;=0,"",IFERROR(Y31/X31-1,"")))</f>
        <v/>
      </c>
      <c r="Z33" s="15">
        <f>IF(OR(Z31="",Y31=""),"",IF(Y31&lt;=0,"",IFERROR(Z31/Y31-1,"")))</f>
        <v/>
      </c>
      <c r="AA33" s="15">
        <f>IF(OR(AA31="",Z31=""),"",IF(Z31&lt;=0,"",IFERROR(AA31/Z31-1,"")))</f>
        <v/>
      </c>
      <c r="AB33" s="15">
        <f>IF(OR(AB31="",AA31=""),"",IF(AA31&lt;=0,"",IFERROR(AB31/AA31-1,"")))</f>
        <v/>
      </c>
      <c r="AC33" s="15">
        <f>IF(OR(AC31="",AB31=""),"",IF(AB31&lt;=0,"",IFERROR(AC31/AB31-1,"")))</f>
        <v/>
      </c>
    </row>
    <row r="34">
      <c r="A34" s="23" t="inlineStr">
        <is>
          <t>판매관리비</t>
        </is>
      </c>
      <c r="B34" s="23" t="n"/>
      <c r="C34" s="24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4" t="n"/>
      <c r="Z34" s="23" t="n"/>
      <c r="AA34" s="23" t="n"/>
      <c r="AB34" s="23" t="n"/>
      <c r="AC34" s="23" t="n"/>
    </row>
    <row r="35">
      <c r="A35" s="18" t="inlineStr">
        <is>
          <t>전체 판관비</t>
        </is>
      </c>
      <c r="B35" s="10" t="n"/>
      <c r="C35" s="19" t="n">
        <v>1966</v>
      </c>
      <c r="D35" s="20" t="n">
        <v>1974</v>
      </c>
      <c r="E35" s="20" t="n">
        <v>2020</v>
      </c>
      <c r="F35" s="20" t="n">
        <v>2174</v>
      </c>
      <c r="G35" s="20" t="n">
        <v>2095</v>
      </c>
      <c r="H35" s="20" t="n">
        <v>2118</v>
      </c>
      <c r="I35" s="20" t="n">
        <v>2116</v>
      </c>
      <c r="J35" s="20" t="n">
        <v>2218</v>
      </c>
      <c r="K35" s="20" t="n">
        <v>2230</v>
      </c>
      <c r="L35" s="20" t="n">
        <v>2229</v>
      </c>
      <c r="M35" s="20" t="n">
        <v>2284</v>
      </c>
      <c r="N35" s="20" t="n">
        <v>2382</v>
      </c>
      <c r="O35" s="19" t="n">
        <v>8470</v>
      </c>
      <c r="P35" s="20" t="n">
        <v>8448</v>
      </c>
      <c r="Q35" s="20" t="n">
        <v>8632</v>
      </c>
      <c r="R35" s="20" t="n">
        <v>8659</v>
      </c>
      <c r="S35" s="20" t="n">
        <v>6918</v>
      </c>
      <c r="T35" s="20" t="n">
        <v>6797</v>
      </c>
      <c r="U35" s="20" t="n">
        <v>7273</v>
      </c>
      <c r="V35" s="20" t="n">
        <v>7794</v>
      </c>
      <c r="W35" s="20" t="n">
        <v>8407</v>
      </c>
      <c r="X35" s="20" t="n">
        <v>8793</v>
      </c>
      <c r="Y35" s="19" t="n"/>
      <c r="Z35" s="20" t="n"/>
      <c r="AA35" s="20" t="n"/>
      <c r="AB35" s="20" t="n"/>
      <c r="AC35" s="20" t="n"/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IF(OR(G35="",C35=""),"",IF(C35&lt;=0,"",IFERROR(G35/C35-1,"")))</f>
        <v/>
      </c>
      <c r="H36" s="15">
        <f>IF(OR(H35="",D35=""),"",IF(D35&lt;=0,"",IFERROR(H35/D35-1,"")))</f>
        <v/>
      </c>
      <c r="I36" s="15">
        <f>IF(OR(I35="",E35=""),"",IF(E35&lt;=0,"",IFERROR(I35/E35-1,"")))</f>
        <v/>
      </c>
      <c r="J36" s="15">
        <f>IF(OR(J35="",F35=""),"",IF(F35&lt;=0,"",IFERROR(J35/F35-1,"")))</f>
        <v/>
      </c>
      <c r="K36" s="15">
        <f>IF(OR(K35="",G35=""),"",IF(G35&lt;=0,"",IFERROR(K35/G35-1,"")))</f>
        <v/>
      </c>
      <c r="L36" s="15">
        <f>IF(OR(L35="",H35=""),"",IF(H35&lt;=0,"",IFERROR(L35/H35-1,"")))</f>
        <v/>
      </c>
      <c r="M36" s="15">
        <f>IF(OR(M35="",I35=""),"",IF(I35&lt;=0,"",IFERROR(M35/I35-1,"")))</f>
        <v/>
      </c>
      <c r="N36" s="15">
        <f>IF(OR(N35="",J35=""),"",IF(J35&lt;=0,"",IFERROR(N35/J35-1,"")))</f>
        <v/>
      </c>
      <c r="O36" s="14" t="n"/>
      <c r="P36" s="15">
        <f>IF(OR(P35="",O35=""),"",IF(O35&lt;=0,"",IFERROR(P35/O35-1,"")))</f>
        <v/>
      </c>
      <c r="Q36" s="15">
        <f>IF(OR(Q35="",P35=""),"",IF(P35&lt;=0,"",IFERROR(Q35/P35-1,"")))</f>
        <v/>
      </c>
      <c r="R36" s="15">
        <f>IF(OR(R35="",Q35=""),"",IF(Q35&lt;=0,"",IFERROR(R35/Q35-1,"")))</f>
        <v/>
      </c>
      <c r="S36" s="15">
        <f>IF(OR(S35="",R35=""),"",IF(R35&lt;=0,"",IFERROR(S35/R35-1,"")))</f>
        <v/>
      </c>
      <c r="T36" s="15">
        <f>IF(OR(T35="",S35=""),"",IF(S35&lt;=0,"",IFERROR(T35/S35-1,"")))</f>
        <v/>
      </c>
      <c r="U36" s="15">
        <f>IF(OR(U35="",T35=""),"",IF(T35&lt;=0,"",IFERROR(U35/T35-1,"")))</f>
        <v/>
      </c>
      <c r="V36" s="15">
        <f>IF(OR(V35="",U35=""),"",IF(U35&lt;=0,"",IFERROR(V35/U35-1,"")))</f>
        <v/>
      </c>
      <c r="W36" s="15">
        <f>IF(OR(W35="",V35=""),"",IF(V35&lt;=0,"",IFERROR(W35/V35-1,"")))</f>
        <v/>
      </c>
      <c r="X36" s="15">
        <f>IF(OR(X35="",W35=""),"",IF(W35&lt;=0,"",IFERROR(X35/W35-1,"")))</f>
        <v/>
      </c>
      <c r="Y36" s="14">
        <f>IF(OR(Y35="",X35=""),"",IF(X35&lt;=0,"",IFERROR(Y35/X35-1,"")))</f>
        <v/>
      </c>
      <c r="Z36" s="15">
        <f>IF(OR(Z35="",Y35=""),"",IF(Y35&lt;=0,"",IFERROR(Z35/Y35-1,"")))</f>
        <v/>
      </c>
      <c r="AA36" s="15">
        <f>IF(OR(AA35="",Z35=""),"",IF(Z35&lt;=0,"",IFERROR(AA35/Z35-1,"")))</f>
        <v/>
      </c>
      <c r="AB36" s="15">
        <f>IF(OR(AB35="",AA35=""),"",IF(AA35&lt;=0,"",IFERROR(AB35/AA35-1,"")))</f>
        <v/>
      </c>
      <c r="AC36" s="15">
        <f>IF(OR(AC35="",AB35=""),"",IF(AB35&lt;=0,"",IFERROR(AC35/AB35-1,"")))</f>
        <v/>
      </c>
    </row>
    <row r="37">
      <c r="A37" s="9" t="inlineStr">
        <is>
          <t>영업이익</t>
        </is>
      </c>
      <c r="B37" s="10" t="inlineStr">
        <is>
          <t>MW = 매출 × OPM</t>
        </is>
      </c>
      <c r="C37" s="11" t="n">
        <v>1084</v>
      </c>
      <c r="D37" s="12" t="n">
        <v>817</v>
      </c>
      <c r="E37" s="12" t="n">
        <v>1546</v>
      </c>
      <c r="F37" s="12" t="n">
        <v>1446</v>
      </c>
      <c r="G37" s="12" t="n">
        <v>1995</v>
      </c>
      <c r="H37" s="12" t="n">
        <v>1489</v>
      </c>
      <c r="I37" s="12" t="n">
        <v>1935</v>
      </c>
      <c r="J37" s="12" t="n">
        <v>1836</v>
      </c>
      <c r="K37" s="12" t="n">
        <v>2248</v>
      </c>
      <c r="L37" s="12" t="n">
        <v>2124</v>
      </c>
      <c r="M37" s="12" t="n">
        <v>2481</v>
      </c>
      <c r="N37" s="12" t="n">
        <v>2385</v>
      </c>
      <c r="O37" s="11" t="n">
        <v>6816</v>
      </c>
      <c r="P37" s="12" t="n">
        <v>3989</v>
      </c>
      <c r="Q37" s="12" t="n">
        <v>3779</v>
      </c>
      <c r="R37" s="12" t="n">
        <v>4079</v>
      </c>
      <c r="S37" s="12" t="n">
        <v>5285</v>
      </c>
      <c r="T37" s="12" t="n">
        <v>5877</v>
      </c>
      <c r="U37" s="12" t="n">
        <v>4872</v>
      </c>
      <c r="V37" s="12" t="n">
        <v>2818</v>
      </c>
      <c r="W37" s="12" t="n">
        <v>6476</v>
      </c>
      <c r="X37" s="12" t="n">
        <v>8143</v>
      </c>
      <c r="Y37" s="11">
        <f>IF(OR(Y4="",Y38=""),"",IFERROR(Y4*Y38,""))</f>
        <v/>
      </c>
      <c r="Z37" s="12">
        <f>IF(OR(Z4="",Z38=""),"",IFERROR(Z4*Z38,""))</f>
        <v/>
      </c>
      <c r="AA37" s="12">
        <f>IF(OR(AA4="",AA38=""),"",IFERROR(AA4*AA38,""))</f>
        <v/>
      </c>
      <c r="AB37" s="12">
        <f>IF(OR(AB4="",AB38=""),"",IFERROR(AB4*AB38,""))</f>
        <v/>
      </c>
      <c r="AC37" s="12">
        <f>IF(OR(AC4="",AC38=""),"",IFERROR(AC4*AC38,""))</f>
        <v/>
      </c>
    </row>
    <row r="38">
      <c r="A38" s="13" t="inlineStr">
        <is>
          <t>OPM</t>
        </is>
      </c>
      <c r="B38" s="10" t="inlineStr">
        <is>
          <t>MW 입력</t>
        </is>
      </c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 t="n"/>
      <c r="Z38" s="26" t="n"/>
      <c r="AA38" s="26" t="n"/>
      <c r="AB38" s="26" t="n"/>
      <c r="AC38" s="26" t="n"/>
    </row>
    <row r="39">
      <c r="A39" s="13" t="inlineStr">
        <is>
          <t>증가율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6" t="inlineStr">
        <is>
          <t>비용의 성격별 분류</t>
        </is>
      </c>
      <c r="B40" s="16" t="inlineStr">
        <is>
          <t>참고 데이터</t>
        </is>
      </c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9" t="inlineStr">
        <is>
          <t>총 판관비</t>
        </is>
      </c>
      <c r="B41" s="10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1">
        <f>IF(O35="","",O35)</f>
        <v/>
      </c>
      <c r="P41" s="12">
        <f>IF(P35="","",P35)</f>
        <v/>
      </c>
      <c r="Q41" s="12">
        <f>IF(Q35="","",Q35)</f>
        <v/>
      </c>
      <c r="R41" s="12">
        <f>IF(R35="","",R35)</f>
        <v/>
      </c>
      <c r="S41" s="12">
        <f>IF(S35="","",S35)</f>
        <v/>
      </c>
      <c r="T41" s="12">
        <f>IF(T35="","",T35)</f>
        <v/>
      </c>
      <c r="U41" s="12">
        <f>IF(U35="","",U35)</f>
        <v/>
      </c>
      <c r="V41" s="12">
        <f>IF(V35="","",V35)</f>
        <v/>
      </c>
      <c r="W41" s="12">
        <f>IF(W35="","",W35)</f>
        <v/>
      </c>
      <c r="X41" s="12">
        <f>IF(X35="","",X35)</f>
        <v/>
      </c>
      <c r="Y41" s="11" t="n"/>
      <c r="Z41" s="12" t="n"/>
      <c r="AA41" s="12" t="n"/>
      <c r="AB41" s="12" t="n"/>
      <c r="AC41" s="12" t="n"/>
    </row>
    <row r="42">
      <c r="A42" s="18" t="inlineStr">
        <is>
          <t>급여</t>
        </is>
      </c>
      <c r="B42" s="10" t="inlineStr">
        <is>
          <t>고정비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>
        <v>1922</v>
      </c>
      <c r="P42" s="20" t="n">
        <v>1796</v>
      </c>
      <c r="Q42" s="20" t="n">
        <v>1840</v>
      </c>
      <c r="R42" s="20" t="n">
        <v>1747</v>
      </c>
      <c r="S42" s="20" t="n">
        <v>1477</v>
      </c>
      <c r="T42" s="20" t="n">
        <v>1359</v>
      </c>
      <c r="U42" s="20" t="n">
        <v>1377</v>
      </c>
      <c r="V42" s="20" t="n">
        <v>1539</v>
      </c>
      <c r="W42" s="20" t="n">
        <v>1576</v>
      </c>
      <c r="X42" s="20" t="n">
        <v>1645</v>
      </c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감가상각비</t>
        </is>
      </c>
      <c r="B44" s="10" t="inlineStr">
        <is>
          <t>고정비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8" t="inlineStr">
        <is>
          <t>지급수수료</t>
        </is>
      </c>
      <c r="B46" s="10" t="inlineStr">
        <is>
          <t>고정비</t>
        </is>
      </c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19" t="n"/>
      <c r="Z46" s="20" t="n"/>
      <c r="AA46" s="20" t="n"/>
      <c r="AB46" s="20" t="n"/>
      <c r="AC46" s="20" t="n"/>
    </row>
    <row r="47">
      <c r="A47" s="13" t="inlineStr">
        <is>
          <t>% of Sales</t>
        </is>
      </c>
      <c r="B47" s="10" t="n"/>
      <c r="C47" s="14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 t="n"/>
      <c r="Z47" s="15" t="n"/>
      <c r="AA47" s="15" t="n"/>
      <c r="AB47" s="15" t="n"/>
      <c r="AC47" s="15" t="n"/>
    </row>
    <row r="48">
      <c r="A48" s="18" t="inlineStr">
        <is>
          <t>연구개발비</t>
        </is>
      </c>
      <c r="B48" s="10" t="inlineStr">
        <is>
          <t>변동비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기타비용</t>
        </is>
      </c>
      <c r="B50" s="10" t="inlineStr">
        <is>
          <t>변동비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>
        <f>IF(OR(O41="",O42="",O44="",O46="",O48=""),"",IFERROR(O41-O42-O44-O46-O48,""))</f>
        <v/>
      </c>
      <c r="P50" s="20">
        <f>IF(OR(P41="",P42="",P44="",P46="",P48=""),"",IFERROR(P41-P42-P44-P46-P48,""))</f>
        <v/>
      </c>
      <c r="Q50" s="20">
        <f>IF(OR(Q41="",Q42="",Q44="",Q46="",Q48=""),"",IFERROR(Q41-Q42-Q44-Q46-Q48,""))</f>
        <v/>
      </c>
      <c r="R50" s="20">
        <f>IF(OR(R41="",R42="",R44="",R46="",R48=""),"",IFERROR(R41-R42-R44-R46-R48,""))</f>
        <v/>
      </c>
      <c r="S50" s="20">
        <f>IF(OR(S41="",S42="",S44="",S46="",S48=""),"",IFERROR(S41-S42-S44-S46-S48,""))</f>
        <v/>
      </c>
      <c r="T50" s="20">
        <f>IF(OR(T41="",T42="",T44="",T46="",T48=""),"",IFERROR(T41-T42-T44-T46-T48,""))</f>
        <v/>
      </c>
      <c r="U50" s="20">
        <f>IF(OR(U41="",U42="",U44="",U46="",U48=""),"",IFERROR(U41-U42-U44-U46-U48,""))</f>
        <v/>
      </c>
      <c r="V50" s="20">
        <f>IF(OR(V41="",V42="",V44="",V46="",V48=""),"",IFERROR(V41-V42-V44-V46-V48,""))</f>
        <v/>
      </c>
      <c r="W50" s="20">
        <f>IF(OR(W41="",W42="",W44="",W46="",W48=""),"",IFERROR(W41-W42-W44-W46-W48,""))</f>
        <v/>
      </c>
      <c r="X50" s="20">
        <f>IF(OR(X41="",X42="",X44="",X46="",X48=""),"",IFERROR(X41-X42-X44-X46-X48,""))</f>
        <v/>
      </c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6" t="inlineStr">
        <is>
          <t>당기순이익 추정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특별이익</t>
        </is>
      </c>
      <c r="B53" s="10" t="n"/>
      <c r="C53" s="19" t="n">
        <v>4</v>
      </c>
      <c r="D53" s="20" t="n">
        <v>0</v>
      </c>
      <c r="E53" s="20" t="n">
        <v>3</v>
      </c>
      <c r="F53" s="20" t="n">
        <v>14</v>
      </c>
      <c r="G53" s="20" t="n">
        <v>192</v>
      </c>
      <c r="H53" s="20" t="n">
        <v>5</v>
      </c>
      <c r="I53" s="20" t="n">
        <v>0</v>
      </c>
      <c r="J53" s="20" t="n">
        <v>2</v>
      </c>
      <c r="K53" s="20" t="n">
        <v>22</v>
      </c>
      <c r="L53" s="20" t="n">
        <v>190</v>
      </c>
      <c r="M53" s="20" t="n">
        <v>0</v>
      </c>
      <c r="N53" s="20" t="n">
        <v>0</v>
      </c>
      <c r="O53" s="19" t="n">
        <v>5</v>
      </c>
      <c r="P53" s="20" t="n">
        <v>187</v>
      </c>
      <c r="Q53" s="20" t="n">
        <v>0</v>
      </c>
      <c r="R53" s="20" t="n">
        <v>2</v>
      </c>
      <c r="S53" s="20" t="n">
        <v>915</v>
      </c>
      <c r="T53" s="20" t="n">
        <v>3</v>
      </c>
      <c r="U53" s="20" t="n">
        <v>4</v>
      </c>
      <c r="V53" s="20" t="n">
        <v>142</v>
      </c>
      <c r="W53" s="20" t="n">
        <v>214</v>
      </c>
      <c r="X53" s="20" t="n">
        <v>214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inlineStr">
        <is>
          <t>MW = 최근 3년 평균</t>
        </is>
      </c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18" t="inlineStr">
        <is>
          <t>특별손실</t>
        </is>
      </c>
      <c r="B55" s="10" t="n"/>
      <c r="C55" s="19" t="n">
        <v>25</v>
      </c>
      <c r="D55" s="20" t="n">
        <v>107</v>
      </c>
      <c r="E55" s="20" t="n">
        <v>24</v>
      </c>
      <c r="F55" s="20" t="n">
        <v>14</v>
      </c>
      <c r="G55" s="20" t="n">
        <v>46</v>
      </c>
      <c r="H55" s="20" t="n">
        <v>167</v>
      </c>
      <c r="I55" s="20" t="n">
        <v>50</v>
      </c>
      <c r="J55" s="20" t="n">
        <v>31</v>
      </c>
      <c r="K55" s="20" t="n">
        <v>197</v>
      </c>
      <c r="L55" s="20" t="n">
        <v>666</v>
      </c>
      <c r="M55" s="20" t="n">
        <v>48</v>
      </c>
      <c r="N55" s="20" t="n">
        <v>207</v>
      </c>
      <c r="O55" s="19" t="n">
        <v>719</v>
      </c>
      <c r="P55" s="20" t="n">
        <v>227</v>
      </c>
      <c r="Q55" s="20" t="n">
        <v>124</v>
      </c>
      <c r="R55" s="20" t="n">
        <v>781</v>
      </c>
      <c r="S55" s="20" t="n">
        <v>532</v>
      </c>
      <c r="T55" s="20" t="n">
        <v>132</v>
      </c>
      <c r="U55" s="20" t="n">
        <v>88</v>
      </c>
      <c r="V55" s="20" t="n">
        <v>168</v>
      </c>
      <c r="W55" s="20" t="n">
        <v>251</v>
      </c>
      <c r="X55" s="20" t="n">
        <v>944</v>
      </c>
      <c r="Y55" s="19">
        <f>IF(OR(Y4="",Y56=""),"",IFERROR(Y4*Y56,""))</f>
        <v/>
      </c>
      <c r="Z55" s="20">
        <f>IF(OR(Z4="",Z56=""),"",IFERROR(Z4*Z56,""))</f>
        <v/>
      </c>
      <c r="AA55" s="20">
        <f>IF(OR(AA4="",AA56=""),"",IFERROR(AA4*AA56,""))</f>
        <v/>
      </c>
      <c r="AB55" s="20">
        <f>IF(OR(AB4="",AB56=""),"",IFERROR(AB4*AB56,""))</f>
        <v/>
      </c>
      <c r="AC55" s="20">
        <f>IF(OR(AC4="",AC56=""),"",IFERROR(AC4*AC56,""))</f>
        <v/>
      </c>
    </row>
    <row r="56">
      <c r="A56" s="13" t="inlineStr">
        <is>
          <t>% of Sales</t>
        </is>
      </c>
      <c r="B56" s="10" t="n"/>
      <c r="C56" s="14">
        <f>IF(OR(C55="",C4=""),"",IFERROR(C55/C4,""))</f>
        <v/>
      </c>
      <c r="D56" s="15">
        <f>IF(OR(D55="",D4=""),"",IFERROR(D55/D4,""))</f>
        <v/>
      </c>
      <c r="E56" s="15">
        <f>IF(OR(E55="",E4=""),"",IFERROR(E55/E4,""))</f>
        <v/>
      </c>
      <c r="F56" s="15">
        <f>IF(OR(F55="",F4=""),"",IFERROR(F55/F4,""))</f>
        <v/>
      </c>
      <c r="G56" s="15">
        <f>IF(OR(G55="",G4=""),"",IFERROR(G55/G4,""))</f>
        <v/>
      </c>
      <c r="H56" s="15">
        <f>IF(OR(H55="",H4=""),"",IFERROR(H55/H4,""))</f>
        <v/>
      </c>
      <c r="I56" s="15">
        <f>IF(OR(I55="",I4=""),"",IFERROR(I55/I4,""))</f>
        <v/>
      </c>
      <c r="J56" s="15">
        <f>IF(OR(J55="",J4=""),"",IFERROR(J55/J4,""))</f>
        <v/>
      </c>
      <c r="K56" s="15">
        <f>IF(OR(K55="",K4=""),"",IFERROR(K55/K4,""))</f>
        <v/>
      </c>
      <c r="L56" s="15">
        <f>IF(OR(L55="",L4=""),"",IFERROR(L55/L4,""))</f>
        <v/>
      </c>
      <c r="M56" s="15">
        <f>IF(OR(M55="",M4=""),"",IFERROR(M55/M4,""))</f>
        <v/>
      </c>
      <c r="N56" s="15">
        <f>IF(OR(N55="",N4=""),"",IFERROR(N55/N4,""))</f>
        <v/>
      </c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25">
        <f>IFERROR(AVERAGE(V56,W56,X56),"")</f>
        <v/>
      </c>
      <c r="Z56" s="26">
        <f>Y56</f>
        <v/>
      </c>
      <c r="AA56" s="26">
        <f>Z56</f>
        <v/>
      </c>
      <c r="AB56" s="26">
        <f>AA56</f>
        <v/>
      </c>
      <c r="AC56" s="26">
        <f>AB56</f>
        <v/>
      </c>
    </row>
    <row r="57">
      <c r="A57" s="18" t="inlineStr">
        <is>
          <t>영업외수익</t>
        </is>
      </c>
      <c r="B57" s="10" t="n"/>
      <c r="C57" s="19" t="n">
        <v>120</v>
      </c>
      <c r="D57" s="20" t="n">
        <v>101</v>
      </c>
      <c r="E57" s="20" t="n">
        <v>114</v>
      </c>
      <c r="F57" s="20" t="n">
        <v>115</v>
      </c>
      <c r="G57" s="20" t="n">
        <v>120</v>
      </c>
      <c r="H57" s="20" t="n">
        <v>100</v>
      </c>
      <c r="I57" s="20" t="n">
        <v>164</v>
      </c>
      <c r="J57" s="20" t="n">
        <v>68</v>
      </c>
      <c r="K57" s="20" t="n">
        <v>135</v>
      </c>
      <c r="L57" s="20" t="n">
        <v>153</v>
      </c>
      <c r="M57" s="20" t="n">
        <v>157</v>
      </c>
      <c r="N57" s="20" t="n">
        <v>246</v>
      </c>
      <c r="O57" s="19" t="n">
        <v>446</v>
      </c>
      <c r="P57" s="20" t="n">
        <v>458</v>
      </c>
      <c r="Q57" s="20" t="n">
        <v>350</v>
      </c>
      <c r="R57" s="20" t="n">
        <v>398</v>
      </c>
      <c r="S57" s="20" t="n">
        <v>353</v>
      </c>
      <c r="T57" s="20" t="n">
        <v>398</v>
      </c>
      <c r="U57" s="20" t="n">
        <v>448</v>
      </c>
      <c r="V57" s="20" t="n">
        <v>682</v>
      </c>
      <c r="W57" s="20" t="n">
        <v>449</v>
      </c>
      <c r="X57" s="20" t="n">
        <v>520</v>
      </c>
      <c r="Y57" s="19">
        <f>IF(OR(Y4="",Y58=""),"",IFERROR(Y4*Y58,""))</f>
        <v/>
      </c>
      <c r="Z57" s="20">
        <f>IF(OR(Z4="",Z58=""),"",IFERROR(Z4*Z58,""))</f>
        <v/>
      </c>
      <c r="AA57" s="20">
        <f>IF(OR(AA4="",AA58=""),"",IFERROR(AA4*AA58,""))</f>
        <v/>
      </c>
      <c r="AB57" s="20">
        <f>IF(OR(AB4="",AB58=""),"",IFERROR(AB4*AB58,""))</f>
        <v/>
      </c>
      <c r="AC57" s="20">
        <f>IF(OR(AC4="",AC58=""),"",IFERROR(AC4*AC58,""))</f>
        <v/>
      </c>
    </row>
    <row r="58">
      <c r="A58" s="13" t="inlineStr">
        <is>
          <t>% of Sales</t>
        </is>
      </c>
      <c r="B58" s="10" t="n"/>
      <c r="C58" s="14">
        <f>IF(OR(C57="",C4=""),"",IFERROR(C57/C4,""))</f>
        <v/>
      </c>
      <c r="D58" s="15">
        <f>IF(OR(D57="",D4=""),"",IFERROR(D57/D4,""))</f>
        <v/>
      </c>
      <c r="E58" s="15">
        <f>IF(OR(E57="",E4=""),"",IFERROR(E57/E4,""))</f>
        <v/>
      </c>
      <c r="F58" s="15">
        <f>IF(OR(F57="",F4=""),"",IFERROR(F57/F4,""))</f>
        <v/>
      </c>
      <c r="G58" s="15">
        <f>IF(OR(G57="",G4=""),"",IFERROR(G57/G4,""))</f>
        <v/>
      </c>
      <c r="H58" s="15">
        <f>IF(OR(H57="",H4=""),"",IFERROR(H57/H4,""))</f>
        <v/>
      </c>
      <c r="I58" s="15">
        <f>IF(OR(I57="",I4=""),"",IFERROR(I57/I4,""))</f>
        <v/>
      </c>
      <c r="J58" s="15">
        <f>IF(OR(J57="",J4=""),"",IFERROR(J57/J4,""))</f>
        <v/>
      </c>
      <c r="K58" s="15">
        <f>IF(OR(K57="",K4=""),"",IFERROR(K57/K4,""))</f>
        <v/>
      </c>
      <c r="L58" s="15">
        <f>IF(OR(L57="",L4=""),"",IFERROR(L57/L4,""))</f>
        <v/>
      </c>
      <c r="M58" s="15">
        <f>IF(OR(M57="",M4=""),"",IFERROR(M57/M4,""))</f>
        <v/>
      </c>
      <c r="N58" s="15">
        <f>IF(OR(N57="",N4=""),"",IFERROR(N57/N4,""))</f>
        <v/>
      </c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25">
        <f>IFERROR(AVERAGE(V58,W58,X58),"")</f>
        <v/>
      </c>
      <c r="Z58" s="26">
        <f>Y58</f>
        <v/>
      </c>
      <c r="AA58" s="26">
        <f>Z58</f>
        <v/>
      </c>
      <c r="AB58" s="26">
        <f>AA58</f>
        <v/>
      </c>
      <c r="AC58" s="26">
        <f>AB58</f>
        <v/>
      </c>
    </row>
    <row r="59">
      <c r="A59" s="18" t="inlineStr">
        <is>
          <t>영업외비용</t>
        </is>
      </c>
      <c r="B59" s="10" t="n"/>
      <c r="C59" s="19" t="n">
        <v>62</v>
      </c>
      <c r="D59" s="20" t="n">
        <v>45</v>
      </c>
      <c r="E59" s="20" t="n">
        <v>57</v>
      </c>
      <c r="F59" s="20" t="n">
        <v>93</v>
      </c>
      <c r="G59" s="20" t="n">
        <v>-10</v>
      </c>
      <c r="H59" s="20" t="n">
        <v>110</v>
      </c>
      <c r="I59" s="20" t="n">
        <v>46</v>
      </c>
      <c r="J59" s="20" t="n">
        <v>53</v>
      </c>
      <c r="K59" s="20" t="n">
        <v>57</v>
      </c>
      <c r="L59" s="20" t="n">
        <v>151</v>
      </c>
      <c r="M59" s="20" t="n">
        <v>40</v>
      </c>
      <c r="N59" s="20" t="n">
        <v>54</v>
      </c>
      <c r="O59" s="19" t="n">
        <v>186</v>
      </c>
      <c r="P59" s="20" t="n">
        <v>179</v>
      </c>
      <c r="Q59" s="20" t="n">
        <v>146</v>
      </c>
      <c r="R59" s="20" t="n">
        <v>147</v>
      </c>
      <c r="S59" s="20" t="n">
        <v>187</v>
      </c>
      <c r="T59" s="20" t="n">
        <v>229</v>
      </c>
      <c r="U59" s="20" t="n">
        <v>279</v>
      </c>
      <c r="V59" s="20" t="n">
        <v>224</v>
      </c>
      <c r="W59" s="20" t="n">
        <v>250</v>
      </c>
      <c r="X59" s="20" t="n">
        <v>307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n"/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9" t="inlineStr">
        <is>
          <t>법인세비용차감전순이익(손실)</t>
        </is>
      </c>
      <c r="B61" s="10" t="n"/>
      <c r="C61" s="11" t="n">
        <v>1120</v>
      </c>
      <c r="D61" s="12" t="n">
        <v>767</v>
      </c>
      <c r="E61" s="12" t="n">
        <v>1582</v>
      </c>
      <c r="F61" s="12" t="n">
        <v>1468</v>
      </c>
      <c r="G61" s="12" t="n">
        <v>2270</v>
      </c>
      <c r="H61" s="12" t="n">
        <v>1318</v>
      </c>
      <c r="I61" s="12" t="n">
        <v>2002</v>
      </c>
      <c r="J61" s="12" t="n">
        <v>1823</v>
      </c>
      <c r="K61" s="12" t="n">
        <v>2152</v>
      </c>
      <c r="L61" s="12" t="n">
        <v>1649</v>
      </c>
      <c r="M61" s="12" t="n">
        <v>2550</v>
      </c>
      <c r="N61" s="12" t="n">
        <v>2370</v>
      </c>
      <c r="O61" s="11" t="n">
        <v>6362</v>
      </c>
      <c r="P61" s="12" t="n">
        <v>4229</v>
      </c>
      <c r="Q61" s="12" t="n">
        <v>3859</v>
      </c>
      <c r="R61" s="12" t="n">
        <v>3551</v>
      </c>
      <c r="S61" s="12" t="n">
        <v>5834</v>
      </c>
      <c r="T61" s="12" t="n">
        <v>5917</v>
      </c>
      <c r="U61" s="12" t="n">
        <v>4957</v>
      </c>
      <c r="V61" s="12" t="n">
        <v>3251</v>
      </c>
      <c r="W61" s="12" t="n">
        <v>6638</v>
      </c>
      <c r="X61" s="12" t="n">
        <v>7626</v>
      </c>
      <c r="Y61" s="11">
        <f>IF(OR(Y37=""),"",IFERROR(Y37+N(Y53)-N(Y55)+N(Y57)-N(Y59),""))</f>
        <v/>
      </c>
      <c r="Z61" s="12">
        <f>IF(OR(Z37=""),"",IFERROR(Z37+N(Z53)-N(Z55)+N(Z57)-N(Z59),""))</f>
        <v/>
      </c>
      <c r="AA61" s="12">
        <f>IF(OR(AA37=""),"",IFERROR(AA37+N(AA53)-N(AA55)+N(AA57)-N(AA59),""))</f>
        <v/>
      </c>
      <c r="AB61" s="12">
        <f>IF(OR(AB37=""),"",IFERROR(AB37+N(AB53)-N(AB55)+N(AB57)-N(AB59),""))</f>
        <v/>
      </c>
      <c r="AC61" s="12">
        <f>IF(OR(AC37=""),"",IFERROR(AC37+N(AC53)-N(AC55)+N(AC57)-N(AC59),""))</f>
        <v/>
      </c>
    </row>
    <row r="62">
      <c r="A62" s="13" t="inlineStr">
        <is>
          <t>YoY</t>
        </is>
      </c>
      <c r="B62" s="10" t="n"/>
      <c r="C62" s="14" t="n"/>
      <c r="D62" s="15" t="n"/>
      <c r="E62" s="15" t="n"/>
      <c r="F62" s="15" t="n"/>
      <c r="G62" s="15">
        <f>IF(OR(G61="",C61=""),"",IF(C61&lt;=0,"",IFERROR(G61/C61-1,"")))</f>
        <v/>
      </c>
      <c r="H62" s="15">
        <f>IF(OR(H61="",D61=""),"",IF(D61&lt;=0,"",IFERROR(H61/D61-1,"")))</f>
        <v/>
      </c>
      <c r="I62" s="15">
        <f>IF(OR(I61="",E61=""),"",IF(E61&lt;=0,"",IFERROR(I61/E61-1,"")))</f>
        <v/>
      </c>
      <c r="J62" s="15">
        <f>IF(OR(J61="",F61=""),"",IF(F61&lt;=0,"",IFERROR(J61/F61-1,"")))</f>
        <v/>
      </c>
      <c r="K62" s="15">
        <f>IF(OR(K61="",G61=""),"",IF(G61&lt;=0,"",IFERROR(K61/G61-1,"")))</f>
        <v/>
      </c>
      <c r="L62" s="15">
        <f>IF(OR(L61="",H61=""),"",IF(H61&lt;=0,"",IFERROR(L61/H61-1,"")))</f>
        <v/>
      </c>
      <c r="M62" s="15">
        <f>IF(OR(M61="",I61=""),"",IF(I61&lt;=0,"",IFERROR(M61/I61-1,"")))</f>
        <v/>
      </c>
      <c r="N62" s="15">
        <f>IF(OR(N61="",J61=""),"",IF(J61&lt;=0,"",IFERROR(N61/J61-1,"")))</f>
        <v/>
      </c>
      <c r="O62" s="14" t="n"/>
      <c r="P62" s="15">
        <f>IF(OR(P61="",O61=""),"",IF(O61&lt;=0,"",IFERROR(P61/O61-1,"")))</f>
        <v/>
      </c>
      <c r="Q62" s="15">
        <f>IF(OR(Q61="",P61=""),"",IF(P61&lt;=0,"",IFERROR(Q61/P61-1,"")))</f>
        <v/>
      </c>
      <c r="R62" s="15">
        <f>IF(OR(R61="",Q61=""),"",IF(Q61&lt;=0,"",IFERROR(R61/Q61-1,"")))</f>
        <v/>
      </c>
      <c r="S62" s="15">
        <f>IF(OR(S61="",R61=""),"",IF(R61&lt;=0,"",IFERROR(S61/R61-1,"")))</f>
        <v/>
      </c>
      <c r="T62" s="15">
        <f>IF(OR(T61="",S61=""),"",IF(S61&lt;=0,"",IFERROR(T61/S61-1,"")))</f>
        <v/>
      </c>
      <c r="U62" s="15">
        <f>IF(OR(U61="",T61=""),"",IF(T61&lt;=0,"",IFERROR(U61/T61-1,"")))</f>
        <v/>
      </c>
      <c r="V62" s="15">
        <f>IF(OR(V61="",U61=""),"",IF(U61&lt;=0,"",IFERROR(V61/U61-1,"")))</f>
        <v/>
      </c>
      <c r="W62" s="15">
        <f>IF(OR(W61="",V61=""),"",IF(V61&lt;=0,"",IFERROR(W61/V61-1,"")))</f>
        <v/>
      </c>
      <c r="X62" s="15">
        <f>IF(OR(X61="",W61=""),"",IF(W61&lt;=0,"",IFERROR(X61/W61-1,"")))</f>
        <v/>
      </c>
      <c r="Y62" s="14">
        <f>IF(OR(Y61="",X61=""),"",IF(X61&lt;=0,"",IFERROR(Y61/X61-1,"")))</f>
        <v/>
      </c>
      <c r="Z62" s="15">
        <f>IF(OR(Z61="",Y61=""),"",IF(Y61&lt;=0,"",IFERROR(Z61/Y61-1,"")))</f>
        <v/>
      </c>
      <c r="AA62" s="15">
        <f>IF(OR(AA61="",Z61=""),"",IF(Z61&lt;=0,"",IFERROR(AA61/Z61-1,"")))</f>
        <v/>
      </c>
      <c r="AB62" s="15">
        <f>IF(OR(AB61="",AA61=""),"",IF(AA61&lt;=0,"",IFERROR(AB61/AA61-1,"")))</f>
        <v/>
      </c>
      <c r="AC62" s="15">
        <f>IF(OR(AC61="",AB61=""),"",IF(AB61&lt;=0,"",IFERROR(AC61/AB61-1,"")))</f>
        <v/>
      </c>
    </row>
    <row r="63">
      <c r="A63" s="18" t="inlineStr">
        <is>
          <t>법인세비용(수익)</t>
        </is>
      </c>
      <c r="B63" s="10" t="n"/>
      <c r="C63" s="19" t="n">
        <v>364</v>
      </c>
      <c r="D63" s="20" t="n">
        <v>302</v>
      </c>
      <c r="E63" s="20" t="n">
        <v>505</v>
      </c>
      <c r="F63" s="20" t="n">
        <v>449</v>
      </c>
      <c r="G63" s="20" t="n">
        <v>721</v>
      </c>
      <c r="H63" s="20" t="n">
        <v>486</v>
      </c>
      <c r="I63" s="20" t="n">
        <v>519</v>
      </c>
      <c r="J63" s="20" t="n">
        <v>576</v>
      </c>
      <c r="K63" s="20" t="n">
        <v>629</v>
      </c>
      <c r="L63" s="20" t="n">
        <v>289</v>
      </c>
      <c r="M63" s="20" t="n">
        <v>805</v>
      </c>
      <c r="N63" s="20" t="n">
        <v>769</v>
      </c>
      <c r="O63" s="19" t="n">
        <v>2017</v>
      </c>
      <c r="P63" s="20" t="n">
        <v>1321</v>
      </c>
      <c r="Q63" s="20" t="n">
        <v>1320</v>
      </c>
      <c r="R63" s="20" t="n">
        <v>1281</v>
      </c>
      <c r="S63" s="20" t="n">
        <v>1518</v>
      </c>
      <c r="T63" s="20" t="n">
        <v>1461</v>
      </c>
      <c r="U63" s="20" t="n">
        <v>1557</v>
      </c>
      <c r="V63" s="20" t="n">
        <v>1133</v>
      </c>
      <c r="W63" s="20" t="n">
        <v>2161</v>
      </c>
      <c r="X63" s="20" t="n">
        <v>2013</v>
      </c>
      <c r="Y63" s="19">
        <f>IF(OR(Y61="",Y64=""),"",IFERROR(MAX(Y61,0)*Y64,""))</f>
        <v/>
      </c>
      <c r="Z63" s="20">
        <f>IF(OR(Z61="",Z64=""),"",IFERROR(MAX(Z61,0)*Z64,""))</f>
        <v/>
      </c>
      <c r="AA63" s="20">
        <f>IF(OR(AA61="",AA64=""),"",IFERROR(MAX(AA61,0)*AA64,""))</f>
        <v/>
      </c>
      <c r="AB63" s="20">
        <f>IF(OR(AB61="",AB64=""),"",IFERROR(MAX(AB61,0)*AB64,""))</f>
        <v/>
      </c>
      <c r="AC63" s="20">
        <f>IF(OR(AC61="",AC64=""),"",IFERROR(MAX(AC61,0)*AC64,""))</f>
        <v/>
      </c>
    </row>
    <row r="64">
      <c r="A64" s="13" t="inlineStr">
        <is>
          <t>법인세율</t>
        </is>
      </c>
      <c r="B64" s="10" t="inlineStr">
        <is>
          <t>MW 기본 30%</t>
        </is>
      </c>
      <c r="C64" s="14">
        <f>IF(OR(C63="",C61=""),"",IFERROR(C63/C61,""))</f>
        <v/>
      </c>
      <c r="D64" s="15">
        <f>IF(OR(D63="",D61=""),"",IFERROR(D63/D61,""))</f>
        <v/>
      </c>
      <c r="E64" s="15">
        <f>IF(OR(E63="",E61=""),"",IFERROR(E63/E61,""))</f>
        <v/>
      </c>
      <c r="F64" s="15">
        <f>IF(OR(F63="",F61=""),"",IFERROR(F63/F61,""))</f>
        <v/>
      </c>
      <c r="G64" s="15">
        <f>IF(OR(G63="",G61=""),"",IFERROR(G63/G61,""))</f>
        <v/>
      </c>
      <c r="H64" s="15">
        <f>IF(OR(H63="",H61=""),"",IFERROR(H63/H61,""))</f>
        <v/>
      </c>
      <c r="I64" s="15">
        <f>IF(OR(I63="",I61=""),"",IFERROR(I63/I61,""))</f>
        <v/>
      </c>
      <c r="J64" s="15">
        <f>IF(OR(J63="",J61=""),"",IFERROR(J63/J61,""))</f>
        <v/>
      </c>
      <c r="K64" s="15">
        <f>IF(OR(K63="",K61=""),"",IFERROR(K63/K61,""))</f>
        <v/>
      </c>
      <c r="L64" s="15">
        <f>IF(OR(L63="",L61=""),"",IFERROR(L63/L61,""))</f>
        <v/>
      </c>
      <c r="M64" s="15">
        <f>IF(OR(M63="",M61=""),"",IFERROR(M63/M61,""))</f>
        <v/>
      </c>
      <c r="N64" s="15">
        <f>IF(OR(N63="",N61=""),"",IFERROR(N63/N61,""))</f>
        <v/>
      </c>
      <c r="O64" s="14">
        <f>IF(OR(O63="",O61=""),"",IFERROR(O63/O61,""))</f>
        <v/>
      </c>
      <c r="P64" s="15">
        <f>IF(OR(P63="",P61=""),"",IFERROR(P63/P61,""))</f>
        <v/>
      </c>
      <c r="Q64" s="15">
        <f>IF(OR(Q63="",Q61=""),"",IFERROR(Q63/Q61,""))</f>
        <v/>
      </c>
      <c r="R64" s="15">
        <f>IF(OR(R63="",R61=""),"",IFERROR(R63/R61,""))</f>
        <v/>
      </c>
      <c r="S64" s="15">
        <f>IF(OR(S63="",S61=""),"",IFERROR(S63/S61,""))</f>
        <v/>
      </c>
      <c r="T64" s="15">
        <f>IF(OR(T63="",T61=""),"",IFERROR(T63/T61,""))</f>
        <v/>
      </c>
      <c r="U64" s="15">
        <f>IF(OR(U63="",U61=""),"",IFERROR(U63/U61,""))</f>
        <v/>
      </c>
      <c r="V64" s="15">
        <f>IF(OR(V63="",V61=""),"",IFERROR(V63/V61,""))</f>
        <v/>
      </c>
      <c r="W64" s="15">
        <f>IF(OR(W63="",W61=""),"",IFERROR(W63/W61,""))</f>
        <v/>
      </c>
      <c r="X64" s="15">
        <f>IF(OR(X63="",X61=""),"",IFERROR(X63/X61,""))</f>
        <v/>
      </c>
      <c r="Y64" s="25" t="n">
        <v>0.3</v>
      </c>
      <c r="Z64" s="26" t="n">
        <v>0.3</v>
      </c>
      <c r="AA64" s="26" t="n">
        <v>0.3</v>
      </c>
      <c r="AB64" s="26" t="n">
        <v>0.3</v>
      </c>
      <c r="AC64" s="26" t="n">
        <v>0.3</v>
      </c>
    </row>
    <row r="65">
      <c r="A65" s="9" t="inlineStr">
        <is>
          <t>당기순이익(손실)</t>
        </is>
      </c>
      <c r="B65" s="10" t="n"/>
      <c r="C65" s="11" t="n">
        <v>756</v>
      </c>
      <c r="D65" s="12" t="n">
        <v>464</v>
      </c>
      <c r="E65" s="12" t="n">
        <v>1077</v>
      </c>
      <c r="F65" s="12" t="n">
        <v>1018</v>
      </c>
      <c r="G65" s="12" t="n">
        <v>1549</v>
      </c>
      <c r="H65" s="12" t="n">
        <v>833</v>
      </c>
      <c r="I65" s="12" t="n">
        <v>1482</v>
      </c>
      <c r="J65" s="12" t="n">
        <v>1248</v>
      </c>
      <c r="K65" s="12" t="n">
        <v>1523</v>
      </c>
      <c r="L65" s="12" t="n">
        <v>1359</v>
      </c>
      <c r="M65" s="12" t="n">
        <v>1744</v>
      </c>
      <c r="N65" s="12" t="n">
        <v>1602</v>
      </c>
      <c r="O65" s="11" t="n">
        <v>4344</v>
      </c>
      <c r="P65" s="12" t="n">
        <v>2908</v>
      </c>
      <c r="Q65" s="12" t="n">
        <v>2538</v>
      </c>
      <c r="R65" s="12" t="n">
        <v>2269</v>
      </c>
      <c r="S65" s="12" t="n">
        <v>4315</v>
      </c>
      <c r="T65" s="12" t="n">
        <v>4455</v>
      </c>
      <c r="U65" s="12" t="n">
        <v>3399</v>
      </c>
      <c r="V65" s="12" t="n">
        <v>2117</v>
      </c>
      <c r="W65" s="12" t="n">
        <v>4477</v>
      </c>
      <c r="X65" s="12" t="n">
        <v>5612</v>
      </c>
      <c r="Y65" s="11">
        <f>IF(OR(Y61=""),"",IFERROR(Y61-Y63,""))</f>
        <v/>
      </c>
      <c r="Z65" s="12">
        <f>IF(OR(Z61=""),"",IFERROR(Z61-Z63,""))</f>
        <v/>
      </c>
      <c r="AA65" s="12">
        <f>IF(OR(AA61=""),"",IFERROR(AA61-AA63,""))</f>
        <v/>
      </c>
      <c r="AB65" s="12">
        <f>IF(OR(AB61=""),"",IFERROR(AB61-AB63,""))</f>
        <v/>
      </c>
      <c r="AC65" s="12">
        <f>IF(OR(AC61=""),"",IFERROR(AC61-AC63,""))</f>
        <v/>
      </c>
    </row>
    <row r="66">
      <c r="A66" s="13" t="inlineStr">
        <is>
          <t>YoY</t>
        </is>
      </c>
      <c r="B66" s="10" t="n"/>
      <c r="C66" s="14" t="n"/>
      <c r="D66" s="15" t="n"/>
      <c r="E66" s="15" t="n"/>
      <c r="F66" s="15" t="n"/>
      <c r="G66" s="15">
        <f>IF(OR(G65="",C65=""),"",IF(C65&lt;=0,"",IFERROR(G65/C65-1,"")))</f>
        <v/>
      </c>
      <c r="H66" s="15">
        <f>IF(OR(H65="",D65=""),"",IF(D65&lt;=0,"",IFERROR(H65/D65-1,"")))</f>
        <v/>
      </c>
      <c r="I66" s="15">
        <f>IF(OR(I65="",E65=""),"",IF(E65&lt;=0,"",IFERROR(I65/E65-1,"")))</f>
        <v/>
      </c>
      <c r="J66" s="15">
        <f>IF(OR(J65="",F65=""),"",IF(F65&lt;=0,"",IFERROR(J65/F65-1,"")))</f>
        <v/>
      </c>
      <c r="K66" s="15">
        <f>IF(OR(K65="",G65=""),"",IF(G65&lt;=0,"",IFERROR(K65/G65-1,"")))</f>
        <v/>
      </c>
      <c r="L66" s="15">
        <f>IF(OR(L65="",H65=""),"",IF(H65&lt;=0,"",IFERROR(L65/H65-1,"")))</f>
        <v/>
      </c>
      <c r="M66" s="15">
        <f>IF(OR(M65="",I65=""),"",IF(I65&lt;=0,"",IFERROR(M65/I65-1,"")))</f>
        <v/>
      </c>
      <c r="N66" s="15">
        <f>IF(OR(N65="",J65=""),"",IF(J65&lt;=0,"",IFERROR(N65/J65-1,"")))</f>
        <v/>
      </c>
      <c r="O66" s="14" t="n"/>
      <c r="P66" s="15">
        <f>IF(OR(P65="",O65=""),"",IF(O65&lt;=0,"",IFERROR(P65/O65-1,"")))</f>
        <v/>
      </c>
      <c r="Q66" s="15">
        <f>IF(OR(Q65="",P65=""),"",IF(P65&lt;=0,"",IFERROR(Q65/P65-1,"")))</f>
        <v/>
      </c>
      <c r="R66" s="15">
        <f>IF(OR(R65="",Q65=""),"",IF(Q65&lt;=0,"",IFERROR(R65/Q65-1,"")))</f>
        <v/>
      </c>
      <c r="S66" s="15">
        <f>IF(OR(S65="",R65=""),"",IF(R65&lt;=0,"",IFERROR(S65/R65-1,"")))</f>
        <v/>
      </c>
      <c r="T66" s="15">
        <f>IF(OR(T65="",S65=""),"",IF(S65&lt;=0,"",IFERROR(T65/S65-1,"")))</f>
        <v/>
      </c>
      <c r="U66" s="15">
        <f>IF(OR(U65="",T65=""),"",IF(T65&lt;=0,"",IFERROR(U65/T65-1,"")))</f>
        <v/>
      </c>
      <c r="V66" s="15">
        <f>IF(OR(V65="",U65=""),"",IF(U65&lt;=0,"",IFERROR(V65/U65-1,"")))</f>
        <v/>
      </c>
      <c r="W66" s="15">
        <f>IF(OR(W65="",V65=""),"",IF(V65&lt;=0,"",IFERROR(W65/V65-1,"")))</f>
        <v/>
      </c>
      <c r="X66" s="15">
        <f>IF(OR(X65="",W65=""),"",IF(W65&lt;=0,"",IFERROR(X65/W65-1,"")))</f>
        <v/>
      </c>
      <c r="Y66" s="14">
        <f>IF(OR(Y65="",X65=""),"",IF(X65&lt;=0,"",IFERROR(Y65/X65-1,"")))</f>
        <v/>
      </c>
      <c r="Z66" s="15">
        <f>IF(OR(Z65="",Y65=""),"",IF(Y65&lt;=0,"",IFERROR(Z65/Y65-1,"")))</f>
        <v/>
      </c>
      <c r="AA66" s="15">
        <f>IF(OR(AA65="",Z65=""),"",IF(Z65&lt;=0,"",IFERROR(AA65/Z65-1,"")))</f>
        <v/>
      </c>
      <c r="AB66" s="15">
        <f>IF(OR(AB65="",AA65=""),"",IF(AA65&lt;=0,"",IFERROR(AB65/AA65-1,"")))</f>
        <v/>
      </c>
      <c r="AC66" s="15">
        <f>IF(OR(AC65="",AB65=""),"",IF(AB65&lt;=0,"",IFERROR(AC65/AB65-1,"")))</f>
        <v/>
      </c>
    </row>
    <row r="67">
      <c r="A67" s="9" t="inlineStr">
        <is>
          <t>지배주주 순이익</t>
        </is>
      </c>
      <c r="B67" s="10" t="n"/>
      <c r="C67" s="11" t="n">
        <v>757</v>
      </c>
      <c r="D67" s="12" t="n">
        <v>464</v>
      </c>
      <c r="E67" s="12" t="n">
        <v>1077</v>
      </c>
      <c r="F67" s="12" t="n">
        <v>1018</v>
      </c>
      <c r="G67" s="12" t="n">
        <v>1549</v>
      </c>
      <c r="H67" s="12" t="n">
        <v>833</v>
      </c>
      <c r="I67" s="12" t="n">
        <v>1482</v>
      </c>
      <c r="J67" s="12" t="n">
        <v>1248</v>
      </c>
      <c r="K67" s="12" t="n">
        <v>1523</v>
      </c>
      <c r="L67" s="12" t="n">
        <v>1359</v>
      </c>
      <c r="M67" s="12" t="n">
        <v>1744</v>
      </c>
      <c r="N67" s="12" t="n">
        <v>1602</v>
      </c>
      <c r="O67" s="11" t="n">
        <v>4344</v>
      </c>
      <c r="P67" s="12" t="n">
        <v>2908</v>
      </c>
      <c r="Q67" s="12" t="n">
        <v>2538</v>
      </c>
      <c r="R67" s="12" t="n">
        <v>2269</v>
      </c>
      <c r="S67" s="12" t="n">
        <v>4315</v>
      </c>
      <c r="T67" s="12" t="n">
        <v>4455</v>
      </c>
      <c r="U67" s="12" t="n">
        <v>3399</v>
      </c>
      <c r="V67" s="12" t="n">
        <v>2117</v>
      </c>
      <c r="W67" s="12" t="n">
        <v>4477</v>
      </c>
      <c r="X67" s="12" t="n">
        <v>5612</v>
      </c>
      <c r="Y67" s="11">
        <f>IF(OR(Y65="",Y68=""),"",IFERROR(Y65*Y68,""))</f>
        <v/>
      </c>
      <c r="Z67" s="12">
        <f>IF(OR(Z65="",Z68=""),"",IFERROR(Z65*Z68,""))</f>
        <v/>
      </c>
      <c r="AA67" s="12">
        <f>IF(OR(AA65="",AA68=""),"",IFERROR(AA65*AA68,""))</f>
        <v/>
      </c>
      <c r="AB67" s="12">
        <f>IF(OR(AB65="",AB68=""),"",IFERROR(AB65*AB68,""))</f>
        <v/>
      </c>
      <c r="AC67" s="12">
        <f>IF(OR(AC65="",AC68=""),"",IFERROR(AC65*AC68,""))</f>
        <v/>
      </c>
    </row>
    <row r="68">
      <c r="A68" s="13" t="inlineStr">
        <is>
          <t>지배주주 순이익률</t>
        </is>
      </c>
      <c r="B68" s="10" t="inlineStr">
        <is>
          <t>MW 기본 100%</t>
        </is>
      </c>
      <c r="C68" s="14">
        <f>IF(OR(C67="",C65=""),"",IFERROR(C67/C65,""))</f>
        <v/>
      </c>
      <c r="D68" s="15">
        <f>IF(OR(D67="",D65=""),"",IFERROR(D67/D65,""))</f>
        <v/>
      </c>
      <c r="E68" s="15">
        <f>IF(OR(E67="",E65=""),"",IFERROR(E67/E65,""))</f>
        <v/>
      </c>
      <c r="F68" s="15">
        <f>IF(OR(F67="",F65=""),"",IFERROR(F67/F65,""))</f>
        <v/>
      </c>
      <c r="G68" s="15">
        <f>IF(OR(G67="",G65=""),"",IFERROR(G67/G65,""))</f>
        <v/>
      </c>
      <c r="H68" s="15">
        <f>IF(OR(H67="",H65=""),"",IFERROR(H67/H65,""))</f>
        <v/>
      </c>
      <c r="I68" s="15">
        <f>IF(OR(I67="",I65=""),"",IFERROR(I67/I65,""))</f>
        <v/>
      </c>
      <c r="J68" s="15">
        <f>IF(OR(J67="",J65=""),"",IFERROR(J67/J65,""))</f>
        <v/>
      </c>
      <c r="K68" s="15">
        <f>IF(OR(K67="",K65=""),"",IFERROR(K67/K65,""))</f>
        <v/>
      </c>
      <c r="L68" s="15">
        <f>IF(OR(L67="",L65=""),"",IFERROR(L67/L65,""))</f>
        <v/>
      </c>
      <c r="M68" s="15">
        <f>IF(OR(M67="",M65=""),"",IFERROR(M67/M65,""))</f>
        <v/>
      </c>
      <c r="N68" s="15">
        <f>IF(OR(N67="",N65=""),"",IFERROR(N67/N65,""))</f>
        <v/>
      </c>
      <c r="O68" s="14">
        <f>IF(OR(O67="",O65=""),"",IFERROR(O67/O65,""))</f>
        <v/>
      </c>
      <c r="P68" s="15">
        <f>IF(OR(P67="",P65=""),"",IFERROR(P67/P65,""))</f>
        <v/>
      </c>
      <c r="Q68" s="15">
        <f>IF(OR(Q67="",Q65=""),"",IFERROR(Q67/Q65,""))</f>
        <v/>
      </c>
      <c r="R68" s="15">
        <f>IF(OR(R67="",R65=""),"",IFERROR(R67/R65,""))</f>
        <v/>
      </c>
      <c r="S68" s="15">
        <f>IF(OR(S67="",S65=""),"",IFERROR(S67/S65,""))</f>
        <v/>
      </c>
      <c r="T68" s="15">
        <f>IF(OR(T67="",T65=""),"",IFERROR(T67/T65,""))</f>
        <v/>
      </c>
      <c r="U68" s="15">
        <f>IF(OR(U67="",U65=""),"",IFERROR(U67/U65,""))</f>
        <v/>
      </c>
      <c r="V68" s="15">
        <f>IF(OR(V67="",V65=""),"",IFERROR(V67/V65,""))</f>
        <v/>
      </c>
      <c r="W68" s="15">
        <f>IF(OR(W67="",W65=""),"",IFERROR(W67/W65,""))</f>
        <v/>
      </c>
      <c r="X68" s="15">
        <f>IF(OR(X67="",X65=""),"",IFERROR(X67/X65,""))</f>
        <v/>
      </c>
      <c r="Y68" s="25" t="n">
        <v>1</v>
      </c>
      <c r="Z68" s="26" t="n">
        <v>1</v>
      </c>
      <c r="AA68" s="26" t="n">
        <v>1</v>
      </c>
      <c r="AB68" s="26" t="n">
        <v>1</v>
      </c>
      <c r="AC68" s="26" t="n">
        <v>1</v>
      </c>
    </row>
    <row r="69">
      <c r="A69" s="13" t="inlineStr">
        <is>
          <t>지배주주 순이익 YoY</t>
        </is>
      </c>
      <c r="B69" s="10" t="n"/>
      <c r="C69" s="14" t="n"/>
      <c r="D69" s="15" t="n"/>
      <c r="E69" s="15" t="n"/>
      <c r="F69" s="15" t="n"/>
      <c r="G69" s="15">
        <f>IF(OR(G67="",C67=""),"",IF(C67&lt;=0,"",IFERROR(G67/C67-1,"")))</f>
        <v/>
      </c>
      <c r="H69" s="15">
        <f>IF(OR(H67="",D67=""),"",IF(D67&lt;=0,"",IFERROR(H67/D67-1,"")))</f>
        <v/>
      </c>
      <c r="I69" s="15">
        <f>IF(OR(I67="",E67=""),"",IF(E67&lt;=0,"",IFERROR(I67/E67-1,"")))</f>
        <v/>
      </c>
      <c r="J69" s="15">
        <f>IF(OR(J67="",F67=""),"",IF(F67&lt;=0,"",IFERROR(J67/F67-1,"")))</f>
        <v/>
      </c>
      <c r="K69" s="15">
        <f>IF(OR(K67="",G67=""),"",IF(G67&lt;=0,"",IFERROR(K67/G67-1,"")))</f>
        <v/>
      </c>
      <c r="L69" s="15">
        <f>IF(OR(L67="",H67=""),"",IF(H67&lt;=0,"",IFERROR(L67/H67-1,"")))</f>
        <v/>
      </c>
      <c r="M69" s="15">
        <f>IF(OR(M67="",I67=""),"",IF(I67&lt;=0,"",IFERROR(M67/I67-1,"")))</f>
        <v/>
      </c>
      <c r="N69" s="15">
        <f>IF(OR(N67="",J67=""),"",IF(J67&lt;=0,"",IFERROR(N67/J67-1,"")))</f>
        <v/>
      </c>
      <c r="O69" s="14" t="n"/>
      <c r="P69" s="15">
        <f>IF(OR(P67="",O67=""),"",IF(O67&lt;=0,"",IFERROR(P67/O67-1,"")))</f>
        <v/>
      </c>
      <c r="Q69" s="15">
        <f>IF(OR(Q67="",P67=""),"",IF(P67&lt;=0,"",IFERROR(Q67/P67-1,"")))</f>
        <v/>
      </c>
      <c r="R69" s="15">
        <f>IF(OR(R67="",Q67=""),"",IF(Q67&lt;=0,"",IFERROR(R67/Q67-1,"")))</f>
        <v/>
      </c>
      <c r="S69" s="15">
        <f>IF(OR(S67="",R67=""),"",IF(R67&lt;=0,"",IFERROR(S67/R67-1,"")))</f>
        <v/>
      </c>
      <c r="T69" s="15">
        <f>IF(OR(T67="",S67=""),"",IF(S67&lt;=0,"",IFERROR(T67/S67-1,"")))</f>
        <v/>
      </c>
      <c r="U69" s="15">
        <f>IF(OR(U67="",T67=""),"",IF(T67&lt;=0,"",IFERROR(U67/T67-1,"")))</f>
        <v/>
      </c>
      <c r="V69" s="15">
        <f>IF(OR(V67="",U67=""),"",IF(U67&lt;=0,"",IFERROR(V67/U67-1,"")))</f>
        <v/>
      </c>
      <c r="W69" s="15">
        <f>IF(OR(W67="",V67=""),"",IF(V67&lt;=0,"",IFERROR(W67/V67-1,"")))</f>
        <v/>
      </c>
      <c r="X69" s="15">
        <f>IF(OR(X67="",W67=""),"",IF(W67&lt;=0,"",IFERROR(X67/W67-1,"")))</f>
        <v/>
      </c>
      <c r="Y69" s="14">
        <f>IF(OR(Y67="",X67=""),"",IF(X67&lt;=0,"",IFERROR(Y67/X67-1,"")))</f>
        <v/>
      </c>
      <c r="Z69" s="15">
        <f>IF(OR(Z67="",Y67=""),"",IF(Y67&lt;=0,"",IFERROR(Z67/Y67-1,"")))</f>
        <v/>
      </c>
      <c r="AA69" s="15">
        <f>IF(OR(AA67="",Z67=""),"",IF(Z67&lt;=0,"",IFERROR(AA67/Z67-1,"")))</f>
        <v/>
      </c>
      <c r="AB69" s="15">
        <f>IF(OR(AB67="",AA67=""),"",IF(AA67&lt;=0,"",IFERROR(AB67/AA67-1,"")))</f>
        <v/>
      </c>
      <c r="AC69" s="15">
        <f>IF(OR(AC67="",AB67=""),"",IF(AB67&lt;=0,"",IFERROR(AC67/AB67-1,"")))</f>
        <v/>
      </c>
    </row>
    <row r="70">
      <c r="A70" s="16" t="inlineStr">
        <is>
          <t>목표주가 산출</t>
        </is>
      </c>
      <c r="B70" s="16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7" t="n"/>
      <c r="Z70" s="16" t="n"/>
      <c r="AA70" s="16" t="n"/>
      <c r="AB70" s="16" t="n"/>
      <c r="AC70" s="16" t="n"/>
    </row>
    <row r="71">
      <c r="A71" s="18" t="inlineStr">
        <is>
          <t>현재 주가 ()</t>
        </is>
      </c>
      <c r="B71" s="27" t="n"/>
      <c r="C71" s="28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8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8" t="n"/>
      <c r="Z71" s="29" t="n"/>
      <c r="AA71" s="29" t="n"/>
      <c r="AB71" s="29" t="n"/>
      <c r="AC71" s="29" t="n"/>
    </row>
    <row r="72">
      <c r="A72" s="18" t="inlineStr">
        <is>
          <t>발행주식수 (보통주)</t>
        </is>
      </c>
      <c r="B72" s="27" t="n"/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8" t="n"/>
      <c r="Z72" s="29" t="n"/>
      <c r="AA72" s="29" t="n"/>
      <c r="AB72" s="29" t="n"/>
      <c r="AC72" s="29" t="n"/>
    </row>
    <row r="73">
      <c r="A73" s="18" t="inlineStr">
        <is>
          <t>시가총액 (백만엔)</t>
        </is>
      </c>
      <c r="B73" s="12">
        <f>IF(OR(B71="",B72=""),"",B71*B72/1000000.0)</f>
        <v/>
      </c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19" t="n"/>
      <c r="Z73" s="20" t="n"/>
      <c r="AA73" s="20" t="n"/>
      <c r="AB73" s="20" t="n"/>
      <c r="AC73" s="20" t="n"/>
    </row>
    <row r="74">
      <c r="A74" s="13" t="inlineStr">
        <is>
          <t>OPM</t>
        </is>
      </c>
      <c r="B74" s="10" t="n"/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4">
        <f>IF(O38="","",O38)</f>
        <v/>
      </c>
      <c r="P74" s="15">
        <f>IF(P38="","",P38)</f>
        <v/>
      </c>
      <c r="Q74" s="15">
        <f>IF(Q38="","",Q38)</f>
        <v/>
      </c>
      <c r="R74" s="15">
        <f>IF(R38="","",R38)</f>
        <v/>
      </c>
      <c r="S74" s="15">
        <f>IF(S38="","",S38)</f>
        <v/>
      </c>
      <c r="T74" s="15">
        <f>IF(T38="","",T38)</f>
        <v/>
      </c>
      <c r="U74" s="15">
        <f>IF(U38="","",U38)</f>
        <v/>
      </c>
      <c r="V74" s="15">
        <f>IF(V38="","",V38)</f>
        <v/>
      </c>
      <c r="W74" s="15">
        <f>IF(W38="","",W38)</f>
        <v/>
      </c>
      <c r="X74" s="15">
        <f>IF(X38="","",X38)</f>
        <v/>
      </c>
      <c r="Y74" s="14">
        <f>IF(Y38="","",Y38)</f>
        <v/>
      </c>
      <c r="Z74" s="15">
        <f>IF(Z38="","",Z38)</f>
        <v/>
      </c>
      <c r="AA74" s="15">
        <f>IF(AA38="","",AA38)</f>
        <v/>
      </c>
      <c r="AB74" s="15">
        <f>IF(AB38="","",AB38)</f>
        <v/>
      </c>
      <c r="AC74" s="15">
        <f>IF(AC38="","",AC38)</f>
        <v/>
      </c>
    </row>
    <row r="75">
      <c r="A75" s="13" t="inlineStr">
        <is>
          <t>지배주주 순이익 증가율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>
        <f>IF(OR(P67="",O67=""),"",IFERROR(P67/O67-1,""))</f>
        <v/>
      </c>
      <c r="Q75" s="15">
        <f>IF(OR(Q67="",P67=""),"",IFERROR(Q67/P67-1,""))</f>
        <v/>
      </c>
      <c r="R75" s="15">
        <f>IF(OR(R67="",Q67=""),"",IFERROR(R67/Q67-1,""))</f>
        <v/>
      </c>
      <c r="S75" s="15">
        <f>IF(OR(S67="",R67=""),"",IFERROR(S67/R67-1,""))</f>
        <v/>
      </c>
      <c r="T75" s="15">
        <f>IF(OR(T67="",S67=""),"",IFERROR(T67/S67-1,""))</f>
        <v/>
      </c>
      <c r="U75" s="15">
        <f>IF(OR(U67="",T67=""),"",IFERROR(U67/T67-1,""))</f>
        <v/>
      </c>
      <c r="V75" s="15">
        <f>IF(OR(V67="",U67=""),"",IFERROR(V67/U67-1,""))</f>
        <v/>
      </c>
      <c r="W75" s="15">
        <f>IF(OR(W67="",V67=""),"",IFERROR(W67/V67-1,""))</f>
        <v/>
      </c>
      <c r="X75" s="15">
        <f>IF(OR(X67="",W67=""),"",IFERROR(X67/W67-1,""))</f>
        <v/>
      </c>
      <c r="Y75" s="14">
        <f>IF(OR(Y67="",X67=""),"",IFERROR(Y67/X67-1,""))</f>
        <v/>
      </c>
      <c r="Z75" s="15">
        <f>IF(OR(Z67="",Y67=""),"",IFERROR(Z67/Y67-1,""))</f>
        <v/>
      </c>
      <c r="AA75" s="15">
        <f>IF(OR(AA67="",Z67=""),"",IFERROR(AA67/Z67-1,""))</f>
        <v/>
      </c>
      <c r="AB75" s="15">
        <f>IF(OR(AB67="",AA67=""),"",IFERROR(AB67/AA67-1,""))</f>
        <v/>
      </c>
      <c r="AC75" s="15">
        <f>IF(OR(AC67="",AB67=""),"",IFERROR(AC67/AB67-1,""))</f>
        <v/>
      </c>
    </row>
    <row r="76">
      <c r="A76" s="18" t="inlineStr">
        <is>
          <t>P/E (현재 주가)</t>
        </is>
      </c>
      <c r="B76" s="10" t="inlineStr">
        <is>
          <t>시총 ÷ 지배순이익</t>
        </is>
      </c>
      <c r="C76" s="30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0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>
        <f>IF(OR($B$73="",X67=""),"",IFERROR($B$73/X67,""))</f>
        <v/>
      </c>
      <c r="Y76" s="30">
        <f>IF(OR($B$73="",Y67=""),"",IFERROR($B$73/Y67,""))</f>
        <v/>
      </c>
      <c r="Z76" s="31">
        <f>IF(OR($B$73="",Z67=""),"",IFERROR($B$73/Z67,""))</f>
        <v/>
      </c>
      <c r="AA76" s="31">
        <f>IF(OR($B$73="",AA67=""),"",IFERROR($B$73/AA67,""))</f>
        <v/>
      </c>
      <c r="AB76" s="31">
        <f>IF(OR($B$73="",AB67=""),"",IFERROR($B$73/AB67,""))</f>
        <v/>
      </c>
      <c r="AC76" s="31">
        <f>IF(OR($B$73="",AC67=""),"",IFERROR($B$73/AC67,""))</f>
        <v/>
      </c>
    </row>
    <row r="77">
      <c r="A77" s="18" t="inlineStr">
        <is>
          <t>Target P/E</t>
        </is>
      </c>
      <c r="B77" s="10" t="inlineStr">
        <is>
          <t>직접 입력</t>
        </is>
      </c>
      <c r="C77" s="30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0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2" t="n"/>
      <c r="Z77" s="33" t="n"/>
      <c r="AA77" s="33" t="n"/>
      <c r="AB77" s="33" t="n"/>
      <c r="AC77" s="33" t="n"/>
    </row>
    <row r="78">
      <c r="A78" s="18" t="inlineStr">
        <is>
          <t>EPS</t>
        </is>
      </c>
      <c r="B78" s="10" t="inlineStr">
        <is>
          <t>지배순이익 ÷ 주식수</t>
        </is>
      </c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>
        <f>IF(OR(O67="",$B$72=""),"",IFERROR(O67*1000000.0/$B$72,""))</f>
        <v/>
      </c>
      <c r="P78" s="29">
        <f>IF(OR(P67="",$B$72=""),"",IFERROR(P67*1000000.0/$B$72,""))</f>
        <v/>
      </c>
      <c r="Q78" s="29">
        <f>IF(OR(Q67="",$B$72=""),"",IFERROR(Q67*1000000.0/$B$72,""))</f>
        <v/>
      </c>
      <c r="R78" s="29">
        <f>IF(OR(R67="",$B$72=""),"",IFERROR(R67*1000000.0/$B$72,""))</f>
        <v/>
      </c>
      <c r="S78" s="29">
        <f>IF(OR(S67="",$B$72=""),"",IFERROR(S67*1000000.0/$B$72,""))</f>
        <v/>
      </c>
      <c r="T78" s="29">
        <f>IF(OR(T67="",$B$72=""),"",IFERROR(T67*1000000.0/$B$72,""))</f>
        <v/>
      </c>
      <c r="U78" s="29">
        <f>IF(OR(U67="",$B$72=""),"",IFERROR(U67*1000000.0/$B$72,""))</f>
        <v/>
      </c>
      <c r="V78" s="29">
        <f>IF(OR(V67="",$B$72=""),"",IFERROR(V67*1000000.0/$B$72,""))</f>
        <v/>
      </c>
      <c r="W78" s="29">
        <f>IF(OR(W67="",$B$72=""),"",IFERROR(W67*1000000.0/$B$72,""))</f>
        <v/>
      </c>
      <c r="X78" s="29">
        <f>IF(OR(X67="",$B$72=""),"",IFERROR(X67*1000000.0/$B$72,""))</f>
        <v/>
      </c>
      <c r="Y78" s="28">
        <f>IF(OR(Y67="",$B$72=""),"",IFERROR(Y67*1000000.0/$B$72,""))</f>
        <v/>
      </c>
      <c r="Z78" s="29">
        <f>IF(OR(Z67="",$B$72=""),"",IFERROR(Z67*1000000.0/$B$72,""))</f>
        <v/>
      </c>
      <c r="AA78" s="29">
        <f>IF(OR(AA67="",$B$72=""),"",IFERROR(AA67*1000000.0/$B$72,""))</f>
        <v/>
      </c>
      <c r="AB78" s="29">
        <f>IF(OR(AB67="",$B$72=""),"",IFERROR(AB67*1000000.0/$B$72,""))</f>
        <v/>
      </c>
      <c r="AC78" s="29">
        <f>IF(OR(AC67="",$B$72=""),"",IFERROR(AC67*1000000.0/$B$72,""))</f>
        <v/>
      </c>
    </row>
    <row r="79">
      <c r="A79" s="9" t="inlineStr">
        <is>
          <t>목표주가</t>
        </is>
      </c>
      <c r="B79" s="10" t="n"/>
      <c r="C79" s="34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34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34">
        <f>IF(OR(Y78="",Y77=""),"",IFERROR(Y78*Y77,""))</f>
        <v/>
      </c>
      <c r="Z79" s="27">
        <f>IF(OR(Z78="",Z77=""),"",IFERROR(Z78*Z77,""))</f>
        <v/>
      </c>
      <c r="AA79" s="27">
        <f>IF(OR(AA78="",AA77=""),"",IFERROR(AA78*AA77,""))</f>
        <v/>
      </c>
      <c r="AB79" s="27">
        <f>IF(OR(AB78="",AB77=""),"",IFERROR(AB78*AB77,""))</f>
        <v/>
      </c>
      <c r="AC79" s="27">
        <f>IF(OR(AC78="",AC77=""),"",IFERROR(AC78*AC77,""))</f>
        <v/>
      </c>
    </row>
    <row r="80">
      <c r="A80" s="18" t="inlineStr">
        <is>
          <t>상승여력</t>
        </is>
      </c>
      <c r="B80" s="10" t="n"/>
      <c r="C80" s="35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5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7">
        <f>IF(OR(Y79="",$B$71=""),"",IFERROR(Y79/$B$71-1,""))</f>
        <v/>
      </c>
      <c r="Z80" s="38">
        <f>IF(OR(Z79="",$B$71=""),"",IFERROR(Z79/$B$71-1,""))</f>
        <v/>
      </c>
      <c r="AA80" s="38">
        <f>IF(OR(AA79="",$B$71=""),"",IFERROR(AA79/$B$71-1,""))</f>
        <v/>
      </c>
      <c r="AB80" s="38">
        <f>IF(OR(AB79="",$B$71=""),"",IFERROR(AB79/$B$71-1,""))</f>
        <v/>
      </c>
      <c r="AC80" s="38">
        <f>IF(OR(AC79="",$B$71=""),"",IFERROR(AC79/$B$71-1,""))</f>
        <v/>
      </c>
    </row>
    <row r="81">
      <c r="A81" s="16" t="inlineStr">
        <is>
          <t>자산가치 산출</t>
        </is>
      </c>
      <c r="B81" s="16" t="inlineStr">
        <is>
          <t>최신 분기 BS</t>
        </is>
      </c>
      <c r="C81" s="17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7" t="n"/>
      <c r="Z81" s="16" t="n"/>
      <c r="AA81" s="16" t="n"/>
      <c r="AB81" s="16" t="n"/>
      <c r="AC81" s="16" t="n"/>
    </row>
    <row r="82">
      <c r="A82" s="18" t="inlineStr">
        <is>
          <t>현금및현금성자산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'재무상태표'!G6</f>
        <v/>
      </c>
      <c r="Y82" s="19">
        <f>'재무상태표'!G6</f>
        <v/>
      </c>
      <c r="Z82" s="20">
        <f>'재무상태표'!G6</f>
        <v/>
      </c>
      <c r="AA82" s="20">
        <f>'재무상태표'!G6</f>
        <v/>
      </c>
      <c r="AB82" s="20">
        <f>'재무상태표'!G6</f>
        <v/>
      </c>
      <c r="AC82" s="20">
        <f>'재무상태표'!G6</f>
        <v/>
      </c>
    </row>
    <row r="83">
      <c r="A83" s="18" t="inlineStr">
        <is>
          <t>단기금융상품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'재무상태표'!G7</f>
        <v/>
      </c>
      <c r="Y83" s="19">
        <f>'재무상태표'!G7</f>
        <v/>
      </c>
      <c r="Z83" s="20">
        <f>'재무상태표'!G7</f>
        <v/>
      </c>
      <c r="AA83" s="20">
        <f>'재무상태표'!G7</f>
        <v/>
      </c>
      <c r="AB83" s="20">
        <f>'재무상태표'!G7</f>
        <v/>
      </c>
      <c r="AC83" s="20">
        <f>'재무상태표'!G7</f>
        <v/>
      </c>
    </row>
    <row r="84">
      <c r="A84" s="18" t="inlineStr">
        <is>
          <t>투자부동산</t>
        </is>
      </c>
      <c r="B84" s="10" t="n"/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>
        <f>'재무상태표'!G14</f>
        <v/>
      </c>
      <c r="Y84" s="19">
        <f>'재무상태표'!G14</f>
        <v/>
      </c>
      <c r="Z84" s="20">
        <f>'재무상태표'!G14</f>
        <v/>
      </c>
      <c r="AA84" s="20">
        <f>'재무상태표'!G14</f>
        <v/>
      </c>
      <c r="AB84" s="20">
        <f>'재무상태표'!G14</f>
        <v/>
      </c>
      <c r="AC84" s="20">
        <f>'재무상태표'!G14</f>
        <v/>
      </c>
    </row>
    <row r="85">
      <c r="A85" s="18" t="inlineStr">
        <is>
          <t>지배자본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'재무상태표'!G31</f>
        <v/>
      </c>
      <c r="Y85" s="19">
        <f>'재무상태표'!G31</f>
        <v/>
      </c>
      <c r="Z85" s="20">
        <f>'재무상태표'!G31</f>
        <v/>
      </c>
      <c r="AA85" s="20">
        <f>'재무상태표'!G31</f>
        <v/>
      </c>
      <c r="AB85" s="20">
        <f>'재무상태표'!G31</f>
        <v/>
      </c>
      <c r="AC85" s="20">
        <f>'재무상태표'!G31</f>
        <v/>
      </c>
    </row>
    <row r="86">
      <c r="A86" s="18" t="inlineStr">
        <is>
          <t>부채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'재무상태표'!G27</f>
        <v/>
      </c>
      <c r="Y86" s="19">
        <f>'재무상태표'!G27</f>
        <v/>
      </c>
      <c r="Z86" s="20">
        <f>'재무상태표'!G27</f>
        <v/>
      </c>
      <c r="AA86" s="20">
        <f>'재무상태표'!G27</f>
        <v/>
      </c>
      <c r="AB86" s="20">
        <f>'재무상태표'!G27</f>
        <v/>
      </c>
      <c r="AC86" s="20">
        <f>'재무상태표'!G27</f>
        <v/>
      </c>
    </row>
    <row r="87">
      <c r="A87" s="13" t="inlineStr">
        <is>
          <t>부채비율</t>
        </is>
      </c>
      <c r="B87" s="10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4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>
        <f>IF(OR(X86="",X85=""),"",IFERROR(X86/X85,""))</f>
        <v/>
      </c>
      <c r="Y87" s="14">
        <f>IF(OR(Y86="",Y85=""),"",IFERROR(Y86/Y85,""))</f>
        <v/>
      </c>
      <c r="Z87" s="15">
        <f>IF(OR(Z86="",Z85=""),"",IFERROR(Z86/Z85,""))</f>
        <v/>
      </c>
      <c r="AA87" s="15">
        <f>IF(OR(AA86="",AA85=""),"",IFERROR(AA86/AA85,""))</f>
        <v/>
      </c>
      <c r="AB87" s="15">
        <f>IF(OR(AB86="",AB85=""),"",IFERROR(AB86/AB85,""))</f>
        <v/>
      </c>
      <c r="AC87" s="15">
        <f>IF(OR(AC86="",AC85=""),"",IFERROR(AC86/AC85,""))</f>
        <v/>
      </c>
    </row>
    <row r="88">
      <c r="A88" s="9" t="inlineStr">
        <is>
          <t>자산가치</t>
        </is>
      </c>
      <c r="B88" s="10" t="inlineStr">
        <is>
          <t>현금+단기금융+투자부동산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>
        <f>SUM(X82,X83,X84)</f>
        <v/>
      </c>
      <c r="Y88" s="11">
        <f>SUM(Y82,Y83,Y84)</f>
        <v/>
      </c>
      <c r="Z88" s="12">
        <f>SUM(Z82,Z83,Z84)</f>
        <v/>
      </c>
      <c r="AA88" s="12">
        <f>SUM(AA82,AA83,AA84)</f>
        <v/>
      </c>
      <c r="AB88" s="12">
        <f>SUM(AB82,AB83,AB84)</f>
        <v/>
      </c>
      <c r="AC88" s="12">
        <f>SUM(AC82,AC83,AC84)</f>
        <v/>
      </c>
    </row>
    <row r="89">
      <c r="A89" s="16" t="inlineStr">
        <is>
          <t>기업가치 산출</t>
        </is>
      </c>
      <c r="B89" s="16" t="n"/>
      <c r="C89" s="17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7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7" t="n"/>
      <c r="Z89" s="16" t="n"/>
      <c r="AA89" s="16" t="n"/>
      <c r="AB89" s="16" t="n"/>
      <c r="AC89" s="16" t="n"/>
    </row>
    <row r="90">
      <c r="A90" s="18" t="inlineStr">
        <is>
          <t>목표 시가총액 (P/E)</t>
        </is>
      </c>
      <c r="B90" s="10" t="inlineStr">
        <is>
          <t>지배순이익 × Target P/E</t>
        </is>
      </c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19">
        <f>IF(OR(Y67="",Y77=""),"",IFERROR(Y67*Y77,""))</f>
        <v/>
      </c>
      <c r="Z90" s="20">
        <f>IF(OR(Z67="",Z77=""),"",IFERROR(Z67*Z77,""))</f>
        <v/>
      </c>
      <c r="AA90" s="20">
        <f>IF(OR(AA67="",AA77=""),"",IFERROR(AA67*AA77,""))</f>
        <v/>
      </c>
      <c r="AB90" s="20">
        <f>IF(OR(AB67="",AB77=""),"",IFERROR(AB67*AB77,""))</f>
        <v/>
      </c>
      <c r="AC90" s="20">
        <f>IF(OR(AC67="",AC77=""),"",IFERROR(AC67*AC77,""))</f>
        <v/>
      </c>
    </row>
    <row r="91">
      <c r="A91" s="9" t="inlineStr">
        <is>
          <t>기업가치</t>
        </is>
      </c>
      <c r="B91" s="10" t="inlineStr">
        <is>
          <t>목표시총 + 자산가치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1">
        <f>IF(OR(Y90=""),"",IFERROR(Y90+Y88,""))</f>
        <v/>
      </c>
      <c r="Z91" s="12">
        <f>IF(OR(Z90=""),"",IFERROR(Z90+Z88,""))</f>
        <v/>
      </c>
      <c r="AA91" s="12">
        <f>IF(OR(AA90=""),"",IFERROR(AA90+AA88,""))</f>
        <v/>
      </c>
      <c r="AB91" s="12">
        <f>IF(OR(AB90=""),"",IFERROR(AB90+AB88,""))</f>
        <v/>
      </c>
      <c r="AC91" s="12">
        <f>IF(OR(AC90=""),"",IFERROR(AC90+AC88,""))</f>
        <v/>
      </c>
    </row>
    <row r="92">
      <c r="A92" s="18" t="inlineStr">
        <is>
          <t>현재 시가총액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19">
        <f>$B$73</f>
        <v/>
      </c>
      <c r="Z92" s="20">
        <f>$B$73</f>
        <v/>
      </c>
      <c r="AA92" s="20">
        <f>$B$73</f>
        <v/>
      </c>
      <c r="AB92" s="20">
        <f>$B$73</f>
        <v/>
      </c>
      <c r="AC92" s="20">
        <f>$B$73</f>
        <v/>
      </c>
    </row>
    <row r="93">
      <c r="A93" s="18" t="inlineStr">
        <is>
          <t>상승여력</t>
        </is>
      </c>
      <c r="B93" s="10" t="n"/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5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7">
        <f>IF(OR(Y91="",Y92=""),"",IFERROR(Y91/Y92-1,""))</f>
        <v/>
      </c>
      <c r="Z93" s="38">
        <f>IF(OR(Z91="",Z92=""),"",IFERROR(Z91/Z92-1,""))</f>
        <v/>
      </c>
      <c r="AA93" s="38">
        <f>IF(OR(AA91="",AA92=""),"",IFERROR(AA91/AA92-1,""))</f>
        <v/>
      </c>
      <c r="AB93" s="38">
        <f>IF(OR(AB91="",AB92=""),"",IFERROR(AB91/AB92-1,""))</f>
        <v/>
      </c>
      <c r="AC93" s="38">
        <f>IF(OR(AC91="",AC92=""),"",IFERROR(AC91/AC92-1,""))</f>
        <v/>
      </c>
    </row>
    <row r="94">
      <c r="C94" s="39" t="n"/>
      <c r="O94" s="39" t="n"/>
      <c r="Y94" s="39" t="n"/>
    </row>
    <row r="95">
      <c r="A95" s="40" t="inlineStr">
        <is>
          <t>출처</t>
        </is>
      </c>
      <c r="C95" s="39" t="n"/>
      <c r="O95" s="39" t="n"/>
      <c r="Y95" s="39" t="n"/>
    </row>
    <row r="96">
      <c r="A96" s="41" t="inlineStr">
        <is>
          <t>결산단신 XBRL(TDnet·JPX 보관소) — 쓴 문서는 '출처' 시트</t>
        </is>
      </c>
      <c r="C96" s="39" t="n"/>
      <c r="O96" s="39" t="n"/>
      <c r="Y96" s="39" t="n"/>
    </row>
    <row r="97">
      <c r="A97" s="41" t="inlineStr">
        <is>
          <t>분기 = 누계에서 앞 분기를 뺀 3개월 값</t>
        </is>
      </c>
      <c r="C97" s="39" t="n"/>
      <c r="O97" s="39" t="n"/>
      <c r="Y97" s="39" t="n"/>
    </row>
    <row r="98">
      <c r="A98" s="41" t="inlineStr">
        <is>
          <t>주가: 야후 파이낸스 일봉</t>
        </is>
      </c>
      <c r="C98" s="39" t="n"/>
      <c r="O98" s="39" t="n"/>
      <c r="Y98" s="39" t="n"/>
    </row>
    <row r="100">
      <c r="A100" s="16" t="inlineStr">
        <is>
          <t>손익계산서 · 전 항목</t>
        </is>
      </c>
      <c r="B100" s="42" t="inlineStr">
        <is>
          <t>분기 = 3개월 단독</t>
        </is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</row>
    <row r="101">
      <c r="A101" s="5" t="inlineStr">
        <is>
          <t>항목</t>
        </is>
      </c>
      <c r="B101" s="5" t="inlineStr">
        <is>
          <t>참고</t>
        </is>
      </c>
      <c r="C101" s="5" t="inlineStr">
        <is>
          <t>2024.3Q</t>
        </is>
      </c>
      <c r="D101" s="5" t="inlineStr">
        <is>
          <t>2024.4Q</t>
        </is>
      </c>
      <c r="E101" s="5" t="inlineStr">
        <is>
          <t>2025.1Q</t>
        </is>
      </c>
      <c r="F101" s="5" t="inlineStr">
        <is>
          <t>2025.2Q</t>
        </is>
      </c>
      <c r="G101" s="5" t="inlineStr">
        <is>
          <t>2025.3Q</t>
        </is>
      </c>
      <c r="H101" s="5" t="inlineStr">
        <is>
          <t>2025.4Q</t>
        </is>
      </c>
      <c r="I101" s="5" t="inlineStr">
        <is>
          <t>2026.1Q</t>
        </is>
      </c>
      <c r="J101" s="5" t="inlineStr">
        <is>
          <t>2026.2Q</t>
        </is>
      </c>
      <c r="K101" s="5" t="inlineStr">
        <is>
          <t>2026.3Q</t>
        </is>
      </c>
      <c r="L101" s="5" t="inlineStr">
        <is>
          <t>2026.4Q</t>
        </is>
      </c>
      <c r="M101" s="5" t="inlineStr">
        <is>
          <t>2027.1Q</t>
        </is>
      </c>
      <c r="N101" s="5" t="inlineStr">
        <is>
          <t>2027.2Q</t>
        </is>
      </c>
      <c r="O101" s="5" t="inlineStr">
        <is>
          <t>2017</t>
        </is>
      </c>
      <c r="P101" s="5" t="inlineStr">
        <is>
          <t>2018</t>
        </is>
      </c>
      <c r="Q101" s="5" t="inlineStr">
        <is>
          <t>2019</t>
        </is>
      </c>
      <c r="R101" s="5" t="inlineStr">
        <is>
          <t>2020</t>
        </is>
      </c>
      <c r="S101" s="5" t="inlineStr">
        <is>
          <t>2021</t>
        </is>
      </c>
      <c r="T101" s="5" t="inlineStr">
        <is>
          <t>2022</t>
        </is>
      </c>
      <c r="U101" s="5" t="inlineStr">
        <is>
          <t>2023</t>
        </is>
      </c>
      <c r="V101" s="5" t="inlineStr">
        <is>
          <t>2024</t>
        </is>
      </c>
      <c r="W101" s="5" t="inlineStr">
        <is>
          <t>2025</t>
        </is>
      </c>
      <c r="X101" s="5" t="inlineStr">
        <is>
          <t>2026</t>
        </is>
      </c>
      <c r="Y101" s="5" t="inlineStr">
        <is>
          <t>2027(MW)</t>
        </is>
      </c>
      <c r="Z101" s="5" t="inlineStr">
        <is>
          <t>2028(MW)</t>
        </is>
      </c>
      <c r="AA101" s="5" t="inlineStr">
        <is>
          <t>2029(MW)</t>
        </is>
      </c>
      <c r="AB101" s="5" t="inlineStr">
        <is>
          <t>2030(MW)</t>
        </is>
      </c>
      <c r="AC101" s="5" t="inlineStr">
        <is>
          <t>2031(MW)</t>
        </is>
      </c>
    </row>
    <row r="102">
      <c r="A102" s="9" t="inlineStr">
        <is>
          <t>매출액</t>
        </is>
      </c>
      <c r="C102" s="12" t="n">
        <v>9609</v>
      </c>
      <c r="D102" s="12" t="n">
        <v>9401</v>
      </c>
      <c r="E102" s="12" t="n">
        <v>10381</v>
      </c>
      <c r="F102" s="12" t="n">
        <v>10679</v>
      </c>
      <c r="G102" s="12" t="n">
        <v>11132</v>
      </c>
      <c r="H102" s="12" t="n">
        <v>10720</v>
      </c>
      <c r="I102" s="12" t="n">
        <v>11253</v>
      </c>
      <c r="J102" s="12" t="n">
        <v>11275</v>
      </c>
      <c r="K102" s="12" t="n">
        <v>11805</v>
      </c>
      <c r="L102" s="12" t="n">
        <v>11596</v>
      </c>
      <c r="M102" s="12" t="n">
        <v>13172</v>
      </c>
      <c r="N102" s="12" t="n">
        <v>14182</v>
      </c>
      <c r="T102" s="12" t="n">
        <v>8995</v>
      </c>
      <c r="U102" s="12" t="n">
        <v>8680</v>
      </c>
      <c r="V102" s="12" t="n">
        <v>9401</v>
      </c>
      <c r="W102" s="12" t="n">
        <v>10720</v>
      </c>
      <c r="X102" s="12" t="n">
        <v>11596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IF(OR(G102="",C102=""),"",IF(C102&lt;=0,"",IFERROR(G102/C102-1,"")))</f>
        <v/>
      </c>
      <c r="H103" s="15">
        <f>IF(OR(H102="",D102=""),"",IF(D102&lt;=0,"",IFERROR(H102/D102-1,"")))</f>
        <v/>
      </c>
      <c r="I103" s="15">
        <f>IF(OR(I102="",E102=""),"",IF(E102&lt;=0,"",IFERROR(I102/E102-1,"")))</f>
        <v/>
      </c>
      <c r="J103" s="15">
        <f>IF(OR(J102="",F102=""),"",IF(F102&lt;=0,"",IFERROR(J102/F102-1,"")))</f>
        <v/>
      </c>
      <c r="K103" s="15">
        <f>IF(OR(K102="",G102=""),"",IF(G102&lt;=0,"",IFERROR(K102/G102-1,"")))</f>
        <v/>
      </c>
      <c r="L103" s="15">
        <f>IF(OR(L102="",H102=""),"",IF(H102&lt;=0,"",IFERROR(L102/H102-1,"")))</f>
        <v/>
      </c>
      <c r="M103" s="15">
        <f>IF(OR(M102="",I102=""),"",IF(I102&lt;=0,"",IFERROR(M102/I102-1,"")))</f>
        <v/>
      </c>
      <c r="N103" s="15">
        <f>IF(OR(N102="",J102=""),"",IF(J102&lt;=0,"",IFERROR(N102/J102-1,"")))</f>
        <v/>
      </c>
      <c r="T103" s="15">
        <f>IF(OR(T102="",S102=""),"",IF(S102&lt;=0,"",IFERROR(T102/S102-1,"")))</f>
        <v/>
      </c>
      <c r="U103" s="15">
        <f>IF(OR(U102="",T102=""),"",IF(T102&lt;=0,"",IFERROR(U102/T102-1,"")))</f>
        <v/>
      </c>
      <c r="V103" s="15">
        <f>IF(OR(V102="",U102=""),"",IF(U102&lt;=0,"",IFERROR(V102/U102-1,"")))</f>
        <v/>
      </c>
      <c r="W103" s="15">
        <f>IF(OR(W102="",V102=""),"",IF(V102&lt;=0,"",IFERROR(W102/V102-1,"")))</f>
        <v/>
      </c>
      <c r="X103" s="15">
        <f>IF(OR(X102="",W102=""),"",IF(W102&lt;=0,"",IFERROR(X102/W102-1,"")))</f>
        <v/>
      </c>
    </row>
    <row r="104">
      <c r="A104" s="18" t="inlineStr">
        <is>
          <t>매출원가</t>
        </is>
      </c>
      <c r="C104" s="20" t="n">
        <v>6559</v>
      </c>
      <c r="D104" s="20" t="n">
        <v>6610</v>
      </c>
      <c r="E104" s="20" t="n">
        <v>6814</v>
      </c>
      <c r="F104" s="20" t="n">
        <v>7058</v>
      </c>
      <c r="G104" s="20" t="n">
        <v>7043</v>
      </c>
      <c r="H104" s="20" t="n">
        <v>7113</v>
      </c>
      <c r="I104" s="20" t="n">
        <v>7201</v>
      </c>
      <c r="J104" s="20" t="n">
        <v>7221</v>
      </c>
      <c r="K104" s="20" t="n">
        <v>7326</v>
      </c>
      <c r="L104" s="20" t="n">
        <v>7244</v>
      </c>
      <c r="M104" s="20" t="n">
        <v>8406</v>
      </c>
      <c r="N104" s="20" t="n">
        <v>9415</v>
      </c>
      <c r="T104" s="20" t="n">
        <v>6138</v>
      </c>
      <c r="U104" s="20" t="n">
        <v>6479</v>
      </c>
      <c r="V104" s="20" t="n">
        <v>6610</v>
      </c>
      <c r="W104" s="20" t="n">
        <v>7113</v>
      </c>
      <c r="X104" s="20" t="n">
        <v>7244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T105" s="15">
        <f>IF(OR(T104="",S104=""),"",IF(T104*S104&lt;=0,"",IFERROR(T104/S104-1,"")))</f>
        <v/>
      </c>
      <c r="U105" s="15">
        <f>IF(OR(U104="",T104=""),"",IF(U104*T104&lt;=0,"",IFERROR(U104/T104-1,"")))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9" t="inlineStr">
        <is>
          <t>매출총이익</t>
        </is>
      </c>
      <c r="C106" s="12" t="n">
        <v>3050</v>
      </c>
      <c r="D106" s="12" t="n">
        <v>2791</v>
      </c>
      <c r="E106" s="12" t="n">
        <v>3566</v>
      </c>
      <c r="F106" s="12" t="n">
        <v>3621</v>
      </c>
      <c r="G106" s="12" t="n">
        <v>4090</v>
      </c>
      <c r="H106" s="12" t="n">
        <v>3607</v>
      </c>
      <c r="I106" s="12" t="n">
        <v>4051</v>
      </c>
      <c r="J106" s="12" t="n">
        <v>4055</v>
      </c>
      <c r="K106" s="12" t="n">
        <v>4478</v>
      </c>
      <c r="L106" s="12" t="n">
        <v>4353</v>
      </c>
      <c r="M106" s="12" t="n">
        <v>4765</v>
      </c>
      <c r="N106" s="12" t="n">
        <v>4768</v>
      </c>
      <c r="T106" s="12" t="n">
        <v>2858</v>
      </c>
      <c r="U106" s="12" t="n">
        <v>2200</v>
      </c>
      <c r="V106" s="12" t="n">
        <v>2791</v>
      </c>
      <c r="W106" s="12" t="n">
        <v>3607</v>
      </c>
      <c r="X106" s="12" t="n">
        <v>4353</v>
      </c>
    </row>
    <row r="107">
      <c r="A107" s="43" t="inlineStr">
        <is>
          <t>YoY</t>
        </is>
      </c>
      <c r="B107" s="3" t="inlineStr">
        <is>
          <t>전년 같은 분기·전년 대비</t>
        </is>
      </c>
      <c r="G107" s="15">
        <f>IF(OR(G106="",C106=""),"",IF(C106&lt;=0,"",IFERROR(G106/C106-1,"")))</f>
        <v/>
      </c>
      <c r="H107" s="15">
        <f>IF(OR(H106="",D106=""),"",IF(D106&lt;=0,"",IFERROR(H106/D106-1,"")))</f>
        <v/>
      </c>
      <c r="I107" s="15">
        <f>IF(OR(I106="",E106=""),"",IF(E106&lt;=0,"",IFERROR(I106/E106-1,"")))</f>
        <v/>
      </c>
      <c r="J107" s="15">
        <f>IF(OR(J106="",F106=""),"",IF(F106&lt;=0,"",IFERROR(J106/F106-1,"")))</f>
        <v/>
      </c>
      <c r="K107" s="15">
        <f>IF(OR(K106="",G106=""),"",IF(G106&lt;=0,"",IFERROR(K106/G106-1,"")))</f>
        <v/>
      </c>
      <c r="L107" s="15">
        <f>IF(OR(L106="",H106=""),"",IF(H106&lt;=0,"",IFERROR(L106/H106-1,"")))</f>
        <v/>
      </c>
      <c r="M107" s="15">
        <f>IF(OR(M106="",I106=""),"",IF(I106&lt;=0,"",IFERROR(M106/I106-1,"")))</f>
        <v/>
      </c>
      <c r="N107" s="15">
        <f>IF(OR(N106="",J106=""),"",IF(J106&lt;=0,"",IFERROR(N106/J106-1,"")))</f>
        <v/>
      </c>
      <c r="T107" s="15">
        <f>IF(OR(T106="",S106=""),"",IF(S106&lt;=0,"",IFERROR(T106/S106-1,"")))</f>
        <v/>
      </c>
      <c r="U107" s="15">
        <f>IF(OR(U106="",T106=""),"",IF(T106&lt;=0,"",IFERROR(U106/T106-1,"")))</f>
        <v/>
      </c>
      <c r="V107" s="15">
        <f>IF(OR(V106="",U106=""),"",IF(U106&lt;=0,"",IFERROR(V106/U106-1,"")))</f>
        <v/>
      </c>
      <c r="W107" s="15">
        <f>IF(OR(W106="",V106=""),"",IF(V106&lt;=0,"",IFERROR(W106/V106-1,"")))</f>
        <v/>
      </c>
      <c r="X107" s="15">
        <f>IF(OR(X106="",W106=""),"",IF(W106&lt;=0,"",IFERROR(X106/W106-1,"")))</f>
        <v/>
      </c>
    </row>
    <row r="108">
      <c r="A108" s="18" t="inlineStr">
        <is>
          <t>급여 및 임금</t>
        </is>
      </c>
      <c r="D108" s="20" t="n">
        <v>381</v>
      </c>
      <c r="E108" s="20" t="n">
        <v>387</v>
      </c>
      <c r="F108" s="20" t="n">
        <v>413</v>
      </c>
      <c r="G108" s="20" t="n">
        <v>381</v>
      </c>
      <c r="H108" s="20" t="n">
        <v>395</v>
      </c>
      <c r="I108" s="20" t="n">
        <v>400</v>
      </c>
      <c r="J108" s="20" t="n">
        <v>420</v>
      </c>
      <c r="K108" s="20" t="n">
        <v>405</v>
      </c>
      <c r="L108" s="20" t="n">
        <v>420</v>
      </c>
      <c r="M108" s="20" t="n">
        <v>448</v>
      </c>
      <c r="N108" s="20" t="n">
        <v>457</v>
      </c>
      <c r="V108" s="20" t="n">
        <v>381</v>
      </c>
      <c r="W108" s="20" t="n">
        <v>395</v>
      </c>
      <c r="X108" s="20" t="n">
        <v>420</v>
      </c>
    </row>
    <row r="109">
      <c r="A109" s="18" t="inlineStr">
        <is>
          <t>퇴직급여비용</t>
        </is>
      </c>
      <c r="D109" s="20" t="n">
        <v>34</v>
      </c>
      <c r="E109" s="20" t="n">
        <v>38</v>
      </c>
      <c r="F109" s="20" t="n">
        <v>38</v>
      </c>
      <c r="G109" s="20" t="n">
        <v>37</v>
      </c>
      <c r="H109" s="20" t="n">
        <v>38</v>
      </c>
      <c r="I109" s="20" t="n">
        <v>37</v>
      </c>
      <c r="J109" s="20" t="n">
        <v>35</v>
      </c>
      <c r="K109" s="20" t="n">
        <v>35</v>
      </c>
      <c r="L109" s="20" t="n">
        <v>40</v>
      </c>
      <c r="M109" s="20" t="n">
        <v>33</v>
      </c>
      <c r="N109" s="20" t="n">
        <v>34</v>
      </c>
      <c r="V109" s="20" t="n">
        <v>34</v>
      </c>
      <c r="W109" s="20" t="n">
        <v>38</v>
      </c>
      <c r="X109" s="20" t="n">
        <v>40</v>
      </c>
    </row>
    <row r="110">
      <c r="A110" s="18" t="inlineStr">
        <is>
          <t>상여충당금 전입</t>
        </is>
      </c>
      <c r="D110" s="20" t="n">
        <v>79</v>
      </c>
      <c r="E110" s="20" t="n">
        <v>93</v>
      </c>
      <c r="F110" s="20" t="n">
        <v>98</v>
      </c>
      <c r="G110" s="20" t="n">
        <v>-98</v>
      </c>
      <c r="H110" s="20" t="n">
        <v>90</v>
      </c>
      <c r="I110" s="20" t="n">
        <v>97</v>
      </c>
      <c r="J110" s="20" t="n">
        <v>105</v>
      </c>
      <c r="K110" s="20" t="n">
        <v>-95</v>
      </c>
      <c r="L110" s="20" t="n">
        <v>101</v>
      </c>
      <c r="M110" s="20" t="n">
        <v>115</v>
      </c>
      <c r="N110" s="20" t="n">
        <v>125</v>
      </c>
      <c r="V110" s="20" t="n">
        <v>79</v>
      </c>
      <c r="W110" s="20" t="n">
        <v>90</v>
      </c>
      <c r="X110" s="20" t="n">
        <v>101</v>
      </c>
    </row>
    <row r="111">
      <c r="A111" s="18" t="inlineStr">
        <is>
          <t>기술 연구비</t>
        </is>
      </c>
      <c r="D111" s="20" t="n">
        <v>444</v>
      </c>
      <c r="E111" s="20" t="n">
        <v>428</v>
      </c>
      <c r="F111" s="20" t="n">
        <v>441</v>
      </c>
      <c r="G111" s="20" t="n">
        <v>443</v>
      </c>
      <c r="H111" s="20" t="n">
        <v>435</v>
      </c>
      <c r="I111" s="20" t="n">
        <v>409</v>
      </c>
      <c r="J111" s="20" t="n">
        <v>446</v>
      </c>
      <c r="K111" s="20" t="n">
        <v>431</v>
      </c>
      <c r="L111" s="20" t="n">
        <v>436</v>
      </c>
      <c r="M111" s="20" t="n">
        <v>405</v>
      </c>
      <c r="N111" s="20" t="n">
        <v>400</v>
      </c>
      <c r="V111" s="20" t="n">
        <v>444</v>
      </c>
      <c r="W111" s="20" t="n">
        <v>435</v>
      </c>
      <c r="X111" s="20" t="n">
        <v>436</v>
      </c>
    </row>
    <row r="112">
      <c r="A112" s="18" t="inlineStr">
        <is>
          <t>기타</t>
        </is>
      </c>
      <c r="D112" s="20" t="n">
        <v>1036</v>
      </c>
      <c r="E112" s="20" t="n">
        <v>1072</v>
      </c>
      <c r="F112" s="20" t="n">
        <v>1184</v>
      </c>
      <c r="G112" s="20" t="n">
        <v>1332</v>
      </c>
      <c r="H112" s="20" t="n">
        <v>1160</v>
      </c>
      <c r="I112" s="20" t="n">
        <v>1172</v>
      </c>
      <c r="J112" s="20" t="n">
        <v>1211</v>
      </c>
      <c r="K112" s="20" t="n">
        <v>1454</v>
      </c>
      <c r="L112" s="20" t="n">
        <v>1232</v>
      </c>
      <c r="M112" s="20" t="n">
        <v>1281</v>
      </c>
      <c r="N112" s="20" t="n">
        <v>1366</v>
      </c>
      <c r="V112" s="20" t="n">
        <v>1036</v>
      </c>
      <c r="W112" s="20" t="n">
        <v>1160</v>
      </c>
      <c r="X112" s="20" t="n">
        <v>1232</v>
      </c>
    </row>
    <row r="113">
      <c r="A113" s="18" t="inlineStr">
        <is>
          <t>판매비와 관리비 합계</t>
        </is>
      </c>
      <c r="C113" s="20" t="n">
        <v>1966</v>
      </c>
      <c r="D113" s="20" t="n">
        <v>1974</v>
      </c>
      <c r="E113" s="20" t="n">
        <v>2020</v>
      </c>
      <c r="F113" s="20" t="n">
        <v>2174</v>
      </c>
      <c r="G113" s="20" t="n">
        <v>2095</v>
      </c>
      <c r="H113" s="20" t="n">
        <v>2118</v>
      </c>
      <c r="I113" s="20" t="n">
        <v>2116</v>
      </c>
      <c r="J113" s="20" t="n">
        <v>2218</v>
      </c>
      <c r="K113" s="20" t="n">
        <v>2230</v>
      </c>
      <c r="L113" s="20" t="n">
        <v>2229</v>
      </c>
      <c r="M113" s="20" t="n">
        <v>2284</v>
      </c>
      <c r="N113" s="20" t="n">
        <v>2382</v>
      </c>
      <c r="T113" s="20" t="n">
        <v>1679</v>
      </c>
      <c r="U113" s="20" t="n">
        <v>1773</v>
      </c>
      <c r="V113" s="20" t="n">
        <v>1974</v>
      </c>
      <c r="W113" s="20" t="n">
        <v>2118</v>
      </c>
      <c r="X113" s="20" t="n">
        <v>2229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IF(OR(G113="",C113=""),"",IF(G113*C113&lt;=0,"",IFERROR(G113/C113-1,"")))</f>
        <v/>
      </c>
      <c r="H114" s="15">
        <f>IF(OR(H113="",D113=""),"",IF(H113*D113&lt;=0,"",IFERROR(H113/D113-1,"")))</f>
        <v/>
      </c>
      <c r="I114" s="15">
        <f>IF(OR(I113="",E113=""),"",IF(I113*E113&lt;=0,"",IFERROR(I113/E113-1,"")))</f>
        <v/>
      </c>
      <c r="J114" s="15">
        <f>IF(OR(J113="",F113=""),"",IF(J113*F113&lt;=0,"",IFERROR(J113/F113-1,"")))</f>
        <v/>
      </c>
      <c r="K114" s="15">
        <f>IF(OR(K113="",G113=""),"",IF(K113*G113&lt;=0,"",IFERROR(K113/G113-1,"")))</f>
        <v/>
      </c>
      <c r="L114" s="15">
        <f>IF(OR(L113="",H113=""),"",IF(L113*H113&lt;=0,"",IFERROR(L113/H113-1,"")))</f>
        <v/>
      </c>
      <c r="M114" s="15">
        <f>IF(OR(M113="",I113=""),"",IF(M113*I113&lt;=0,"",IFERROR(M113/I113-1,"")))</f>
        <v/>
      </c>
      <c r="N114" s="15">
        <f>IF(OR(N113="",J113=""),"",IF(N113*J113&lt;=0,"",IFERROR(N113/J113-1,"")))</f>
        <v/>
      </c>
      <c r="T114" s="15">
        <f>IF(OR(T113="",S113=""),"",IF(T113*S113&lt;=0,"",IFERROR(T113/S113-1,"")))</f>
        <v/>
      </c>
      <c r="U114" s="15">
        <f>IF(OR(U113="",T113=""),"",IF(U113*T113&lt;=0,"",IFERROR(U113/T113-1,"")))</f>
        <v/>
      </c>
      <c r="V114" s="15">
        <f>IF(OR(V113="",U113=""),"",IF(V113*U113&lt;=0,"",IFERROR(V113/U113-1,"")))</f>
        <v/>
      </c>
      <c r="W114" s="15">
        <f>IF(OR(W113="",V113=""),"",IF(W113*V113&lt;=0,"",IFERROR(W113/V113-1,"")))</f>
        <v/>
      </c>
      <c r="X114" s="15">
        <f>IF(OR(X113="",W113=""),"",IF(X113*W113&lt;=0,"",IFERROR(X113/W113-1,"")))</f>
        <v/>
      </c>
    </row>
    <row r="115">
      <c r="A115" s="9" t="inlineStr">
        <is>
          <t>영업이익</t>
        </is>
      </c>
      <c r="C115" s="12" t="n">
        <v>1084</v>
      </c>
      <c r="D115" s="12" t="n">
        <v>817</v>
      </c>
      <c r="E115" s="12" t="n">
        <v>1546</v>
      </c>
      <c r="F115" s="12" t="n">
        <v>1446</v>
      </c>
      <c r="G115" s="12" t="n">
        <v>1995</v>
      </c>
      <c r="H115" s="12" t="n">
        <v>1489</v>
      </c>
      <c r="I115" s="12" t="n">
        <v>1935</v>
      </c>
      <c r="J115" s="12" t="n">
        <v>1836</v>
      </c>
      <c r="K115" s="12" t="n">
        <v>2248</v>
      </c>
      <c r="L115" s="12" t="n">
        <v>2124</v>
      </c>
      <c r="M115" s="12" t="n">
        <v>2481</v>
      </c>
      <c r="N115" s="12" t="n">
        <v>2385</v>
      </c>
      <c r="T115" s="12" t="n">
        <v>1179</v>
      </c>
      <c r="U115" s="12" t="n">
        <v>427</v>
      </c>
      <c r="V115" s="12" t="n">
        <v>817</v>
      </c>
      <c r="W115" s="12" t="n">
        <v>1489</v>
      </c>
      <c r="X115" s="12" t="n">
        <v>2124</v>
      </c>
    </row>
    <row r="116">
      <c r="A116" s="43" t="inlineStr">
        <is>
          <t>OPM</t>
        </is>
      </c>
      <c r="B116" s="3" t="inlineStr">
        <is>
          <t>영업이익 ÷ 매출</t>
        </is>
      </c>
      <c r="C116" s="15">
        <f>IF(OR(C115="",C102=""),"",IF(C102&lt;=0,"",IFERROR(C115/C102,"")))</f>
        <v/>
      </c>
      <c r="D116" s="15">
        <f>IF(OR(D115="",D102=""),"",IF(D102&lt;=0,"",IFERROR(D115/D102,"")))</f>
        <v/>
      </c>
      <c r="E116" s="15">
        <f>IF(OR(E115="",E102=""),"",IF(E102&lt;=0,"",IFERROR(E115/E102,"")))</f>
        <v/>
      </c>
      <c r="F116" s="15">
        <f>IF(OR(F115="",F102=""),"",IF(F102&lt;=0,"",IFERROR(F115/F102,"")))</f>
        <v/>
      </c>
      <c r="G116" s="15">
        <f>IF(OR(G115="",G102=""),"",IF(G102&lt;=0,"",IFERROR(G115/G102,"")))</f>
        <v/>
      </c>
      <c r="H116" s="15">
        <f>IF(OR(H115="",H102=""),"",IF(H102&lt;=0,"",IFERROR(H115/H102,"")))</f>
        <v/>
      </c>
      <c r="I116" s="15">
        <f>IF(OR(I115="",I102=""),"",IF(I102&lt;=0,"",IFERROR(I115/I102,"")))</f>
        <v/>
      </c>
      <c r="J116" s="15">
        <f>IF(OR(J115="",J102=""),"",IF(J102&lt;=0,"",IFERROR(J115/J102,"")))</f>
        <v/>
      </c>
      <c r="K116" s="15">
        <f>IF(OR(K115="",K102=""),"",IF(K102&lt;=0,"",IFERROR(K115/K102,"")))</f>
        <v/>
      </c>
      <c r="L116" s="15">
        <f>IF(OR(L115="",L102=""),"",IF(L102&lt;=0,"",IFERROR(L115/L102,"")))</f>
        <v/>
      </c>
      <c r="M116" s="15">
        <f>IF(OR(M115="",M102=""),"",IF(M102&lt;=0,"",IFERROR(M115/M102,"")))</f>
        <v/>
      </c>
      <c r="N116" s="15">
        <f>IF(OR(N115="",N102=""),"",IF(N102&lt;=0,"",IFERROR(N115/N102,"")))</f>
        <v/>
      </c>
      <c r="T116" s="15">
        <f>IF(OR(T115="",T102=""),"",IF(T102&lt;=0,"",IFERROR(T115/T102,"")))</f>
        <v/>
      </c>
      <c r="U116" s="15">
        <f>IF(OR(U115="",U102=""),"",IF(U102&lt;=0,"",IFERROR(U115/U102,"")))</f>
        <v/>
      </c>
      <c r="V116" s="15">
        <f>IF(OR(V115="",V102=""),"",IF(V102&lt;=0,"",IFERROR(V115/V102,"")))</f>
        <v/>
      </c>
      <c r="W116" s="15">
        <f>IF(OR(W115="",W102=""),"",IF(W102&lt;=0,"",IFERROR(W115/W102,"")))</f>
        <v/>
      </c>
      <c r="X116" s="15">
        <f>IF(OR(X115="",X102=""),"",IF(X102&lt;=0,"",IFERROR(X115/X102,"")))</f>
        <v/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IF(OR(G115="",C115=""),"",IF(C115&lt;=0,"",IFERROR(G115/C115-1,"")))</f>
        <v/>
      </c>
      <c r="H117" s="15">
        <f>IF(OR(H115="",D115=""),"",IF(D115&lt;=0,"",IFERROR(H115/D115-1,"")))</f>
        <v/>
      </c>
      <c r="I117" s="15">
        <f>IF(OR(I115="",E115=""),"",IF(E115&lt;=0,"",IFERROR(I115/E115-1,"")))</f>
        <v/>
      </c>
      <c r="J117" s="15">
        <f>IF(OR(J115="",F115=""),"",IF(F115&lt;=0,"",IFERROR(J115/F115-1,"")))</f>
        <v/>
      </c>
      <c r="K117" s="15">
        <f>IF(OR(K115="",G115=""),"",IF(G115&lt;=0,"",IFERROR(K115/G115-1,"")))</f>
        <v/>
      </c>
      <c r="L117" s="15">
        <f>IF(OR(L115="",H115=""),"",IF(H115&lt;=0,"",IFERROR(L115/H115-1,"")))</f>
        <v/>
      </c>
      <c r="M117" s="15">
        <f>IF(OR(M115="",I115=""),"",IF(I115&lt;=0,"",IFERROR(M115/I115-1,"")))</f>
        <v/>
      </c>
      <c r="N117" s="15">
        <f>IF(OR(N115="",J115=""),"",IF(J115&lt;=0,"",IFERROR(N115/J115-1,"")))</f>
        <v/>
      </c>
      <c r="T117" s="15">
        <f>IF(OR(T115="",S115=""),"",IF(S115&lt;=0,"",IFERROR(T115/S115-1,"")))</f>
        <v/>
      </c>
      <c r="U117" s="15">
        <f>IF(OR(U115="",T115=""),"",IF(T115&lt;=0,"",IFERROR(U115/T115-1,"")))</f>
        <v/>
      </c>
      <c r="V117" s="15">
        <f>IF(OR(V115="",U115=""),"",IF(U115&lt;=0,"",IFERROR(V115/U115-1,"")))</f>
        <v/>
      </c>
      <c r="W117" s="15">
        <f>IF(OR(W115="",V115=""),"",IF(V115&lt;=0,"",IFERROR(W115/V115-1,"")))</f>
        <v/>
      </c>
      <c r="X117" s="15">
        <f>IF(OR(X115="",W115=""),"",IF(W115&lt;=0,"",IFERROR(X115/W115-1,"")))</f>
        <v/>
      </c>
    </row>
    <row r="118">
      <c r="A118" s="18" t="inlineStr">
        <is>
          <t>이자수익</t>
        </is>
      </c>
      <c r="C118" s="20" t="n">
        <v>0</v>
      </c>
      <c r="D118" s="20" t="n">
        <v>1</v>
      </c>
      <c r="E118" s="20" t="n">
        <v>0</v>
      </c>
      <c r="F118" s="20" t="n">
        <v>1</v>
      </c>
      <c r="G118" s="20" t="n">
        <v>0</v>
      </c>
      <c r="H118" s="20" t="n">
        <v>4</v>
      </c>
      <c r="I118" s="20" t="n">
        <v>0</v>
      </c>
      <c r="J118" s="20" t="n">
        <v>8</v>
      </c>
      <c r="K118" s="20" t="n">
        <v>0</v>
      </c>
      <c r="L118" s="20" t="n">
        <v>10</v>
      </c>
      <c r="M118" s="20" t="n">
        <v>2</v>
      </c>
      <c r="N118" s="20" t="n">
        <v>13</v>
      </c>
      <c r="T118" s="20" t="n">
        <v>0</v>
      </c>
      <c r="U118" s="20" t="n">
        <v>0</v>
      </c>
      <c r="V118" s="20" t="n">
        <v>1</v>
      </c>
      <c r="W118" s="20" t="n">
        <v>4</v>
      </c>
      <c r="X118" s="20" t="n">
        <v>10</v>
      </c>
    </row>
    <row r="119">
      <c r="A119" s="18" t="inlineStr">
        <is>
          <t>배당금수익</t>
        </is>
      </c>
      <c r="C119" s="20" t="n">
        <v>29</v>
      </c>
      <c r="D119" s="20" t="n">
        <v>10</v>
      </c>
      <c r="E119" s="20" t="n">
        <v>32</v>
      </c>
      <c r="F119" s="20" t="n">
        <v>5</v>
      </c>
      <c r="G119" s="20" t="n">
        <v>36</v>
      </c>
      <c r="H119" s="20" t="n">
        <v>10</v>
      </c>
      <c r="I119" s="20" t="n">
        <v>49</v>
      </c>
      <c r="J119" s="20" t="n">
        <v>5</v>
      </c>
      <c r="K119" s="20" t="n">
        <v>42</v>
      </c>
      <c r="L119" s="20" t="n">
        <v>7</v>
      </c>
      <c r="M119" s="20" t="n">
        <v>61</v>
      </c>
      <c r="N119" s="20" t="n">
        <v>149</v>
      </c>
      <c r="T119" s="20" t="n">
        <v>5</v>
      </c>
      <c r="U119" s="20" t="n">
        <v>6</v>
      </c>
      <c r="V119" s="20" t="n">
        <v>10</v>
      </c>
      <c r="W119" s="20" t="n">
        <v>10</v>
      </c>
      <c r="X119" s="20" t="n">
        <v>7</v>
      </c>
    </row>
    <row r="120">
      <c r="A120" s="18" t="inlineStr">
        <is>
          <t>고정자산 임대료</t>
        </is>
      </c>
      <c r="C120" s="20" t="n">
        <v>76</v>
      </c>
      <c r="D120" s="20" t="n">
        <v>74</v>
      </c>
      <c r="E120" s="20" t="n">
        <v>74</v>
      </c>
      <c r="F120" s="20" t="n">
        <v>74</v>
      </c>
      <c r="G120" s="20" t="n">
        <v>76</v>
      </c>
      <c r="H120" s="20" t="n">
        <v>74</v>
      </c>
      <c r="I120" s="20" t="n">
        <v>74</v>
      </c>
      <c r="J120" s="20" t="n">
        <v>78</v>
      </c>
      <c r="K120" s="20" t="n">
        <v>80</v>
      </c>
      <c r="L120" s="20" t="n">
        <v>79</v>
      </c>
      <c r="M120" s="20" t="n">
        <v>78</v>
      </c>
      <c r="N120" s="20" t="n">
        <v>78</v>
      </c>
      <c r="T120" s="20" t="n">
        <v>84</v>
      </c>
      <c r="U120" s="20" t="n">
        <v>88</v>
      </c>
      <c r="V120" s="20" t="n">
        <v>74</v>
      </c>
      <c r="W120" s="20" t="n">
        <v>74</v>
      </c>
      <c r="X120" s="20" t="n">
        <v>79</v>
      </c>
    </row>
    <row r="121">
      <c r="A121" s="18" t="inlineStr">
        <is>
          <t>보조금 수입</t>
        </is>
      </c>
      <c r="C121" s="20" t="n">
        <v>0</v>
      </c>
      <c r="D121" s="20" t="n">
        <v>0</v>
      </c>
      <c r="E121" s="20" t="n">
        <v>0</v>
      </c>
      <c r="F121" s="20" t="n">
        <v>0</v>
      </c>
      <c r="G121" s="20" t="n">
        <v>0</v>
      </c>
      <c r="H121" s="20" t="n">
        <v>0</v>
      </c>
      <c r="U121" s="20" t="n">
        <v>0</v>
      </c>
      <c r="V121" s="20" t="n">
        <v>0</v>
      </c>
      <c r="W121" s="20" t="n">
        <v>0</v>
      </c>
    </row>
    <row r="122">
      <c r="A122" s="18" t="inlineStr">
        <is>
          <t>기타</t>
        </is>
      </c>
      <c r="C122" s="20" t="n">
        <v>14</v>
      </c>
      <c r="D122" s="20" t="n">
        <v>16</v>
      </c>
      <c r="E122" s="20" t="n">
        <v>7</v>
      </c>
      <c r="F122" s="20" t="n">
        <v>34</v>
      </c>
      <c r="G122" s="20" t="n">
        <v>8</v>
      </c>
      <c r="H122" s="20" t="n">
        <v>12</v>
      </c>
      <c r="I122" s="20" t="n">
        <v>40</v>
      </c>
      <c r="J122" s="20" t="n">
        <v>-24</v>
      </c>
      <c r="K122" s="20" t="n">
        <v>15</v>
      </c>
      <c r="L122" s="20" t="n">
        <v>56</v>
      </c>
      <c r="M122" s="20" t="n">
        <v>15</v>
      </c>
      <c r="N122" s="20" t="n">
        <v>5</v>
      </c>
      <c r="T122" s="20" t="n">
        <v>14</v>
      </c>
      <c r="U122" s="20" t="n">
        <v>5</v>
      </c>
      <c r="V122" s="20" t="n">
        <v>16</v>
      </c>
      <c r="W122" s="20" t="n">
        <v>12</v>
      </c>
      <c r="X122" s="20" t="n">
        <v>56</v>
      </c>
    </row>
    <row r="123">
      <c r="A123" s="18" t="inlineStr">
        <is>
          <t>영업외수익 합계</t>
        </is>
      </c>
      <c r="C123" s="20" t="n">
        <v>120</v>
      </c>
      <c r="D123" s="20" t="n">
        <v>101</v>
      </c>
      <c r="E123" s="20" t="n">
        <v>114</v>
      </c>
      <c r="F123" s="20" t="n">
        <v>115</v>
      </c>
      <c r="G123" s="20" t="n">
        <v>120</v>
      </c>
      <c r="H123" s="20" t="n">
        <v>100</v>
      </c>
      <c r="I123" s="20" t="n">
        <v>164</v>
      </c>
      <c r="J123" s="20" t="n">
        <v>68</v>
      </c>
      <c r="K123" s="20" t="n">
        <v>135</v>
      </c>
      <c r="L123" s="20" t="n">
        <v>153</v>
      </c>
      <c r="M123" s="20" t="n">
        <v>157</v>
      </c>
      <c r="N123" s="20" t="n">
        <v>246</v>
      </c>
      <c r="T123" s="20" t="n">
        <v>104</v>
      </c>
      <c r="U123" s="20" t="n">
        <v>98</v>
      </c>
      <c r="V123" s="20" t="n">
        <v>101</v>
      </c>
      <c r="W123" s="20" t="n">
        <v>100</v>
      </c>
      <c r="X123" s="20" t="n">
        <v>153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18" t="inlineStr">
        <is>
          <t>이자비용</t>
        </is>
      </c>
      <c r="C125" s="20" t="n">
        <v>6</v>
      </c>
      <c r="D125" s="20" t="n">
        <v>6</v>
      </c>
      <c r="E125" s="20" t="n">
        <v>6</v>
      </c>
      <c r="F125" s="20" t="n">
        <v>7</v>
      </c>
      <c r="G125" s="20" t="n">
        <v>3</v>
      </c>
      <c r="H125" s="20" t="n">
        <v>4</v>
      </c>
      <c r="I125" s="20" t="n">
        <v>1</v>
      </c>
      <c r="J125" s="20" t="n">
        <v>1</v>
      </c>
      <c r="K125" s="20" t="n">
        <v>4</v>
      </c>
      <c r="L125" s="20" t="n">
        <v>4</v>
      </c>
      <c r="M125" s="20" t="n">
        <v>0</v>
      </c>
      <c r="N125" s="20" t="n">
        <v>2</v>
      </c>
      <c r="T125" s="20" t="n">
        <v>3</v>
      </c>
      <c r="U125" s="20" t="n">
        <v>4</v>
      </c>
      <c r="V125" s="20" t="n">
        <v>6</v>
      </c>
      <c r="W125" s="20" t="n">
        <v>4</v>
      </c>
      <c r="X125" s="20" t="n">
        <v>4</v>
      </c>
    </row>
    <row r="126">
      <c r="A126" s="18" t="inlineStr">
        <is>
          <t>고정자산 임대 비용</t>
        </is>
      </c>
      <c r="C126" s="20" t="n">
        <v>21</v>
      </c>
      <c r="D126" s="20" t="n">
        <v>21</v>
      </c>
      <c r="E126" s="20" t="n">
        <v>15</v>
      </c>
      <c r="F126" s="20" t="n">
        <v>17</v>
      </c>
      <c r="G126" s="20" t="n">
        <v>15</v>
      </c>
      <c r="H126" s="20" t="n">
        <v>52</v>
      </c>
      <c r="I126" s="20" t="n">
        <v>14</v>
      </c>
      <c r="J126" s="20" t="n">
        <v>17</v>
      </c>
      <c r="K126" s="20" t="n">
        <v>15</v>
      </c>
      <c r="L126" s="20" t="n">
        <v>16</v>
      </c>
      <c r="M126" s="20" t="n">
        <v>15</v>
      </c>
      <c r="N126" s="20" t="n">
        <v>16</v>
      </c>
      <c r="T126" s="20" t="n">
        <v>25</v>
      </c>
      <c r="U126" s="20" t="n">
        <v>20</v>
      </c>
      <c r="V126" s="20" t="n">
        <v>21</v>
      </c>
      <c r="W126" s="20" t="n">
        <v>52</v>
      </c>
      <c r="X126" s="20" t="n">
        <v>16</v>
      </c>
    </row>
    <row r="127">
      <c r="A127" s="18" t="inlineStr">
        <is>
          <t>외환차손</t>
        </is>
      </c>
      <c r="E127" s="20" t="n">
        <v>18</v>
      </c>
      <c r="F127" s="20" t="n">
        <v>39</v>
      </c>
      <c r="I127" s="20" t="n">
        <v>0</v>
      </c>
      <c r="T127" s="20" t="n">
        <v>23</v>
      </c>
      <c r="U127" s="20" t="n">
        <v>-11</v>
      </c>
    </row>
    <row r="128">
      <c r="A128" s="18" t="inlineStr">
        <is>
          <t>유휴자산 제비용</t>
        </is>
      </c>
      <c r="I128" s="20" t="n">
        <v>7</v>
      </c>
      <c r="M128" s="20" t="n">
        <v>9</v>
      </c>
    </row>
    <row r="129">
      <c r="A129" s="18" t="inlineStr">
        <is>
          <t>커미트먼트 수수료</t>
        </is>
      </c>
      <c r="I129" s="20" t="n">
        <v>8</v>
      </c>
      <c r="M129" s="20" t="n">
        <v>8</v>
      </c>
    </row>
    <row r="130">
      <c r="A130" s="18" t="inlineStr">
        <is>
          <t>구조개혁 비용</t>
        </is>
      </c>
      <c r="E130" s="20" t="n">
        <v>0</v>
      </c>
      <c r="I130" s="20" t="n">
        <v>11</v>
      </c>
    </row>
    <row r="131">
      <c r="A131" s="18" t="inlineStr">
        <is>
          <t>기타</t>
        </is>
      </c>
      <c r="C131" s="20" t="n">
        <v>56</v>
      </c>
      <c r="D131" s="20" t="n">
        <v>-68</v>
      </c>
      <c r="E131" s="20" t="n">
        <v>18</v>
      </c>
      <c r="F131" s="20" t="n">
        <v>86</v>
      </c>
      <c r="G131" s="20" t="n">
        <v>-28</v>
      </c>
      <c r="H131" s="20" t="n">
        <v>22</v>
      </c>
      <c r="I131" s="20" t="n">
        <v>14</v>
      </c>
      <c r="J131" s="20" t="n">
        <v>51</v>
      </c>
      <c r="K131" s="20" t="n">
        <v>37</v>
      </c>
      <c r="L131" s="20" t="n">
        <v>-27</v>
      </c>
      <c r="M131" s="20" t="n">
        <v>6</v>
      </c>
      <c r="N131" s="20" t="n">
        <v>55</v>
      </c>
      <c r="T131" s="20" t="n">
        <v>-50</v>
      </c>
      <c r="U131" s="20" t="n">
        <v>-160</v>
      </c>
      <c r="V131" s="20" t="n">
        <v>-68</v>
      </c>
      <c r="W131" s="20" t="n">
        <v>22</v>
      </c>
      <c r="X131" s="20" t="n">
        <v>-27</v>
      </c>
    </row>
    <row r="132">
      <c r="A132" s="18" t="inlineStr">
        <is>
          <t>영업외비용 합계</t>
        </is>
      </c>
      <c r="C132" s="20" t="n">
        <v>62</v>
      </c>
      <c r="D132" s="20" t="n">
        <v>45</v>
      </c>
      <c r="E132" s="20" t="n">
        <v>57</v>
      </c>
      <c r="F132" s="20" t="n">
        <v>93</v>
      </c>
      <c r="G132" s="20" t="n">
        <v>-10</v>
      </c>
      <c r="H132" s="20" t="n">
        <v>110</v>
      </c>
      <c r="I132" s="20" t="n">
        <v>46</v>
      </c>
      <c r="J132" s="20" t="n">
        <v>53</v>
      </c>
      <c r="K132" s="20" t="n">
        <v>57</v>
      </c>
      <c r="L132" s="20" t="n">
        <v>151</v>
      </c>
      <c r="M132" s="20" t="n">
        <v>40</v>
      </c>
      <c r="N132" s="20" t="n">
        <v>54</v>
      </c>
      <c r="T132" s="20" t="n">
        <v>75</v>
      </c>
      <c r="U132" s="20" t="n">
        <v>30</v>
      </c>
      <c r="V132" s="20" t="n">
        <v>45</v>
      </c>
      <c r="W132" s="20" t="n">
        <v>110</v>
      </c>
      <c r="X132" s="20" t="n">
        <v>151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IF(OR(G132="",C132=""),"",IF(G132*C132&lt;=0,"",IFERROR(G132/C132-1,"")))</f>
        <v/>
      </c>
      <c r="H133" s="15">
        <f>IF(OR(H132="",D132=""),"",IF(H132*D132&lt;=0,"",IFERROR(H132/D132-1,"")))</f>
        <v/>
      </c>
      <c r="I133" s="15">
        <f>IF(OR(I132="",E132=""),"",IF(I132*E132&lt;=0,"",IFERROR(I132/E132-1,"")))</f>
        <v/>
      </c>
      <c r="J133" s="15">
        <f>IF(OR(J132="",F132=""),"",IF(J132*F132&lt;=0,"",IFERROR(J132/F132-1,"")))</f>
        <v/>
      </c>
      <c r="K133" s="15">
        <f>IF(OR(K132="",G132=""),"",IF(K132*G132&lt;=0,"",IFERROR(K132/G132-1,"")))</f>
        <v/>
      </c>
      <c r="L133" s="15">
        <f>IF(OR(L132="",H132=""),"",IF(L132*H132&lt;=0,"",IFERROR(L132/H132-1,"")))</f>
        <v/>
      </c>
      <c r="M133" s="15">
        <f>IF(OR(M132="",I132=""),"",IF(M132*I132&lt;=0,"",IFERROR(M132/I132-1,"")))</f>
        <v/>
      </c>
      <c r="N133" s="15">
        <f>IF(OR(N132="",J132=""),"",IF(N132*J132&lt;=0,"",IFERROR(N132/J132-1,"")))</f>
        <v/>
      </c>
      <c r="T133" s="15">
        <f>IF(OR(T132="",S132=""),"",IF(T132*S132&lt;=0,"",IFERROR(T132/S132-1,"")))</f>
        <v/>
      </c>
      <c r="U133" s="15">
        <f>IF(OR(U132="",T132=""),"",IF(U132*T132&lt;=0,"",IFERROR(U132/T132-1,"")))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  <c r="X133" s="15">
        <f>IF(OR(X132="",W132=""),"",IF(X132*W132&lt;=0,"",IFERROR(X132/W132-1,"")))</f>
        <v/>
      </c>
    </row>
    <row r="134">
      <c r="A134" s="9" t="inlineStr">
        <is>
          <t>경상이익</t>
        </is>
      </c>
      <c r="C134" s="12" t="n">
        <v>1141</v>
      </c>
      <c r="D134" s="12" t="n">
        <v>873</v>
      </c>
      <c r="E134" s="12" t="n">
        <v>1603</v>
      </c>
      <c r="F134" s="12" t="n">
        <v>1468</v>
      </c>
      <c r="G134" s="12" t="n">
        <v>2124</v>
      </c>
      <c r="H134" s="12" t="n">
        <v>1480</v>
      </c>
      <c r="I134" s="12" t="n">
        <v>2052</v>
      </c>
      <c r="J134" s="12" t="n">
        <v>1852</v>
      </c>
      <c r="K134" s="12" t="n">
        <v>2327</v>
      </c>
      <c r="L134" s="12" t="n">
        <v>2125</v>
      </c>
      <c r="M134" s="12" t="n">
        <v>2598</v>
      </c>
      <c r="N134" s="12" t="n">
        <v>2578</v>
      </c>
      <c r="T134" s="12" t="n">
        <v>1207</v>
      </c>
      <c r="U134" s="12" t="n">
        <v>496</v>
      </c>
      <c r="V134" s="12" t="n">
        <v>873</v>
      </c>
      <c r="W134" s="12" t="n">
        <v>1480</v>
      </c>
      <c r="X134" s="12" t="n">
        <v>2125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18" t="inlineStr">
        <is>
          <t>고정자산 매각이익</t>
        </is>
      </c>
      <c r="C136" s="20" t="n">
        <v>5</v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5</v>
      </c>
      <c r="I136" s="20" t="n">
        <v>0</v>
      </c>
      <c r="J136" s="20" t="n">
        <v>2</v>
      </c>
      <c r="K136" s="20" t="n">
        <v>22</v>
      </c>
      <c r="L136" s="20" t="n">
        <v>190</v>
      </c>
      <c r="M136" s="20" t="n">
        <v>0</v>
      </c>
      <c r="N136" s="20" t="n">
        <v>0</v>
      </c>
      <c r="T136" s="20" t="n">
        <v>0</v>
      </c>
      <c r="U136" s="20" t="n">
        <v>2</v>
      </c>
      <c r="V136" s="20" t="n">
        <v>0</v>
      </c>
      <c r="W136" s="20" t="n">
        <v>5</v>
      </c>
      <c r="X136" s="20" t="n">
        <v>190</v>
      </c>
    </row>
    <row r="137">
      <c r="A137" s="18" t="inlineStr">
        <is>
          <t>투자유가증권 매각이익</t>
        </is>
      </c>
      <c r="C137" s="20" t="n">
        <v>0</v>
      </c>
      <c r="D137" s="20" t="n">
        <v>0</v>
      </c>
      <c r="E137" s="20" t="n">
        <v>3</v>
      </c>
      <c r="F137" s="20" t="n">
        <v>13</v>
      </c>
      <c r="G137" s="20" t="n">
        <v>192</v>
      </c>
      <c r="H137" s="20" t="n">
        <v>0</v>
      </c>
      <c r="I137" s="20" t="n">
        <v>0</v>
      </c>
      <c r="J137" s="20" t="n">
        <v>0</v>
      </c>
      <c r="K137" s="20" t="n">
        <v>0</v>
      </c>
      <c r="L137" s="20" t="n">
        <v>0</v>
      </c>
      <c r="T137" s="20" t="n">
        <v>0</v>
      </c>
      <c r="U137" s="20" t="n">
        <v>0</v>
      </c>
      <c r="V137" s="20" t="n">
        <v>0</v>
      </c>
      <c r="W137" s="20" t="n">
        <v>0</v>
      </c>
      <c r="X137" s="20" t="n">
        <v>0</v>
      </c>
    </row>
    <row r="138">
      <c r="A138" s="18" t="inlineStr">
        <is>
          <t>특별이익 합계</t>
        </is>
      </c>
      <c r="C138" s="20" t="n">
        <v>4</v>
      </c>
      <c r="D138" s="20" t="n">
        <v>0</v>
      </c>
      <c r="E138" s="20" t="n">
        <v>3</v>
      </c>
      <c r="F138" s="20" t="n">
        <v>14</v>
      </c>
      <c r="G138" s="20" t="n">
        <v>192</v>
      </c>
      <c r="H138" s="20" t="n">
        <v>5</v>
      </c>
      <c r="I138" s="20" t="n">
        <v>0</v>
      </c>
      <c r="J138" s="20" t="n">
        <v>2</v>
      </c>
      <c r="K138" s="20" t="n">
        <v>22</v>
      </c>
      <c r="L138" s="20" t="n">
        <v>190</v>
      </c>
      <c r="M138" s="20" t="n">
        <v>0</v>
      </c>
      <c r="N138" s="20" t="n">
        <v>0</v>
      </c>
      <c r="T138" s="20" t="n">
        <v>0</v>
      </c>
      <c r="U138" s="20" t="n">
        <v>2</v>
      </c>
      <c r="V138" s="20" t="n">
        <v>0</v>
      </c>
      <c r="W138" s="20" t="n">
        <v>5</v>
      </c>
      <c r="X138" s="20" t="n">
        <v>190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IF(OR(G138="",C138=""),"",IF(G138*C138&lt;=0,"",IFERROR(G138/C138-1,"")))</f>
        <v/>
      </c>
      <c r="H139" s="15">
        <f>IF(OR(H138="",D138=""),"",IF(H138*D138&lt;=0,"",IFERROR(H138/D138-1,"")))</f>
        <v/>
      </c>
      <c r="I139" s="15">
        <f>IF(OR(I138="",E138=""),"",IF(I138*E138&lt;=0,"",IFERROR(I138/E138-1,"")))</f>
        <v/>
      </c>
      <c r="J139" s="15">
        <f>IF(OR(J138="",F138=""),"",IF(J138*F138&lt;=0,"",IFERROR(J138/F138-1,"")))</f>
        <v/>
      </c>
      <c r="K139" s="15">
        <f>IF(OR(K138="",G138=""),"",IF(K138*G138&lt;=0,"",IFERROR(K138/G138-1,"")))</f>
        <v/>
      </c>
      <c r="L139" s="15">
        <f>IF(OR(L138="",H138=""),"",IF(L138*H138&lt;=0,"",IFERROR(L138/H138-1,"")))</f>
        <v/>
      </c>
      <c r="M139" s="15">
        <f>IF(OR(M138="",I138=""),"",IF(M138*I138&lt;=0,"",IFERROR(M138/I138-1,"")))</f>
        <v/>
      </c>
      <c r="N139" s="15">
        <f>IF(OR(N138="",J138=""),"",IF(N138*J138&lt;=0,"",IFERROR(N138/J138-1,"")))</f>
        <v/>
      </c>
      <c r="T139" s="15">
        <f>IF(OR(T138="",S138=""),"",IF(T138*S138&lt;=0,"",IFERROR(T138/S138-1,"")))</f>
        <v/>
      </c>
      <c r="U139" s="15">
        <f>IF(OR(U138="",T138=""),"",IF(U138*T138&lt;=0,"",IFERROR(U138/T138-1,"")))</f>
        <v/>
      </c>
      <c r="V139" s="15">
        <f>IF(OR(V138="",U138=""),"",IF(V138*U138&lt;=0,"",IFERROR(V138/U138-1,"")))</f>
        <v/>
      </c>
      <c r="W139" s="15">
        <f>IF(OR(W138="",V138=""),"",IF(W138*V138&lt;=0,"",IFERROR(W138/V138-1,"")))</f>
        <v/>
      </c>
      <c r="X139" s="15">
        <f>IF(OR(X138="",W138=""),"",IF(X138*W138&lt;=0,"",IFERROR(X138/W138-1,"")))</f>
        <v/>
      </c>
    </row>
    <row r="140">
      <c r="A140" s="18" t="inlineStr">
        <is>
          <t>고정자산 처분손실</t>
        </is>
      </c>
      <c r="C140" s="20" t="n">
        <v>25</v>
      </c>
      <c r="D140" s="20" t="n">
        <v>25</v>
      </c>
      <c r="E140" s="20" t="n">
        <v>24</v>
      </c>
      <c r="F140" s="20" t="n">
        <v>14</v>
      </c>
      <c r="G140" s="20" t="n">
        <v>46</v>
      </c>
      <c r="H140" s="20" t="n">
        <v>25</v>
      </c>
      <c r="I140" s="20" t="n">
        <v>50</v>
      </c>
      <c r="J140" s="20" t="n">
        <v>31</v>
      </c>
      <c r="K140" s="20" t="n">
        <v>30</v>
      </c>
      <c r="L140" s="20" t="n">
        <v>54</v>
      </c>
      <c r="M140" s="20" t="n">
        <v>48</v>
      </c>
      <c r="N140" s="20" t="n">
        <v>65</v>
      </c>
      <c r="T140" s="20" t="n">
        <v>30</v>
      </c>
      <c r="U140" s="20" t="n">
        <v>17</v>
      </c>
      <c r="V140" s="20" t="n">
        <v>25</v>
      </c>
      <c r="W140" s="20" t="n">
        <v>25</v>
      </c>
      <c r="X140" s="20" t="n">
        <v>54</v>
      </c>
    </row>
    <row r="141">
      <c r="A141" s="18" t="inlineStr">
        <is>
          <t>손상차손</t>
        </is>
      </c>
      <c r="C141" s="20" t="n">
        <v>0</v>
      </c>
      <c r="D141" s="20" t="n">
        <v>82</v>
      </c>
      <c r="E141" s="20" t="n">
        <v>0</v>
      </c>
      <c r="F141" s="20" t="n">
        <v>0</v>
      </c>
      <c r="G141" s="20" t="n">
        <v>0</v>
      </c>
      <c r="H141" s="20" t="n">
        <v>141</v>
      </c>
      <c r="I141" s="20" t="n">
        <v>0</v>
      </c>
      <c r="J141" s="20" t="n">
        <v>0</v>
      </c>
      <c r="K141" s="20" t="n">
        <v>166</v>
      </c>
      <c r="L141" s="20" t="n">
        <v>612</v>
      </c>
      <c r="M141" s="20" t="n">
        <v>0</v>
      </c>
      <c r="N141" s="20" t="n">
        <v>142</v>
      </c>
      <c r="T141" s="20" t="n">
        <v>7</v>
      </c>
      <c r="U141" s="20" t="n">
        <v>18</v>
      </c>
      <c r="V141" s="20" t="n">
        <v>82</v>
      </c>
      <c r="W141" s="20" t="n">
        <v>141</v>
      </c>
      <c r="X141" s="20" t="n">
        <v>612</v>
      </c>
    </row>
    <row r="142">
      <c r="A142" s="18" t="inlineStr">
        <is>
          <t>기타</t>
        </is>
      </c>
      <c r="C142" s="20" t="n">
        <v>0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T142" s="20" t="n">
        <v>0</v>
      </c>
      <c r="U142" s="20" t="n">
        <v>0</v>
      </c>
      <c r="V142" s="20" t="n">
        <v>0</v>
      </c>
      <c r="W142" s="20" t="n">
        <v>0</v>
      </c>
    </row>
    <row r="143">
      <c r="A143" s="18" t="inlineStr">
        <is>
          <t>특별손실 합계</t>
        </is>
      </c>
      <c r="C143" s="20" t="n">
        <v>25</v>
      </c>
      <c r="D143" s="20" t="n">
        <v>107</v>
      </c>
      <c r="E143" s="20" t="n">
        <v>24</v>
      </c>
      <c r="F143" s="20" t="n">
        <v>14</v>
      </c>
      <c r="G143" s="20" t="n">
        <v>46</v>
      </c>
      <c r="H143" s="20" t="n">
        <v>167</v>
      </c>
      <c r="I143" s="20" t="n">
        <v>50</v>
      </c>
      <c r="J143" s="20" t="n">
        <v>31</v>
      </c>
      <c r="K143" s="20" t="n">
        <v>197</v>
      </c>
      <c r="L143" s="20" t="n">
        <v>666</v>
      </c>
      <c r="M143" s="20" t="n">
        <v>48</v>
      </c>
      <c r="N143" s="20" t="n">
        <v>207</v>
      </c>
      <c r="T143" s="20" t="n">
        <v>38</v>
      </c>
      <c r="U143" s="20" t="n">
        <v>36</v>
      </c>
      <c r="V143" s="20" t="n">
        <v>107</v>
      </c>
      <c r="W143" s="20" t="n">
        <v>167</v>
      </c>
      <c r="X143" s="20" t="n">
        <v>666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IF(OR(G143="",C143=""),"",IF(G143*C143&lt;=0,"",IFERROR(G143/C143-1,"")))</f>
        <v/>
      </c>
      <c r="H144" s="15">
        <f>IF(OR(H143="",D143=""),"",IF(H143*D143&lt;=0,"",IFERROR(H143/D143-1,"")))</f>
        <v/>
      </c>
      <c r="I144" s="15">
        <f>IF(OR(I143="",E143=""),"",IF(I143*E143&lt;=0,"",IFERROR(I143/E143-1,"")))</f>
        <v/>
      </c>
      <c r="J144" s="15">
        <f>IF(OR(J143="",F143=""),"",IF(J143*F143&lt;=0,"",IFERROR(J143/F143-1,"")))</f>
        <v/>
      </c>
      <c r="K144" s="15">
        <f>IF(OR(K143="",G143=""),"",IF(K143*G143&lt;=0,"",IFERROR(K143/G143-1,"")))</f>
        <v/>
      </c>
      <c r="L144" s="15">
        <f>IF(OR(L143="",H143=""),"",IF(L143*H143&lt;=0,"",IFERROR(L143/H143-1,"")))</f>
        <v/>
      </c>
      <c r="M144" s="15">
        <f>IF(OR(M143="",I143=""),"",IF(M143*I143&lt;=0,"",IFERROR(M143/I143-1,"")))</f>
        <v/>
      </c>
      <c r="N144" s="15">
        <f>IF(OR(N143="",J143=""),"",IF(N143*J143&lt;=0,"",IFERROR(N143/J143-1,"")))</f>
        <v/>
      </c>
      <c r="T144" s="15">
        <f>IF(OR(T143="",S143=""),"",IF(T143*S143&lt;=0,"",IFERROR(T143/S143-1,"")))</f>
        <v/>
      </c>
      <c r="U144" s="15">
        <f>IF(OR(U143="",T143=""),"",IF(U143*T143&lt;=0,"",IFERROR(U143/T143-1,"")))</f>
        <v/>
      </c>
      <c r="V144" s="15">
        <f>IF(OR(V143="",U143=""),"",IF(V143*U143&lt;=0,"",IFERROR(V143/U143-1,"")))</f>
        <v/>
      </c>
      <c r="W144" s="15">
        <f>IF(OR(W143="",V143=""),"",IF(W143*V143&lt;=0,"",IFERROR(W143/V143-1,"")))</f>
        <v/>
      </c>
      <c r="X144" s="15">
        <f>IF(OR(X143="",W143=""),"",IF(X143*W143&lt;=0,"",IFERROR(X143/W143-1,"")))</f>
        <v/>
      </c>
    </row>
    <row r="145">
      <c r="A145" s="9" t="inlineStr">
        <is>
          <t>법인세차감전 순이익</t>
        </is>
      </c>
      <c r="C145" s="12" t="n">
        <v>1120</v>
      </c>
      <c r="D145" s="12" t="n">
        <v>767</v>
      </c>
      <c r="E145" s="12" t="n">
        <v>1582</v>
      </c>
      <c r="F145" s="12" t="n">
        <v>1468</v>
      </c>
      <c r="G145" s="12" t="n">
        <v>2270</v>
      </c>
      <c r="H145" s="12" t="n">
        <v>1318</v>
      </c>
      <c r="I145" s="12" t="n">
        <v>2002</v>
      </c>
      <c r="J145" s="12" t="n">
        <v>1823</v>
      </c>
      <c r="K145" s="12" t="n">
        <v>2152</v>
      </c>
      <c r="L145" s="12" t="n">
        <v>1649</v>
      </c>
      <c r="M145" s="12" t="n">
        <v>2550</v>
      </c>
      <c r="N145" s="12" t="n">
        <v>2370</v>
      </c>
      <c r="T145" s="12" t="n">
        <v>1170</v>
      </c>
      <c r="U145" s="12" t="n">
        <v>462</v>
      </c>
      <c r="V145" s="12" t="n">
        <v>767</v>
      </c>
      <c r="W145" s="12" t="n">
        <v>1318</v>
      </c>
      <c r="X145" s="12" t="n">
        <v>1649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T146" s="15">
        <f>IF(OR(T145="",S145=""),"",IF(S145&lt;=0,"",IFERROR(T145/S145-1,"")))</f>
        <v/>
      </c>
      <c r="U146" s="15">
        <f>IF(OR(U145="",T145=""),"",IF(T145&lt;=0,"",IFERROR(U145/T145-1,"")))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18" t="inlineStr">
        <is>
          <t>법인세·주민세·사업세</t>
        </is>
      </c>
      <c r="C147" s="20" t="n">
        <v>215</v>
      </c>
      <c r="D147" s="20" t="n">
        <v>434</v>
      </c>
      <c r="E147" s="20" t="n">
        <v>374</v>
      </c>
      <c r="F147" s="20" t="n">
        <v>600</v>
      </c>
      <c r="G147" s="20" t="n">
        <v>572</v>
      </c>
      <c r="H147" s="20" t="n">
        <v>662</v>
      </c>
      <c r="I147" s="20" t="n">
        <v>303</v>
      </c>
      <c r="J147" s="20" t="n">
        <v>760</v>
      </c>
      <c r="K147" s="20" t="n">
        <v>459</v>
      </c>
      <c r="L147" s="20" t="n">
        <v>635</v>
      </c>
      <c r="M147" s="20" t="n">
        <v>591</v>
      </c>
      <c r="N147" s="20" t="n">
        <v>1044</v>
      </c>
      <c r="T147" s="20" t="n">
        <v>474</v>
      </c>
      <c r="U147" s="20" t="n">
        <v>257</v>
      </c>
      <c r="V147" s="20" t="n">
        <v>434</v>
      </c>
      <c r="W147" s="20" t="n">
        <v>662</v>
      </c>
      <c r="X147" s="20" t="n">
        <v>635</v>
      </c>
    </row>
    <row r="148">
      <c r="A148" s="18" t="inlineStr">
        <is>
          <t>법인세 조정액</t>
        </is>
      </c>
      <c r="C148" s="20" t="n">
        <v>149</v>
      </c>
      <c r="D148" s="20" t="n">
        <v>-131</v>
      </c>
      <c r="E148" s="20" t="n">
        <v>130</v>
      </c>
      <c r="F148" s="20" t="n">
        <v>-149</v>
      </c>
      <c r="G148" s="20" t="n">
        <v>148</v>
      </c>
      <c r="H148" s="20" t="n">
        <v>-176</v>
      </c>
      <c r="I148" s="20" t="n">
        <v>215</v>
      </c>
      <c r="J148" s="20" t="n">
        <v>-184</v>
      </c>
      <c r="K148" s="20" t="n">
        <v>170</v>
      </c>
      <c r="L148" s="20" t="n">
        <v>-344</v>
      </c>
      <c r="M148" s="20" t="n">
        <v>213</v>
      </c>
      <c r="N148" s="20" t="n">
        <v>-274</v>
      </c>
      <c r="T148" s="20" t="n">
        <v>-381</v>
      </c>
      <c r="U148" s="20" t="n">
        <v>-116</v>
      </c>
      <c r="V148" s="20" t="n">
        <v>-131</v>
      </c>
      <c r="W148" s="20" t="n">
        <v>-176</v>
      </c>
      <c r="X148" s="20" t="n">
        <v>-344</v>
      </c>
    </row>
    <row r="149">
      <c r="A149" s="18" t="inlineStr">
        <is>
          <t>법인세 등 합계</t>
        </is>
      </c>
      <c r="C149" s="20" t="n">
        <v>364</v>
      </c>
      <c r="D149" s="20" t="n">
        <v>302</v>
      </c>
      <c r="E149" s="20" t="n">
        <v>505</v>
      </c>
      <c r="F149" s="20" t="n">
        <v>449</v>
      </c>
      <c r="G149" s="20" t="n">
        <v>721</v>
      </c>
      <c r="H149" s="20" t="n">
        <v>486</v>
      </c>
      <c r="I149" s="20" t="n">
        <v>519</v>
      </c>
      <c r="J149" s="20" t="n">
        <v>576</v>
      </c>
      <c r="K149" s="20" t="n">
        <v>629</v>
      </c>
      <c r="L149" s="20" t="n">
        <v>289</v>
      </c>
      <c r="M149" s="20" t="n">
        <v>805</v>
      </c>
      <c r="N149" s="20" t="n">
        <v>769</v>
      </c>
      <c r="T149" s="20" t="n">
        <v>92</v>
      </c>
      <c r="U149" s="20" t="n">
        <v>140</v>
      </c>
      <c r="V149" s="20" t="n">
        <v>302</v>
      </c>
      <c r="W149" s="20" t="n">
        <v>486</v>
      </c>
      <c r="X149" s="20" t="n">
        <v>289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IF(OR(G149="",C149=""),"",IF(G149*C149&lt;=0,"",IFERROR(G149/C149-1,"")))</f>
        <v/>
      </c>
      <c r="H150" s="15">
        <f>IF(OR(H149="",D149=""),"",IF(H149*D149&lt;=0,"",IFERROR(H149/D149-1,"")))</f>
        <v/>
      </c>
      <c r="I150" s="15">
        <f>IF(OR(I149="",E149=""),"",IF(I149*E149&lt;=0,"",IFERROR(I149/E149-1,"")))</f>
        <v/>
      </c>
      <c r="J150" s="15">
        <f>IF(OR(J149="",F149=""),"",IF(J149*F149&lt;=0,"",IFERROR(J149/F149-1,"")))</f>
        <v/>
      </c>
      <c r="K150" s="15">
        <f>IF(OR(K149="",G149=""),"",IF(K149*G149&lt;=0,"",IFERROR(K149/G149-1,"")))</f>
        <v/>
      </c>
      <c r="L150" s="15">
        <f>IF(OR(L149="",H149=""),"",IF(L149*H149&lt;=0,"",IFERROR(L149/H149-1,"")))</f>
        <v/>
      </c>
      <c r="M150" s="15">
        <f>IF(OR(M149="",I149=""),"",IF(M149*I149&lt;=0,"",IFERROR(M149/I149-1,"")))</f>
        <v/>
      </c>
      <c r="N150" s="15">
        <f>IF(OR(N149="",J149=""),"",IF(N149*J149&lt;=0,"",IFERROR(N149/J149-1,"")))</f>
        <v/>
      </c>
      <c r="T150" s="15">
        <f>IF(OR(T149="",S149=""),"",IF(T149*S149&lt;=0,"",IFERROR(T149/S149-1,"")))</f>
        <v/>
      </c>
      <c r="U150" s="15">
        <f>IF(OR(U149="",T149=""),"",IF(U149*T149&lt;=0,"",IFERROR(U149/T149-1,"")))</f>
        <v/>
      </c>
      <c r="V150" s="15">
        <f>IF(OR(V149="",U149=""),"",IF(V149*U149&lt;=0,"",IFERROR(V149/U149-1,"")))</f>
        <v/>
      </c>
      <c r="W150" s="15">
        <f>IF(OR(W149="",V149=""),"",IF(W149*V149&lt;=0,"",IFERROR(W149/V149-1,"")))</f>
        <v/>
      </c>
      <c r="X150" s="15">
        <f>IF(OR(X149="",W149=""),"",IF(X149*W149&lt;=0,"",IFERROR(X149/W149-1,"")))</f>
        <v/>
      </c>
    </row>
    <row r="151">
      <c r="A151" s="9" t="inlineStr">
        <is>
          <t>순이익</t>
        </is>
      </c>
      <c r="C151" s="12" t="n">
        <v>756</v>
      </c>
      <c r="D151" s="12" t="n">
        <v>464</v>
      </c>
      <c r="E151" s="12" t="n">
        <v>1077</v>
      </c>
      <c r="F151" s="12" t="n">
        <v>1018</v>
      </c>
      <c r="G151" s="12" t="n">
        <v>1549</v>
      </c>
      <c r="H151" s="12" t="n">
        <v>833</v>
      </c>
      <c r="I151" s="12" t="n">
        <v>1482</v>
      </c>
      <c r="J151" s="12" t="n">
        <v>1248</v>
      </c>
      <c r="K151" s="12" t="n">
        <v>1523</v>
      </c>
      <c r="L151" s="12" t="n">
        <v>1359</v>
      </c>
      <c r="M151" s="12" t="n">
        <v>1744</v>
      </c>
      <c r="N151" s="12" t="n">
        <v>1602</v>
      </c>
      <c r="T151" s="12" t="n">
        <v>1078</v>
      </c>
      <c r="U151" s="12" t="n">
        <v>322</v>
      </c>
      <c r="V151" s="12" t="n">
        <v>464</v>
      </c>
      <c r="W151" s="12" t="n">
        <v>833</v>
      </c>
      <c r="X151" s="12" t="n">
        <v>1359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T152" s="15">
        <f>IF(OR(T151="",S151=""),"",IF(S151&lt;=0,"",IFERROR(T151/S151-1,"")))</f>
        <v/>
      </c>
      <c r="U152" s="15">
        <f>IF(OR(U151="",T151=""),"",IF(T151&lt;=0,"",IFERROR(U151/T151-1,"")))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9" t="inlineStr">
        <is>
          <t>비지배주주 순이익</t>
        </is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-0</v>
      </c>
      <c r="N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12" t="n">
        <v>0</v>
      </c>
    </row>
    <row r="154">
      <c r="A154" s="9" t="inlineStr">
        <is>
          <t>지배주주 순이익</t>
        </is>
      </c>
      <c r="C154" s="12" t="n">
        <v>757</v>
      </c>
      <c r="D154" s="12" t="n">
        <v>464</v>
      </c>
      <c r="E154" s="12" t="n">
        <v>1077</v>
      </c>
      <c r="F154" s="12" t="n">
        <v>1018</v>
      </c>
      <c r="G154" s="12" t="n">
        <v>1549</v>
      </c>
      <c r="H154" s="12" t="n">
        <v>833</v>
      </c>
      <c r="I154" s="12" t="n">
        <v>1482</v>
      </c>
      <c r="J154" s="12" t="n">
        <v>1248</v>
      </c>
      <c r="K154" s="12" t="n">
        <v>1523</v>
      </c>
      <c r="L154" s="12" t="n">
        <v>1359</v>
      </c>
      <c r="M154" s="12" t="n">
        <v>1744</v>
      </c>
      <c r="N154" s="12" t="n">
        <v>1602</v>
      </c>
      <c r="T154" s="12" t="n">
        <v>1078</v>
      </c>
      <c r="U154" s="12" t="n">
        <v>322</v>
      </c>
      <c r="V154" s="12" t="n">
        <v>464</v>
      </c>
      <c r="W154" s="12" t="n">
        <v>833</v>
      </c>
      <c r="X154" s="12" t="n">
        <v>1359</v>
      </c>
    </row>
    <row r="155">
      <c r="A155" s="43" t="inlineStr">
        <is>
          <t>YoY</t>
        </is>
      </c>
      <c r="B155" s="3" t="inlineStr">
        <is>
          <t>전년 같은 분기·전년 대비</t>
        </is>
      </c>
      <c r="G155" s="15">
        <f>IF(OR(G154="",C154=""),"",IF(C154&lt;=0,"",IFERROR(G154/C154-1,"")))</f>
        <v/>
      </c>
      <c r="H155" s="15">
        <f>IF(OR(H154="",D154=""),"",IF(D154&lt;=0,"",IFERROR(H154/D154-1,"")))</f>
        <v/>
      </c>
      <c r="I155" s="15">
        <f>IF(OR(I154="",E154=""),"",IF(E154&lt;=0,"",IFERROR(I154/E154-1,"")))</f>
        <v/>
      </c>
      <c r="J155" s="15">
        <f>IF(OR(J154="",F154=""),"",IF(F154&lt;=0,"",IFERROR(J154/F154-1,"")))</f>
        <v/>
      </c>
      <c r="K155" s="15">
        <f>IF(OR(K154="",G154=""),"",IF(G154&lt;=0,"",IFERROR(K154/G154-1,"")))</f>
        <v/>
      </c>
      <c r="L155" s="15">
        <f>IF(OR(L154="",H154=""),"",IF(H154&lt;=0,"",IFERROR(L154/H154-1,"")))</f>
        <v/>
      </c>
      <c r="M155" s="15">
        <f>IF(OR(M154="",I154=""),"",IF(I154&lt;=0,"",IFERROR(M154/I154-1,"")))</f>
        <v/>
      </c>
      <c r="N155" s="15">
        <f>IF(OR(N154="",J154=""),"",IF(J154&lt;=0,"",IFERROR(N154/J154-1,"")))</f>
        <v/>
      </c>
      <c r="T155" s="15">
        <f>IF(OR(T154="",S154=""),"",IF(S154&lt;=0,"",IFERROR(T154/S154-1,"")))</f>
        <v/>
      </c>
      <c r="U155" s="15">
        <f>IF(OR(U154="",T154=""),"",IF(T154&lt;=0,"",IFERROR(U154/T154-1,"")))</f>
        <v/>
      </c>
      <c r="V155" s="15">
        <f>IF(OR(V154="",U154=""),"",IF(U154&lt;=0,"",IFERROR(V154/U154-1,"")))</f>
        <v/>
      </c>
      <c r="W155" s="15">
        <f>IF(OR(W154="",V154=""),"",IF(V154&lt;=0,"",IFERROR(W154/V154-1,"")))</f>
        <v/>
      </c>
      <c r="X155" s="15">
        <f>IF(OR(X154="",W154=""),"",IF(W154&lt;=0,"",IFERROR(X154/W154-1,"")))</f>
        <v/>
      </c>
    </row>
    <row r="157">
      <c r="A157" s="16" t="inlineStr">
        <is>
          <t>포괄손익 · 전 항목</t>
        </is>
      </c>
      <c r="B157" s="42" t="inlineStr">
        <is>
          <t>분기 = 3개월 단독</t>
        </is>
      </c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</row>
    <row r="158">
      <c r="A158" s="5" t="inlineStr">
        <is>
          <t>항목</t>
        </is>
      </c>
      <c r="B158" s="5" t="inlineStr">
        <is>
          <t>참고</t>
        </is>
      </c>
      <c r="C158" s="5" t="inlineStr">
        <is>
          <t>2024.3Q</t>
        </is>
      </c>
      <c r="D158" s="5" t="inlineStr">
        <is>
          <t>2024.4Q</t>
        </is>
      </c>
      <c r="E158" s="5" t="inlineStr">
        <is>
          <t>2025.1Q</t>
        </is>
      </c>
      <c r="F158" s="5" t="inlineStr">
        <is>
          <t>2025.2Q</t>
        </is>
      </c>
      <c r="G158" s="5" t="inlineStr">
        <is>
          <t>2025.3Q</t>
        </is>
      </c>
      <c r="H158" s="5" t="inlineStr">
        <is>
          <t>2025.4Q</t>
        </is>
      </c>
      <c r="I158" s="5" t="inlineStr">
        <is>
          <t>2026.1Q</t>
        </is>
      </c>
      <c r="J158" s="5" t="inlineStr">
        <is>
          <t>2026.2Q</t>
        </is>
      </c>
      <c r="K158" s="5" t="inlineStr">
        <is>
          <t>2026.3Q</t>
        </is>
      </c>
      <c r="L158" s="5" t="inlineStr">
        <is>
          <t>2026.4Q</t>
        </is>
      </c>
      <c r="M158" s="5" t="inlineStr">
        <is>
          <t>2027.1Q</t>
        </is>
      </c>
      <c r="N158" s="5" t="inlineStr">
        <is>
          <t>2027.2Q</t>
        </is>
      </c>
      <c r="O158" s="5" t="inlineStr">
        <is>
          <t>2017</t>
        </is>
      </c>
      <c r="P158" s="5" t="inlineStr">
        <is>
          <t>2018</t>
        </is>
      </c>
      <c r="Q158" s="5" t="inlineStr">
        <is>
          <t>2019</t>
        </is>
      </c>
      <c r="R158" s="5" t="inlineStr">
        <is>
          <t>2020</t>
        </is>
      </c>
      <c r="S158" s="5" t="inlineStr">
        <is>
          <t>2021</t>
        </is>
      </c>
      <c r="T158" s="5" t="inlineStr">
        <is>
          <t>2022</t>
        </is>
      </c>
      <c r="U158" s="5" t="inlineStr">
        <is>
          <t>2023</t>
        </is>
      </c>
      <c r="V158" s="5" t="inlineStr">
        <is>
          <t>2024</t>
        </is>
      </c>
      <c r="W158" s="5" t="inlineStr">
        <is>
          <t>2025</t>
        </is>
      </c>
      <c r="X158" s="5" t="inlineStr">
        <is>
          <t>2026</t>
        </is>
      </c>
      <c r="Y158" s="5" t="inlineStr">
        <is>
          <t>2027(MW)</t>
        </is>
      </c>
      <c r="Z158" s="5" t="inlineStr">
        <is>
          <t>2028(MW)</t>
        </is>
      </c>
      <c r="AA158" s="5" t="inlineStr">
        <is>
          <t>2029(MW)</t>
        </is>
      </c>
      <c r="AB158" s="5" t="inlineStr">
        <is>
          <t>2030(MW)</t>
        </is>
      </c>
      <c r="AC158" s="5" t="inlineStr">
        <is>
          <t>2031(MW)</t>
        </is>
      </c>
    </row>
    <row r="159">
      <c r="A159" s="9" t="inlineStr">
        <is>
          <t>순이익</t>
        </is>
      </c>
      <c r="C159" s="12" t="n">
        <v>756</v>
      </c>
      <c r="D159" s="12" t="n">
        <v>464</v>
      </c>
      <c r="E159" s="12" t="n">
        <v>1077</v>
      </c>
      <c r="F159" s="12" t="n">
        <v>1018</v>
      </c>
      <c r="G159" s="12" t="n">
        <v>1549</v>
      </c>
      <c r="H159" s="12" t="n">
        <v>833</v>
      </c>
      <c r="I159" s="12" t="n">
        <v>1482</v>
      </c>
      <c r="J159" s="12" t="n">
        <v>1248</v>
      </c>
      <c r="K159" s="12" t="n">
        <v>1523</v>
      </c>
      <c r="L159" s="12" t="n">
        <v>1359</v>
      </c>
      <c r="M159" s="12" t="n">
        <v>1744</v>
      </c>
      <c r="N159" s="12" t="n">
        <v>1602</v>
      </c>
      <c r="T159" s="12" t="n">
        <v>1078</v>
      </c>
      <c r="U159" s="12" t="n">
        <v>322</v>
      </c>
      <c r="V159" s="12" t="n">
        <v>464</v>
      </c>
      <c r="W159" s="12" t="n">
        <v>833</v>
      </c>
      <c r="X159" s="12" t="n">
        <v>1359</v>
      </c>
    </row>
    <row r="160">
      <c r="A160" s="18" t="inlineStr">
        <is>
          <t>기타유가증권 평가차액</t>
        </is>
      </c>
      <c r="C160" s="20" t="n">
        <v>-93</v>
      </c>
      <c r="D160" s="20" t="n">
        <v>289</v>
      </c>
      <c r="E160" s="20" t="n">
        <v>106</v>
      </c>
      <c r="F160" s="20" t="n">
        <v>-151</v>
      </c>
      <c r="G160" s="20" t="n">
        <v>123</v>
      </c>
      <c r="H160" s="20" t="n">
        <v>46</v>
      </c>
      <c r="I160" s="20" t="n">
        <v>98</v>
      </c>
      <c r="J160" s="20" t="n">
        <v>304</v>
      </c>
      <c r="K160" s="20" t="n">
        <v>176</v>
      </c>
      <c r="L160" s="20" t="n">
        <v>64</v>
      </c>
      <c r="M160" s="20" t="n">
        <v>272</v>
      </c>
      <c r="N160" s="20" t="n">
        <v>306</v>
      </c>
      <c r="T160" s="20" t="n">
        <v>25</v>
      </c>
      <c r="U160" s="20" t="n">
        <v>-22</v>
      </c>
      <c r="V160" s="20" t="n">
        <v>289</v>
      </c>
      <c r="W160" s="20" t="n">
        <v>46</v>
      </c>
      <c r="X160" s="20" t="n">
        <v>64</v>
      </c>
    </row>
    <row r="161">
      <c r="A161" s="18" t="inlineStr">
        <is>
          <t>이연헤지손익</t>
        </is>
      </c>
      <c r="C161" s="20" t="n">
        <v>3</v>
      </c>
      <c r="D161" s="20" t="n">
        <v>-2</v>
      </c>
      <c r="E161" s="20" t="n">
        <v>7</v>
      </c>
      <c r="F161" s="20" t="n">
        <v>0</v>
      </c>
      <c r="G161" s="20" t="n">
        <v>6</v>
      </c>
      <c r="H161" s="20" t="n">
        <v>-14</v>
      </c>
      <c r="I161" s="20" t="n">
        <v>4</v>
      </c>
      <c r="J161" s="20" t="n">
        <v>-27</v>
      </c>
      <c r="K161" s="20" t="n">
        <v>38</v>
      </c>
      <c r="L161" s="20" t="n">
        <v>-10</v>
      </c>
      <c r="M161" s="20" t="n">
        <v>0</v>
      </c>
      <c r="N161" s="20" t="n">
        <v>-5</v>
      </c>
      <c r="T161" s="20" t="n">
        <v>0</v>
      </c>
      <c r="U161" s="20" t="n">
        <v>7</v>
      </c>
      <c r="V161" s="20" t="n">
        <v>-2</v>
      </c>
      <c r="W161" s="20" t="n">
        <v>-14</v>
      </c>
      <c r="X161" s="20" t="n">
        <v>-10</v>
      </c>
    </row>
    <row r="162">
      <c r="A162" s="18" t="inlineStr">
        <is>
          <t>해외사업환산조정</t>
        </is>
      </c>
      <c r="C162" s="20" t="n">
        <v>6</v>
      </c>
      <c r="D162" s="20" t="n">
        <v>5</v>
      </c>
      <c r="E162" s="20" t="n">
        <v>50</v>
      </c>
      <c r="F162" s="20" t="n">
        <v>149</v>
      </c>
      <c r="G162" s="20" t="n">
        <v>-281</v>
      </c>
      <c r="H162" s="20" t="n">
        <v>275</v>
      </c>
      <c r="I162" s="20" t="n">
        <v>-288</v>
      </c>
      <c r="J162" s="20" t="n">
        <v>292</v>
      </c>
      <c r="K162" s="20" t="n">
        <v>43</v>
      </c>
      <c r="L162" s="20" t="n">
        <v>224</v>
      </c>
      <c r="M162" s="20" t="n">
        <v>-32</v>
      </c>
      <c r="N162" s="20" t="n">
        <v>117</v>
      </c>
      <c r="T162" s="20" t="n">
        <v>82</v>
      </c>
      <c r="U162" s="20" t="n">
        <v>-73</v>
      </c>
      <c r="V162" s="20" t="n">
        <v>5</v>
      </c>
      <c r="W162" s="20" t="n">
        <v>275</v>
      </c>
      <c r="X162" s="20" t="n">
        <v>224</v>
      </c>
    </row>
    <row r="163">
      <c r="A163" s="18" t="inlineStr">
        <is>
          <t>퇴직급여 조정액</t>
        </is>
      </c>
      <c r="C163" s="20" t="n">
        <v>0</v>
      </c>
      <c r="D163" s="20" t="n">
        <v>-9</v>
      </c>
      <c r="E163" s="20" t="n">
        <v>1</v>
      </c>
      <c r="F163" s="20" t="n">
        <v>2</v>
      </c>
      <c r="G163" s="20" t="n">
        <v>1</v>
      </c>
      <c r="H163" s="20" t="n">
        <v>-8</v>
      </c>
      <c r="I163" s="20" t="n">
        <v>2</v>
      </c>
      <c r="J163" s="20" t="n">
        <v>2</v>
      </c>
      <c r="K163" s="20" t="n">
        <v>2</v>
      </c>
      <c r="L163" s="20" t="n">
        <v>-15</v>
      </c>
      <c r="M163" s="20" t="n">
        <v>3</v>
      </c>
      <c r="N163" s="20" t="n">
        <v>3</v>
      </c>
      <c r="T163" s="20" t="n">
        <v>-19</v>
      </c>
      <c r="U163" s="20" t="n">
        <v>-23</v>
      </c>
      <c r="V163" s="20" t="n">
        <v>-9</v>
      </c>
      <c r="W163" s="20" t="n">
        <v>-8</v>
      </c>
      <c r="X163" s="20" t="n">
        <v>-15</v>
      </c>
    </row>
    <row r="164">
      <c r="A164" s="18" t="inlineStr">
        <is>
          <t>기타포괄손익 합계</t>
        </is>
      </c>
      <c r="C164" s="20" t="n">
        <v>-84</v>
      </c>
      <c r="D164" s="20" t="n">
        <v>284</v>
      </c>
      <c r="E164" s="20" t="n">
        <v>166</v>
      </c>
      <c r="F164" s="20" t="n">
        <v>-1</v>
      </c>
      <c r="G164" s="20" t="n">
        <v>-152</v>
      </c>
      <c r="H164" s="20" t="n">
        <v>277</v>
      </c>
      <c r="I164" s="20" t="n">
        <v>-183</v>
      </c>
      <c r="J164" s="20" t="n">
        <v>570</v>
      </c>
      <c r="K164" s="20" t="n">
        <v>260</v>
      </c>
      <c r="L164" s="20" t="n">
        <v>262</v>
      </c>
      <c r="M164" s="20" t="n">
        <v>244</v>
      </c>
      <c r="N164" s="20" t="n">
        <v>420</v>
      </c>
      <c r="T164" s="20" t="n">
        <v>87</v>
      </c>
      <c r="U164" s="20" t="n">
        <v>-113</v>
      </c>
      <c r="V164" s="20" t="n">
        <v>284</v>
      </c>
      <c r="W164" s="20" t="n">
        <v>277</v>
      </c>
      <c r="X164" s="20" t="n">
        <v>262</v>
      </c>
    </row>
    <row r="165">
      <c r="A165" s="9" t="inlineStr">
        <is>
          <t>포괄이익</t>
        </is>
      </c>
      <c r="C165" s="12" t="n">
        <v>672</v>
      </c>
      <c r="D165" s="12" t="n">
        <v>748</v>
      </c>
      <c r="E165" s="12" t="n">
        <v>1243</v>
      </c>
      <c r="F165" s="12" t="n">
        <v>1017</v>
      </c>
      <c r="G165" s="12" t="n">
        <v>1398</v>
      </c>
      <c r="H165" s="12" t="n">
        <v>1109</v>
      </c>
      <c r="I165" s="12" t="n">
        <v>1299</v>
      </c>
      <c r="J165" s="12" t="n">
        <v>1819</v>
      </c>
      <c r="K165" s="12" t="n">
        <v>1783</v>
      </c>
      <c r="L165" s="12" t="n">
        <v>1621</v>
      </c>
      <c r="M165" s="12" t="n">
        <v>1988</v>
      </c>
      <c r="N165" s="12" t="n">
        <v>2023</v>
      </c>
      <c r="T165" s="12" t="n">
        <v>1165</v>
      </c>
      <c r="U165" s="12" t="n">
        <v>209</v>
      </c>
      <c r="V165" s="12" t="n">
        <v>748</v>
      </c>
      <c r="W165" s="12" t="n">
        <v>1109</v>
      </c>
      <c r="X165" s="12" t="n">
        <v>1621</v>
      </c>
    </row>
    <row r="166">
      <c r="A166" s="9" t="inlineStr">
        <is>
          <t>지배주주 포괄이익</t>
        </is>
      </c>
      <c r="C166" s="12" t="n">
        <v>672</v>
      </c>
      <c r="D166" s="12" t="n">
        <v>748</v>
      </c>
      <c r="E166" s="12" t="n">
        <v>1243</v>
      </c>
      <c r="F166" s="12" t="n">
        <v>1017</v>
      </c>
      <c r="G166" s="12" t="n">
        <v>1398</v>
      </c>
      <c r="H166" s="12" t="n">
        <v>1109</v>
      </c>
      <c r="I166" s="12" t="n">
        <v>1299</v>
      </c>
      <c r="J166" s="12" t="n">
        <v>1819</v>
      </c>
      <c r="K166" s="12" t="n">
        <v>1783</v>
      </c>
      <c r="L166" s="12" t="n">
        <v>1621</v>
      </c>
      <c r="M166" s="12" t="n">
        <v>1988</v>
      </c>
      <c r="N166" s="12" t="n">
        <v>2023</v>
      </c>
      <c r="T166" s="12" t="n">
        <v>1166</v>
      </c>
      <c r="U166" s="12" t="n">
        <v>209</v>
      </c>
      <c r="V166" s="12" t="n">
        <v>748</v>
      </c>
      <c r="W166" s="12" t="n">
        <v>1109</v>
      </c>
      <c r="X166" s="12" t="n">
        <v>1621</v>
      </c>
    </row>
    <row r="167">
      <c r="A167" s="9" t="inlineStr">
        <is>
          <t>비지배주주 포괄이익</t>
        </is>
      </c>
      <c r="C167" s="12" t="n">
        <v>0</v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-0</v>
      </c>
      <c r="J167" s="12" t="n">
        <v>0</v>
      </c>
      <c r="K167" s="12" t="n">
        <v>0</v>
      </c>
      <c r="L167" s="12" t="n">
        <v>0</v>
      </c>
      <c r="M167" s="12" t="n">
        <v>-0</v>
      </c>
      <c r="N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</row>
    <row r="169">
      <c r="A169" s="16" t="inlineStr">
        <is>
          <t>부문 · 전 항목</t>
        </is>
      </c>
      <c r="B169" s="42" t="inlineStr">
        <is>
          <t>부문 · 항목</t>
        </is>
      </c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</row>
    <row r="170">
      <c r="A170" s="5" t="inlineStr">
        <is>
          <t>항목</t>
        </is>
      </c>
      <c r="B170" s="5" t="inlineStr">
        <is>
          <t>참고</t>
        </is>
      </c>
      <c r="C170" s="5" t="inlineStr">
        <is>
          <t>2024.3Q</t>
        </is>
      </c>
      <c r="D170" s="5" t="inlineStr">
        <is>
          <t>2024.4Q</t>
        </is>
      </c>
      <c r="E170" s="5" t="inlineStr">
        <is>
          <t>2025.1Q</t>
        </is>
      </c>
      <c r="F170" s="5" t="inlineStr">
        <is>
          <t>2025.2Q</t>
        </is>
      </c>
      <c r="G170" s="5" t="inlineStr">
        <is>
          <t>2025.3Q</t>
        </is>
      </c>
      <c r="H170" s="5" t="inlineStr">
        <is>
          <t>2025.4Q</t>
        </is>
      </c>
      <c r="I170" s="5" t="inlineStr">
        <is>
          <t>2026.1Q</t>
        </is>
      </c>
      <c r="J170" s="5" t="inlineStr">
        <is>
          <t>2026.2Q</t>
        </is>
      </c>
      <c r="K170" s="5" t="inlineStr">
        <is>
          <t>2026.3Q</t>
        </is>
      </c>
      <c r="L170" s="5" t="inlineStr">
        <is>
          <t>2026.4Q</t>
        </is>
      </c>
      <c r="M170" s="5" t="inlineStr">
        <is>
          <t>2027.1Q</t>
        </is>
      </c>
      <c r="N170" s="5" t="inlineStr">
        <is>
          <t>2027.2Q</t>
        </is>
      </c>
      <c r="O170" s="5" t="inlineStr">
        <is>
          <t>2017</t>
        </is>
      </c>
      <c r="P170" s="5" t="inlineStr">
        <is>
          <t>2018</t>
        </is>
      </c>
      <c r="Q170" s="5" t="inlineStr">
        <is>
          <t>2019</t>
        </is>
      </c>
      <c r="R170" s="5" t="inlineStr">
        <is>
          <t>2020</t>
        </is>
      </c>
      <c r="S170" s="5" t="inlineStr">
        <is>
          <t>2021</t>
        </is>
      </c>
      <c r="T170" s="5" t="inlineStr">
        <is>
          <t>2022</t>
        </is>
      </c>
      <c r="U170" s="5" t="inlineStr">
        <is>
          <t>2023</t>
        </is>
      </c>
      <c r="V170" s="5" t="inlineStr">
        <is>
          <t>2024</t>
        </is>
      </c>
      <c r="W170" s="5" t="inlineStr">
        <is>
          <t>2025</t>
        </is>
      </c>
      <c r="X170" s="5" t="inlineStr">
        <is>
          <t>2026</t>
        </is>
      </c>
      <c r="Y170" s="5" t="inlineStr">
        <is>
          <t>2027(MW)</t>
        </is>
      </c>
      <c r="Z170" s="5" t="inlineStr">
        <is>
          <t>2028(MW)</t>
        </is>
      </c>
      <c r="AA170" s="5" t="inlineStr">
        <is>
          <t>2029(MW)</t>
        </is>
      </c>
      <c r="AB170" s="5" t="inlineStr">
        <is>
          <t>2030(MW)</t>
        </is>
      </c>
      <c r="AC170" s="5" t="inlineStr">
        <is>
          <t>2031(MW)</t>
        </is>
      </c>
    </row>
    <row r="171">
      <c r="A171" s="18" t="inlineStr">
        <is>
          <t>AbrasiveReportableSegmentsMember · 외부 고객 매출</t>
        </is>
      </c>
      <c r="C171" s="20" t="n">
        <v>3717</v>
      </c>
      <c r="D171" s="20" t="n">
        <v>3978</v>
      </c>
      <c r="G171" s="20" t="n">
        <v>5127</v>
      </c>
      <c r="H171" s="20" t="n">
        <v>4971</v>
      </c>
      <c r="K171" s="20" t="n">
        <v>5785</v>
      </c>
      <c r="L171" s="20" t="n">
        <v>6032</v>
      </c>
      <c r="V171" s="20" t="n">
        <v>3978</v>
      </c>
      <c r="W171" s="20" t="n">
        <v>4971</v>
      </c>
      <c r="X171" s="20" t="n">
        <v>6032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G172" s="15">
        <f>IF(OR(G171="",C171=""),"",IF(C171&lt;=0,"",IFERROR(G171/C171-1,"")))</f>
        <v/>
      </c>
      <c r="H172" s="15">
        <f>IF(OR(H171="",D171=""),"",IF(D171&lt;=0,"",IFERROR(H171/D171-1,"")))</f>
        <v/>
      </c>
      <c r="K172" s="15">
        <f>IF(OR(K171="",G171=""),"",IF(G171&lt;=0,"",IFERROR(K171/G171-1,"")))</f>
        <v/>
      </c>
      <c r="L172" s="15">
        <f>IF(OR(L171="",H171=""),"",IF(H171&lt;=0,"",IFERROR(L171/H171-1,"")))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ChemicalIndustryProductsReportableSegmentsMember · 외부 고객 매출</t>
        </is>
      </c>
      <c r="C173" s="20" t="n">
        <v>2981</v>
      </c>
      <c r="D173" s="20" t="n">
        <v>3152</v>
      </c>
      <c r="G173" s="20" t="n">
        <v>3269</v>
      </c>
      <c r="H173" s="20" t="n">
        <v>3385</v>
      </c>
      <c r="K173" s="20" t="n">
        <v>3491</v>
      </c>
      <c r="L173" s="20" t="n">
        <v>3410</v>
      </c>
      <c r="V173" s="20" t="n">
        <v>3152</v>
      </c>
      <c r="W173" s="20" t="n">
        <v>3385</v>
      </c>
      <c r="X173" s="20" t="n">
        <v>3410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LifestyleApparelReportableSegmentMember · 외부 고객 매출</t>
        </is>
      </c>
      <c r="C175" s="20" t="n">
        <v>1953</v>
      </c>
      <c r="D175" s="20" t="n">
        <v>1550</v>
      </c>
      <c r="E175" s="20" t="n">
        <v>1796</v>
      </c>
      <c r="F175" s="20" t="n">
        <v>1748</v>
      </c>
      <c r="G175" s="20" t="n">
        <v>1834</v>
      </c>
      <c r="H175" s="20" t="n">
        <v>1589</v>
      </c>
      <c r="I175" s="20" t="n">
        <v>1615</v>
      </c>
      <c r="J175" s="20" t="n">
        <v>1531</v>
      </c>
      <c r="K175" s="20" t="n">
        <v>1772</v>
      </c>
      <c r="L175" s="20" t="n">
        <v>1405</v>
      </c>
      <c r="M175" s="20" t="n">
        <v>1380</v>
      </c>
      <c r="N175" s="20" t="n">
        <v>1410</v>
      </c>
      <c r="V175" s="20" t="n">
        <v>1550</v>
      </c>
      <c r="W175" s="20" t="n">
        <v>1589</v>
      </c>
      <c r="X175" s="20" t="n">
        <v>1405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보고부문 합계 · 외부 고객 매출</t>
        </is>
      </c>
      <c r="C177" s="20" t="n">
        <v>8651</v>
      </c>
      <c r="D177" s="20" t="n">
        <v>8680</v>
      </c>
      <c r="E177" s="20" t="n">
        <v>9713</v>
      </c>
      <c r="F177" s="20" t="n">
        <v>9861</v>
      </c>
      <c r="G177" s="20" t="n">
        <v>10230</v>
      </c>
      <c r="H177" s="20" t="n">
        <v>9946</v>
      </c>
      <c r="I177" s="20" t="n">
        <v>10492</v>
      </c>
      <c r="J177" s="20" t="n">
        <v>10610</v>
      </c>
      <c r="K177" s="20" t="n">
        <v>11048</v>
      </c>
      <c r="L177" s="20" t="n">
        <v>10848</v>
      </c>
      <c r="M177" s="20" t="n">
        <v>12462</v>
      </c>
      <c r="N177" s="20" t="n">
        <v>13153</v>
      </c>
      <c r="V177" s="20" t="n">
        <v>8680</v>
      </c>
      <c r="W177" s="20" t="n">
        <v>9946</v>
      </c>
      <c r="X177" s="20" t="n">
        <v>10848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  <c r="X178" s="15">
        <f>IF(OR(X177="",W177=""),"",IF(W177&lt;=0,"",IFERROR(X177/W177-1,"")))</f>
        <v/>
      </c>
    </row>
    <row r="179">
      <c r="A179" s="18" t="inlineStr">
        <is>
          <t>기타 · 외부 고객 매출</t>
        </is>
      </c>
      <c r="C179" s="20" t="n">
        <v>958</v>
      </c>
      <c r="D179" s="20" t="n">
        <v>720</v>
      </c>
      <c r="E179" s="20" t="n">
        <v>667</v>
      </c>
      <c r="F179" s="20" t="n">
        <v>818</v>
      </c>
      <c r="G179" s="20" t="n">
        <v>902</v>
      </c>
      <c r="H179" s="20" t="n">
        <v>775</v>
      </c>
      <c r="I179" s="20" t="n">
        <v>760</v>
      </c>
      <c r="J179" s="20" t="n">
        <v>666</v>
      </c>
      <c r="K179" s="20" t="n">
        <v>756</v>
      </c>
      <c r="L179" s="20" t="n">
        <v>748</v>
      </c>
      <c r="M179" s="20" t="n">
        <v>709</v>
      </c>
      <c r="N179" s="20" t="n">
        <v>1030</v>
      </c>
      <c r="V179" s="20" t="n">
        <v>720</v>
      </c>
      <c r="W179" s="20" t="n">
        <v>775</v>
      </c>
      <c r="X179" s="20" t="n">
        <v>748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합계 · 외부 고객 매출</t>
        </is>
      </c>
      <c r="C181" s="20" t="n">
        <v>9609</v>
      </c>
      <c r="D181" s="20" t="n">
        <v>9401</v>
      </c>
      <c r="E181" s="20" t="n">
        <v>10381</v>
      </c>
      <c r="F181" s="20" t="n">
        <v>10679</v>
      </c>
      <c r="G181" s="20" t="n">
        <v>11132</v>
      </c>
      <c r="H181" s="20" t="n">
        <v>10720</v>
      </c>
      <c r="I181" s="20" t="n">
        <v>11253</v>
      </c>
      <c r="J181" s="20" t="n">
        <v>11275</v>
      </c>
      <c r="K181" s="20" t="n">
        <v>11805</v>
      </c>
      <c r="L181" s="20" t="n">
        <v>11596</v>
      </c>
      <c r="M181" s="20" t="n">
        <v>13172</v>
      </c>
      <c r="N181" s="20" t="n">
        <v>14182</v>
      </c>
      <c r="V181" s="20" t="n">
        <v>9401</v>
      </c>
      <c r="W181" s="20" t="n">
        <v>10720</v>
      </c>
      <c r="X181" s="20" t="n">
        <v>11596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H182" s="15">
        <f>IF(OR(H181="",D181=""),"",IF(D181&lt;=0,"",IFERROR(H181/D181-1,"")))</f>
        <v/>
      </c>
      <c r="I182" s="15">
        <f>IF(OR(I181="",E181=""),"",IF(E181&lt;=0,"",IFERROR(I181/E181-1,"")))</f>
        <v/>
      </c>
      <c r="J182" s="15">
        <f>IF(OR(J181="",F181=""),"",IF(F181&lt;=0,"",IFERROR(J181/F181-1,"")))</f>
        <v/>
      </c>
      <c r="K182" s="15">
        <f>IF(OR(K181="",G181=""),"",IF(G181&lt;=0,"",IFERROR(K181/G181-1,"")))</f>
        <v/>
      </c>
      <c r="L182" s="15">
        <f>IF(OR(L181="",H181=""),"",IF(H181&lt;=0,"",IFERROR(L181/H181-1,"")))</f>
        <v/>
      </c>
      <c r="M182" s="15">
        <f>IF(OR(M181="",I181=""),"",IF(I181&lt;=0,"",IFERROR(M181/I181-1,"")))</f>
        <v/>
      </c>
      <c r="N182" s="15">
        <f>IF(OR(N181="",J181=""),"",IF(J181&lt;=0,"",IFERROR(N181/J181-1,"")))</f>
        <v/>
      </c>
      <c r="V182" s="15">
        <f>IF(OR(V181="",U181=""),"",IF(U181&lt;=0,"",IFERROR(V181/U181-1,"")))</f>
        <v/>
      </c>
      <c r="W182" s="15">
        <f>IF(OR(W181="",V181=""),"",IF(V181&lt;=0,"",IFERROR(W181/V181-1,"")))</f>
        <v/>
      </c>
      <c r="X182" s="15">
        <f>IF(OR(X181="",W181=""),"",IF(W181&lt;=0,"",IFERROR(X181/W181-1,"")))</f>
        <v/>
      </c>
    </row>
    <row r="183">
      <c r="A183" s="18" t="inlineStr">
        <is>
          <t>조정액 · 외부 고객 매출</t>
        </is>
      </c>
      <c r="C183" s="20" t="n">
        <v>0</v>
      </c>
      <c r="D183" s="20" t="n">
        <v>0</v>
      </c>
      <c r="E183" s="20" t="n">
        <v>0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0</v>
      </c>
      <c r="K183" s="20" t="n">
        <v>0</v>
      </c>
      <c r="L183" s="20" t="n">
        <v>0</v>
      </c>
      <c r="M183" s="20" t="n">
        <v>0</v>
      </c>
      <c r="N183" s="20" t="n">
        <v>0</v>
      </c>
      <c r="V183" s="20" t="n">
        <v>0</v>
      </c>
      <c r="W183" s="20" t="n">
        <v>0</v>
      </c>
      <c r="X183" s="20" t="n">
        <v>0</v>
      </c>
    </row>
    <row r="184">
      <c r="A184" s="18" t="inlineStr">
        <is>
          <t>EntityTotalMember · 외부 고객 매출</t>
        </is>
      </c>
      <c r="E184" s="20" t="n">
        <v>10381</v>
      </c>
      <c r="I184" s="20" t="n">
        <v>11253</v>
      </c>
      <c r="M184" s="20" t="n">
        <v>13172</v>
      </c>
    </row>
    <row r="185">
      <c r="A185" s="18" t="inlineStr">
        <is>
          <t>AbrasiveReportableSegmentMember · 부문 간 내부매출·대체</t>
        </is>
      </c>
      <c r="E185" s="20" t="n">
        <v>0</v>
      </c>
      <c r="I185" s="20" t="n">
        <v>0</v>
      </c>
      <c r="M185" s="20" t="n">
        <v>0</v>
      </c>
    </row>
    <row r="186">
      <c r="A186" s="18" t="inlineStr">
        <is>
          <t>ChemicalIndustryProductsReportableSegmentMember · 부문 간 내부매출·대체</t>
        </is>
      </c>
      <c r="E186" s="20" t="n">
        <v>0</v>
      </c>
      <c r="I186" s="20" t="n">
        <v>0</v>
      </c>
      <c r="M186" s="20" t="n">
        <v>0</v>
      </c>
    </row>
    <row r="187">
      <c r="A187" s="9" t="inlineStr">
        <is>
          <t>외부 고객 매출</t>
        </is>
      </c>
      <c r="C187" s="12" t="n">
        <v>9609</v>
      </c>
      <c r="D187" s="12" t="n">
        <v>9401</v>
      </c>
      <c r="E187" s="12" t="n">
        <v>10381</v>
      </c>
      <c r="F187" s="12" t="n">
        <v>10679</v>
      </c>
      <c r="G187" s="12" t="n">
        <v>11132</v>
      </c>
      <c r="H187" s="12" t="n">
        <v>10720</v>
      </c>
      <c r="V187" s="12" t="n">
        <v>9401</v>
      </c>
      <c r="W187" s="12" t="n">
        <v>10720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</row>
    <row r="189">
      <c r="A189" s="18" t="inlineStr">
        <is>
          <t>AbrasiveReportableSegmentsMember · 부문 간 내부매출·대체</t>
        </is>
      </c>
      <c r="C189" s="20" t="n">
        <v>0</v>
      </c>
      <c r="D189" s="20" t="n">
        <v>0</v>
      </c>
      <c r="G189" s="20" t="n">
        <v>0</v>
      </c>
      <c r="H189" s="20" t="n">
        <v>1</v>
      </c>
      <c r="K189" s="20" t="n">
        <v>0</v>
      </c>
      <c r="L189" s="20" t="n">
        <v>0</v>
      </c>
      <c r="V189" s="20" t="n">
        <v>0</v>
      </c>
      <c r="W189" s="20" t="n">
        <v>1</v>
      </c>
      <c r="X189" s="20" t="n">
        <v>0</v>
      </c>
    </row>
    <row r="190">
      <c r="A190" s="18" t="inlineStr">
        <is>
          <t>ChemicalIndustryProductsReportableSegmentsMember · 부문 간 내부매출·대체</t>
        </is>
      </c>
      <c r="C190" s="20" t="n">
        <v>0</v>
      </c>
      <c r="D190" s="20" t="n">
        <v>0</v>
      </c>
      <c r="G190" s="20" t="n">
        <v>0</v>
      </c>
      <c r="H190" s="20" t="n">
        <v>0</v>
      </c>
      <c r="K190" s="20" t="n">
        <v>0</v>
      </c>
      <c r="L190" s="20" t="n">
        <v>0</v>
      </c>
      <c r="V190" s="20" t="n">
        <v>0</v>
      </c>
      <c r="W190" s="20" t="n">
        <v>0</v>
      </c>
      <c r="X190" s="20" t="n">
        <v>0</v>
      </c>
    </row>
    <row r="191">
      <c r="A191" s="18" t="inlineStr">
        <is>
          <t>LifestyleApparelReportableSegmentMember · 부문 간 내부매출·대체</t>
        </is>
      </c>
      <c r="C191" s="20" t="n">
        <v>0</v>
      </c>
      <c r="D191" s="20" t="n">
        <v>0</v>
      </c>
      <c r="E191" s="20" t="n">
        <v>0</v>
      </c>
      <c r="F191" s="20" t="n">
        <v>0</v>
      </c>
      <c r="G191" s="20" t="n">
        <v>2</v>
      </c>
      <c r="H191" s="20" t="n">
        <v>1</v>
      </c>
      <c r="I191" s="20" t="n">
        <v>1</v>
      </c>
      <c r="J191" s="20" t="n">
        <v>0</v>
      </c>
      <c r="K191" s="20" t="n">
        <v>1</v>
      </c>
      <c r="L191" s="20" t="n">
        <v>5</v>
      </c>
      <c r="M191" s="20" t="n">
        <v>0</v>
      </c>
      <c r="N191" s="20" t="n">
        <v>8</v>
      </c>
      <c r="V191" s="20" t="n">
        <v>0</v>
      </c>
      <c r="W191" s="20" t="n">
        <v>1</v>
      </c>
      <c r="X191" s="20" t="n">
        <v>5</v>
      </c>
    </row>
    <row r="192">
      <c r="A192" s="18" t="inlineStr">
        <is>
          <t>보고부문 합계 · 부문 간 내부매출·대체</t>
        </is>
      </c>
      <c r="C192" s="20" t="n">
        <v>0</v>
      </c>
      <c r="D192" s="20" t="n">
        <v>0</v>
      </c>
      <c r="E192" s="20" t="n">
        <v>0</v>
      </c>
      <c r="F192" s="20" t="n">
        <v>0</v>
      </c>
      <c r="G192" s="20" t="n">
        <v>3</v>
      </c>
      <c r="H192" s="20" t="n">
        <v>1</v>
      </c>
      <c r="I192" s="20" t="n">
        <v>1</v>
      </c>
      <c r="J192" s="20" t="n">
        <v>0</v>
      </c>
      <c r="K192" s="20" t="n">
        <v>1</v>
      </c>
      <c r="L192" s="20" t="n">
        <v>5</v>
      </c>
      <c r="M192" s="20" t="n">
        <v>0</v>
      </c>
      <c r="N192" s="20" t="n">
        <v>8</v>
      </c>
      <c r="V192" s="20" t="n">
        <v>0</v>
      </c>
      <c r="W192" s="20" t="n">
        <v>1</v>
      </c>
      <c r="X192" s="20" t="n">
        <v>5</v>
      </c>
    </row>
    <row r="193">
      <c r="A193" s="18" t="inlineStr">
        <is>
          <t>기타 · 부문 간 내부매출·대체</t>
        </is>
      </c>
      <c r="C193" s="20" t="n">
        <v>0</v>
      </c>
      <c r="D193" s="20" t="n">
        <v>0</v>
      </c>
      <c r="E193" s="20" t="n">
        <v>0</v>
      </c>
      <c r="F193" s="20" t="n">
        <v>0</v>
      </c>
      <c r="G193" s="20" t="n">
        <v>0</v>
      </c>
      <c r="H193" s="20" t="n">
        <v>0</v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0</v>
      </c>
      <c r="N193" s="20" t="n">
        <v>0</v>
      </c>
      <c r="V193" s="20" t="n">
        <v>0</v>
      </c>
      <c r="W193" s="20" t="n">
        <v>0</v>
      </c>
      <c r="X193" s="20" t="n">
        <v>0</v>
      </c>
    </row>
    <row r="194">
      <c r="A194" s="18" t="inlineStr">
        <is>
          <t>합계 · 부문 간 내부매출·대체</t>
        </is>
      </c>
      <c r="C194" s="20" t="n">
        <v>0</v>
      </c>
      <c r="D194" s="20" t="n">
        <v>0</v>
      </c>
      <c r="E194" s="20" t="n">
        <v>0</v>
      </c>
      <c r="F194" s="20" t="n">
        <v>0</v>
      </c>
      <c r="G194" s="20" t="n">
        <v>3</v>
      </c>
      <c r="H194" s="20" t="n">
        <v>1</v>
      </c>
      <c r="I194" s="20" t="n">
        <v>1</v>
      </c>
      <c r="J194" s="20" t="n">
        <v>0</v>
      </c>
      <c r="K194" s="20" t="n">
        <v>1</v>
      </c>
      <c r="L194" s="20" t="n">
        <v>5</v>
      </c>
      <c r="M194" s="20" t="n">
        <v>0</v>
      </c>
      <c r="N194" s="20" t="n">
        <v>9</v>
      </c>
      <c r="V194" s="20" t="n">
        <v>0</v>
      </c>
      <c r="W194" s="20" t="n">
        <v>1</v>
      </c>
      <c r="X194" s="20" t="n">
        <v>5</v>
      </c>
    </row>
    <row r="195">
      <c r="A195" s="18" t="inlineStr">
        <is>
          <t>조정액 · 부문 간 내부매출·대체</t>
        </is>
      </c>
      <c r="C195" s="20" t="n">
        <v>0</v>
      </c>
      <c r="D195" s="20" t="n">
        <v>0</v>
      </c>
      <c r="E195" s="20" t="n">
        <v>-0</v>
      </c>
      <c r="F195" s="20" t="n">
        <v>0</v>
      </c>
      <c r="G195" s="20" t="n">
        <v>-3</v>
      </c>
      <c r="H195" s="20" t="n">
        <v>-1</v>
      </c>
      <c r="I195" s="20" t="n">
        <v>-1</v>
      </c>
      <c r="J195" s="20" t="n">
        <v>0</v>
      </c>
      <c r="K195" s="20" t="n">
        <v>-1</v>
      </c>
      <c r="L195" s="20" t="n">
        <v>-5</v>
      </c>
      <c r="M195" s="20" t="n">
        <v>-0</v>
      </c>
      <c r="N195" s="20" t="n">
        <v>-9</v>
      </c>
      <c r="V195" s="20" t="n">
        <v>0</v>
      </c>
      <c r="W195" s="20" t="n">
        <v>-1</v>
      </c>
      <c r="X195" s="20" t="n">
        <v>-5</v>
      </c>
    </row>
    <row r="196">
      <c r="A196" s="18" t="inlineStr">
        <is>
          <t>EntityTotalMember · 부문 간 내부매출·대체</t>
        </is>
      </c>
      <c r="E196" s="20" t="n">
        <v>0</v>
      </c>
      <c r="I196" s="20" t="n">
        <v>0</v>
      </c>
      <c r="M196" s="20" t="n">
        <v>0</v>
      </c>
    </row>
    <row r="197">
      <c r="A197" s="18" t="inlineStr">
        <is>
          <t>AbrasiveReportableSegmentMember · 계</t>
        </is>
      </c>
      <c r="E197" s="20" t="n">
        <v>4620</v>
      </c>
      <c r="I197" s="20" t="n">
        <v>5240</v>
      </c>
      <c r="M197" s="20" t="n">
        <v>6499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I198" s="15">
        <f>IF(OR(I197="",E197=""),"",IF(E197&lt;=0,"",IFERROR(I197/E197-1,"")))</f>
        <v/>
      </c>
      <c r="M198" s="15">
        <f>IF(OR(M197="",I197=""),"",IF(I197&lt;=0,"",IFERROR(M197/I197-1,"")))</f>
        <v/>
      </c>
    </row>
    <row r="199">
      <c r="A199" s="18" t="inlineStr">
        <is>
          <t>ChemicalIndustryProductsReportableSegmentMember · 계</t>
        </is>
      </c>
      <c r="E199" s="20" t="n">
        <v>3296</v>
      </c>
      <c r="I199" s="20" t="n">
        <v>3636</v>
      </c>
      <c r="M199" s="20" t="n">
        <v>4582</v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I200" s="15">
        <f>IF(OR(I199="",E199=""),"",IF(E199&lt;=0,"",IFERROR(I199/E199-1,"")))</f>
        <v/>
      </c>
      <c r="M200" s="15">
        <f>IF(OR(M199="",I199=""),"",IF(I199&lt;=0,"",IFERROR(M199/I199-1,"")))</f>
        <v/>
      </c>
    </row>
    <row r="201">
      <c r="A201" s="18" t="inlineStr">
        <is>
          <t>부문 간 내부매출·대체</t>
        </is>
      </c>
      <c r="C201" s="20" t="n">
        <v>0</v>
      </c>
      <c r="D201" s="20" t="n">
        <v>0</v>
      </c>
      <c r="E201" s="20" t="n">
        <v>0</v>
      </c>
      <c r="F201" s="20" t="n">
        <v>0</v>
      </c>
      <c r="G201" s="20" t="n">
        <v>0</v>
      </c>
      <c r="H201" s="20" t="n">
        <v>0</v>
      </c>
      <c r="V201" s="20" t="n">
        <v>0</v>
      </c>
      <c r="W201" s="20" t="n">
        <v>0</v>
      </c>
    </row>
    <row r="202">
      <c r="A202" s="18" t="inlineStr">
        <is>
          <t>AbrasiveReportableSegmentsMember · 계</t>
        </is>
      </c>
      <c r="C202" s="20" t="n">
        <v>3717</v>
      </c>
      <c r="D202" s="20" t="n">
        <v>3979</v>
      </c>
      <c r="G202" s="20" t="n">
        <v>5128</v>
      </c>
      <c r="H202" s="20" t="n">
        <v>4972</v>
      </c>
      <c r="K202" s="20" t="n">
        <v>5785</v>
      </c>
      <c r="L202" s="20" t="n">
        <v>6032</v>
      </c>
      <c r="V202" s="20" t="n">
        <v>3979</v>
      </c>
      <c r="W202" s="20" t="n">
        <v>4972</v>
      </c>
      <c r="X202" s="20" t="n">
        <v>6032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H203" s="15">
        <f>IF(OR(H202="",D202=""),"",IF(D202&lt;=0,"",IFERROR(H202/D202-1,"")))</f>
        <v/>
      </c>
      <c r="K203" s="15">
        <f>IF(OR(K202="",G202=""),"",IF(G202&lt;=0,"",IFERROR(K202/G202-1,"")))</f>
        <v/>
      </c>
      <c r="L203" s="15">
        <f>IF(OR(L202="",H202=""),"",IF(H202&lt;=0,"",IFERROR(L202/H202-1,"")))</f>
        <v/>
      </c>
      <c r="V203" s="15">
        <f>IF(OR(V202="",U202=""),"",IF(U202&lt;=0,"",IFERROR(V202/U202-1,"")))</f>
        <v/>
      </c>
      <c r="W203" s="15">
        <f>IF(OR(W202="",V202=""),"",IF(V202&lt;=0,"",IFERROR(W202/V202-1,"")))</f>
        <v/>
      </c>
      <c r="X203" s="15">
        <f>IF(OR(X202="",W202=""),"",IF(W202&lt;=0,"",IFERROR(X202/W202-1,"")))</f>
        <v/>
      </c>
    </row>
    <row r="204">
      <c r="A204" s="18" t="inlineStr">
        <is>
          <t>ChemicalIndustryProductsReportableSegmentsMember · 계</t>
        </is>
      </c>
      <c r="C204" s="20" t="n">
        <v>2981</v>
      </c>
      <c r="D204" s="20" t="n">
        <v>3152</v>
      </c>
      <c r="G204" s="20" t="n">
        <v>3269</v>
      </c>
      <c r="H204" s="20" t="n">
        <v>3385</v>
      </c>
      <c r="K204" s="20" t="n">
        <v>3491</v>
      </c>
      <c r="L204" s="20" t="n">
        <v>3410</v>
      </c>
      <c r="V204" s="20" t="n">
        <v>3152</v>
      </c>
      <c r="W204" s="20" t="n">
        <v>3385</v>
      </c>
      <c r="X204" s="20" t="n">
        <v>3410</v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G205" s="15">
        <f>IF(OR(G204="",C204=""),"",IF(C204&lt;=0,"",IFERROR(G204/C204-1,"")))</f>
        <v/>
      </c>
      <c r="H205" s="15">
        <f>IF(OR(H204="",D204=""),"",IF(D204&lt;=0,"",IFERROR(H204/D204-1,"")))</f>
        <v/>
      </c>
      <c r="K205" s="15">
        <f>IF(OR(K204="",G204=""),"",IF(G204&lt;=0,"",IFERROR(K204/G204-1,"")))</f>
        <v/>
      </c>
      <c r="L205" s="15">
        <f>IF(OR(L204="",H204=""),"",IF(H204&lt;=0,"",IFERROR(L204/H204-1,"")))</f>
        <v/>
      </c>
      <c r="V205" s="15">
        <f>IF(OR(V204="",U204=""),"",IF(U204&lt;=0,"",IFERROR(V204/U204-1,"")))</f>
        <v/>
      </c>
      <c r="W205" s="15">
        <f>IF(OR(W204="",V204=""),"",IF(V204&lt;=0,"",IFERROR(W204/V204-1,"")))</f>
        <v/>
      </c>
      <c r="X205" s="15">
        <f>IF(OR(X204="",W204=""),"",IF(W204&lt;=0,"",IFERROR(X204/W204-1,"")))</f>
        <v/>
      </c>
    </row>
    <row r="206">
      <c r="A206" s="18" t="inlineStr">
        <is>
          <t>LifestyleApparelReportableSegmentMember · 계</t>
        </is>
      </c>
      <c r="C206" s="20" t="n">
        <v>1953</v>
      </c>
      <c r="D206" s="20" t="n">
        <v>1550</v>
      </c>
      <c r="E206" s="20" t="n">
        <v>1796</v>
      </c>
      <c r="F206" s="20" t="n">
        <v>1748</v>
      </c>
      <c r="G206" s="20" t="n">
        <v>1836</v>
      </c>
      <c r="H206" s="20" t="n">
        <v>1590</v>
      </c>
      <c r="I206" s="20" t="n">
        <v>1616</v>
      </c>
      <c r="J206" s="20" t="n">
        <v>1531</v>
      </c>
      <c r="K206" s="20" t="n">
        <v>1773</v>
      </c>
      <c r="L206" s="20" t="n">
        <v>1411</v>
      </c>
      <c r="M206" s="20" t="n">
        <v>1380</v>
      </c>
      <c r="N206" s="20" t="n">
        <v>1419</v>
      </c>
      <c r="V206" s="20" t="n">
        <v>1550</v>
      </c>
      <c r="W206" s="20" t="n">
        <v>1590</v>
      </c>
      <c r="X206" s="20" t="n">
        <v>1411</v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IF(OR(G206="",C206=""),"",IF(C206&lt;=0,"",IFERROR(G206/C206-1,"")))</f>
        <v/>
      </c>
      <c r="H207" s="15">
        <f>IF(OR(H206="",D206=""),"",IF(D206&lt;=0,"",IFERROR(H206/D206-1,"")))</f>
        <v/>
      </c>
      <c r="I207" s="15">
        <f>IF(OR(I206="",E206=""),"",IF(E206&lt;=0,"",IFERROR(I206/E206-1,"")))</f>
        <v/>
      </c>
      <c r="J207" s="15">
        <f>IF(OR(J206="",F206=""),"",IF(F206&lt;=0,"",IFERROR(J206/F206-1,"")))</f>
        <v/>
      </c>
      <c r="K207" s="15">
        <f>IF(OR(K206="",G206=""),"",IF(G206&lt;=0,"",IFERROR(K206/G206-1,"")))</f>
        <v/>
      </c>
      <c r="L207" s="15">
        <f>IF(OR(L206="",H206=""),"",IF(H206&lt;=0,"",IFERROR(L206/H206-1,"")))</f>
        <v/>
      </c>
      <c r="M207" s="15">
        <f>IF(OR(M206="",I206=""),"",IF(I206&lt;=0,"",IFERROR(M206/I206-1,"")))</f>
        <v/>
      </c>
      <c r="N207" s="15">
        <f>IF(OR(N206="",J206=""),"",IF(J206&lt;=0,"",IFERROR(N206/J206-1,"")))</f>
        <v/>
      </c>
      <c r="V207" s="15">
        <f>IF(OR(V206="",U206=""),"",IF(U206&lt;=0,"",IFERROR(V206/U206-1,"")))</f>
        <v/>
      </c>
      <c r="W207" s="15">
        <f>IF(OR(W206="",V206=""),"",IF(V206&lt;=0,"",IFERROR(W206/V206-1,"")))</f>
        <v/>
      </c>
      <c r="X207" s="15">
        <f>IF(OR(X206="",W206=""),"",IF(W206&lt;=0,"",IFERROR(X206/W206-1,"")))</f>
        <v/>
      </c>
    </row>
    <row r="208">
      <c r="A208" s="18" t="inlineStr">
        <is>
          <t>보고부문 합계 · 계</t>
        </is>
      </c>
      <c r="C208" s="20" t="n">
        <v>8651</v>
      </c>
      <c r="D208" s="20" t="n">
        <v>8681</v>
      </c>
      <c r="E208" s="20" t="n">
        <v>9713</v>
      </c>
      <c r="F208" s="20" t="n">
        <v>9861</v>
      </c>
      <c r="G208" s="20" t="n">
        <v>10233</v>
      </c>
      <c r="H208" s="20" t="n">
        <v>9947</v>
      </c>
      <c r="I208" s="20" t="n">
        <v>10493</v>
      </c>
      <c r="J208" s="20" t="n">
        <v>10610</v>
      </c>
      <c r="K208" s="20" t="n">
        <v>11050</v>
      </c>
      <c r="L208" s="20" t="n">
        <v>10853</v>
      </c>
      <c r="M208" s="20" t="n">
        <v>12462</v>
      </c>
      <c r="N208" s="20" t="n">
        <v>13162</v>
      </c>
      <c r="V208" s="20" t="n">
        <v>8681</v>
      </c>
      <c r="W208" s="20" t="n">
        <v>9947</v>
      </c>
      <c r="X208" s="20" t="n">
        <v>10853</v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IF(OR(G208="",C208=""),"",IF(C208&lt;=0,"",IFERROR(G208/C208-1,"")))</f>
        <v/>
      </c>
      <c r="H209" s="15">
        <f>IF(OR(H208="",D208=""),"",IF(D208&lt;=0,"",IFERROR(H208/D208-1,"")))</f>
        <v/>
      </c>
      <c r="I209" s="15">
        <f>IF(OR(I208="",E208=""),"",IF(E208&lt;=0,"",IFERROR(I208/E208-1,"")))</f>
        <v/>
      </c>
      <c r="J209" s="15">
        <f>IF(OR(J208="",F208=""),"",IF(F208&lt;=0,"",IFERROR(J208/F208-1,"")))</f>
        <v/>
      </c>
      <c r="K209" s="15">
        <f>IF(OR(K208="",G208=""),"",IF(G208&lt;=0,"",IFERROR(K208/G208-1,"")))</f>
        <v/>
      </c>
      <c r="L209" s="15">
        <f>IF(OR(L208="",H208=""),"",IF(H208&lt;=0,"",IFERROR(L208/H208-1,"")))</f>
        <v/>
      </c>
      <c r="M209" s="15">
        <f>IF(OR(M208="",I208=""),"",IF(I208&lt;=0,"",IFERROR(M208/I208-1,"")))</f>
        <v/>
      </c>
      <c r="N209" s="15">
        <f>IF(OR(N208="",J208=""),"",IF(J208&lt;=0,"",IFERROR(N208/J208-1,"")))</f>
        <v/>
      </c>
      <c r="V209" s="15">
        <f>IF(OR(V208="",U208=""),"",IF(U208&lt;=0,"",IFERROR(V208/U208-1,"")))</f>
        <v/>
      </c>
      <c r="W209" s="15">
        <f>IF(OR(W208="",V208=""),"",IF(V208&lt;=0,"",IFERROR(W208/V208-1,"")))</f>
        <v/>
      </c>
      <c r="X209" s="15">
        <f>IF(OR(X208="",W208=""),"",IF(W208&lt;=0,"",IFERROR(X208/W208-1,"")))</f>
        <v/>
      </c>
    </row>
    <row r="210">
      <c r="A210" s="18" t="inlineStr">
        <is>
          <t>기타 · 계</t>
        </is>
      </c>
      <c r="C210" s="20" t="n">
        <v>958</v>
      </c>
      <c r="D210" s="20" t="n">
        <v>720</v>
      </c>
      <c r="E210" s="20" t="n">
        <v>667</v>
      </c>
      <c r="F210" s="20" t="n">
        <v>818</v>
      </c>
      <c r="G210" s="20" t="n">
        <v>902</v>
      </c>
      <c r="H210" s="20" t="n">
        <v>775</v>
      </c>
      <c r="I210" s="20" t="n">
        <v>760</v>
      </c>
      <c r="J210" s="20" t="n">
        <v>666</v>
      </c>
      <c r="K210" s="20" t="n">
        <v>756</v>
      </c>
      <c r="L210" s="20" t="n">
        <v>749</v>
      </c>
      <c r="M210" s="20" t="n">
        <v>709</v>
      </c>
      <c r="N210" s="20" t="n">
        <v>1030</v>
      </c>
      <c r="V210" s="20" t="n">
        <v>720</v>
      </c>
      <c r="W210" s="20" t="n">
        <v>775</v>
      </c>
      <c r="X210" s="20" t="n">
        <v>749</v>
      </c>
    </row>
    <row r="211">
      <c r="A211" s="43" t="inlineStr">
        <is>
          <t>YoY</t>
        </is>
      </c>
      <c r="B211" s="3" t="inlineStr">
        <is>
          <t>전년 같은 분기·전년 대비</t>
        </is>
      </c>
      <c r="G211" s="15">
        <f>IF(OR(G210="",C210=""),"",IF(C210&lt;=0,"",IFERROR(G210/C210-1,"")))</f>
        <v/>
      </c>
      <c r="H211" s="15">
        <f>IF(OR(H210="",D210=""),"",IF(D210&lt;=0,"",IFERROR(H210/D210-1,"")))</f>
        <v/>
      </c>
      <c r="I211" s="15">
        <f>IF(OR(I210="",E210=""),"",IF(E210&lt;=0,"",IFERROR(I210/E210-1,"")))</f>
        <v/>
      </c>
      <c r="J211" s="15">
        <f>IF(OR(J210="",F210=""),"",IF(F210&lt;=0,"",IFERROR(J210/F210-1,"")))</f>
        <v/>
      </c>
      <c r="K211" s="15">
        <f>IF(OR(K210="",G210=""),"",IF(G210&lt;=0,"",IFERROR(K210/G210-1,"")))</f>
        <v/>
      </c>
      <c r="L211" s="15">
        <f>IF(OR(L210="",H210=""),"",IF(H210&lt;=0,"",IFERROR(L210/H210-1,"")))</f>
        <v/>
      </c>
      <c r="M211" s="15">
        <f>IF(OR(M210="",I210=""),"",IF(I210&lt;=0,"",IFERROR(M210/I210-1,"")))</f>
        <v/>
      </c>
      <c r="N211" s="15">
        <f>IF(OR(N210="",J210=""),"",IF(J210&lt;=0,"",IFERROR(N210/J210-1,"")))</f>
        <v/>
      </c>
      <c r="V211" s="15">
        <f>IF(OR(V210="",U210=""),"",IF(U210&lt;=0,"",IFERROR(V210/U210-1,"")))</f>
        <v/>
      </c>
      <c r="W211" s="15">
        <f>IF(OR(W210="",V210=""),"",IF(V210&lt;=0,"",IFERROR(W210/V210-1,"")))</f>
        <v/>
      </c>
      <c r="X211" s="15">
        <f>IF(OR(X210="",W210=""),"",IF(W210&lt;=0,"",IFERROR(X210/W210-1,"")))</f>
        <v/>
      </c>
    </row>
    <row r="212">
      <c r="A212" s="18" t="inlineStr">
        <is>
          <t>합계 · 계</t>
        </is>
      </c>
      <c r="C212" s="20" t="n">
        <v>9609</v>
      </c>
      <c r="D212" s="20" t="n">
        <v>9401</v>
      </c>
      <c r="E212" s="20" t="n">
        <v>10381</v>
      </c>
      <c r="F212" s="20" t="n">
        <v>10679</v>
      </c>
      <c r="G212" s="20" t="n">
        <v>11135</v>
      </c>
      <c r="H212" s="20" t="n">
        <v>10722</v>
      </c>
      <c r="I212" s="20" t="n">
        <v>11254</v>
      </c>
      <c r="J212" s="20" t="n">
        <v>11276</v>
      </c>
      <c r="K212" s="20" t="n">
        <v>11805</v>
      </c>
      <c r="L212" s="20" t="n">
        <v>11602</v>
      </c>
      <c r="M212" s="20" t="n">
        <v>13172</v>
      </c>
      <c r="N212" s="20" t="n">
        <v>14191</v>
      </c>
      <c r="V212" s="20" t="n">
        <v>9401</v>
      </c>
      <c r="W212" s="20" t="n">
        <v>10722</v>
      </c>
      <c r="X212" s="20" t="n">
        <v>11602</v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G213" s="15">
        <f>IF(OR(G212="",C212=""),"",IF(C212&lt;=0,"",IFERROR(G212/C212-1,"")))</f>
        <v/>
      </c>
      <c r="H213" s="15">
        <f>IF(OR(H212="",D212=""),"",IF(D212&lt;=0,"",IFERROR(H212/D212-1,"")))</f>
        <v/>
      </c>
      <c r="I213" s="15">
        <f>IF(OR(I212="",E212=""),"",IF(E212&lt;=0,"",IFERROR(I212/E212-1,"")))</f>
        <v/>
      </c>
      <c r="J213" s="15">
        <f>IF(OR(J212="",F212=""),"",IF(F212&lt;=0,"",IFERROR(J212/F212-1,"")))</f>
        <v/>
      </c>
      <c r="K213" s="15">
        <f>IF(OR(K212="",G212=""),"",IF(G212&lt;=0,"",IFERROR(K212/G212-1,"")))</f>
        <v/>
      </c>
      <c r="L213" s="15">
        <f>IF(OR(L212="",H212=""),"",IF(H212&lt;=0,"",IFERROR(L212/H212-1,"")))</f>
        <v/>
      </c>
      <c r="M213" s="15">
        <f>IF(OR(M212="",I212=""),"",IF(I212&lt;=0,"",IFERROR(M212/I212-1,"")))</f>
        <v/>
      </c>
      <c r="N213" s="15">
        <f>IF(OR(N212="",J212=""),"",IF(J212&lt;=0,"",IFERROR(N212/J212-1,"")))</f>
        <v/>
      </c>
      <c r="V213" s="15">
        <f>IF(OR(V212="",U212=""),"",IF(U212&lt;=0,"",IFERROR(V212/U212-1,"")))</f>
        <v/>
      </c>
      <c r="W213" s="15">
        <f>IF(OR(W212="",V212=""),"",IF(V212&lt;=0,"",IFERROR(W212/V212-1,"")))</f>
        <v/>
      </c>
      <c r="X213" s="15">
        <f>IF(OR(X212="",W212=""),"",IF(W212&lt;=0,"",IFERROR(X212/W212-1,"")))</f>
        <v/>
      </c>
    </row>
    <row r="214">
      <c r="A214" s="18" t="inlineStr">
        <is>
          <t>조정액 · 계</t>
        </is>
      </c>
      <c r="C214" s="20" t="n">
        <v>0</v>
      </c>
      <c r="D214" s="20" t="n">
        <v>0</v>
      </c>
      <c r="E214" s="20" t="n">
        <v>-0</v>
      </c>
      <c r="F214" s="20" t="n">
        <v>0</v>
      </c>
      <c r="G214" s="20" t="n">
        <v>-3</v>
      </c>
      <c r="H214" s="20" t="n">
        <v>-1</v>
      </c>
      <c r="I214" s="20" t="n">
        <v>-1</v>
      </c>
      <c r="J214" s="20" t="n">
        <v>0</v>
      </c>
      <c r="K214" s="20" t="n">
        <v>-1</v>
      </c>
      <c r="L214" s="20" t="n">
        <v>-5</v>
      </c>
      <c r="M214" s="20" t="n">
        <v>-0</v>
      </c>
      <c r="N214" s="20" t="n">
        <v>-9</v>
      </c>
      <c r="V214" s="20" t="n">
        <v>0</v>
      </c>
      <c r="W214" s="20" t="n">
        <v>-1</v>
      </c>
      <c r="X214" s="20" t="n">
        <v>-5</v>
      </c>
    </row>
    <row r="215">
      <c r="A215" s="18" t="inlineStr">
        <is>
          <t>EntityTotalMember · 계</t>
        </is>
      </c>
      <c r="E215" s="20" t="n">
        <v>10381</v>
      </c>
      <c r="I215" s="20" t="n">
        <v>11253</v>
      </c>
      <c r="M215" s="20" t="n">
        <v>13172</v>
      </c>
    </row>
    <row r="216">
      <c r="A216" s="18" t="inlineStr">
        <is>
          <t>AbrasiveReportableSegmentMember · 부문 이익(손실)</t>
        </is>
      </c>
      <c r="E216" s="20" t="n">
        <v>1147</v>
      </c>
      <c r="I216" s="20" t="n">
        <v>1479</v>
      </c>
      <c r="M216" s="20" t="n">
        <v>1997</v>
      </c>
    </row>
    <row r="217">
      <c r="A217" s="43" t="inlineStr">
        <is>
          <t>OPM</t>
        </is>
      </c>
      <c r="B217" s="3" t="inlineStr">
        <is>
          <t>영업이익 ÷ 매출</t>
        </is>
      </c>
      <c r="E217" s="15">
        <f>IF(OR(E216="",E197=""),"",IF(E197&lt;=0,"",IFERROR(E216/E197,"")))</f>
        <v/>
      </c>
      <c r="I217" s="15">
        <f>IF(OR(I216="",I197=""),"",IF(I197&lt;=0,"",IFERROR(I216/I197,"")))</f>
        <v/>
      </c>
      <c r="M217" s="15">
        <f>IF(OR(M216="",M197=""),"",IF(M197&lt;=0,"",IFERROR(M216/M197,"")))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I218" s="15">
        <f>IF(OR(I216="",E216=""),"",IF(E216&lt;=0,"",IFERROR(I216/E216-1,"")))</f>
        <v/>
      </c>
      <c r="M218" s="15">
        <f>IF(OR(M216="",I216=""),"",IF(I216&lt;=0,"",IFERROR(M216/I216-1,"")))</f>
        <v/>
      </c>
    </row>
    <row r="219">
      <c r="A219" s="18" t="inlineStr">
        <is>
          <t>ChemicalIndustryProductsReportableSegmentMember · 부문 이익(손실)</t>
        </is>
      </c>
      <c r="E219" s="20" t="n">
        <v>270</v>
      </c>
      <c r="I219" s="20" t="n">
        <v>358</v>
      </c>
      <c r="M219" s="20" t="n">
        <v>434</v>
      </c>
    </row>
    <row r="220">
      <c r="A220" s="43" t="inlineStr">
        <is>
          <t>OPM</t>
        </is>
      </c>
      <c r="B220" s="3" t="inlineStr">
        <is>
          <t>영업이익 ÷ 매출</t>
        </is>
      </c>
      <c r="E220" s="15">
        <f>IF(OR(E219="",E199=""),"",IF(E199&lt;=0,"",IFERROR(E219/E199,"")))</f>
        <v/>
      </c>
      <c r="I220" s="15">
        <f>IF(OR(I219="",I199=""),"",IF(I199&lt;=0,"",IFERROR(I219/I199,"")))</f>
        <v/>
      </c>
      <c r="M220" s="15">
        <f>IF(OR(M219="",M199=""),"",IF(M199&lt;=0,"",IFERROR(M219/M199,"")))</f>
        <v/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I221" s="15">
        <f>IF(OR(I219="",E219=""),"",IF(E219&lt;=0,"",IFERROR(I219/E219-1,"")))</f>
        <v/>
      </c>
      <c r="M221" s="15">
        <f>IF(OR(M219="",I219=""),"",IF(I219&lt;=0,"",IFERROR(M219/I219-1,"")))</f>
        <v/>
      </c>
    </row>
    <row r="222">
      <c r="A222" s="9" t="inlineStr">
        <is>
          <t>계</t>
        </is>
      </c>
      <c r="C222" s="12" t="n">
        <v>9609</v>
      </c>
      <c r="D222" s="12" t="n">
        <v>9401</v>
      </c>
      <c r="E222" s="12" t="n">
        <v>10381</v>
      </c>
      <c r="F222" s="12" t="n">
        <v>10679</v>
      </c>
      <c r="G222" s="12" t="n">
        <v>11132</v>
      </c>
      <c r="H222" s="12" t="n">
        <v>10720</v>
      </c>
      <c r="V222" s="12" t="n">
        <v>9401</v>
      </c>
      <c r="W222" s="12" t="n">
        <v>10720</v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G223" s="15">
        <f>IF(OR(G222="",C222=""),"",IF(C222&lt;=0,"",IFERROR(G222/C222-1,"")))</f>
        <v/>
      </c>
      <c r="H223" s="15">
        <f>IF(OR(H222="",D222=""),"",IF(D222&lt;=0,"",IFERROR(H222/D222-1,"")))</f>
        <v/>
      </c>
      <c r="V223" s="15">
        <f>IF(OR(V222="",U222=""),"",IF(U222&lt;=0,"",IFERROR(V222/U222-1,"")))</f>
        <v/>
      </c>
      <c r="W223" s="15">
        <f>IF(OR(W222="",V222=""),"",IF(V222&lt;=0,"",IFERROR(W222/V222-1,"")))</f>
        <v/>
      </c>
    </row>
    <row r="224">
      <c r="A224" s="18" t="inlineStr">
        <is>
          <t>AbrasiveReportableSegmentsMember · 부문 이익(손실)</t>
        </is>
      </c>
      <c r="C224" s="20" t="n">
        <v>433</v>
      </c>
      <c r="D224" s="20" t="n">
        <v>500</v>
      </c>
      <c r="G224" s="20" t="n">
        <v>1433</v>
      </c>
      <c r="H224" s="20" t="n">
        <v>1171</v>
      </c>
      <c r="K224" s="20" t="n">
        <v>1698</v>
      </c>
      <c r="L224" s="20" t="n">
        <v>1769</v>
      </c>
      <c r="V224" s="20" t="n">
        <v>500</v>
      </c>
      <c r="W224" s="20" t="n">
        <v>1171</v>
      </c>
      <c r="X224" s="20" t="n">
        <v>1769</v>
      </c>
    </row>
    <row r="225">
      <c r="A225" s="43" t="inlineStr">
        <is>
          <t>OPM</t>
        </is>
      </c>
      <c r="B225" s="3" t="inlineStr">
        <is>
          <t>영업이익 ÷ 매출</t>
        </is>
      </c>
      <c r="C225" s="15">
        <f>IF(OR(C224="",C202=""),"",IF(C202&lt;=0,"",IFERROR(C224/C202,"")))</f>
        <v/>
      </c>
      <c r="D225" s="15">
        <f>IF(OR(D224="",D202=""),"",IF(D202&lt;=0,"",IFERROR(D224/D202,"")))</f>
        <v/>
      </c>
      <c r="G225" s="15">
        <f>IF(OR(G224="",G202=""),"",IF(G202&lt;=0,"",IFERROR(G224/G202,"")))</f>
        <v/>
      </c>
      <c r="H225" s="15">
        <f>IF(OR(H224="",H202=""),"",IF(H202&lt;=0,"",IFERROR(H224/H202,"")))</f>
        <v/>
      </c>
      <c r="K225" s="15">
        <f>IF(OR(K224="",K202=""),"",IF(K202&lt;=0,"",IFERROR(K224/K202,"")))</f>
        <v/>
      </c>
      <c r="L225" s="15">
        <f>IF(OR(L224="",L202=""),"",IF(L202&lt;=0,"",IFERROR(L224/L202,"")))</f>
        <v/>
      </c>
      <c r="V225" s="15">
        <f>IF(OR(V224="",V202=""),"",IF(V202&lt;=0,"",IFERROR(V224/V202,"")))</f>
        <v/>
      </c>
      <c r="W225" s="15">
        <f>IF(OR(W224="",W202=""),"",IF(W202&lt;=0,"",IFERROR(W224/W202,"")))</f>
        <v/>
      </c>
      <c r="X225" s="15">
        <f>IF(OR(X224="",X202=""),"",IF(X202&lt;=0,"",IFERROR(X224/X202,"")))</f>
        <v/>
      </c>
    </row>
    <row r="226">
      <c r="A226" s="43" t="inlineStr">
        <is>
          <t>YoY</t>
        </is>
      </c>
      <c r="B226" s="3" t="inlineStr">
        <is>
          <t>전년 같은 분기·전년 대비</t>
        </is>
      </c>
      <c r="G226" s="15">
        <f>IF(OR(G224="",C224=""),"",IF(C224&lt;=0,"",IFERROR(G224/C224-1,"")))</f>
        <v/>
      </c>
      <c r="H226" s="15">
        <f>IF(OR(H224="",D224=""),"",IF(D224&lt;=0,"",IFERROR(H224/D224-1,"")))</f>
        <v/>
      </c>
      <c r="K226" s="15">
        <f>IF(OR(K224="",G224=""),"",IF(G224&lt;=0,"",IFERROR(K224/G224-1,"")))</f>
        <v/>
      </c>
      <c r="L226" s="15">
        <f>IF(OR(L224="",H224=""),"",IF(H224&lt;=0,"",IFERROR(L224/H224-1,"")))</f>
        <v/>
      </c>
      <c r="V226" s="15">
        <f>IF(OR(V224="",U224=""),"",IF(U224&lt;=0,"",IFERROR(V224/U224-1,"")))</f>
        <v/>
      </c>
      <c r="W226" s="15">
        <f>IF(OR(W224="",V224=""),"",IF(V224&lt;=0,"",IFERROR(W224/V224-1,"")))</f>
        <v/>
      </c>
      <c r="X226" s="15">
        <f>IF(OR(X224="",W224=""),"",IF(W224&lt;=0,"",IFERROR(X224/W224-1,"")))</f>
        <v/>
      </c>
    </row>
    <row r="227">
      <c r="A227" s="18" t="inlineStr">
        <is>
          <t>ChemicalIndustryProductsReportableSegmentsMember · 부문 이익(손실)</t>
        </is>
      </c>
      <c r="C227" s="20" t="n">
        <v>305</v>
      </c>
      <c r="D227" s="20" t="n">
        <v>241</v>
      </c>
      <c r="G227" s="20" t="n">
        <v>349</v>
      </c>
      <c r="H227" s="20" t="n">
        <v>273</v>
      </c>
      <c r="K227" s="20" t="n">
        <v>379</v>
      </c>
      <c r="L227" s="20" t="n">
        <v>312</v>
      </c>
      <c r="V227" s="20" t="n">
        <v>241</v>
      </c>
      <c r="W227" s="20" t="n">
        <v>273</v>
      </c>
      <c r="X227" s="20" t="n">
        <v>312</v>
      </c>
    </row>
    <row r="228">
      <c r="A228" s="43" t="inlineStr">
        <is>
          <t>OPM</t>
        </is>
      </c>
      <c r="B228" s="3" t="inlineStr">
        <is>
          <t>영업이익 ÷ 매출</t>
        </is>
      </c>
      <c r="C228" s="15">
        <f>IF(OR(C227="",C204=""),"",IF(C204&lt;=0,"",IFERROR(C227/C204,"")))</f>
        <v/>
      </c>
      <c r="D228" s="15">
        <f>IF(OR(D227="",D204=""),"",IF(D204&lt;=0,"",IFERROR(D227/D204,"")))</f>
        <v/>
      </c>
      <c r="G228" s="15">
        <f>IF(OR(G227="",G204=""),"",IF(G204&lt;=0,"",IFERROR(G227/G204,"")))</f>
        <v/>
      </c>
      <c r="H228" s="15">
        <f>IF(OR(H227="",H204=""),"",IF(H204&lt;=0,"",IFERROR(H227/H204,"")))</f>
        <v/>
      </c>
      <c r="K228" s="15">
        <f>IF(OR(K227="",K204=""),"",IF(K204&lt;=0,"",IFERROR(K227/K204,"")))</f>
        <v/>
      </c>
      <c r="L228" s="15">
        <f>IF(OR(L227="",L204=""),"",IF(L204&lt;=0,"",IFERROR(L227/L204,"")))</f>
        <v/>
      </c>
      <c r="V228" s="15">
        <f>IF(OR(V227="",V204=""),"",IF(V204&lt;=0,"",IFERROR(V227/V204,"")))</f>
        <v/>
      </c>
      <c r="W228" s="15">
        <f>IF(OR(W227="",W204=""),"",IF(W204&lt;=0,"",IFERROR(W227/W204,"")))</f>
        <v/>
      </c>
      <c r="X228" s="15">
        <f>IF(OR(X227="",X204=""),"",IF(X204&lt;=0,"",IFERROR(X227/X204,"")))</f>
        <v/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G229" s="15">
        <f>IF(OR(G227="",C227=""),"",IF(C227&lt;=0,"",IFERROR(G227/C227-1,"")))</f>
        <v/>
      </c>
      <c r="H229" s="15">
        <f>IF(OR(H227="",D227=""),"",IF(D227&lt;=0,"",IFERROR(H227/D227-1,"")))</f>
        <v/>
      </c>
      <c r="K229" s="15">
        <f>IF(OR(K227="",G227=""),"",IF(G227&lt;=0,"",IFERROR(K227/G227-1,"")))</f>
        <v/>
      </c>
      <c r="L229" s="15">
        <f>IF(OR(L227="",H227=""),"",IF(H227&lt;=0,"",IFERROR(L227/H227-1,"")))</f>
        <v/>
      </c>
      <c r="V229" s="15">
        <f>IF(OR(V227="",U227=""),"",IF(U227&lt;=0,"",IFERROR(V227/U227-1,"")))</f>
        <v/>
      </c>
      <c r="W229" s="15">
        <f>IF(OR(W227="",V227=""),"",IF(V227&lt;=0,"",IFERROR(W227/V227-1,"")))</f>
        <v/>
      </c>
      <c r="X229" s="15">
        <f>IF(OR(X227="",W227=""),"",IF(W227&lt;=0,"",IFERROR(X227/W227-1,"")))</f>
        <v/>
      </c>
    </row>
    <row r="230">
      <c r="A230" s="18" t="inlineStr">
        <is>
          <t>LifestyleApparelReportableSegmentMember · 부문 이익(손실)</t>
        </is>
      </c>
      <c r="C230" s="20" t="n">
        <v>270</v>
      </c>
      <c r="D230" s="20" t="n">
        <v>128</v>
      </c>
      <c r="E230" s="20" t="n">
        <v>184</v>
      </c>
      <c r="F230" s="20" t="n">
        <v>137</v>
      </c>
      <c r="G230" s="20" t="n">
        <v>188</v>
      </c>
      <c r="H230" s="20" t="n">
        <v>77</v>
      </c>
      <c r="I230" s="20" t="n">
        <v>123</v>
      </c>
      <c r="J230" s="20" t="n">
        <v>100</v>
      </c>
      <c r="K230" s="20" t="n">
        <v>177</v>
      </c>
      <c r="L230" s="20" t="n">
        <v>38</v>
      </c>
      <c r="M230" s="20" t="n">
        <v>45</v>
      </c>
      <c r="N230" s="20" t="n">
        <v>62</v>
      </c>
      <c r="V230" s="20" t="n">
        <v>128</v>
      </c>
      <c r="W230" s="20" t="n">
        <v>77</v>
      </c>
      <c r="X230" s="20" t="n">
        <v>38</v>
      </c>
    </row>
    <row r="231">
      <c r="A231" s="43" t="inlineStr">
        <is>
          <t>OPM</t>
        </is>
      </c>
      <c r="B231" s="3" t="inlineStr">
        <is>
          <t>영업이익 ÷ 매출</t>
        </is>
      </c>
      <c r="C231" s="15">
        <f>IF(OR(C230="",C206=""),"",IF(C206&lt;=0,"",IFERROR(C230/C206,"")))</f>
        <v/>
      </c>
      <c r="D231" s="15">
        <f>IF(OR(D230="",D206=""),"",IF(D206&lt;=0,"",IFERROR(D230/D206,"")))</f>
        <v/>
      </c>
      <c r="E231" s="15">
        <f>IF(OR(E230="",E206=""),"",IF(E206&lt;=0,"",IFERROR(E230/E206,"")))</f>
        <v/>
      </c>
      <c r="F231" s="15">
        <f>IF(OR(F230="",F206=""),"",IF(F206&lt;=0,"",IFERROR(F230/F206,"")))</f>
        <v/>
      </c>
      <c r="G231" s="15">
        <f>IF(OR(G230="",G206=""),"",IF(G206&lt;=0,"",IFERROR(G230/G206,"")))</f>
        <v/>
      </c>
      <c r="H231" s="15">
        <f>IF(OR(H230="",H206=""),"",IF(H206&lt;=0,"",IFERROR(H230/H206,"")))</f>
        <v/>
      </c>
      <c r="I231" s="15">
        <f>IF(OR(I230="",I206=""),"",IF(I206&lt;=0,"",IFERROR(I230/I206,"")))</f>
        <v/>
      </c>
      <c r="J231" s="15">
        <f>IF(OR(J230="",J206=""),"",IF(J206&lt;=0,"",IFERROR(J230/J206,"")))</f>
        <v/>
      </c>
      <c r="K231" s="15">
        <f>IF(OR(K230="",K206=""),"",IF(K206&lt;=0,"",IFERROR(K230/K206,"")))</f>
        <v/>
      </c>
      <c r="L231" s="15">
        <f>IF(OR(L230="",L206=""),"",IF(L206&lt;=0,"",IFERROR(L230/L206,"")))</f>
        <v/>
      </c>
      <c r="M231" s="15">
        <f>IF(OR(M230="",M206=""),"",IF(M206&lt;=0,"",IFERROR(M230/M206,"")))</f>
        <v/>
      </c>
      <c r="N231" s="15">
        <f>IF(OR(N230="",N206=""),"",IF(N206&lt;=0,"",IFERROR(N230/N206,"")))</f>
        <v/>
      </c>
      <c r="V231" s="15">
        <f>IF(OR(V230="",V206=""),"",IF(V206&lt;=0,"",IFERROR(V230/V206,"")))</f>
        <v/>
      </c>
      <c r="W231" s="15">
        <f>IF(OR(W230="",W206=""),"",IF(W206&lt;=0,"",IFERROR(W230/W206,"")))</f>
        <v/>
      </c>
      <c r="X231" s="15">
        <f>IF(OR(X230="",X206=""),"",IF(X206&lt;=0,"",IFERROR(X230/X206,"")))</f>
        <v/>
      </c>
    </row>
    <row r="232">
      <c r="A232" s="43" t="inlineStr">
        <is>
          <t>YoY</t>
        </is>
      </c>
      <c r="B232" s="3" t="inlineStr">
        <is>
          <t>전년 같은 분기·전년 대비</t>
        </is>
      </c>
      <c r="G232" s="15">
        <f>IF(OR(G230="",C230=""),"",IF(C230&lt;=0,"",IFERROR(G230/C230-1,"")))</f>
        <v/>
      </c>
      <c r="H232" s="15">
        <f>IF(OR(H230="",D230=""),"",IF(D230&lt;=0,"",IFERROR(H230/D230-1,"")))</f>
        <v/>
      </c>
      <c r="I232" s="15">
        <f>IF(OR(I230="",E230=""),"",IF(E230&lt;=0,"",IFERROR(I230/E230-1,"")))</f>
        <v/>
      </c>
      <c r="J232" s="15">
        <f>IF(OR(J230="",F230=""),"",IF(F230&lt;=0,"",IFERROR(J230/F230-1,"")))</f>
        <v/>
      </c>
      <c r="K232" s="15">
        <f>IF(OR(K230="",G230=""),"",IF(G230&lt;=0,"",IFERROR(K230/G230-1,"")))</f>
        <v/>
      </c>
      <c r="L232" s="15">
        <f>IF(OR(L230="",H230=""),"",IF(H230&lt;=0,"",IFERROR(L230/H230-1,"")))</f>
        <v/>
      </c>
      <c r="M232" s="15">
        <f>IF(OR(M230="",I230=""),"",IF(I230&lt;=0,"",IFERROR(M230/I230-1,"")))</f>
        <v/>
      </c>
      <c r="N232" s="15">
        <f>IF(OR(N230="",J230=""),"",IF(J230&lt;=0,"",IFERROR(N230/J230-1,"")))</f>
        <v/>
      </c>
      <c r="V232" s="15">
        <f>IF(OR(V230="",U230=""),"",IF(U230&lt;=0,"",IFERROR(V230/U230-1,"")))</f>
        <v/>
      </c>
      <c r="W232" s="15">
        <f>IF(OR(W230="",V230=""),"",IF(V230&lt;=0,"",IFERROR(W230/V230-1,"")))</f>
        <v/>
      </c>
      <c r="X232" s="15">
        <f>IF(OR(X230="",W230=""),"",IF(W230&lt;=0,"",IFERROR(X230/W230-1,"")))</f>
        <v/>
      </c>
    </row>
    <row r="233">
      <c r="A233" s="18" t="inlineStr">
        <is>
          <t>보고부문 합계 · 부문 이익(손실)</t>
        </is>
      </c>
      <c r="C233" s="20" t="n">
        <v>1009</v>
      </c>
      <c r="D233" s="20" t="n">
        <v>869</v>
      </c>
      <c r="E233" s="20" t="n">
        <v>1602</v>
      </c>
      <c r="F233" s="20" t="n">
        <v>1440</v>
      </c>
      <c r="G233" s="20" t="n">
        <v>1970</v>
      </c>
      <c r="H233" s="20" t="n">
        <v>1522</v>
      </c>
      <c r="I233" s="20" t="n">
        <v>1962</v>
      </c>
      <c r="J233" s="20" t="n">
        <v>1907</v>
      </c>
      <c r="K233" s="20" t="n">
        <v>2253</v>
      </c>
      <c r="L233" s="20" t="n">
        <v>2119</v>
      </c>
      <c r="M233" s="20" t="n">
        <v>2477</v>
      </c>
      <c r="N233" s="20" t="n">
        <v>2302</v>
      </c>
      <c r="V233" s="20" t="n">
        <v>869</v>
      </c>
      <c r="W233" s="20" t="n">
        <v>1522</v>
      </c>
      <c r="X233" s="20" t="n">
        <v>2119</v>
      </c>
    </row>
    <row r="234">
      <c r="A234" s="43" t="inlineStr">
        <is>
          <t>OPM</t>
        </is>
      </c>
      <c r="B234" s="3" t="inlineStr">
        <is>
          <t>영업이익 ÷ 매출</t>
        </is>
      </c>
      <c r="C234" s="15">
        <f>IF(OR(C233="",C208=""),"",IF(C208&lt;=0,"",IFERROR(C233/C208,"")))</f>
        <v/>
      </c>
      <c r="D234" s="15">
        <f>IF(OR(D233="",D208=""),"",IF(D208&lt;=0,"",IFERROR(D233/D208,"")))</f>
        <v/>
      </c>
      <c r="E234" s="15">
        <f>IF(OR(E233="",E208=""),"",IF(E208&lt;=0,"",IFERROR(E233/E208,"")))</f>
        <v/>
      </c>
      <c r="F234" s="15">
        <f>IF(OR(F233="",F208=""),"",IF(F208&lt;=0,"",IFERROR(F233/F208,"")))</f>
        <v/>
      </c>
      <c r="G234" s="15">
        <f>IF(OR(G233="",G208=""),"",IF(G208&lt;=0,"",IFERROR(G233/G208,"")))</f>
        <v/>
      </c>
      <c r="H234" s="15">
        <f>IF(OR(H233="",H208=""),"",IF(H208&lt;=0,"",IFERROR(H233/H208,"")))</f>
        <v/>
      </c>
      <c r="I234" s="15">
        <f>IF(OR(I233="",I208=""),"",IF(I208&lt;=0,"",IFERROR(I233/I208,"")))</f>
        <v/>
      </c>
      <c r="J234" s="15">
        <f>IF(OR(J233="",J208=""),"",IF(J208&lt;=0,"",IFERROR(J233/J208,"")))</f>
        <v/>
      </c>
      <c r="K234" s="15">
        <f>IF(OR(K233="",K208=""),"",IF(K208&lt;=0,"",IFERROR(K233/K208,"")))</f>
        <v/>
      </c>
      <c r="L234" s="15">
        <f>IF(OR(L233="",L208=""),"",IF(L208&lt;=0,"",IFERROR(L233/L208,"")))</f>
        <v/>
      </c>
      <c r="M234" s="15">
        <f>IF(OR(M233="",M208=""),"",IF(M208&lt;=0,"",IFERROR(M233/M208,"")))</f>
        <v/>
      </c>
      <c r="N234" s="15">
        <f>IF(OR(N233="",N208=""),"",IF(N208&lt;=0,"",IFERROR(N233/N208,"")))</f>
        <v/>
      </c>
      <c r="V234" s="15">
        <f>IF(OR(V233="",V208=""),"",IF(V208&lt;=0,"",IFERROR(V233/V208,"")))</f>
        <v/>
      </c>
      <c r="W234" s="15">
        <f>IF(OR(W233="",W208=""),"",IF(W208&lt;=0,"",IFERROR(W233/W208,"")))</f>
        <v/>
      </c>
      <c r="X234" s="15">
        <f>IF(OR(X233="",X208=""),"",IF(X208&lt;=0,"",IFERROR(X233/X208,"")))</f>
        <v/>
      </c>
    </row>
    <row r="235">
      <c r="A235" s="43" t="inlineStr">
        <is>
          <t>YoY</t>
        </is>
      </c>
      <c r="B235" s="3" t="inlineStr">
        <is>
          <t>전년 같은 분기·전년 대비</t>
        </is>
      </c>
      <c r="G235" s="15">
        <f>IF(OR(G233="",C233=""),"",IF(C233&lt;=0,"",IFERROR(G233/C233-1,"")))</f>
        <v/>
      </c>
      <c r="H235" s="15">
        <f>IF(OR(H233="",D233=""),"",IF(D233&lt;=0,"",IFERROR(H233/D233-1,"")))</f>
        <v/>
      </c>
      <c r="I235" s="15">
        <f>IF(OR(I233="",E233=""),"",IF(E233&lt;=0,"",IFERROR(I233/E233-1,"")))</f>
        <v/>
      </c>
      <c r="J235" s="15">
        <f>IF(OR(J233="",F233=""),"",IF(F233&lt;=0,"",IFERROR(J233/F233-1,"")))</f>
        <v/>
      </c>
      <c r="K235" s="15">
        <f>IF(OR(K233="",G233=""),"",IF(G233&lt;=0,"",IFERROR(K233/G233-1,"")))</f>
        <v/>
      </c>
      <c r="L235" s="15">
        <f>IF(OR(L233="",H233=""),"",IF(H233&lt;=0,"",IFERROR(L233/H233-1,"")))</f>
        <v/>
      </c>
      <c r="M235" s="15">
        <f>IF(OR(M233="",I233=""),"",IF(I233&lt;=0,"",IFERROR(M233/I233-1,"")))</f>
        <v/>
      </c>
      <c r="N235" s="15">
        <f>IF(OR(N233="",J233=""),"",IF(J233&lt;=0,"",IFERROR(N233/J233-1,"")))</f>
        <v/>
      </c>
      <c r="V235" s="15">
        <f>IF(OR(V233="",U233=""),"",IF(U233&lt;=0,"",IFERROR(V233/U233-1,"")))</f>
        <v/>
      </c>
      <c r="W235" s="15">
        <f>IF(OR(W233="",V233=""),"",IF(V233&lt;=0,"",IFERROR(W233/V233-1,"")))</f>
        <v/>
      </c>
      <c r="X235" s="15">
        <f>IF(OR(X233="",W233=""),"",IF(W233&lt;=0,"",IFERROR(X233/W233-1,"")))</f>
        <v/>
      </c>
    </row>
    <row r="236">
      <c r="A236" s="18" t="inlineStr">
        <is>
          <t>기타 · 부문 이익(손실)</t>
        </is>
      </c>
      <c r="C236" s="20" t="n">
        <v>75</v>
      </c>
      <c r="D236" s="20" t="n">
        <v>-52</v>
      </c>
      <c r="E236" s="20" t="n">
        <v>-56</v>
      </c>
      <c r="F236" s="20" t="n">
        <v>6</v>
      </c>
      <c r="G236" s="20" t="n">
        <v>26</v>
      </c>
      <c r="H236" s="20" t="n">
        <v>-33</v>
      </c>
      <c r="I236" s="20" t="n">
        <v>-26</v>
      </c>
      <c r="J236" s="20" t="n">
        <v>-71</v>
      </c>
      <c r="K236" s="20" t="n">
        <v>-5</v>
      </c>
      <c r="L236" s="20" t="n">
        <v>4</v>
      </c>
      <c r="M236" s="20" t="n">
        <v>3</v>
      </c>
      <c r="N236" s="20" t="n">
        <v>84</v>
      </c>
      <c r="V236" s="20" t="n">
        <v>-52</v>
      </c>
      <c r="W236" s="20" t="n">
        <v>-33</v>
      </c>
      <c r="X236" s="20" t="n">
        <v>4</v>
      </c>
    </row>
    <row r="237">
      <c r="A237" s="43" t="inlineStr">
        <is>
          <t>OPM</t>
        </is>
      </c>
      <c r="B237" s="3" t="inlineStr">
        <is>
          <t>영업이익 ÷ 매출</t>
        </is>
      </c>
      <c r="C237" s="15">
        <f>IF(OR(C236="",C210=""),"",IF(C210&lt;=0,"",IFERROR(C236/C210,"")))</f>
        <v/>
      </c>
      <c r="D237" s="15">
        <f>IF(OR(D236="",D210=""),"",IF(D210&lt;=0,"",IFERROR(D236/D210,"")))</f>
        <v/>
      </c>
      <c r="E237" s="15">
        <f>IF(OR(E236="",E210=""),"",IF(E210&lt;=0,"",IFERROR(E236/E210,"")))</f>
        <v/>
      </c>
      <c r="F237" s="15">
        <f>IF(OR(F236="",F210=""),"",IF(F210&lt;=0,"",IFERROR(F236/F210,"")))</f>
        <v/>
      </c>
      <c r="G237" s="15">
        <f>IF(OR(G236="",G210=""),"",IF(G210&lt;=0,"",IFERROR(G236/G210,"")))</f>
        <v/>
      </c>
      <c r="H237" s="15">
        <f>IF(OR(H236="",H210=""),"",IF(H210&lt;=0,"",IFERROR(H236/H210,"")))</f>
        <v/>
      </c>
      <c r="I237" s="15">
        <f>IF(OR(I236="",I210=""),"",IF(I210&lt;=0,"",IFERROR(I236/I210,"")))</f>
        <v/>
      </c>
      <c r="J237" s="15">
        <f>IF(OR(J236="",J210=""),"",IF(J210&lt;=0,"",IFERROR(J236/J210,"")))</f>
        <v/>
      </c>
      <c r="K237" s="15">
        <f>IF(OR(K236="",K210=""),"",IF(K210&lt;=0,"",IFERROR(K236/K210,"")))</f>
        <v/>
      </c>
      <c r="L237" s="15">
        <f>IF(OR(L236="",L210=""),"",IF(L210&lt;=0,"",IFERROR(L236/L210,"")))</f>
        <v/>
      </c>
      <c r="M237" s="15">
        <f>IF(OR(M236="",M210=""),"",IF(M210&lt;=0,"",IFERROR(M236/M210,"")))</f>
        <v/>
      </c>
      <c r="N237" s="15">
        <f>IF(OR(N236="",N210=""),"",IF(N210&lt;=0,"",IFERROR(N236/N210,"")))</f>
        <v/>
      </c>
      <c r="V237" s="15">
        <f>IF(OR(V236="",V210=""),"",IF(V210&lt;=0,"",IFERROR(V236/V210,"")))</f>
        <v/>
      </c>
      <c r="W237" s="15">
        <f>IF(OR(W236="",W210=""),"",IF(W210&lt;=0,"",IFERROR(W236/W210,"")))</f>
        <v/>
      </c>
      <c r="X237" s="15">
        <f>IF(OR(X236="",X210=""),"",IF(X210&lt;=0,"",IFERROR(X236/X210,"")))</f>
        <v/>
      </c>
    </row>
    <row r="238">
      <c r="A238" s="43" t="inlineStr">
        <is>
          <t>YoY</t>
        </is>
      </c>
      <c r="B238" s="3" t="inlineStr">
        <is>
          <t>전년 같은 분기·전년 대비</t>
        </is>
      </c>
      <c r="G238" s="15">
        <f>IF(OR(G236="",C236=""),"",IF(C236&lt;=0,"",IFERROR(G236/C236-1,"")))</f>
        <v/>
      </c>
      <c r="H238" s="15">
        <f>IF(OR(H236="",D236=""),"",IF(D236&lt;=0,"",IFERROR(H236/D236-1,"")))</f>
        <v/>
      </c>
      <c r="I238" s="15">
        <f>IF(OR(I236="",E236=""),"",IF(E236&lt;=0,"",IFERROR(I236/E236-1,"")))</f>
        <v/>
      </c>
      <c r="J238" s="15">
        <f>IF(OR(J236="",F236=""),"",IF(F236&lt;=0,"",IFERROR(J236/F236-1,"")))</f>
        <v/>
      </c>
      <c r="K238" s="15">
        <f>IF(OR(K236="",G236=""),"",IF(G236&lt;=0,"",IFERROR(K236/G236-1,"")))</f>
        <v/>
      </c>
      <c r="L238" s="15">
        <f>IF(OR(L236="",H236=""),"",IF(H236&lt;=0,"",IFERROR(L236/H236-1,"")))</f>
        <v/>
      </c>
      <c r="M238" s="15">
        <f>IF(OR(M236="",I236=""),"",IF(I236&lt;=0,"",IFERROR(M236/I236-1,"")))</f>
        <v/>
      </c>
      <c r="N238" s="15">
        <f>IF(OR(N236="",J236=""),"",IF(J236&lt;=0,"",IFERROR(N236/J236-1,"")))</f>
        <v/>
      </c>
      <c r="V238" s="15">
        <f>IF(OR(V236="",U236=""),"",IF(U236&lt;=0,"",IFERROR(V236/U236-1,"")))</f>
        <v/>
      </c>
      <c r="W238" s="15">
        <f>IF(OR(W236="",V236=""),"",IF(V236&lt;=0,"",IFERROR(W236/V236-1,"")))</f>
        <v/>
      </c>
      <c r="X238" s="15">
        <f>IF(OR(X236="",W236=""),"",IF(W236&lt;=0,"",IFERROR(X236/W236-1,"")))</f>
        <v/>
      </c>
    </row>
    <row r="239">
      <c r="A239" s="18" t="inlineStr">
        <is>
          <t>합계 · 부문 이익(손실)</t>
        </is>
      </c>
      <c r="C239" s="20" t="n">
        <v>1084</v>
      </c>
      <c r="D239" s="20" t="n">
        <v>816</v>
      </c>
      <c r="E239" s="20" t="n">
        <v>1546</v>
      </c>
      <c r="F239" s="20" t="n">
        <v>1446</v>
      </c>
      <c r="G239" s="20" t="n">
        <v>1995</v>
      </c>
      <c r="H239" s="20" t="n">
        <v>1489</v>
      </c>
      <c r="I239" s="20" t="n">
        <v>1935</v>
      </c>
      <c r="J239" s="20" t="n">
        <v>1836</v>
      </c>
      <c r="K239" s="20" t="n">
        <v>2248</v>
      </c>
      <c r="L239" s="20" t="n">
        <v>2124</v>
      </c>
      <c r="M239" s="20" t="n">
        <v>2481</v>
      </c>
      <c r="N239" s="20" t="n">
        <v>2385</v>
      </c>
      <c r="V239" s="20" t="n">
        <v>816</v>
      </c>
      <c r="W239" s="20" t="n">
        <v>1489</v>
      </c>
      <c r="X239" s="20" t="n">
        <v>2124</v>
      </c>
    </row>
    <row r="240">
      <c r="A240" s="43" t="inlineStr">
        <is>
          <t>OPM</t>
        </is>
      </c>
      <c r="B240" s="3" t="inlineStr">
        <is>
          <t>영업이익 ÷ 매출</t>
        </is>
      </c>
      <c r="C240" s="15">
        <f>IF(OR(C239="",C212=""),"",IF(C212&lt;=0,"",IFERROR(C239/C212,"")))</f>
        <v/>
      </c>
      <c r="D240" s="15">
        <f>IF(OR(D239="",D212=""),"",IF(D212&lt;=0,"",IFERROR(D239/D212,"")))</f>
        <v/>
      </c>
      <c r="E240" s="15">
        <f>IF(OR(E239="",E212=""),"",IF(E212&lt;=0,"",IFERROR(E239/E212,"")))</f>
        <v/>
      </c>
      <c r="F240" s="15">
        <f>IF(OR(F239="",F212=""),"",IF(F212&lt;=0,"",IFERROR(F239/F212,"")))</f>
        <v/>
      </c>
      <c r="G240" s="15">
        <f>IF(OR(G239="",G212=""),"",IF(G212&lt;=0,"",IFERROR(G239/G212,"")))</f>
        <v/>
      </c>
      <c r="H240" s="15">
        <f>IF(OR(H239="",H212=""),"",IF(H212&lt;=0,"",IFERROR(H239/H212,"")))</f>
        <v/>
      </c>
      <c r="I240" s="15">
        <f>IF(OR(I239="",I212=""),"",IF(I212&lt;=0,"",IFERROR(I239/I212,"")))</f>
        <v/>
      </c>
      <c r="J240" s="15">
        <f>IF(OR(J239="",J212=""),"",IF(J212&lt;=0,"",IFERROR(J239/J212,"")))</f>
        <v/>
      </c>
      <c r="K240" s="15">
        <f>IF(OR(K239="",K212=""),"",IF(K212&lt;=0,"",IFERROR(K239/K212,"")))</f>
        <v/>
      </c>
      <c r="L240" s="15">
        <f>IF(OR(L239="",L212=""),"",IF(L212&lt;=0,"",IFERROR(L239/L212,"")))</f>
        <v/>
      </c>
      <c r="M240" s="15">
        <f>IF(OR(M239="",M212=""),"",IF(M212&lt;=0,"",IFERROR(M239/M212,"")))</f>
        <v/>
      </c>
      <c r="N240" s="15">
        <f>IF(OR(N239="",N212=""),"",IF(N212&lt;=0,"",IFERROR(N239/N212,"")))</f>
        <v/>
      </c>
      <c r="V240" s="15">
        <f>IF(OR(V239="",V212=""),"",IF(V212&lt;=0,"",IFERROR(V239/V212,"")))</f>
        <v/>
      </c>
      <c r="W240" s="15">
        <f>IF(OR(W239="",W212=""),"",IF(W212&lt;=0,"",IFERROR(W239/W212,"")))</f>
        <v/>
      </c>
      <c r="X240" s="15">
        <f>IF(OR(X239="",X212=""),"",IF(X212&lt;=0,"",IFERROR(X239/X212,"")))</f>
        <v/>
      </c>
    </row>
    <row r="241">
      <c r="A241" s="43" t="inlineStr">
        <is>
          <t>YoY</t>
        </is>
      </c>
      <c r="B241" s="3" t="inlineStr">
        <is>
          <t>전년 같은 분기·전년 대비</t>
        </is>
      </c>
      <c r="G241" s="15">
        <f>IF(OR(G239="",C239=""),"",IF(C239&lt;=0,"",IFERROR(G239/C239-1,"")))</f>
        <v/>
      </c>
      <c r="H241" s="15">
        <f>IF(OR(H239="",D239=""),"",IF(D239&lt;=0,"",IFERROR(H239/D239-1,"")))</f>
        <v/>
      </c>
      <c r="I241" s="15">
        <f>IF(OR(I239="",E239=""),"",IF(E239&lt;=0,"",IFERROR(I239/E239-1,"")))</f>
        <v/>
      </c>
      <c r="J241" s="15">
        <f>IF(OR(J239="",F239=""),"",IF(F239&lt;=0,"",IFERROR(J239/F239-1,"")))</f>
        <v/>
      </c>
      <c r="K241" s="15">
        <f>IF(OR(K239="",G239=""),"",IF(G239&lt;=0,"",IFERROR(K239/G239-1,"")))</f>
        <v/>
      </c>
      <c r="L241" s="15">
        <f>IF(OR(L239="",H239=""),"",IF(H239&lt;=0,"",IFERROR(L239/H239-1,"")))</f>
        <v/>
      </c>
      <c r="M241" s="15">
        <f>IF(OR(M239="",I239=""),"",IF(I239&lt;=0,"",IFERROR(M239/I239-1,"")))</f>
        <v/>
      </c>
      <c r="N241" s="15">
        <f>IF(OR(N239="",J239=""),"",IF(J239&lt;=0,"",IFERROR(N239/J239-1,"")))</f>
        <v/>
      </c>
      <c r="V241" s="15">
        <f>IF(OR(V239="",U239=""),"",IF(U239&lt;=0,"",IFERROR(V239/U239-1,"")))</f>
        <v/>
      </c>
      <c r="W241" s="15">
        <f>IF(OR(W239="",V239=""),"",IF(V239&lt;=0,"",IFERROR(W239/V239-1,"")))</f>
        <v/>
      </c>
      <c r="X241" s="15">
        <f>IF(OR(X239="",W239=""),"",IF(W239&lt;=0,"",IFERROR(X239/W239-1,"")))</f>
        <v/>
      </c>
    </row>
    <row r="242">
      <c r="A242" s="18" t="inlineStr">
        <is>
          <t>조정액 · 부문 이익(손실)</t>
        </is>
      </c>
      <c r="C242" s="20" t="n">
        <v>0</v>
      </c>
      <c r="D242" s="20" t="n">
        <v>0</v>
      </c>
      <c r="E242" s="20" t="n">
        <v>0</v>
      </c>
      <c r="F242" s="20" t="n">
        <v>-0</v>
      </c>
      <c r="G242" s="20" t="n">
        <v>0</v>
      </c>
      <c r="H242" s="20" t="n">
        <v>0</v>
      </c>
      <c r="I242" s="20" t="n">
        <v>-0</v>
      </c>
      <c r="J242" s="20" t="n">
        <v>0</v>
      </c>
      <c r="K242" s="20" t="n">
        <v>0</v>
      </c>
      <c r="L242" s="20" t="n">
        <v>-0</v>
      </c>
      <c r="M242" s="20" t="n">
        <v>0</v>
      </c>
      <c r="N242" s="20" t="n">
        <v>-0</v>
      </c>
      <c r="V242" s="20" t="n">
        <v>0</v>
      </c>
      <c r="W242" s="20" t="n">
        <v>0</v>
      </c>
      <c r="X242" s="20" t="n">
        <v>-0</v>
      </c>
    </row>
    <row r="243">
      <c r="A243" s="18" t="inlineStr">
        <is>
          <t>EntityTotalMember · 부문 이익(손실)</t>
        </is>
      </c>
      <c r="E243" s="20" t="n">
        <v>1546</v>
      </c>
      <c r="I243" s="20" t="n">
        <v>1935</v>
      </c>
      <c r="M243" s="20" t="n">
        <v>2481</v>
      </c>
    </row>
    <row r="244">
      <c r="A244" s="9" t="inlineStr">
        <is>
          <t>부문 이익(손실)</t>
        </is>
      </c>
      <c r="C244" s="12" t="n">
        <v>1084</v>
      </c>
      <c r="D244" s="12" t="n">
        <v>817</v>
      </c>
      <c r="E244" s="12" t="n">
        <v>1546</v>
      </c>
      <c r="F244" s="12" t="n">
        <v>1446</v>
      </c>
      <c r="G244" s="12" t="n">
        <v>1995</v>
      </c>
      <c r="H244" s="12" t="n">
        <v>1489</v>
      </c>
      <c r="V244" s="12" t="n">
        <v>817</v>
      </c>
      <c r="W244" s="12" t="n">
        <v>1489</v>
      </c>
    </row>
    <row r="245">
      <c r="A245" s="43" t="inlineStr">
        <is>
          <t>OPM</t>
        </is>
      </c>
      <c r="B245" s="3" t="inlineStr">
        <is>
          <t>영업이익 ÷ 매출</t>
        </is>
      </c>
      <c r="C245" s="15">
        <f>IF(OR(C244="",C187=""),"",IF(C187&lt;=0,"",IFERROR(C244/C187,"")))</f>
        <v/>
      </c>
      <c r="D245" s="15">
        <f>IF(OR(D244="",D187=""),"",IF(D187&lt;=0,"",IFERROR(D244/D187,"")))</f>
        <v/>
      </c>
      <c r="E245" s="15">
        <f>IF(OR(E244="",E187=""),"",IF(E187&lt;=0,"",IFERROR(E244/E187,"")))</f>
        <v/>
      </c>
      <c r="F245" s="15">
        <f>IF(OR(F244="",F187=""),"",IF(F187&lt;=0,"",IFERROR(F244/F187,"")))</f>
        <v/>
      </c>
      <c r="G245" s="15">
        <f>IF(OR(G244="",G187=""),"",IF(G187&lt;=0,"",IFERROR(G244/G187,"")))</f>
        <v/>
      </c>
      <c r="H245" s="15">
        <f>IF(OR(H244="",H187=""),"",IF(H187&lt;=0,"",IFERROR(H244/H187,"")))</f>
        <v/>
      </c>
      <c r="V245" s="15">
        <f>IF(OR(V244="",V187=""),"",IF(V187&lt;=0,"",IFERROR(V244/V187,"")))</f>
        <v/>
      </c>
      <c r="W245" s="15">
        <f>IF(OR(W244="",W187=""),"",IF(W187&lt;=0,"",IFERROR(W244/W187,"")))</f>
        <v/>
      </c>
    </row>
    <row r="246">
      <c r="A246" s="43" t="inlineStr">
        <is>
          <t>YoY</t>
        </is>
      </c>
      <c r="B246" s="3" t="inlineStr">
        <is>
          <t>전년 같은 분기·전년 대비</t>
        </is>
      </c>
      <c r="G246" s="15">
        <f>IF(OR(G244="",C244=""),"",IF(C244&lt;=0,"",IFERROR(G244/C244-1,"")))</f>
        <v/>
      </c>
      <c r="H246" s="15">
        <f>IF(OR(H244="",D244=""),"",IF(D244&lt;=0,"",IFERROR(H244/D244-1,"")))</f>
        <v/>
      </c>
      <c r="V246" s="15">
        <f>IF(OR(V244="",U244=""),"",IF(U244&lt;=0,"",IFERROR(V244/U244-1,"")))</f>
        <v/>
      </c>
      <c r="W246" s="15">
        <f>IF(OR(W244="",V244=""),"",IF(V244&lt;=0,"",IFERROR(W244/V244-1,"")))</f>
        <v/>
      </c>
    </row>
    <row r="247">
      <c r="A247" s="18" t="inlineStr">
        <is>
          <t>AbrasiveReportableSegmentMember · 외부 고객 매출</t>
        </is>
      </c>
      <c r="E247" s="20" t="n">
        <v>4619</v>
      </c>
      <c r="I247" s="20" t="n">
        <v>5240</v>
      </c>
      <c r="M247" s="20" t="n">
        <v>6499</v>
      </c>
    </row>
    <row r="248">
      <c r="A248" s="43" t="inlineStr">
        <is>
          <t>YoY</t>
        </is>
      </c>
      <c r="B248" s="3" t="inlineStr">
        <is>
          <t>전년 같은 분기·전년 대비</t>
        </is>
      </c>
      <c r="I248" s="15">
        <f>IF(OR(I247="",E247=""),"",IF(E247&lt;=0,"",IFERROR(I247/E247-1,"")))</f>
        <v/>
      </c>
      <c r="M248" s="15">
        <f>IF(OR(M247="",I247=""),"",IF(I247&lt;=0,"",IFERROR(M247/I247-1,"")))</f>
        <v/>
      </c>
    </row>
    <row r="249">
      <c r="A249" s="18" t="inlineStr">
        <is>
          <t>ChemicalIndustryProductsReportableSegmentMember · 외부 고객 매출</t>
        </is>
      </c>
      <c r="E249" s="20" t="n">
        <v>3296</v>
      </c>
      <c r="I249" s="20" t="n">
        <v>3636</v>
      </c>
      <c r="M249" s="20" t="n">
        <v>4582</v>
      </c>
    </row>
    <row r="250">
      <c r="A250" s="43" t="inlineStr">
        <is>
          <t>YoY</t>
        </is>
      </c>
      <c r="B250" s="3" t="inlineStr">
        <is>
          <t>전년 같은 분기·전년 대비</t>
        </is>
      </c>
      <c r="I250" s="15">
        <f>IF(OR(I249="",E249=""),"",IF(E249&lt;=0,"",IFERROR(I249/E249-1,"")))</f>
        <v/>
      </c>
      <c r="M250" s="15">
        <f>IF(OR(M249="",I249=""),"",IF(I249&lt;=0,"",IFERROR(M249/I249-1,"")))</f>
        <v/>
      </c>
    </row>
    <row r="252">
      <c r="A252" s="16" t="inlineStr">
        <is>
          <t>현금흐름표 · 전 항목</t>
        </is>
      </c>
      <c r="B252" s="42" t="inlineStr">
        <is>
          <t>분기 = 결산기 첫날부터 누계(공시 그대로)</t>
        </is>
      </c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</row>
    <row r="253">
      <c r="A253" s="5" t="inlineStr">
        <is>
          <t>항목</t>
        </is>
      </c>
      <c r="B253" s="5" t="inlineStr">
        <is>
          <t>참고</t>
        </is>
      </c>
      <c r="C253" s="5" t="inlineStr">
        <is>
          <t>2024.3Q</t>
        </is>
      </c>
      <c r="D253" s="5" t="inlineStr">
        <is>
          <t>2024.4Q</t>
        </is>
      </c>
      <c r="E253" s="5" t="inlineStr">
        <is>
          <t>2025.1Q</t>
        </is>
      </c>
      <c r="F253" s="5" t="inlineStr">
        <is>
          <t>2025.2Q</t>
        </is>
      </c>
      <c r="G253" s="5" t="inlineStr">
        <is>
          <t>2025.3Q</t>
        </is>
      </c>
      <c r="H253" s="5" t="inlineStr">
        <is>
          <t>2025.4Q</t>
        </is>
      </c>
      <c r="I253" s="5" t="inlineStr">
        <is>
          <t>2026.1Q</t>
        </is>
      </c>
      <c r="J253" s="5" t="inlineStr">
        <is>
          <t>2026.2Q</t>
        </is>
      </c>
      <c r="K253" s="5" t="inlineStr">
        <is>
          <t>2026.3Q</t>
        </is>
      </c>
      <c r="L253" s="5" t="inlineStr">
        <is>
          <t>2026.4Q</t>
        </is>
      </c>
      <c r="M253" s="5" t="inlineStr">
        <is>
          <t>2027.1Q</t>
        </is>
      </c>
      <c r="N253" s="5" t="inlineStr">
        <is>
          <t>2027.2Q</t>
        </is>
      </c>
      <c r="O253" s="5" t="inlineStr">
        <is>
          <t>2017</t>
        </is>
      </c>
      <c r="P253" s="5" t="inlineStr">
        <is>
          <t>2018</t>
        </is>
      </c>
      <c r="Q253" s="5" t="inlineStr">
        <is>
          <t>2019</t>
        </is>
      </c>
      <c r="R253" s="5" t="inlineStr">
        <is>
          <t>2020</t>
        </is>
      </c>
      <c r="S253" s="5" t="inlineStr">
        <is>
          <t>2021</t>
        </is>
      </c>
      <c r="T253" s="5" t="inlineStr">
        <is>
          <t>2022</t>
        </is>
      </c>
      <c r="U253" s="5" t="inlineStr">
        <is>
          <t>2023</t>
        </is>
      </c>
      <c r="V253" s="5" t="inlineStr">
        <is>
          <t>2024</t>
        </is>
      </c>
      <c r="W253" s="5" t="inlineStr">
        <is>
          <t>2025</t>
        </is>
      </c>
      <c r="X253" s="5" t="inlineStr">
        <is>
          <t>2026</t>
        </is>
      </c>
      <c r="Y253" s="5" t="inlineStr">
        <is>
          <t>2027(MW)</t>
        </is>
      </c>
      <c r="Z253" s="5" t="inlineStr">
        <is>
          <t>2028(MW)</t>
        </is>
      </c>
      <c r="AA253" s="5" t="inlineStr">
        <is>
          <t>2029(MW)</t>
        </is>
      </c>
      <c r="AB253" s="5" t="inlineStr">
        <is>
          <t>2030(MW)</t>
        </is>
      </c>
      <c r="AC253" s="5" t="inlineStr">
        <is>
          <t>2031(MW)</t>
        </is>
      </c>
    </row>
    <row r="254">
      <c r="A254" s="9" t="inlineStr">
        <is>
          <t>법인세차감전 순이익</t>
        </is>
      </c>
      <c r="D254" s="12" t="n">
        <v>3251</v>
      </c>
      <c r="F254" s="12" t="n">
        <v>3050</v>
      </c>
      <c r="H254" s="12" t="n">
        <v>6638</v>
      </c>
      <c r="J254" s="12" t="n">
        <v>3825</v>
      </c>
      <c r="L254" s="12" t="n">
        <v>7626</v>
      </c>
      <c r="N254" s="12" t="n">
        <v>4920</v>
      </c>
      <c r="O254" s="12" t="n">
        <v>6362</v>
      </c>
      <c r="P254" s="12" t="n">
        <v>4229</v>
      </c>
      <c r="Q254" s="12" t="n">
        <v>3859</v>
      </c>
      <c r="R254" s="12" t="n">
        <v>3551</v>
      </c>
      <c r="S254" s="12" t="n">
        <v>5834</v>
      </c>
      <c r="T254" s="12" t="n">
        <v>5917</v>
      </c>
      <c r="U254" s="12" t="n">
        <v>4957</v>
      </c>
      <c r="V254" s="12" t="n">
        <v>3251</v>
      </c>
      <c r="W254" s="12" t="n">
        <v>6638</v>
      </c>
      <c r="X254" s="12" t="n">
        <v>7626</v>
      </c>
    </row>
    <row r="255">
      <c r="A255" s="18" t="inlineStr">
        <is>
          <t>감가상각비</t>
        </is>
      </c>
      <c r="D255" s="20" t="n">
        <v>3329</v>
      </c>
      <c r="F255" s="20" t="n">
        <v>1604</v>
      </c>
      <c r="H255" s="20" t="n">
        <v>3382</v>
      </c>
      <c r="J255" s="20" t="n">
        <v>1576</v>
      </c>
      <c r="L255" s="20" t="n">
        <v>3285</v>
      </c>
      <c r="N255" s="20" t="n">
        <v>2017</v>
      </c>
      <c r="O255" s="20" t="n">
        <v>2015</v>
      </c>
      <c r="P255" s="20" t="n">
        <v>2058</v>
      </c>
      <c r="Q255" s="20" t="n">
        <v>2111</v>
      </c>
      <c r="R255" s="20" t="n">
        <v>2318</v>
      </c>
      <c r="S255" s="20" t="n">
        <v>2540</v>
      </c>
      <c r="T255" s="20" t="n">
        <v>3368</v>
      </c>
      <c r="U255" s="20" t="n">
        <v>3157</v>
      </c>
      <c r="V255" s="20" t="n">
        <v>3329</v>
      </c>
      <c r="W255" s="20" t="n">
        <v>3382</v>
      </c>
      <c r="X255" s="20" t="n">
        <v>3285</v>
      </c>
    </row>
    <row r="256">
      <c r="A256" s="18" t="inlineStr">
        <is>
          <t>영업권 상각</t>
        </is>
      </c>
      <c r="D256" s="20" t="n">
        <v>140</v>
      </c>
      <c r="F256" s="20" t="n">
        <v>70</v>
      </c>
      <c r="H256" s="20" t="n">
        <v>140</v>
      </c>
      <c r="J256" s="20" t="n">
        <v>70</v>
      </c>
      <c r="L256" s="20" t="n">
        <v>140</v>
      </c>
      <c r="N256" s="20" t="n">
        <v>24</v>
      </c>
      <c r="O256" s="20" t="n">
        <v>25</v>
      </c>
      <c r="P256" s="20" t="n">
        <v>25</v>
      </c>
      <c r="Q256" s="20" t="n">
        <v>24</v>
      </c>
      <c r="R256" s="20" t="n">
        <v>56</v>
      </c>
      <c r="S256" s="20" t="n">
        <v>48</v>
      </c>
      <c r="T256" s="20" t="n">
        <v>48</v>
      </c>
      <c r="U256" s="20" t="n">
        <v>86</v>
      </c>
      <c r="V256" s="20" t="n">
        <v>140</v>
      </c>
      <c r="W256" s="20" t="n">
        <v>140</v>
      </c>
      <c r="X256" s="20" t="n">
        <v>140</v>
      </c>
    </row>
    <row r="257">
      <c r="A257" s="18" t="inlineStr">
        <is>
          <t>손상차손</t>
        </is>
      </c>
      <c r="D257" s="20" t="n">
        <v>88</v>
      </c>
      <c r="F257" s="20" t="n">
        <v>0</v>
      </c>
      <c r="H257" s="20" t="n">
        <v>141</v>
      </c>
      <c r="J257" s="20" t="n">
        <v>0</v>
      </c>
      <c r="L257" s="20" t="n">
        <v>778</v>
      </c>
      <c r="N257" s="20" t="n">
        <v>142</v>
      </c>
      <c r="O257" s="20" t="n">
        <v>585</v>
      </c>
      <c r="P257" s="20" t="n">
        <v>21</v>
      </c>
      <c r="Q257" s="20" t="n">
        <v>25</v>
      </c>
      <c r="R257" s="20" t="n">
        <v>355</v>
      </c>
      <c r="S257" s="20" t="n">
        <v>160</v>
      </c>
      <c r="T257" s="20" t="n">
        <v>14</v>
      </c>
      <c r="U257" s="20" t="n">
        <v>18</v>
      </c>
      <c r="V257" s="20" t="n">
        <v>88</v>
      </c>
      <c r="W257" s="20" t="n">
        <v>141</v>
      </c>
      <c r="X257" s="20" t="n">
        <v>778</v>
      </c>
    </row>
    <row r="258">
      <c r="A258" s="18" t="inlineStr">
        <is>
          <t>대손충당금 증감</t>
        </is>
      </c>
      <c r="D258" s="20" t="n">
        <v>-0</v>
      </c>
      <c r="F258" s="20" t="n">
        <v>-0</v>
      </c>
      <c r="H258" s="20" t="n">
        <v>-0</v>
      </c>
      <c r="J258" s="20" t="n">
        <v>-0</v>
      </c>
      <c r="L258" s="20" t="n">
        <v>-0</v>
      </c>
      <c r="N258" s="20" t="n">
        <v>-0</v>
      </c>
      <c r="O258" s="20" t="n">
        <v>-34</v>
      </c>
      <c r="P258" s="20" t="n">
        <v>-3</v>
      </c>
      <c r="Q258" s="20" t="n">
        <v>-0</v>
      </c>
      <c r="R258" s="20" t="n">
        <v>171</v>
      </c>
      <c r="S258" s="20" t="n">
        <v>-172</v>
      </c>
      <c r="T258" s="20" t="n">
        <v>-0</v>
      </c>
      <c r="U258" s="20" t="n">
        <v>-10</v>
      </c>
      <c r="V258" s="20" t="n">
        <v>-0</v>
      </c>
      <c r="W258" s="20" t="n">
        <v>-0</v>
      </c>
      <c r="X258" s="20" t="n">
        <v>-0</v>
      </c>
    </row>
    <row r="259">
      <c r="A259" s="18" t="inlineStr">
        <is>
          <t>퇴직급여부채 증감</t>
        </is>
      </c>
      <c r="D259" s="20" t="n">
        <v>-125</v>
      </c>
      <c r="F259" s="20" t="n">
        <v>-59</v>
      </c>
      <c r="H259" s="20" t="n">
        <v>-98</v>
      </c>
      <c r="J259" s="20" t="n">
        <v>-71</v>
      </c>
      <c r="L259" s="20" t="n">
        <v>-62</v>
      </c>
      <c r="N259" s="20" t="n">
        <v>15</v>
      </c>
      <c r="O259" s="20" t="n">
        <v>248</v>
      </c>
      <c r="P259" s="20" t="n">
        <v>101</v>
      </c>
      <c r="Q259" s="20" t="n">
        <v>-62</v>
      </c>
      <c r="R259" s="20" t="n">
        <v>-113</v>
      </c>
      <c r="S259" s="20" t="n">
        <v>-331</v>
      </c>
      <c r="T259" s="20" t="n">
        <v>-73</v>
      </c>
      <c r="U259" s="20" t="n">
        <v>-148</v>
      </c>
      <c r="V259" s="20" t="n">
        <v>-125</v>
      </c>
      <c r="W259" s="20" t="n">
        <v>-98</v>
      </c>
      <c r="X259" s="20" t="n">
        <v>-62</v>
      </c>
    </row>
    <row r="260">
      <c r="A260" s="18" t="inlineStr">
        <is>
          <t>이자·배당금 수익</t>
        </is>
      </c>
      <c r="D260" s="20" t="n">
        <v>-78</v>
      </c>
      <c r="F260" s="20" t="n">
        <v>-39</v>
      </c>
      <c r="H260" s="20" t="n">
        <v>-89</v>
      </c>
      <c r="J260" s="20" t="n">
        <v>-63</v>
      </c>
      <c r="L260" s="20" t="n">
        <v>-121</v>
      </c>
      <c r="N260" s="20" t="n">
        <v>-226</v>
      </c>
      <c r="O260" s="20" t="n">
        <v>-47</v>
      </c>
      <c r="P260" s="20" t="n">
        <v>-51</v>
      </c>
      <c r="Q260" s="20" t="n">
        <v>-53</v>
      </c>
      <c r="R260" s="20" t="n">
        <v>-54</v>
      </c>
      <c r="S260" s="20" t="n">
        <v>-50</v>
      </c>
      <c r="T260" s="20" t="n">
        <v>-51</v>
      </c>
      <c r="U260" s="20" t="n">
        <v>-63</v>
      </c>
      <c r="V260" s="20" t="n">
        <v>-78</v>
      </c>
      <c r="W260" s="20" t="n">
        <v>-89</v>
      </c>
      <c r="X260" s="20" t="n">
        <v>-121</v>
      </c>
    </row>
    <row r="261">
      <c r="A261" s="18" t="inlineStr">
        <is>
          <t>이자비용</t>
        </is>
      </c>
      <c r="D261" s="20" t="n">
        <v>24</v>
      </c>
      <c r="F261" s="20" t="n">
        <v>13</v>
      </c>
      <c r="H261" s="20" t="n">
        <v>20</v>
      </c>
      <c r="J261" s="20" t="n">
        <v>2</v>
      </c>
      <c r="L261" s="20" t="n">
        <v>10</v>
      </c>
      <c r="N261" s="20" t="n">
        <v>2</v>
      </c>
      <c r="O261" s="20" t="n">
        <v>20</v>
      </c>
      <c r="P261" s="20" t="n">
        <v>12</v>
      </c>
      <c r="Q261" s="20" t="n">
        <v>14</v>
      </c>
      <c r="R261" s="20" t="n">
        <v>15</v>
      </c>
      <c r="S261" s="20" t="n">
        <v>14</v>
      </c>
      <c r="T261" s="20" t="n">
        <v>11</v>
      </c>
      <c r="U261" s="20" t="n">
        <v>14</v>
      </c>
      <c r="V261" s="20" t="n">
        <v>24</v>
      </c>
      <c r="W261" s="20" t="n">
        <v>20</v>
      </c>
      <c r="X261" s="20" t="n">
        <v>10</v>
      </c>
    </row>
    <row r="262">
      <c r="A262" s="18" t="inlineStr">
        <is>
          <t>외환차손익</t>
        </is>
      </c>
      <c r="D262" s="20" t="n">
        <v>18</v>
      </c>
      <c r="F262" s="20" t="n">
        <v>36</v>
      </c>
      <c r="H262" s="20" t="n">
        <v>25</v>
      </c>
      <c r="J262" s="20" t="n">
        <v>2</v>
      </c>
      <c r="L262" s="20" t="n">
        <v>7</v>
      </c>
      <c r="N262" s="20" t="n">
        <v>10</v>
      </c>
      <c r="O262" s="20" t="n">
        <v>5</v>
      </c>
      <c r="P262" s="20" t="n">
        <v>9</v>
      </c>
      <c r="Q262" s="20" t="n">
        <v>-11</v>
      </c>
      <c r="R262" s="20" t="n">
        <v>3</v>
      </c>
      <c r="S262" s="20" t="n">
        <v>5</v>
      </c>
      <c r="T262" s="20" t="n">
        <v>0</v>
      </c>
      <c r="U262" s="20" t="n">
        <v>-8</v>
      </c>
      <c r="V262" s="20" t="n">
        <v>18</v>
      </c>
      <c r="W262" s="20" t="n">
        <v>25</v>
      </c>
      <c r="X262" s="20" t="n">
        <v>7</v>
      </c>
    </row>
    <row r="263">
      <c r="A263" s="18" t="inlineStr">
        <is>
          <t>고정자산 매각손익</t>
        </is>
      </c>
      <c r="D263" s="20" t="n">
        <v>-14</v>
      </c>
      <c r="F263" s="20" t="n">
        <v>-0</v>
      </c>
      <c r="H263" s="20" t="n">
        <v>-5</v>
      </c>
      <c r="J263" s="20" t="n">
        <v>-2</v>
      </c>
      <c r="L263" s="20" t="n">
        <v>-214</v>
      </c>
      <c r="N263" s="20" t="n">
        <v>-0</v>
      </c>
      <c r="O263" s="20" t="n">
        <v>-5</v>
      </c>
      <c r="P263" s="20" t="n">
        <v>-0</v>
      </c>
      <c r="Q263" s="20" t="n">
        <v>0</v>
      </c>
      <c r="R263" s="20" t="n">
        <v>-2</v>
      </c>
      <c r="S263" s="20" t="n">
        <v>0</v>
      </c>
      <c r="T263" s="20" t="n">
        <v>-2</v>
      </c>
      <c r="U263" s="20" t="n">
        <v>-4</v>
      </c>
      <c r="V263" s="20" t="n">
        <v>-14</v>
      </c>
      <c r="W263" s="20" t="n">
        <v>-5</v>
      </c>
      <c r="X263" s="20" t="n">
        <v>-214</v>
      </c>
    </row>
    <row r="264">
      <c r="A264" s="18" t="inlineStr">
        <is>
          <t>고정자산 처분손익</t>
        </is>
      </c>
      <c r="D264" s="20" t="n">
        <v>79</v>
      </c>
      <c r="F264" s="20" t="n">
        <v>38</v>
      </c>
      <c r="H264" s="20" t="n">
        <v>109</v>
      </c>
      <c r="J264" s="20" t="n">
        <v>81</v>
      </c>
      <c r="L264" s="20" t="n">
        <v>165</v>
      </c>
      <c r="N264" s="20" t="n">
        <v>113</v>
      </c>
      <c r="O264" s="20" t="n">
        <v>109</v>
      </c>
      <c r="P264" s="20" t="n">
        <v>121</v>
      </c>
      <c r="Q264" s="20" t="n">
        <v>96</v>
      </c>
      <c r="R264" s="20" t="n">
        <v>176</v>
      </c>
      <c r="S264" s="20" t="n">
        <v>271</v>
      </c>
      <c r="T264" s="20" t="n">
        <v>107</v>
      </c>
      <c r="U264" s="20" t="n">
        <v>69</v>
      </c>
      <c r="V264" s="20" t="n">
        <v>79</v>
      </c>
      <c r="W264" s="20" t="n">
        <v>109</v>
      </c>
      <c r="X264" s="20" t="n">
        <v>165</v>
      </c>
    </row>
    <row r="265">
      <c r="A265" s="18" t="inlineStr">
        <is>
          <t>관계회사 청산손익</t>
        </is>
      </c>
      <c r="O265" s="20" t="n">
        <v>0</v>
      </c>
      <c r="P265" s="20" t="n">
        <v>41</v>
      </c>
      <c r="Q265" s="20" t="n">
        <v>0</v>
      </c>
    </row>
    <row r="266">
      <c r="A266" s="18" t="inlineStr">
        <is>
          <t>투자유가증권 매각손익</t>
        </is>
      </c>
      <c r="D266" s="20" t="n">
        <v>-128</v>
      </c>
      <c r="F266" s="20" t="n">
        <v>-16</v>
      </c>
      <c r="H266" s="20" t="n">
        <v>-208</v>
      </c>
      <c r="J266" s="20" t="n">
        <v>0</v>
      </c>
      <c r="L266" s="20" t="n">
        <v>0</v>
      </c>
      <c r="O266" s="20" t="n">
        <v>-0</v>
      </c>
      <c r="P266" s="20" t="n">
        <v>-186</v>
      </c>
      <c r="Q266" s="20" t="n">
        <v>-0</v>
      </c>
      <c r="R266" s="20" t="n">
        <v>-0</v>
      </c>
      <c r="S266" s="20" t="n">
        <v>-15</v>
      </c>
      <c r="T266" s="20" t="n">
        <v>-0</v>
      </c>
      <c r="U266" s="20" t="n">
        <v>-0</v>
      </c>
      <c r="V266" s="20" t="n">
        <v>-128</v>
      </c>
      <c r="W266" s="20" t="n">
        <v>-208</v>
      </c>
      <c r="X266" s="20" t="n">
        <v>0</v>
      </c>
    </row>
    <row r="267">
      <c r="A267" s="18" t="inlineStr">
        <is>
          <t>보조금 수입</t>
        </is>
      </c>
      <c r="R267" s="20" t="n">
        <v>0</v>
      </c>
      <c r="S267" s="20" t="n">
        <v>-900</v>
      </c>
      <c r="T267" s="20" t="n">
        <v>0</v>
      </c>
    </row>
    <row r="268">
      <c r="A268" s="18" t="inlineStr">
        <is>
          <t>매출채권 증감</t>
        </is>
      </c>
      <c r="D268" s="20" t="n">
        <v>-1165</v>
      </c>
      <c r="F268" s="20" t="n">
        <v>-774</v>
      </c>
      <c r="H268" s="20" t="n">
        <v>-1399</v>
      </c>
      <c r="J268" s="20" t="n">
        <v>1760</v>
      </c>
      <c r="L268" s="20" t="n">
        <v>1643</v>
      </c>
      <c r="N268" s="20" t="n">
        <v>-675</v>
      </c>
      <c r="O268" s="20" t="n">
        <v>-295</v>
      </c>
      <c r="P268" s="20" t="n">
        <v>19</v>
      </c>
      <c r="Q268" s="20" t="n">
        <v>-279</v>
      </c>
      <c r="R268" s="20" t="n">
        <v>1029</v>
      </c>
      <c r="S268" s="20" t="n">
        <v>-254</v>
      </c>
      <c r="T268" s="20" t="n">
        <v>147</v>
      </c>
      <c r="U268" s="20" t="n">
        <v>712</v>
      </c>
      <c r="V268" s="20" t="n">
        <v>-1165</v>
      </c>
      <c r="W268" s="20" t="n">
        <v>-1399</v>
      </c>
      <c r="X268" s="20" t="n">
        <v>1643</v>
      </c>
    </row>
    <row r="269">
      <c r="A269" s="18" t="inlineStr">
        <is>
          <t>재고자산 증감</t>
        </is>
      </c>
      <c r="D269" s="20" t="n">
        <v>526</v>
      </c>
      <c r="F269" s="20" t="n">
        <v>205</v>
      </c>
      <c r="H269" s="20" t="n">
        <v>78</v>
      </c>
      <c r="J269" s="20" t="n">
        <v>-723</v>
      </c>
      <c r="L269" s="20" t="n">
        <v>-404</v>
      </c>
      <c r="N269" s="20" t="n">
        <v>-489</v>
      </c>
      <c r="O269" s="20" t="n">
        <v>517</v>
      </c>
      <c r="P269" s="20" t="n">
        <v>28</v>
      </c>
      <c r="Q269" s="20" t="n">
        <v>-209</v>
      </c>
      <c r="R269" s="20" t="n">
        <v>-78</v>
      </c>
      <c r="S269" s="20" t="n">
        <v>1102</v>
      </c>
      <c r="T269" s="20" t="n">
        <v>-279</v>
      </c>
      <c r="U269" s="20" t="n">
        <v>-1145</v>
      </c>
      <c r="V269" s="20" t="n">
        <v>526</v>
      </c>
      <c r="W269" s="20" t="n">
        <v>78</v>
      </c>
      <c r="X269" s="20" t="n">
        <v>-404</v>
      </c>
    </row>
    <row r="270">
      <c r="A270" s="18" t="inlineStr">
        <is>
          <t>매입채무 증감</t>
        </is>
      </c>
      <c r="D270" s="20" t="n">
        <v>-4</v>
      </c>
      <c r="F270" s="20" t="n">
        <v>704</v>
      </c>
      <c r="H270" s="20" t="n">
        <v>779</v>
      </c>
      <c r="J270" s="20" t="n">
        <v>-209</v>
      </c>
      <c r="L270" s="20" t="n">
        <v>-610</v>
      </c>
      <c r="N270" s="20" t="n">
        <v>1083</v>
      </c>
      <c r="O270" s="20" t="n">
        <v>-212</v>
      </c>
      <c r="P270" s="20" t="n">
        <v>-329</v>
      </c>
      <c r="Q270" s="20" t="n">
        <v>-0</v>
      </c>
      <c r="R270" s="20" t="n">
        <v>76</v>
      </c>
      <c r="S270" s="20" t="n">
        <v>-111</v>
      </c>
      <c r="T270" s="20" t="n">
        <v>1286</v>
      </c>
      <c r="U270" s="20" t="n">
        <v>-723</v>
      </c>
      <c r="V270" s="20" t="n">
        <v>-4</v>
      </c>
      <c r="W270" s="20" t="n">
        <v>779</v>
      </c>
      <c r="X270" s="20" t="n">
        <v>-610</v>
      </c>
    </row>
    <row r="271">
      <c r="A271" s="18" t="inlineStr">
        <is>
          <t>기타</t>
        </is>
      </c>
      <c r="D271" s="20" t="n">
        <v>165</v>
      </c>
      <c r="F271" s="20" t="n">
        <v>-413</v>
      </c>
      <c r="H271" s="20" t="n">
        <v>-188</v>
      </c>
      <c r="J271" s="20" t="n">
        <v>195</v>
      </c>
      <c r="L271" s="20" t="n">
        <v>428</v>
      </c>
      <c r="N271" s="20" t="n">
        <v>728</v>
      </c>
      <c r="O271" s="20" t="n">
        <v>201</v>
      </c>
      <c r="P271" s="20" t="n">
        <v>-323</v>
      </c>
      <c r="Q271" s="20" t="n">
        <v>73</v>
      </c>
      <c r="R271" s="20" t="n">
        <v>192</v>
      </c>
      <c r="S271" s="20" t="n">
        <v>-510</v>
      </c>
      <c r="T271" s="20" t="n">
        <v>82</v>
      </c>
      <c r="U271" s="20" t="n">
        <v>-38</v>
      </c>
      <c r="V271" s="20" t="n">
        <v>165</v>
      </c>
      <c r="W271" s="20" t="n">
        <v>-188</v>
      </c>
      <c r="X271" s="20" t="n">
        <v>428</v>
      </c>
    </row>
    <row r="272">
      <c r="A272" s="18" t="inlineStr">
        <is>
          <t>소계</t>
        </is>
      </c>
      <c r="D272" s="20" t="n">
        <v>6107</v>
      </c>
      <c r="F272" s="20" t="n">
        <v>4420</v>
      </c>
      <c r="H272" s="20" t="n">
        <v>9326</v>
      </c>
      <c r="J272" s="20" t="n">
        <v>6444</v>
      </c>
      <c r="L272" s="20" t="n">
        <v>12673</v>
      </c>
      <c r="N272" s="20" t="n">
        <v>7665</v>
      </c>
      <c r="O272" s="20" t="n">
        <v>9495</v>
      </c>
      <c r="P272" s="20" t="n">
        <v>5773</v>
      </c>
      <c r="Q272" s="20" t="n">
        <v>5586</v>
      </c>
      <c r="R272" s="20" t="n">
        <v>7696</v>
      </c>
      <c r="S272" s="20" t="n">
        <v>7632</v>
      </c>
      <c r="T272" s="20" t="n">
        <v>10576</v>
      </c>
      <c r="U272" s="20" t="n">
        <v>6874</v>
      </c>
      <c r="V272" s="20" t="n">
        <v>6107</v>
      </c>
      <c r="W272" s="20" t="n">
        <v>9326</v>
      </c>
      <c r="X272" s="20" t="n">
        <v>12673</v>
      </c>
    </row>
    <row r="273">
      <c r="A273" s="18" t="inlineStr">
        <is>
          <t>이자·배당금 수취</t>
        </is>
      </c>
      <c r="D273" s="20" t="n">
        <v>78</v>
      </c>
      <c r="F273" s="20" t="n">
        <v>39</v>
      </c>
      <c r="H273" s="20" t="n">
        <v>89</v>
      </c>
      <c r="J273" s="20" t="n">
        <v>63</v>
      </c>
      <c r="L273" s="20" t="n">
        <v>121</v>
      </c>
      <c r="N273" s="20" t="n">
        <v>226</v>
      </c>
      <c r="O273" s="20" t="n">
        <v>47</v>
      </c>
      <c r="P273" s="20" t="n">
        <v>51</v>
      </c>
      <c r="Q273" s="20" t="n">
        <v>53</v>
      </c>
      <c r="R273" s="20" t="n">
        <v>54</v>
      </c>
      <c r="S273" s="20" t="n">
        <v>50</v>
      </c>
      <c r="T273" s="20" t="n">
        <v>51</v>
      </c>
      <c r="U273" s="20" t="n">
        <v>63</v>
      </c>
      <c r="V273" s="20" t="n">
        <v>78</v>
      </c>
      <c r="W273" s="20" t="n">
        <v>89</v>
      </c>
      <c r="X273" s="20" t="n">
        <v>121</v>
      </c>
    </row>
    <row r="274">
      <c r="A274" s="18" t="inlineStr">
        <is>
          <t>이자 지급</t>
        </is>
      </c>
      <c r="D274" s="20" t="n">
        <v>-23</v>
      </c>
      <c r="F274" s="20" t="n">
        <v>-13</v>
      </c>
      <c r="H274" s="20" t="n">
        <v>-20</v>
      </c>
      <c r="J274" s="20" t="n">
        <v>-2</v>
      </c>
      <c r="L274" s="20" t="n">
        <v>-10</v>
      </c>
      <c r="N274" s="20" t="n">
        <v>-2</v>
      </c>
      <c r="O274" s="20" t="n">
        <v>-20</v>
      </c>
      <c r="P274" s="20" t="n">
        <v>-12</v>
      </c>
      <c r="Q274" s="20" t="n">
        <v>-13</v>
      </c>
      <c r="R274" s="20" t="n">
        <v>-16</v>
      </c>
      <c r="S274" s="20" t="n">
        <v>-14</v>
      </c>
      <c r="T274" s="20" t="n">
        <v>-11</v>
      </c>
      <c r="U274" s="20" t="n">
        <v>-14</v>
      </c>
      <c r="V274" s="20" t="n">
        <v>-23</v>
      </c>
      <c r="W274" s="20" t="n">
        <v>-20</v>
      </c>
      <c r="X274" s="20" t="n">
        <v>-10</v>
      </c>
    </row>
    <row r="275">
      <c r="A275" s="18" t="inlineStr">
        <is>
          <t>보조금 수취</t>
        </is>
      </c>
      <c r="D275" s="20" t="n">
        <v>30</v>
      </c>
      <c r="F275" s="20" t="n">
        <v>30</v>
      </c>
      <c r="H275" s="20" t="n">
        <v>30</v>
      </c>
      <c r="J275" s="20" t="n">
        <v>30</v>
      </c>
      <c r="L275" s="20" t="n">
        <v>30</v>
      </c>
      <c r="N275" s="20" t="n">
        <v>30</v>
      </c>
      <c r="R275" s="20" t="n">
        <v>0</v>
      </c>
      <c r="S275" s="20" t="n">
        <v>500</v>
      </c>
      <c r="T275" s="20" t="n">
        <v>370</v>
      </c>
      <c r="U275" s="20" t="n">
        <v>30</v>
      </c>
      <c r="V275" s="20" t="n">
        <v>30</v>
      </c>
      <c r="W275" s="20" t="n">
        <v>30</v>
      </c>
      <c r="X275" s="20" t="n">
        <v>30</v>
      </c>
    </row>
    <row r="276">
      <c r="A276" s="18" t="inlineStr">
        <is>
          <t>법인세 납부</t>
        </is>
      </c>
      <c r="D276" s="20" t="n">
        <v>-1205</v>
      </c>
      <c r="F276" s="20" t="n">
        <v>-244</v>
      </c>
      <c r="H276" s="20" t="n">
        <v>-768</v>
      </c>
      <c r="J276" s="20" t="n">
        <v>-1605</v>
      </c>
      <c r="L276" s="20" t="n">
        <v>-2670</v>
      </c>
      <c r="N276" s="20" t="n">
        <v>-1219</v>
      </c>
      <c r="O276" s="20" t="n">
        <v>-1528</v>
      </c>
      <c r="P276" s="20" t="n">
        <v>-2114</v>
      </c>
      <c r="Q276" s="20" t="n">
        <v>-817</v>
      </c>
      <c r="R276" s="20" t="n">
        <v>-1187</v>
      </c>
      <c r="S276" s="20" t="n">
        <v>-1375</v>
      </c>
      <c r="T276" s="20" t="n">
        <v>-1878</v>
      </c>
      <c r="U276" s="20" t="n">
        <v>-1776</v>
      </c>
      <c r="V276" s="20" t="n">
        <v>-1205</v>
      </c>
      <c r="W276" s="20" t="n">
        <v>-768</v>
      </c>
      <c r="X276" s="20" t="n">
        <v>-2670</v>
      </c>
    </row>
    <row r="277">
      <c r="A277" s="9" t="inlineStr">
        <is>
          <t>영업활동 현금흐름</t>
        </is>
      </c>
      <c r="D277" s="12" t="n">
        <v>4987</v>
      </c>
      <c r="F277" s="12" t="n">
        <v>4231</v>
      </c>
      <c r="H277" s="12" t="n">
        <v>8656</v>
      </c>
      <c r="J277" s="12" t="n">
        <v>4929</v>
      </c>
      <c r="L277" s="12" t="n">
        <v>10143</v>
      </c>
      <c r="N277" s="12" t="n">
        <v>6699</v>
      </c>
      <c r="O277" s="12" t="n">
        <v>7994</v>
      </c>
      <c r="P277" s="12" t="n">
        <v>3698</v>
      </c>
      <c r="Q277" s="12" t="n">
        <v>4808</v>
      </c>
      <c r="R277" s="12" t="n">
        <v>6548</v>
      </c>
      <c r="S277" s="12" t="n">
        <v>6792</v>
      </c>
      <c r="T277" s="12" t="n">
        <v>9107</v>
      </c>
      <c r="U277" s="12" t="n">
        <v>5175</v>
      </c>
      <c r="V277" s="12" t="n">
        <v>4987</v>
      </c>
      <c r="W277" s="12" t="n">
        <v>8656</v>
      </c>
      <c r="X277" s="12" t="n">
        <v>10143</v>
      </c>
    </row>
    <row r="278">
      <c r="A278" s="18" t="inlineStr">
        <is>
          <t>유·무형자산 취득 지출</t>
        </is>
      </c>
      <c r="D278" s="20" t="n">
        <v>-3282</v>
      </c>
      <c r="F278" s="20" t="n">
        <v>-2193</v>
      </c>
      <c r="H278" s="20" t="n">
        <v>-6751</v>
      </c>
      <c r="J278" s="20" t="n">
        <v>-1838</v>
      </c>
      <c r="L278" s="20" t="n">
        <v>-6446</v>
      </c>
      <c r="N278" s="20" t="n">
        <v>-3622</v>
      </c>
      <c r="O278" s="20" t="n">
        <v>-838</v>
      </c>
      <c r="P278" s="20" t="n">
        <v>-5478</v>
      </c>
      <c r="Q278" s="20" t="n">
        <v>-2862</v>
      </c>
      <c r="R278" s="20" t="n">
        <v>-4178</v>
      </c>
      <c r="S278" s="20" t="n">
        <v>-5869</v>
      </c>
      <c r="T278" s="20" t="n">
        <v>-3779</v>
      </c>
      <c r="U278" s="20" t="n">
        <v>-2628</v>
      </c>
      <c r="V278" s="20" t="n">
        <v>-3282</v>
      </c>
      <c r="W278" s="20" t="n">
        <v>-6751</v>
      </c>
      <c r="X278" s="20" t="n">
        <v>-6446</v>
      </c>
    </row>
    <row r="279">
      <c r="A279" s="18" t="inlineStr">
        <is>
          <t>유·무형자산 매각 수입</t>
        </is>
      </c>
      <c r="D279" s="20" t="n">
        <v>46</v>
      </c>
      <c r="F279" s="20" t="n">
        <v>0</v>
      </c>
      <c r="H279" s="20" t="n">
        <v>15</v>
      </c>
      <c r="J279" s="20" t="n">
        <v>2</v>
      </c>
      <c r="L279" s="20" t="n">
        <v>442</v>
      </c>
      <c r="N279" s="20" t="n">
        <v>0</v>
      </c>
      <c r="O279" s="20" t="n">
        <v>18</v>
      </c>
      <c r="P279" s="20" t="n">
        <v>14</v>
      </c>
      <c r="Q279" s="20" t="n">
        <v>12</v>
      </c>
      <c r="R279" s="20" t="n">
        <v>16</v>
      </c>
      <c r="S279" s="20" t="n">
        <v>27</v>
      </c>
      <c r="T279" s="20" t="n">
        <v>8</v>
      </c>
      <c r="U279" s="20" t="n">
        <v>5</v>
      </c>
      <c r="V279" s="20" t="n">
        <v>46</v>
      </c>
      <c r="W279" s="20" t="n">
        <v>15</v>
      </c>
      <c r="X279" s="20" t="n">
        <v>442</v>
      </c>
    </row>
    <row r="280">
      <c r="A280" s="18" t="inlineStr">
        <is>
          <t>유형자산 제각 지출</t>
        </is>
      </c>
      <c r="D280" s="20" t="n">
        <v>-44</v>
      </c>
      <c r="F280" s="20" t="n">
        <v>-15</v>
      </c>
      <c r="H280" s="20" t="n">
        <v>-71</v>
      </c>
      <c r="J280" s="20" t="n">
        <v>-52</v>
      </c>
      <c r="L280" s="20" t="n">
        <v>-105</v>
      </c>
      <c r="N280" s="20" t="n">
        <v>-89</v>
      </c>
      <c r="O280" s="20" t="n">
        <v>-21</v>
      </c>
      <c r="P280" s="20" t="n">
        <v>-40</v>
      </c>
      <c r="Q280" s="20" t="n">
        <v>-70</v>
      </c>
      <c r="R280" s="20" t="n">
        <v>-146</v>
      </c>
      <c r="S280" s="20" t="n">
        <v>-58</v>
      </c>
      <c r="T280" s="20" t="n">
        <v>-203</v>
      </c>
      <c r="U280" s="20" t="n">
        <v>-42</v>
      </c>
      <c r="V280" s="20" t="n">
        <v>-44</v>
      </c>
      <c r="W280" s="20" t="n">
        <v>-71</v>
      </c>
      <c r="X280" s="20" t="n">
        <v>-105</v>
      </c>
    </row>
    <row r="281">
      <c r="A281" s="18" t="inlineStr">
        <is>
          <t>투자유가증권 취득</t>
        </is>
      </c>
      <c r="D281" s="20" t="n">
        <v>-6</v>
      </c>
      <c r="F281" s="20" t="n">
        <v>-3</v>
      </c>
      <c r="H281" s="20" t="n">
        <v>-6</v>
      </c>
      <c r="J281" s="20" t="n">
        <v>-3</v>
      </c>
      <c r="L281" s="20" t="n">
        <v>-6</v>
      </c>
      <c r="N281" s="20" t="n">
        <v>-3</v>
      </c>
      <c r="O281" s="20" t="n">
        <v>-9</v>
      </c>
      <c r="P281" s="20" t="n">
        <v>-8</v>
      </c>
      <c r="Q281" s="20" t="n">
        <v>-9</v>
      </c>
      <c r="R281" s="20" t="n">
        <v>-7</v>
      </c>
      <c r="S281" s="20" t="n">
        <v>-10</v>
      </c>
      <c r="T281" s="20" t="n">
        <v>-5</v>
      </c>
      <c r="U281" s="20" t="n">
        <v>-12</v>
      </c>
      <c r="V281" s="20" t="n">
        <v>-6</v>
      </c>
      <c r="W281" s="20" t="n">
        <v>-6</v>
      </c>
      <c r="X281" s="20" t="n">
        <v>-6</v>
      </c>
    </row>
    <row r="282">
      <c r="A282" s="18" t="inlineStr">
        <is>
          <t>투자유가증권 매각</t>
        </is>
      </c>
      <c r="D282" s="20" t="n">
        <v>183</v>
      </c>
      <c r="F282" s="20" t="n">
        <v>27</v>
      </c>
      <c r="H282" s="20" t="n">
        <v>270</v>
      </c>
      <c r="J282" s="20" t="n">
        <v>0</v>
      </c>
      <c r="L282" s="20" t="n">
        <v>0</v>
      </c>
      <c r="O282" s="20" t="n">
        <v>0</v>
      </c>
      <c r="P282" s="20" t="n">
        <v>232</v>
      </c>
      <c r="Q282" s="20" t="n">
        <v>0</v>
      </c>
      <c r="R282" s="20" t="n">
        <v>0</v>
      </c>
      <c r="S282" s="20" t="n">
        <v>73</v>
      </c>
      <c r="T282" s="20" t="n">
        <v>14</v>
      </c>
      <c r="U282" s="20" t="n">
        <v>1</v>
      </c>
      <c r="V282" s="20" t="n">
        <v>183</v>
      </c>
      <c r="W282" s="20" t="n">
        <v>270</v>
      </c>
      <c r="X282" s="20" t="n">
        <v>0</v>
      </c>
    </row>
    <row r="283">
      <c r="A283" s="18" t="inlineStr">
        <is>
          <t>연결범위 변경 자회사 주식 취득(수입)</t>
        </is>
      </c>
      <c r="Q283" s="20" t="n">
        <v>0</v>
      </c>
      <c r="R283" s="20" t="n">
        <v>26</v>
      </c>
      <c r="S283" s="20" t="n">
        <v>0</v>
      </c>
    </row>
    <row r="284">
      <c r="A284" s="18" t="inlineStr">
        <is>
          <t>연결범위 변경 자회사 주식 취득</t>
        </is>
      </c>
      <c r="D284" s="20" t="n">
        <v>0</v>
      </c>
      <c r="P284" s="20" t="n">
        <v>0</v>
      </c>
      <c r="Q284" s="20" t="n">
        <v>-413</v>
      </c>
      <c r="R284" s="20" t="n">
        <v>0</v>
      </c>
      <c r="T284" s="20" t="n">
        <v>0</v>
      </c>
      <c r="U284" s="20" t="n">
        <v>-878</v>
      </c>
      <c r="V284" s="20" t="n">
        <v>0</v>
      </c>
    </row>
    <row r="285">
      <c r="A285" s="18" t="inlineStr">
        <is>
          <t>기타</t>
        </is>
      </c>
      <c r="O285" s="20" t="n">
        <v>0</v>
      </c>
      <c r="P285" s="20" t="n">
        <v>-33</v>
      </c>
      <c r="Q285" s="20" t="n">
        <v>1</v>
      </c>
      <c r="R285" s="20" t="n">
        <v>0</v>
      </c>
      <c r="S285" s="20" t="n">
        <v>19</v>
      </c>
      <c r="T285" s="20" t="n">
        <v>36</v>
      </c>
      <c r="U285" s="20" t="n">
        <v>0</v>
      </c>
    </row>
    <row r="286">
      <c r="A286" s="18" t="inlineStr">
        <is>
          <t>대여금 회수</t>
        </is>
      </c>
      <c r="D286" s="20" t="n">
        <v>10</v>
      </c>
      <c r="H286" s="20" t="n">
        <v>0</v>
      </c>
      <c r="O286" s="20" t="n">
        <v>0</v>
      </c>
      <c r="P286" s="20" t="n">
        <v>4</v>
      </c>
      <c r="Q286" s="20" t="n">
        <v>1</v>
      </c>
      <c r="R286" s="20" t="n">
        <v>0</v>
      </c>
      <c r="U286" s="20" t="n">
        <v>0</v>
      </c>
      <c r="V286" s="20" t="n">
        <v>10</v>
      </c>
      <c r="W286" s="20" t="n">
        <v>0</v>
      </c>
    </row>
    <row r="287">
      <c r="A287" s="18" t="inlineStr">
        <is>
          <t>정기예금 예입</t>
        </is>
      </c>
      <c r="F287" s="20" t="n">
        <v>-17</v>
      </c>
      <c r="J287" s="20" t="n">
        <v>-1017</v>
      </c>
      <c r="N287" s="20" t="n">
        <v>-17</v>
      </c>
    </row>
    <row r="288">
      <c r="A288" s="18" t="inlineStr">
        <is>
          <t>정기예금 인출</t>
        </is>
      </c>
      <c r="F288" s="20" t="n">
        <v>17</v>
      </c>
      <c r="J288" s="20" t="n">
        <v>17</v>
      </c>
      <c r="N288" s="20" t="n">
        <v>17</v>
      </c>
    </row>
    <row r="289">
      <c r="A289" s="9" t="inlineStr">
        <is>
          <t>투자활동 현금흐름</t>
        </is>
      </c>
      <c r="D289" s="12" t="n">
        <v>-3094</v>
      </c>
      <c r="F289" s="12" t="n">
        <v>-2184</v>
      </c>
      <c r="H289" s="12" t="n">
        <v>-6543</v>
      </c>
      <c r="J289" s="12" t="n">
        <v>-2891</v>
      </c>
      <c r="L289" s="12" t="n">
        <v>-6115</v>
      </c>
      <c r="N289" s="12" t="n">
        <v>-3714</v>
      </c>
      <c r="O289" s="12" t="n">
        <v>-851</v>
      </c>
      <c r="P289" s="12" t="n">
        <v>-5309</v>
      </c>
      <c r="Q289" s="12" t="n">
        <v>-3339</v>
      </c>
      <c r="R289" s="12" t="n">
        <v>-4289</v>
      </c>
      <c r="S289" s="12" t="n">
        <v>-5818</v>
      </c>
      <c r="T289" s="12" t="n">
        <v>-3928</v>
      </c>
      <c r="U289" s="12" t="n">
        <v>-3554</v>
      </c>
      <c r="V289" s="12" t="n">
        <v>-3094</v>
      </c>
      <c r="W289" s="12" t="n">
        <v>-6543</v>
      </c>
      <c r="X289" s="12" t="n">
        <v>-6115</v>
      </c>
    </row>
    <row r="290">
      <c r="A290" s="18" t="inlineStr">
        <is>
          <t>단기차입금 순증감</t>
        </is>
      </c>
      <c r="D290" s="20" t="n">
        <v>-140</v>
      </c>
      <c r="F290" s="20" t="n">
        <v>-78</v>
      </c>
      <c r="H290" s="20" t="n">
        <v>-947</v>
      </c>
      <c r="J290" s="20" t="n">
        <v>-98</v>
      </c>
      <c r="L290" s="20" t="n">
        <v>-199</v>
      </c>
      <c r="N290" s="20" t="n">
        <v>0</v>
      </c>
      <c r="O290" s="20" t="n">
        <v>-1248</v>
      </c>
      <c r="P290" s="20" t="n">
        <v>-1000</v>
      </c>
      <c r="Q290" s="20" t="n">
        <v>466</v>
      </c>
      <c r="R290" s="20" t="n">
        <v>-608</v>
      </c>
      <c r="S290" s="20" t="n">
        <v>-16</v>
      </c>
      <c r="T290" s="20" t="n">
        <v>49</v>
      </c>
      <c r="U290" s="20" t="n">
        <v>-70</v>
      </c>
      <c r="V290" s="20" t="n">
        <v>-140</v>
      </c>
      <c r="W290" s="20" t="n">
        <v>-947</v>
      </c>
      <c r="X290" s="20" t="n">
        <v>-199</v>
      </c>
    </row>
    <row r="291">
      <c r="A291" s="18" t="inlineStr">
        <is>
          <t>장기차입</t>
        </is>
      </c>
      <c r="D291" s="20" t="n">
        <v>300</v>
      </c>
      <c r="F291" s="20" t="n">
        <v>0</v>
      </c>
      <c r="H291" s="20" t="n">
        <v>0</v>
      </c>
      <c r="P291" s="20" t="n">
        <v>0</v>
      </c>
      <c r="Q291" s="20" t="n">
        <v>300</v>
      </c>
      <c r="R291" s="20" t="n">
        <v>0</v>
      </c>
      <c r="S291" s="20" t="n">
        <v>72</v>
      </c>
      <c r="T291" s="20" t="n">
        <v>0</v>
      </c>
      <c r="U291" s="20" t="n">
        <v>0</v>
      </c>
      <c r="V291" s="20" t="n">
        <v>300</v>
      </c>
      <c r="W291" s="20" t="n">
        <v>0</v>
      </c>
    </row>
    <row r="292">
      <c r="A292" s="18" t="inlineStr">
        <is>
          <t>장기차입금 상환</t>
        </is>
      </c>
      <c r="D292" s="20" t="n">
        <v>-130</v>
      </c>
      <c r="F292" s="20" t="n">
        <v>-30</v>
      </c>
      <c r="H292" s="20" t="n">
        <v>-60</v>
      </c>
      <c r="J292" s="20" t="n">
        <v>-30</v>
      </c>
      <c r="L292" s="20" t="n">
        <v>-60</v>
      </c>
      <c r="N292" s="20" t="n">
        <v>-30</v>
      </c>
      <c r="O292" s="20" t="n">
        <v>-353</v>
      </c>
      <c r="P292" s="20" t="n">
        <v>-287</v>
      </c>
      <c r="Q292" s="20" t="n">
        <v>-252</v>
      </c>
      <c r="R292" s="20" t="n">
        <v>-331</v>
      </c>
      <c r="S292" s="20" t="n">
        <v>-181</v>
      </c>
      <c r="T292" s="20" t="n">
        <v>-200</v>
      </c>
      <c r="U292" s="20" t="n">
        <v>-509</v>
      </c>
      <c r="V292" s="20" t="n">
        <v>-130</v>
      </c>
      <c r="W292" s="20" t="n">
        <v>-60</v>
      </c>
      <c r="X292" s="20" t="n">
        <v>-60</v>
      </c>
    </row>
    <row r="293">
      <c r="A293" s="18" t="inlineStr">
        <is>
          <t>자기주식 취득</t>
        </is>
      </c>
      <c r="D293" s="20" t="n">
        <v>-501</v>
      </c>
      <c r="F293" s="20" t="n">
        <v>-0</v>
      </c>
      <c r="H293" s="20" t="n">
        <v>-2</v>
      </c>
      <c r="J293" s="20" t="n">
        <v>-500</v>
      </c>
      <c r="L293" s="20" t="n">
        <v>-680</v>
      </c>
      <c r="N293" s="20" t="n">
        <v>-1</v>
      </c>
      <c r="O293" s="20" t="n">
        <v>-3</v>
      </c>
      <c r="P293" s="20" t="n">
        <v>-1</v>
      </c>
      <c r="Q293" s="20" t="n">
        <v>-2</v>
      </c>
      <c r="R293" s="20" t="n">
        <v>-1</v>
      </c>
      <c r="S293" s="20" t="n">
        <v>-0</v>
      </c>
      <c r="T293" s="20" t="n">
        <v>-0</v>
      </c>
      <c r="U293" s="20" t="n">
        <v>-0</v>
      </c>
      <c r="V293" s="20" t="n">
        <v>-501</v>
      </c>
      <c r="W293" s="20" t="n">
        <v>-2</v>
      </c>
      <c r="X293" s="20" t="n">
        <v>-680</v>
      </c>
    </row>
    <row r="294">
      <c r="A294" s="18" t="inlineStr">
        <is>
          <t>배당금 지급</t>
        </is>
      </c>
      <c r="D294" s="20" t="n">
        <v>-1258</v>
      </c>
      <c r="F294" s="20" t="n">
        <v>-621</v>
      </c>
      <c r="H294" s="20" t="n">
        <v>-1299</v>
      </c>
      <c r="J294" s="20" t="n">
        <v>-790</v>
      </c>
      <c r="L294" s="20" t="n">
        <v>-1635</v>
      </c>
      <c r="N294" s="20" t="n">
        <v>-1176</v>
      </c>
      <c r="O294" s="20" t="n">
        <v>-798</v>
      </c>
      <c r="P294" s="20" t="n">
        <v>-1025</v>
      </c>
      <c r="Q294" s="20" t="n">
        <v>-1709</v>
      </c>
      <c r="R294" s="20" t="n">
        <v>-1139</v>
      </c>
      <c r="S294" s="20" t="n">
        <v>-1140</v>
      </c>
      <c r="T294" s="20" t="n">
        <v>-1256</v>
      </c>
      <c r="U294" s="20" t="n">
        <v>-1256</v>
      </c>
      <c r="V294" s="20" t="n">
        <v>-1258</v>
      </c>
      <c r="W294" s="20" t="n">
        <v>-1299</v>
      </c>
      <c r="X294" s="20" t="n">
        <v>-1635</v>
      </c>
    </row>
    <row r="295">
      <c r="A295" s="18" t="inlineStr">
        <is>
          <t>리스부채 상환</t>
        </is>
      </c>
      <c r="D295" s="20" t="n">
        <v>-56</v>
      </c>
      <c r="F295" s="20" t="n">
        <v>-25</v>
      </c>
      <c r="H295" s="20" t="n">
        <v>-50</v>
      </c>
      <c r="J295" s="20" t="n">
        <v>-24</v>
      </c>
      <c r="L295" s="20" t="n">
        <v>-46</v>
      </c>
      <c r="N295" s="20" t="n">
        <v>-27</v>
      </c>
      <c r="O295" s="20" t="n">
        <v>-111</v>
      </c>
      <c r="P295" s="20" t="n">
        <v>-119</v>
      </c>
      <c r="Q295" s="20" t="n">
        <v>-104</v>
      </c>
      <c r="R295" s="20" t="n">
        <v>-92</v>
      </c>
      <c r="S295" s="20" t="n">
        <v>-46</v>
      </c>
      <c r="T295" s="20" t="n">
        <v>-48</v>
      </c>
      <c r="U295" s="20" t="n">
        <v>-61</v>
      </c>
      <c r="V295" s="20" t="n">
        <v>-56</v>
      </c>
      <c r="W295" s="20" t="n">
        <v>-50</v>
      </c>
      <c r="X295" s="20" t="n">
        <v>-46</v>
      </c>
    </row>
    <row r="296">
      <c r="A296" s="9" t="inlineStr">
        <is>
          <t>재무활동 현금흐름</t>
        </is>
      </c>
      <c r="D296" s="12" t="n">
        <v>-1786</v>
      </c>
      <c r="F296" s="12" t="n">
        <v>-756</v>
      </c>
      <c r="H296" s="12" t="n">
        <v>-2360</v>
      </c>
      <c r="J296" s="12" t="n">
        <v>-1444</v>
      </c>
      <c r="L296" s="12" t="n">
        <v>-2621</v>
      </c>
      <c r="N296" s="12" t="n">
        <v>-1235</v>
      </c>
      <c r="O296" s="12" t="n">
        <v>-2515</v>
      </c>
      <c r="P296" s="12" t="n">
        <v>-2434</v>
      </c>
      <c r="Q296" s="12" t="n">
        <v>-1302</v>
      </c>
      <c r="R296" s="12" t="n">
        <v>-2174</v>
      </c>
      <c r="S296" s="12" t="n">
        <v>-1312</v>
      </c>
      <c r="T296" s="12" t="n">
        <v>-1456</v>
      </c>
      <c r="U296" s="12" t="n">
        <v>-1899</v>
      </c>
      <c r="V296" s="12" t="n">
        <v>-1786</v>
      </c>
      <c r="W296" s="12" t="n">
        <v>-2360</v>
      </c>
      <c r="X296" s="12" t="n">
        <v>-2621</v>
      </c>
    </row>
    <row r="297">
      <c r="A297" s="18" t="inlineStr">
        <is>
          <t>현금성자산 환산차이</t>
        </is>
      </c>
      <c r="D297" s="20" t="n">
        <v>48</v>
      </c>
      <c r="F297" s="20" t="n">
        <v>17</v>
      </c>
      <c r="H297" s="20" t="n">
        <v>50</v>
      </c>
      <c r="J297" s="20" t="n">
        <v>-35</v>
      </c>
      <c r="L297" s="20" t="n">
        <v>62</v>
      </c>
      <c r="N297" s="20" t="n">
        <v>13</v>
      </c>
      <c r="O297" s="20" t="n">
        <v>-30</v>
      </c>
      <c r="P297" s="20" t="n">
        <v>43</v>
      </c>
      <c r="Q297" s="20" t="n">
        <v>-30</v>
      </c>
      <c r="R297" s="20" t="n">
        <v>14</v>
      </c>
      <c r="S297" s="20" t="n">
        <v>-21</v>
      </c>
      <c r="T297" s="20" t="n">
        <v>20</v>
      </c>
      <c r="U297" s="20" t="n">
        <v>53</v>
      </c>
      <c r="V297" s="20" t="n">
        <v>48</v>
      </c>
      <c r="W297" s="20" t="n">
        <v>50</v>
      </c>
      <c r="X297" s="20" t="n">
        <v>62</v>
      </c>
    </row>
    <row r="298">
      <c r="A298" s="18" t="inlineStr">
        <is>
          <t>현금성자산 증감</t>
        </is>
      </c>
      <c r="D298" s="20" t="n">
        <v>155</v>
      </c>
      <c r="F298" s="20" t="n">
        <v>1309</v>
      </c>
      <c r="H298" s="20" t="n">
        <v>-197</v>
      </c>
      <c r="J298" s="20" t="n">
        <v>559</v>
      </c>
      <c r="L298" s="20" t="n">
        <v>1469</v>
      </c>
      <c r="N298" s="20" t="n">
        <v>1762</v>
      </c>
      <c r="O298" s="20" t="n">
        <v>4597</v>
      </c>
      <c r="P298" s="20" t="n">
        <v>-4002</v>
      </c>
      <c r="Q298" s="20" t="n">
        <v>136</v>
      </c>
      <c r="R298" s="20" t="n">
        <v>100</v>
      </c>
      <c r="S298" s="20" t="n">
        <v>-358</v>
      </c>
      <c r="T298" s="20" t="n">
        <v>3743</v>
      </c>
      <c r="U298" s="20" t="n">
        <v>-224</v>
      </c>
      <c r="V298" s="20" t="n">
        <v>155</v>
      </c>
      <c r="W298" s="20" t="n">
        <v>-197</v>
      </c>
      <c r="X298" s="20" t="n">
        <v>1469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후지보홀딩스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25487</v>
      </c>
      <c r="D5" s="12" t="n">
        <v>25065</v>
      </c>
      <c r="E5" s="12" t="n">
        <v>25580</v>
      </c>
      <c r="F5" s="12" t="n">
        <v>25451</v>
      </c>
      <c r="G5" s="12" t="n">
        <v>28149</v>
      </c>
      <c r="H5" s="11" t="n">
        <v>22544</v>
      </c>
      <c r="I5" s="12" t="n">
        <v>23003</v>
      </c>
      <c r="J5" s="12" t="n">
        <v>23689</v>
      </c>
      <c r="K5" s="12" t="n">
        <v>25052</v>
      </c>
      <c r="L5" s="12" t="n">
        <v>25580</v>
      </c>
    </row>
    <row r="6">
      <c r="A6" s="18" t="inlineStr">
        <is>
          <t>현금및현금성자산</t>
        </is>
      </c>
      <c r="B6" s="10" t="n"/>
      <c r="C6" s="19" t="n">
        <v>9625</v>
      </c>
      <c r="D6" s="20" t="n">
        <v>9008</v>
      </c>
      <c r="E6" s="20" t="n">
        <v>9535</v>
      </c>
      <c r="F6" s="20" t="n">
        <v>8662</v>
      </c>
      <c r="G6" s="20" t="n">
        <v>11298</v>
      </c>
      <c r="H6" s="19" t="n">
        <v>8330</v>
      </c>
      <c r="I6" s="20" t="n">
        <v>8105</v>
      </c>
      <c r="J6" s="20" t="n">
        <v>8262</v>
      </c>
      <c r="K6" s="20" t="n">
        <v>8065</v>
      </c>
      <c r="L6" s="20" t="n">
        <v>9535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8400</v>
      </c>
      <c r="D8" s="20" t="n">
        <v>8668</v>
      </c>
      <c r="E8" s="20" t="n">
        <v>8742</v>
      </c>
      <c r="F8" s="20" t="n">
        <v>8774</v>
      </c>
      <c r="G8" s="20" t="n">
        <v>9409</v>
      </c>
      <c r="H8" s="19" t="n">
        <v>8510</v>
      </c>
      <c r="I8" s="20" t="n">
        <v>8002</v>
      </c>
      <c r="J8" s="20" t="n">
        <v>8554</v>
      </c>
      <c r="K8" s="20" t="n">
        <v>10038</v>
      </c>
      <c r="L8" s="20" t="n">
        <v>8742</v>
      </c>
    </row>
    <row r="9">
      <c r="A9" s="18" t="inlineStr">
        <is>
          <t>재고자산</t>
        </is>
      </c>
      <c r="B9" s="10" t="n"/>
      <c r="C9" s="19" t="n">
        <v>6136</v>
      </c>
      <c r="D9" s="20" t="n">
        <v>5744</v>
      </c>
      <c r="E9" s="20" t="n">
        <v>5861</v>
      </c>
      <c r="F9" s="20" t="n">
        <v>6488</v>
      </c>
      <c r="G9" s="20" t="n">
        <v>6350</v>
      </c>
      <c r="H9" s="19" t="n">
        <v>4522</v>
      </c>
      <c r="I9" s="20" t="n">
        <v>5870</v>
      </c>
      <c r="J9" s="20" t="n">
        <v>5437</v>
      </c>
      <c r="K9" s="20" t="n">
        <v>5419</v>
      </c>
      <c r="L9" s="20" t="n">
        <v>5861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43296</v>
      </c>
      <c r="D11" s="12" t="n">
        <v>45025</v>
      </c>
      <c r="E11" s="12" t="n">
        <v>46235</v>
      </c>
      <c r="F11" s="12" t="n">
        <v>46937</v>
      </c>
      <c r="G11" s="12" t="n">
        <v>47200</v>
      </c>
      <c r="H11" s="11" t="n">
        <v>35987</v>
      </c>
      <c r="I11" s="12" t="n">
        <v>38365</v>
      </c>
      <c r="J11" s="12" t="n">
        <v>38822</v>
      </c>
      <c r="K11" s="12" t="n">
        <v>41556</v>
      </c>
      <c r="L11" s="12" t="n">
        <v>46235</v>
      </c>
    </row>
    <row r="12">
      <c r="A12" s="18" t="inlineStr">
        <is>
          <t>유형자산</t>
        </is>
      </c>
      <c r="B12" s="10" t="n"/>
      <c r="C12" s="19" t="n">
        <v>38057</v>
      </c>
      <c r="D12" s="20" t="n">
        <v>39529</v>
      </c>
      <c r="E12" s="20" t="n">
        <v>41220</v>
      </c>
      <c r="F12" s="20" t="n">
        <v>41582</v>
      </c>
      <c r="G12" s="20" t="n">
        <v>41499</v>
      </c>
      <c r="H12" s="19" t="n">
        <v>32572</v>
      </c>
      <c r="I12" s="20" t="n">
        <v>33968</v>
      </c>
      <c r="J12" s="20" t="n">
        <v>33962</v>
      </c>
      <c r="K12" s="20" t="n">
        <v>36776</v>
      </c>
      <c r="L12" s="20" t="n">
        <v>41220</v>
      </c>
    </row>
    <row r="13">
      <c r="A13" s="18" t="inlineStr">
        <is>
          <t>무형자산</t>
        </is>
      </c>
      <c r="B13" s="10" t="n"/>
      <c r="C13" s="19" t="n">
        <v>987</v>
      </c>
      <c r="D13" s="20" t="n">
        <v>965</v>
      </c>
      <c r="E13" s="20" t="n">
        <v>376</v>
      </c>
      <c r="F13" s="20" t="n">
        <v>352</v>
      </c>
      <c r="G13" s="20" t="n">
        <v>331</v>
      </c>
      <c r="H13" s="19" t="n">
        <v>605</v>
      </c>
      <c r="I13" s="20" t="n">
        <v>1397</v>
      </c>
      <c r="J13" s="20" t="n">
        <v>1217</v>
      </c>
      <c r="K13" s="20" t="n">
        <v>1073</v>
      </c>
      <c r="L13" s="20" t="n">
        <v>376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68783</v>
      </c>
      <c r="D16" s="12" t="n">
        <v>70090</v>
      </c>
      <c r="E16" s="12" t="n">
        <v>71816</v>
      </c>
      <c r="F16" s="12" t="n">
        <v>72389</v>
      </c>
      <c r="G16" s="12" t="n">
        <v>75349</v>
      </c>
      <c r="H16" s="11" t="n">
        <v>58531</v>
      </c>
      <c r="I16" s="12" t="n">
        <v>61368</v>
      </c>
      <c r="J16" s="12" t="n">
        <v>62512</v>
      </c>
      <c r="K16" s="12" t="n">
        <v>66608</v>
      </c>
      <c r="L16" s="12" t="n">
        <v>71816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12798</v>
      </c>
      <c r="D18" s="12" t="n">
        <v>12761</v>
      </c>
      <c r="E18" s="12" t="n">
        <v>13305</v>
      </c>
      <c r="F18" s="12" t="n">
        <v>12988</v>
      </c>
      <c r="G18" s="12" t="n">
        <v>13978</v>
      </c>
      <c r="H18" s="11" t="n">
        <v>11476</v>
      </c>
      <c r="I18" s="12" t="n">
        <v>11869</v>
      </c>
      <c r="J18" s="12" t="n">
        <v>11756</v>
      </c>
      <c r="K18" s="12" t="n">
        <v>12499</v>
      </c>
      <c r="L18" s="12" t="n">
        <v>13305</v>
      </c>
    </row>
    <row r="19">
      <c r="A19" s="18" t="inlineStr">
        <is>
          <t>매입채무</t>
        </is>
      </c>
      <c r="B19" s="10" t="n"/>
      <c r="C19" s="19" t="n">
        <v>3754</v>
      </c>
      <c r="D19" s="20" t="n">
        <v>3387</v>
      </c>
      <c r="E19" s="20" t="n">
        <v>3704</v>
      </c>
      <c r="F19" s="20" t="n">
        <v>4185</v>
      </c>
      <c r="G19" s="20" t="n">
        <v>4255</v>
      </c>
      <c r="H19" s="19" t="n">
        <v>4955</v>
      </c>
      <c r="I19" s="20" t="n">
        <v>4087</v>
      </c>
      <c r="J19" s="20" t="n">
        <v>4156</v>
      </c>
      <c r="K19" s="20" t="n">
        <v>4772</v>
      </c>
      <c r="L19" s="20" t="n">
        <v>3704</v>
      </c>
    </row>
    <row r="20">
      <c r="A20" s="18" t="inlineStr">
        <is>
          <t>단기차입금</t>
        </is>
      </c>
      <c r="B20" s="10" t="n"/>
      <c r="C20" s="19" t="n">
        <v>229</v>
      </c>
      <c r="D20" s="20" t="n">
        <v>763</v>
      </c>
      <c r="E20" s="20" t="n">
        <v>134</v>
      </c>
      <c r="F20" s="20" t="n">
        <v>134</v>
      </c>
      <c r="G20" s="20" t="n">
        <v>135</v>
      </c>
      <c r="H20" s="19" t="n">
        <v>1306</v>
      </c>
      <c r="I20" s="20" t="n">
        <v>1292</v>
      </c>
      <c r="J20" s="20" t="n">
        <v>1223</v>
      </c>
      <c r="K20" s="20" t="n">
        <v>321</v>
      </c>
      <c r="L20" s="20" t="n">
        <v>134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6674</v>
      </c>
      <c r="D23" s="12" t="n">
        <v>7079</v>
      </c>
      <c r="E23" s="12" t="n">
        <v>6819</v>
      </c>
      <c r="F23" s="12" t="n">
        <v>6901</v>
      </c>
      <c r="G23" s="12" t="n">
        <v>6802</v>
      </c>
      <c r="H23" s="11" t="n">
        <v>6557</v>
      </c>
      <c r="I23" s="12" t="n">
        <v>6578</v>
      </c>
      <c r="J23" s="12" t="n">
        <v>6782</v>
      </c>
      <c r="K23" s="12" t="n">
        <v>6649</v>
      </c>
      <c r="L23" s="12" t="n">
        <v>6819</v>
      </c>
    </row>
    <row r="24">
      <c r="A24" s="18" t="inlineStr">
        <is>
          <t>장기차입금</t>
        </is>
      </c>
      <c r="B24" s="10" t="n"/>
      <c r="C24" s="19" t="n">
        <v>120</v>
      </c>
      <c r="D24" s="20" t="n">
        <v>90</v>
      </c>
      <c r="E24" s="20" t="n">
        <v>90</v>
      </c>
      <c r="F24" s="20" t="n">
        <v>60</v>
      </c>
      <c r="G24" s="20" t="n">
        <v>60</v>
      </c>
      <c r="H24" s="19" t="n">
        <v>60</v>
      </c>
      <c r="I24" s="20" t="n">
        <v>26</v>
      </c>
      <c r="J24" s="20" t="n">
        <v>210</v>
      </c>
      <c r="K24" s="20" t="n">
        <v>150</v>
      </c>
      <c r="L24" s="20" t="n">
        <v>90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19472</v>
      </c>
      <c r="D27" s="12" t="n">
        <v>19840</v>
      </c>
      <c r="E27" s="12" t="n">
        <v>20124</v>
      </c>
      <c r="F27" s="12" t="n">
        <v>19890</v>
      </c>
      <c r="G27" s="12" t="n">
        <v>20780</v>
      </c>
      <c r="H27" s="11" t="n">
        <v>18034</v>
      </c>
      <c r="I27" s="12" t="n">
        <v>18448</v>
      </c>
      <c r="J27" s="12" t="n">
        <v>18539</v>
      </c>
      <c r="K27" s="12" t="n">
        <v>19148</v>
      </c>
      <c r="L27" s="12" t="n">
        <v>20124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49311</v>
      </c>
      <c r="D31" s="12" t="n">
        <v>50250</v>
      </c>
      <c r="E31" s="12" t="n">
        <v>51691</v>
      </c>
      <c r="F31" s="12" t="n">
        <v>52499</v>
      </c>
      <c r="G31" s="12" t="n">
        <v>54568</v>
      </c>
      <c r="H31" s="11" t="n">
        <v>40497</v>
      </c>
      <c r="I31" s="12" t="n">
        <v>42920</v>
      </c>
      <c r="J31" s="12" t="n">
        <v>43973</v>
      </c>
      <c r="K31" s="12" t="n">
        <v>47460</v>
      </c>
      <c r="L31" s="12" t="n">
        <v>51691</v>
      </c>
    </row>
    <row r="32">
      <c r="A32" s="18" t="inlineStr">
        <is>
          <t>자본금</t>
        </is>
      </c>
      <c r="B32" s="10" t="n"/>
      <c r="C32" s="19" t="n">
        <v>6673</v>
      </c>
      <c r="D32" s="20" t="n">
        <v>6673</v>
      </c>
      <c r="E32" s="20" t="n">
        <v>6673</v>
      </c>
      <c r="F32" s="20" t="n">
        <v>6673</v>
      </c>
      <c r="G32" s="20" t="n">
        <v>6673</v>
      </c>
      <c r="H32" s="19" t="n">
        <v>6673</v>
      </c>
      <c r="I32" s="20" t="n">
        <v>6673</v>
      </c>
      <c r="J32" s="20" t="n">
        <v>6673</v>
      </c>
      <c r="K32" s="20" t="n">
        <v>6673</v>
      </c>
      <c r="L32" s="20" t="n">
        <v>6673</v>
      </c>
    </row>
    <row r="33">
      <c r="A33" s="18" t="inlineStr">
        <is>
          <t>이익잉여금</t>
        </is>
      </c>
      <c r="B33" s="10" t="n"/>
      <c r="C33" s="19" t="n">
        <v>37783</v>
      </c>
      <c r="D33" s="20" t="n">
        <v>38401</v>
      </c>
      <c r="E33" s="20" t="n">
        <v>39760</v>
      </c>
      <c r="F33" s="20" t="n">
        <v>40324</v>
      </c>
      <c r="G33" s="20" t="n">
        <v>41930</v>
      </c>
      <c r="H33" s="19" t="n">
        <v>29676</v>
      </c>
      <c r="I33" s="20" t="n">
        <v>31815</v>
      </c>
      <c r="J33" s="20" t="n">
        <v>32684</v>
      </c>
      <c r="K33" s="20" t="n">
        <v>35846</v>
      </c>
      <c r="L33" s="20" t="n">
        <v>39760</v>
      </c>
    </row>
    <row r="34">
      <c r="A34" s="18" t="inlineStr">
        <is>
          <t>비지배지분</t>
        </is>
      </c>
      <c r="B34" s="10" t="n"/>
      <c r="C34" s="19" t="n">
        <v>0</v>
      </c>
      <c r="D34" s="20" t="n">
        <v>0</v>
      </c>
      <c r="E34" s="20" t="n">
        <v>0</v>
      </c>
      <c r="F34" s="20" t="n">
        <v>0</v>
      </c>
      <c r="G34" s="20" t="n">
        <v>0</v>
      </c>
      <c r="H34" s="19" t="n">
        <v>0</v>
      </c>
      <c r="I34" s="20" t="n">
        <v>0</v>
      </c>
      <c r="J34" s="20" t="n">
        <v>0</v>
      </c>
      <c r="K34" s="20" t="n">
        <v>0</v>
      </c>
      <c r="L34" s="20" t="n">
        <v>0</v>
      </c>
    </row>
    <row r="35">
      <c r="A35" s="9" t="inlineStr">
        <is>
          <t>자본총계</t>
        </is>
      </c>
      <c r="B35" s="10" t="n"/>
      <c r="C35" s="11" t="n">
        <v>49311</v>
      </c>
      <c r="D35" s="12" t="n">
        <v>50250</v>
      </c>
      <c r="E35" s="12" t="n">
        <v>51691</v>
      </c>
      <c r="F35" s="12" t="n">
        <v>52499</v>
      </c>
      <c r="G35" s="12" t="n">
        <v>54568</v>
      </c>
      <c r="H35" s="11" t="n">
        <v>40497</v>
      </c>
      <c r="I35" s="12" t="n">
        <v>42920</v>
      </c>
      <c r="J35" s="12" t="n">
        <v>43973</v>
      </c>
      <c r="K35" s="12" t="n">
        <v>47460</v>
      </c>
      <c r="L35" s="12" t="n">
        <v>51691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9354</v>
      </c>
      <c r="D37" s="12" t="n"/>
      <c r="E37" s="12" t="n">
        <v>10143</v>
      </c>
      <c r="F37" s="12" t="n"/>
      <c r="G37" s="12" t="n">
        <v>11913</v>
      </c>
      <c r="H37" s="11" t="n">
        <v>9107</v>
      </c>
      <c r="I37" s="12" t="n">
        <v>5175</v>
      </c>
      <c r="J37" s="12" t="n">
        <v>4987</v>
      </c>
      <c r="K37" s="12" t="n">
        <v>8656</v>
      </c>
      <c r="L37" s="12" t="n">
        <v>10143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1468</v>
      </c>
      <c r="D40" s="20" t="n"/>
      <c r="E40" s="20" t="n">
        <v>1635</v>
      </c>
      <c r="F40" s="20" t="n"/>
      <c r="G40" s="20" t="n">
        <v>2021</v>
      </c>
      <c r="H40" s="19" t="n">
        <v>1256</v>
      </c>
      <c r="I40" s="20" t="n">
        <v>1256</v>
      </c>
      <c r="J40" s="20" t="n">
        <v>1258</v>
      </c>
      <c r="K40" s="20" t="n">
        <v>1299</v>
      </c>
      <c r="L40" s="20" t="n">
        <v>1635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IFERROR((IF(COUNT('연간'!G37:J37)&lt;4,"",SUM('연간'!G37:J37)))/(IF(COUNT('연간'!G59:J59)&lt;4,"",SUM('연간'!G59:J59))),"")</f>
        <v/>
      </c>
      <c r="D48" s="31">
        <f>IFERROR((IF(COUNT('연간'!H37:K37)&lt;4,"",SUM('연간'!H37:K37)))/(IF(COUNT('연간'!H59:K59)&lt;4,"",SUM('연간'!H59:K59))),"")</f>
        <v/>
      </c>
      <c r="E48" s="31">
        <f>IFERROR((IF(COUNT('연간'!I37:L37)&lt;4,"",SUM('연간'!I37:L37)))/(IF(COUNT('연간'!I59:L59)&lt;4,"",SUM('연간'!I59:L59))),"")</f>
        <v/>
      </c>
      <c r="F48" s="31">
        <f>IFERROR((IF(COUNT('연간'!J37:M37)&lt;4,"",SUM('연간'!J37:M37)))/(IF(COUNT('연간'!J59:M59)&lt;4,"",SUM('연간'!J59:M59))),"")</f>
        <v/>
      </c>
      <c r="G48" s="31">
        <f>IFERROR((IF(COUNT('연간'!K37:N37)&lt;4,"",SUM('연간'!K37:N37)))/(IF(COUNT('연간'!K59:N59)&lt;4,"",SUM('연간'!K59:N59))),"")</f>
        <v/>
      </c>
      <c r="H48" s="30">
        <f>IFERROR(('연간'!T37)/('연간'!T59),"")</f>
        <v/>
      </c>
      <c r="I48" s="31">
        <f>IFERROR(('연간'!U37)/('연간'!U59),"")</f>
        <v/>
      </c>
      <c r="J48" s="31">
        <f>IFERROR(('연간'!V37)/('연간'!V59),"")</f>
        <v/>
      </c>
      <c r="K48" s="31">
        <f>IFERROR(('연간'!W37)/('연간'!W59),"")</f>
        <v/>
      </c>
      <c r="L48" s="31">
        <f>IFERROR(('연간'!X37)/('연간'!X59),"")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IFERROR(IF((IF(COUNT('연간'!G67:J67)&lt;4,"",SUM('연간'!G67:J67)))&lt;=0,"적자",C28/(IF(COUNT('연간'!G67:J67)&lt;4,"",SUM('연간'!G67:J67)))),"")</f>
        <v/>
      </c>
      <c r="D49" s="47">
        <f>IFERROR(IF((IF(COUNT('연간'!H67:K67)&lt;4,"",SUM('연간'!H67:K67)))&lt;=0,"적자",D28/(IF(COUNT('연간'!H67:K67)&lt;4,"",SUM('연간'!H67:K67)))),"")</f>
        <v/>
      </c>
      <c r="E49" s="47">
        <f>IFERROR(IF((IF(COUNT('연간'!I67:L67)&lt;4,"",SUM('연간'!I67:L67)))&lt;=0,"적자",E28/(IF(COUNT('연간'!I67:L67)&lt;4,"",SUM('연간'!I67:L67)))),"")</f>
        <v/>
      </c>
      <c r="F49" s="47">
        <f>IFERROR(IF((IF(COUNT('연간'!J67:M67)&lt;4,"",SUM('연간'!J67:M67)))&lt;=0,"적자",F28/(IF(COUNT('연간'!J67:M67)&lt;4,"",SUM('연간'!J67:M67)))),"")</f>
        <v/>
      </c>
      <c r="G49" s="47">
        <f>IFERROR(IF((IF(COUNT('연간'!K67:N67)&lt;4,"",SUM('연간'!K67:N67)))&lt;=0,"적자",G28/(IF(COUNT('연간'!K67:N67)&lt;4,"",SUM('연간'!K67:N67)))),"")</f>
        <v/>
      </c>
      <c r="H49" s="46">
        <f>IFERROR(IF(('연간'!T67)&lt;=0,"적자",H28/('연간'!T67)),"")</f>
        <v/>
      </c>
      <c r="I49" s="47">
        <f>IFERROR(IF(('연간'!U67)&lt;=0,"적자",I28/('연간'!U67)),"")</f>
        <v/>
      </c>
      <c r="J49" s="47">
        <f>IFERROR(IF(('연간'!V67)&lt;=0,"적자",J28/('연간'!V67)),"")</f>
        <v/>
      </c>
      <c r="K49" s="47">
        <f>IFERROR(IF(('연간'!W67)&lt;=0,"적자",K28/('연간'!W67)),"")</f>
        <v/>
      </c>
      <c r="L49" s="47">
        <f>IFERROR(IF(('연간'!X67)&lt;=0,"적자",L28/('연간'!X67)),"")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IFERROR((IF(COUNT('연간'!G67:J67)&lt;4,"",SUM('연간'!G67:J67)))/C31,"")</f>
        <v/>
      </c>
      <c r="D51" s="36">
        <f>IFERROR((IF(COUNT('연간'!H67:K67)&lt;4,"",SUM('연간'!H67:K67)))/D31,"")</f>
        <v/>
      </c>
      <c r="E51" s="36">
        <f>IFERROR((IF(COUNT('연간'!I67:L67)&lt;4,"",SUM('연간'!I67:L67)))/E31,"")</f>
        <v/>
      </c>
      <c r="F51" s="36">
        <f>IFERROR((IF(COUNT('연간'!J67:M67)&lt;4,"",SUM('연간'!J67:M67)))/F31,"")</f>
        <v/>
      </c>
      <c r="G51" s="36">
        <f>IFERROR((IF(COUNT('연간'!K67:N67)&lt;4,"",SUM('연간'!K67:N67)))/G31,"")</f>
        <v/>
      </c>
      <c r="H51" s="35">
        <f>IFERROR(('연간'!T67)/H31,"")</f>
        <v/>
      </c>
      <c r="I51" s="36">
        <f>IFERROR(('연간'!U67)/I31,"")</f>
        <v/>
      </c>
      <c r="J51" s="36">
        <f>IFERROR(('연간'!V67)/J31,"")</f>
        <v/>
      </c>
      <c r="K51" s="36">
        <f>IFERROR(('연간'!W67)/K31,"")</f>
        <v/>
      </c>
      <c r="L51" s="36">
        <f>IFERROR(('연간'!X67)/L31,"")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IFERROR((IF(COUNT('연간'!G65:J65)&lt;4,"",SUM('연간'!G65:J65)))/C16,"")</f>
        <v/>
      </c>
      <c r="D52" s="36">
        <f>IFERROR((IF(COUNT('연간'!H65:K65)&lt;4,"",SUM('연간'!H65:K65)))/D16,"")</f>
        <v/>
      </c>
      <c r="E52" s="36">
        <f>IFERROR((IF(COUNT('연간'!I65:L65)&lt;4,"",SUM('연간'!I65:L65)))/E16,"")</f>
        <v/>
      </c>
      <c r="F52" s="36">
        <f>IFERROR((IF(COUNT('연간'!J65:M65)&lt;4,"",SUM('연간'!J65:M65)))/F16,"")</f>
        <v/>
      </c>
      <c r="G52" s="36">
        <f>IFERROR((IF(COUNT('연간'!K65:N65)&lt;4,"",SUM('연간'!K65:N65)))/G16,"")</f>
        <v/>
      </c>
      <c r="H52" s="35">
        <f>IFERROR(('연간'!T65)/H16,"")</f>
        <v/>
      </c>
      <c r="I52" s="36">
        <f>IFERROR(('연간'!U65)/I16,"")</f>
        <v/>
      </c>
      <c r="J52" s="36">
        <f>IFERROR(('연간'!V65)/J16,"")</f>
        <v/>
      </c>
      <c r="K52" s="36">
        <f>IFERROR(('연간'!W65)/K16,"")</f>
        <v/>
      </c>
      <c r="L52" s="36">
        <f>IFERROR(('연간'!X65)/L16,"")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IFERROR((IF(COUNT('연간'!G37:J37)&lt;4,"",SUM('연간'!G37:J37)))*(1-0.3)/(C35+C29),"")</f>
        <v/>
      </c>
      <c r="D53" s="36">
        <f>IFERROR((IF(COUNT('연간'!H37:K37)&lt;4,"",SUM('연간'!H37:K37)))*(1-0.3)/(D35+D29),"")</f>
        <v/>
      </c>
      <c r="E53" s="36">
        <f>IFERROR((IF(COUNT('연간'!I37:L37)&lt;4,"",SUM('연간'!I37:L37)))*(1-0.3)/(E35+E29),"")</f>
        <v/>
      </c>
      <c r="F53" s="36">
        <f>IFERROR((IF(COUNT('연간'!J37:M37)&lt;4,"",SUM('연간'!J37:M37)))*(1-0.3)/(F35+F29),"")</f>
        <v/>
      </c>
      <c r="G53" s="36">
        <f>IFERROR((IF(COUNT('연간'!K37:N37)&lt;4,"",SUM('연간'!K37:N37)))*(1-0.3)/(G35+G29),"")</f>
        <v/>
      </c>
      <c r="H53" s="35">
        <f>IFERROR(('연간'!T37)*(1-0.3)/(H35+H29),"")</f>
        <v/>
      </c>
      <c r="I53" s="36">
        <f>IFERROR(('연간'!U37)*(1-0.3)/(I35+I29),"")</f>
        <v/>
      </c>
      <c r="J53" s="36">
        <f>IFERROR(('연간'!V37)*(1-0.3)/(J35+J29),"")</f>
        <v/>
      </c>
      <c r="K53" s="36">
        <f>IFERROR(('연간'!W37)*(1-0.3)/(K35+K29),"")</f>
        <v/>
      </c>
      <c r="L53" s="36">
        <f>IFERROR(('연간'!X37)*(1-0.3)/(L35+L29),"")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IFERROR((IF(COUNT('연간'!G31:J31)&lt;4,"",SUM('연간'!G31:J31)))/(IF(COUNT('연간'!G4:J4)&lt;4,"",SUM('연간'!G4:J4))),"")</f>
        <v/>
      </c>
      <c r="D54" s="36">
        <f>IFERROR((IF(COUNT('연간'!H31:K31)&lt;4,"",SUM('연간'!H31:K31)))/(IF(COUNT('연간'!H4:K4)&lt;4,"",SUM('연간'!H4:K4))),"")</f>
        <v/>
      </c>
      <c r="E54" s="36">
        <f>IFERROR((IF(COUNT('연간'!I31:L31)&lt;4,"",SUM('연간'!I31:L31)))/(IF(COUNT('연간'!I4:L4)&lt;4,"",SUM('연간'!I4:L4))),"")</f>
        <v/>
      </c>
      <c r="F54" s="36">
        <f>IFERROR((IF(COUNT('연간'!J31:M31)&lt;4,"",SUM('연간'!J31:M31)))/(IF(COUNT('연간'!J4:M4)&lt;4,"",SUM('연간'!J4:M4))),"")</f>
        <v/>
      </c>
      <c r="G54" s="36">
        <f>IFERROR((IF(COUNT('연간'!K31:N31)&lt;4,"",SUM('연간'!K31:N31)))/(IF(COUNT('연간'!K4:N4)&lt;4,"",SUM('연간'!K4:N4))),"")</f>
        <v/>
      </c>
      <c r="H54" s="35">
        <f>IFERROR(('연간'!T31)/('연간'!T4),"")</f>
        <v/>
      </c>
      <c r="I54" s="36">
        <f>IFERROR(('연간'!U31)/('연간'!U4),"")</f>
        <v/>
      </c>
      <c r="J54" s="36">
        <f>IFERROR(('연간'!V31)/('연간'!V4),"")</f>
        <v/>
      </c>
      <c r="K54" s="36">
        <f>IFERROR(('연간'!W31)/('연간'!W4),"")</f>
        <v/>
      </c>
      <c r="L54" s="36">
        <f>IFERROR(('연간'!X31)/('연간'!X4),"")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IFERROR((IF(COUNT('연간'!G37:J37)&lt;4,"",SUM('연간'!G37:J37)))/(IF(COUNT('연간'!G4:J4)&lt;4,"",SUM('연간'!G4:J4))),"")</f>
        <v/>
      </c>
      <c r="D55" s="36">
        <f>IFERROR((IF(COUNT('연간'!H37:K37)&lt;4,"",SUM('연간'!H37:K37)))/(IF(COUNT('연간'!H4:K4)&lt;4,"",SUM('연간'!H4:K4))),"")</f>
        <v/>
      </c>
      <c r="E55" s="36">
        <f>IFERROR((IF(COUNT('연간'!I37:L37)&lt;4,"",SUM('연간'!I37:L37)))/(IF(COUNT('연간'!I4:L4)&lt;4,"",SUM('연간'!I4:L4))),"")</f>
        <v/>
      </c>
      <c r="F55" s="36">
        <f>IFERROR((IF(COUNT('연간'!J37:M37)&lt;4,"",SUM('연간'!J37:M37)))/(IF(COUNT('연간'!J4:M4)&lt;4,"",SUM('연간'!J4:M4))),"")</f>
        <v/>
      </c>
      <c r="G55" s="36">
        <f>IFERROR((IF(COUNT('연간'!K37:N37)&lt;4,"",SUM('연간'!K37:N37)))/(IF(COUNT('연간'!K4:N4)&lt;4,"",SUM('연간'!K4:N4))),"")</f>
        <v/>
      </c>
      <c r="H55" s="35">
        <f>IFERROR(('연간'!T37)/('연간'!T4),"")</f>
        <v/>
      </c>
      <c r="I55" s="36">
        <f>IFERROR(('연간'!U37)/('연간'!U4),"")</f>
        <v/>
      </c>
      <c r="J55" s="36">
        <f>IFERROR(('연간'!V37)/('연간'!V4),"")</f>
        <v/>
      </c>
      <c r="K55" s="36">
        <f>IFERROR(('연간'!W37)/('연간'!W4),"")</f>
        <v/>
      </c>
      <c r="L55" s="36">
        <f>IFERROR(('연간'!X37)/('연간'!X4),"")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IFERROR((IF(COUNT('연간'!G65:J65)&lt;4,"",SUM('연간'!G65:J65)))/(IF(COUNT('연간'!G4:J4)&lt;4,"",SUM('연간'!G4:J4))),"")</f>
        <v/>
      </c>
      <c r="D56" s="36">
        <f>IFERROR((IF(COUNT('연간'!H65:K65)&lt;4,"",SUM('연간'!H65:K65)))/(IF(COUNT('연간'!H4:K4)&lt;4,"",SUM('연간'!H4:K4))),"")</f>
        <v/>
      </c>
      <c r="E56" s="36">
        <f>IFERROR((IF(COUNT('연간'!I65:L65)&lt;4,"",SUM('연간'!I65:L65)))/(IF(COUNT('연간'!I4:L4)&lt;4,"",SUM('연간'!I4:L4))),"")</f>
        <v/>
      </c>
      <c r="F56" s="36">
        <f>IFERROR((IF(COUNT('연간'!J65:M65)&lt;4,"",SUM('연간'!J65:M65)))/(IF(COUNT('연간'!J4:M4)&lt;4,"",SUM('연간'!J4:M4))),"")</f>
        <v/>
      </c>
      <c r="G56" s="36">
        <f>IFERROR((IF(COUNT('연간'!K65:N65)&lt;4,"",SUM('연간'!K65:N65)))/(IF(COUNT('연간'!K4:N4)&lt;4,"",SUM('연간'!K4:N4))),"")</f>
        <v/>
      </c>
      <c r="H56" s="35">
        <f>IFERROR(('연간'!T65)/('연간'!T4),"")</f>
        <v/>
      </c>
      <c r="I56" s="36">
        <f>IFERROR(('연간'!U65)/('연간'!U4),"")</f>
        <v/>
      </c>
      <c r="J56" s="36">
        <f>IFERROR(('연간'!V65)/('연간'!V4),"")</f>
        <v/>
      </c>
      <c r="K56" s="36">
        <f>IFERROR(('연간'!W65)/('연간'!W4),"")</f>
        <v/>
      </c>
      <c r="L56" s="36">
        <f>IFERROR(('연간'!X65)/('연간'!X4),"")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IF(C37="","",IFERROR(C37/(IF(COUNT('연간'!G65:J65)&lt;4,"",SUM('연간'!G65:J65))),""))</f>
        <v/>
      </c>
      <c r="D64" s="31">
        <f>IF(D37="","",IFERROR(D37/(IF(COUNT('연간'!H65:K65)&lt;4,"",SUM('연간'!H65:K65))),""))</f>
        <v/>
      </c>
      <c r="E64" s="31">
        <f>IF(E37="","",IFERROR(E37/(IF(COUNT('연간'!I65:L65)&lt;4,"",SUM('연간'!I65:L65))),""))</f>
        <v/>
      </c>
      <c r="F64" s="31">
        <f>IF(F37="","",IFERROR(F37/(IF(COUNT('연간'!J65:M65)&lt;4,"",SUM('연간'!J65:M65))),""))</f>
        <v/>
      </c>
      <c r="G64" s="31">
        <f>IF(G37="","",IFERROR(G37/(IF(COUNT('연간'!K65:N65)&lt;4,"",SUM('연간'!K65:N65))),""))</f>
        <v/>
      </c>
      <c r="H64" s="30">
        <f>IF(H37="","",IFERROR(H37/('연간'!T65),""))</f>
        <v/>
      </c>
      <c r="I64" s="31">
        <f>IF(I37="","",IFERROR(I37/('연간'!U65),""))</f>
        <v/>
      </c>
      <c r="J64" s="31">
        <f>IF(J37="","",IFERROR(J37/('연간'!V65),""))</f>
        <v/>
      </c>
      <c r="K64" s="31">
        <f>IF(K37="","",IFERROR(K37/('연간'!W65),""))</f>
        <v/>
      </c>
      <c r="L64" s="31">
        <f>IF(L37="","",IFERROR(L37/('연간'!X65),""))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IF(C40="","",IFERROR(C40/(IF(COUNT('연간'!G67:J67)&lt;4,"",SUM('연간'!G67:J67))),""))</f>
        <v/>
      </c>
      <c r="D67" s="36">
        <f>IF(D40="","",IFERROR(D40/(IF(COUNT('연간'!H67:K67)&lt;4,"",SUM('연간'!H67:K67))),""))</f>
        <v/>
      </c>
      <c r="E67" s="36">
        <f>IF(E40="","",IFERROR(E40/(IF(COUNT('연간'!I67:L67)&lt;4,"",SUM('연간'!I67:L67))),""))</f>
        <v/>
      </c>
      <c r="F67" s="36">
        <f>IF(F40="","",IFERROR(F40/(IF(COUNT('연간'!J67:M67)&lt;4,"",SUM('연간'!J67:M67))),""))</f>
        <v/>
      </c>
      <c r="G67" s="36">
        <f>IF(G40="","",IFERROR(G40/(IF(COUNT('연간'!K67:N67)&lt;4,"",SUM('연간'!K67:N67))),""))</f>
        <v/>
      </c>
      <c r="H67" s="35">
        <f>IF(H40="","",IFERROR(H40/('연간'!T67),""))</f>
        <v/>
      </c>
      <c r="I67" s="36">
        <f>IF(I40="","",IFERROR(I40/('연간'!U67),""))</f>
        <v/>
      </c>
      <c r="J67" s="36">
        <f>IF(J40="","",IFERROR(J40/('연간'!V67),""))</f>
        <v/>
      </c>
      <c r="K67" s="36">
        <f>IF(K40="","",IFERROR(K40/('연간'!W67),""))</f>
        <v/>
      </c>
      <c r="L67" s="36">
        <f>IF(L40="","",IFERROR(L40/('연간'!X67),""))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9625</v>
      </c>
      <c r="D71" s="20" t="n">
        <v>9008</v>
      </c>
      <c r="E71" s="20" t="n">
        <v>9535</v>
      </c>
      <c r="F71" s="20" t="n">
        <v>8662</v>
      </c>
      <c r="G71" s="20" t="n">
        <v>11298</v>
      </c>
      <c r="H71" s="20" t="n">
        <v>8330</v>
      </c>
      <c r="I71" s="20" t="n">
        <v>8105</v>
      </c>
      <c r="J71" s="20" t="n">
        <v>8262</v>
      </c>
      <c r="K71" s="20" t="n">
        <v>8065</v>
      </c>
      <c r="L71" s="20" t="n">
        <v>9535</v>
      </c>
    </row>
    <row r="72">
      <c r="A72" s="18" t="inlineStr">
        <is>
          <t>받을어음</t>
        </is>
      </c>
      <c r="E72" s="20" t="n">
        <v>6</v>
      </c>
      <c r="H72" s="20" t="n">
        <v>278</v>
      </c>
      <c r="I72" s="20" t="n">
        <v>249</v>
      </c>
      <c r="J72" s="20" t="n">
        <v>284</v>
      </c>
      <c r="K72" s="20" t="n">
        <v>214</v>
      </c>
      <c r="L72" s="20" t="n">
        <v>6</v>
      </c>
    </row>
    <row r="73">
      <c r="A73" s="18" t="inlineStr">
        <is>
          <t>받을어음·매출채권</t>
        </is>
      </c>
      <c r="C73" s="20" t="n">
        <v>8400</v>
      </c>
      <c r="D73" s="20" t="n">
        <v>8668</v>
      </c>
      <c r="E73" s="20" t="n">
        <v>8742</v>
      </c>
      <c r="F73" s="20" t="n">
        <v>8774</v>
      </c>
      <c r="G73" s="20" t="n">
        <v>9409</v>
      </c>
      <c r="H73" s="20" t="n">
        <v>8510</v>
      </c>
      <c r="I73" s="20" t="n">
        <v>8002</v>
      </c>
      <c r="J73" s="20" t="n">
        <v>8554</v>
      </c>
      <c r="K73" s="20" t="n">
        <v>10038</v>
      </c>
      <c r="L73" s="20" t="n">
        <v>8742</v>
      </c>
    </row>
    <row r="74">
      <c r="A74" s="18" t="inlineStr">
        <is>
          <t>전자기록채권</t>
        </is>
      </c>
      <c r="C74" s="20" t="n">
        <v>421</v>
      </c>
      <c r="D74" s="20" t="n">
        <v>606</v>
      </c>
      <c r="E74" s="20" t="n">
        <v>202</v>
      </c>
      <c r="F74" s="20" t="n">
        <v>243</v>
      </c>
      <c r="G74" s="20" t="n">
        <v>218</v>
      </c>
      <c r="H74" s="20" t="n">
        <v>426</v>
      </c>
      <c r="I74" s="20" t="n">
        <v>663</v>
      </c>
      <c r="J74" s="20" t="n">
        <v>605</v>
      </c>
      <c r="K74" s="20" t="n">
        <v>533</v>
      </c>
      <c r="L74" s="20" t="n">
        <v>202</v>
      </c>
    </row>
    <row r="75">
      <c r="A75" s="18" t="inlineStr">
        <is>
          <t>매출채권</t>
        </is>
      </c>
      <c r="E75" s="20" t="n">
        <v>8735</v>
      </c>
      <c r="H75" s="20" t="n">
        <v>7804</v>
      </c>
      <c r="I75" s="20" t="n">
        <v>7089</v>
      </c>
      <c r="J75" s="20" t="n">
        <v>8270</v>
      </c>
      <c r="K75" s="20" t="n">
        <v>9823</v>
      </c>
      <c r="L75" s="20" t="n">
        <v>8735</v>
      </c>
    </row>
    <row r="76">
      <c r="A76" s="18" t="inlineStr">
        <is>
          <t>상품·제품</t>
        </is>
      </c>
      <c r="C76" s="20" t="n">
        <v>1445</v>
      </c>
      <c r="D76" s="20" t="n">
        <v>1280</v>
      </c>
      <c r="E76" s="20" t="n">
        <v>1162</v>
      </c>
      <c r="F76" s="20" t="n">
        <v>1337</v>
      </c>
      <c r="G76" s="20" t="n">
        <v>1347</v>
      </c>
      <c r="H76" s="20" t="n">
        <v>1103</v>
      </c>
      <c r="I76" s="20" t="n">
        <v>1109</v>
      </c>
      <c r="J76" s="20" t="n">
        <v>1071</v>
      </c>
      <c r="K76" s="20" t="n">
        <v>1031</v>
      </c>
      <c r="L76" s="20" t="n">
        <v>1162</v>
      </c>
    </row>
    <row r="77">
      <c r="A77" s="18" t="inlineStr">
        <is>
          <t>재공품</t>
        </is>
      </c>
      <c r="C77" s="20" t="n">
        <v>2689</v>
      </c>
      <c r="D77" s="20" t="n">
        <v>2540</v>
      </c>
      <c r="E77" s="20" t="n">
        <v>2655</v>
      </c>
      <c r="F77" s="20" t="n">
        <v>3131</v>
      </c>
      <c r="G77" s="20" t="n">
        <v>2992</v>
      </c>
      <c r="H77" s="20" t="n">
        <v>2098</v>
      </c>
      <c r="I77" s="20" t="n">
        <v>2814</v>
      </c>
      <c r="J77" s="20" t="n">
        <v>2702</v>
      </c>
      <c r="K77" s="20" t="n">
        <v>2558</v>
      </c>
      <c r="L77" s="20" t="n">
        <v>2655</v>
      </c>
    </row>
    <row r="78">
      <c r="A78" s="18" t="inlineStr">
        <is>
          <t>원재료·저장품</t>
        </is>
      </c>
      <c r="C78" s="20" t="n">
        <v>2002</v>
      </c>
      <c r="D78" s="20" t="n">
        <v>1924</v>
      </c>
      <c r="E78" s="20" t="n">
        <v>2044</v>
      </c>
      <c r="F78" s="20" t="n">
        <v>2020</v>
      </c>
      <c r="G78" s="20" t="n">
        <v>2011</v>
      </c>
      <c r="H78" s="20" t="n">
        <v>1321</v>
      </c>
      <c r="I78" s="20" t="n">
        <v>1947</v>
      </c>
      <c r="J78" s="20" t="n">
        <v>1664</v>
      </c>
      <c r="K78" s="20" t="n">
        <v>1830</v>
      </c>
      <c r="L78" s="20" t="n">
        <v>2044</v>
      </c>
    </row>
    <row r="79">
      <c r="A79" s="18" t="inlineStr">
        <is>
          <t>기타</t>
        </is>
      </c>
      <c r="C79" s="20" t="n">
        <v>909</v>
      </c>
      <c r="D79" s="20" t="n">
        <v>1043</v>
      </c>
      <c r="E79" s="20" t="n">
        <v>1243</v>
      </c>
      <c r="F79" s="20" t="n">
        <v>1289</v>
      </c>
      <c r="G79" s="20" t="n">
        <v>877</v>
      </c>
      <c r="H79" s="20" t="n">
        <v>1196</v>
      </c>
      <c r="I79" s="20" t="n">
        <v>1030</v>
      </c>
      <c r="J79" s="20" t="n">
        <v>837</v>
      </c>
      <c r="K79" s="20" t="n">
        <v>1000</v>
      </c>
      <c r="L79" s="20" t="n">
        <v>1243</v>
      </c>
    </row>
    <row r="80">
      <c r="A80" s="18" t="inlineStr">
        <is>
          <t>대손충당금</t>
        </is>
      </c>
      <c r="C80" s="20" t="n">
        <v>-7</v>
      </c>
      <c r="D80" s="20" t="n">
        <v>-7</v>
      </c>
      <c r="E80" s="20" t="n">
        <v>-7</v>
      </c>
      <c r="F80" s="20" t="n">
        <v>-7</v>
      </c>
      <c r="G80" s="20" t="n">
        <v>-7</v>
      </c>
      <c r="H80" s="20" t="n">
        <v>-16</v>
      </c>
      <c r="I80" s="20" t="n">
        <v>-7</v>
      </c>
      <c r="J80" s="20" t="n">
        <v>-7</v>
      </c>
      <c r="K80" s="20" t="n">
        <v>-7</v>
      </c>
      <c r="L80" s="20" t="n">
        <v>-7</v>
      </c>
    </row>
    <row r="81">
      <c r="A81" s="9" t="inlineStr">
        <is>
          <t>유동자산 합계</t>
        </is>
      </c>
      <c r="C81" s="12" t="n">
        <v>25487</v>
      </c>
      <c r="D81" s="12" t="n">
        <v>25065</v>
      </c>
      <c r="E81" s="12" t="n">
        <v>25580</v>
      </c>
      <c r="F81" s="12" t="n">
        <v>25451</v>
      </c>
      <c r="G81" s="12" t="n">
        <v>28149</v>
      </c>
      <c r="H81" s="12" t="n">
        <v>22544</v>
      </c>
      <c r="I81" s="12" t="n">
        <v>23003</v>
      </c>
      <c r="J81" s="12" t="n">
        <v>23689</v>
      </c>
      <c r="K81" s="12" t="n">
        <v>25052</v>
      </c>
      <c r="L81" s="12" t="n">
        <v>25580</v>
      </c>
    </row>
    <row r="82">
      <c r="A82" s="18" t="inlineStr">
        <is>
          <t>건물·구축물</t>
        </is>
      </c>
      <c r="E82" s="20" t="n">
        <v>25722</v>
      </c>
      <c r="H82" s="20" t="n">
        <v>19747</v>
      </c>
      <c r="I82" s="20" t="n">
        <v>22123</v>
      </c>
      <c r="J82" s="20" t="n">
        <v>22794</v>
      </c>
      <c r="K82" s="20" t="n">
        <v>25038</v>
      </c>
      <c r="L82" s="20" t="n">
        <v>25722</v>
      </c>
    </row>
    <row r="83">
      <c r="A83" s="18" t="inlineStr">
        <is>
          <t>감가상각누계액</t>
        </is>
      </c>
      <c r="E83" s="20" t="n">
        <v>-13627</v>
      </c>
      <c r="H83" s="20" t="n">
        <v>-9675</v>
      </c>
      <c r="I83" s="20" t="n">
        <v>-11031</v>
      </c>
      <c r="J83" s="20" t="n">
        <v>-11987</v>
      </c>
      <c r="K83" s="20" t="n">
        <v>-12957</v>
      </c>
      <c r="L83" s="20" t="n">
        <v>-13627</v>
      </c>
    </row>
    <row r="84">
      <c r="A84" s="18" t="inlineStr">
        <is>
          <t>건물·구축물(순액)</t>
        </is>
      </c>
      <c r="C84" s="20" t="n">
        <v>11933</v>
      </c>
      <c r="D84" s="20" t="n">
        <v>11743</v>
      </c>
      <c r="E84" s="20" t="n">
        <v>12094</v>
      </c>
      <c r="F84" s="20" t="n">
        <v>13130</v>
      </c>
      <c r="G84" s="20" t="n">
        <v>12982</v>
      </c>
      <c r="H84" s="20" t="n">
        <v>10072</v>
      </c>
      <c r="I84" s="20" t="n">
        <v>11091</v>
      </c>
      <c r="J84" s="20" t="n">
        <v>10806</v>
      </c>
      <c r="K84" s="20" t="n">
        <v>12080</v>
      </c>
      <c r="L84" s="20" t="n">
        <v>12094</v>
      </c>
    </row>
    <row r="85">
      <c r="A85" s="18" t="inlineStr">
        <is>
          <t>기계장치·운반구</t>
        </is>
      </c>
      <c r="E85" s="20" t="n">
        <v>37525</v>
      </c>
      <c r="H85" s="20" t="n">
        <v>33223</v>
      </c>
      <c r="I85" s="20" t="n">
        <v>33429</v>
      </c>
      <c r="J85" s="20" t="n">
        <v>34167</v>
      </c>
      <c r="K85" s="20" t="n">
        <v>36076</v>
      </c>
      <c r="L85" s="20" t="n">
        <v>37525</v>
      </c>
    </row>
    <row r="86">
      <c r="A86" s="18" t="inlineStr">
        <is>
          <t>감가상각누계액</t>
        </is>
      </c>
      <c r="E86" s="20" t="n">
        <v>-30141</v>
      </c>
      <c r="H86" s="20" t="n">
        <v>-25550</v>
      </c>
      <c r="I86" s="20" t="n">
        <v>-25971</v>
      </c>
      <c r="J86" s="20" t="n">
        <v>-27604</v>
      </c>
      <c r="K86" s="20" t="n">
        <v>-29087</v>
      </c>
      <c r="L86" s="20" t="n">
        <v>-30141</v>
      </c>
    </row>
    <row r="87">
      <c r="A87" s="18" t="inlineStr">
        <is>
          <t>기계장치·운반구(순액)</t>
        </is>
      </c>
      <c r="C87" s="20" t="n">
        <v>6695</v>
      </c>
      <c r="E87" s="20" t="n">
        <v>7383</v>
      </c>
      <c r="F87" s="20" t="n">
        <v>10246</v>
      </c>
      <c r="G87" s="20" t="n">
        <v>10257</v>
      </c>
      <c r="H87" s="20" t="n">
        <v>7672</v>
      </c>
      <c r="I87" s="20" t="n">
        <v>7458</v>
      </c>
      <c r="J87" s="20" t="n">
        <v>6563</v>
      </c>
      <c r="K87" s="20" t="n">
        <v>6989</v>
      </c>
      <c r="L87" s="20" t="n">
        <v>7383</v>
      </c>
    </row>
    <row r="88">
      <c r="A88" s="18" t="inlineStr">
        <is>
          <t>토지</t>
        </is>
      </c>
      <c r="C88" s="20" t="n">
        <v>15089</v>
      </c>
      <c r="D88" s="20" t="n">
        <v>14927</v>
      </c>
      <c r="E88" s="20" t="n">
        <v>14803</v>
      </c>
      <c r="F88" s="20" t="n">
        <v>14791</v>
      </c>
      <c r="G88" s="20" t="n">
        <v>14766</v>
      </c>
      <c r="H88" s="20" t="n">
        <v>13798</v>
      </c>
      <c r="I88" s="20" t="n">
        <v>13852</v>
      </c>
      <c r="J88" s="20" t="n">
        <v>13858</v>
      </c>
      <c r="K88" s="20" t="n">
        <v>15068</v>
      </c>
      <c r="L88" s="20" t="n">
        <v>14803</v>
      </c>
    </row>
    <row r="89">
      <c r="A89" s="18" t="inlineStr">
        <is>
          <t>리스자산</t>
        </is>
      </c>
      <c r="E89" s="20" t="n">
        <v>181</v>
      </c>
      <c r="H89" s="20" t="n">
        <v>185</v>
      </c>
      <c r="I89" s="20" t="n">
        <v>186</v>
      </c>
      <c r="J89" s="20" t="n">
        <v>193</v>
      </c>
      <c r="K89" s="20" t="n">
        <v>200</v>
      </c>
      <c r="L89" s="20" t="n">
        <v>181</v>
      </c>
    </row>
    <row r="90">
      <c r="A90" s="18" t="inlineStr">
        <is>
          <t>감가상각누계액</t>
        </is>
      </c>
      <c r="E90" s="20" t="n">
        <v>-143</v>
      </c>
      <c r="H90" s="20" t="n">
        <v>-89</v>
      </c>
      <c r="I90" s="20" t="n">
        <v>-99</v>
      </c>
      <c r="J90" s="20" t="n">
        <v>-120</v>
      </c>
      <c r="K90" s="20" t="n">
        <v>-140</v>
      </c>
      <c r="L90" s="20" t="n">
        <v>-143</v>
      </c>
    </row>
    <row r="91">
      <c r="A91" s="18" t="inlineStr">
        <is>
          <t>리스자산(순액)</t>
        </is>
      </c>
      <c r="E91" s="20" t="n">
        <v>37</v>
      </c>
      <c r="H91" s="20" t="n">
        <v>95</v>
      </c>
      <c r="I91" s="20" t="n">
        <v>86</v>
      </c>
      <c r="J91" s="20" t="n">
        <v>72</v>
      </c>
      <c r="K91" s="20" t="n">
        <v>60</v>
      </c>
      <c r="L91" s="20" t="n">
        <v>37</v>
      </c>
    </row>
    <row r="92">
      <c r="A92" s="18" t="inlineStr">
        <is>
          <t>건설중인자산</t>
        </is>
      </c>
      <c r="E92" s="20" t="n">
        <v>5700</v>
      </c>
      <c r="H92" s="20" t="n">
        <v>311</v>
      </c>
      <c r="I92" s="20" t="n">
        <v>361</v>
      </c>
      <c r="J92" s="20" t="n">
        <v>905</v>
      </c>
      <c r="K92" s="20" t="n">
        <v>1251</v>
      </c>
      <c r="L92" s="20" t="n">
        <v>5700</v>
      </c>
    </row>
    <row r="93">
      <c r="A93" s="18" t="inlineStr">
        <is>
          <t>기타</t>
        </is>
      </c>
      <c r="E93" s="20" t="n">
        <v>5392</v>
      </c>
      <c r="H93" s="20" t="n">
        <v>3148</v>
      </c>
      <c r="I93" s="20" t="n">
        <v>3847</v>
      </c>
      <c r="J93" s="20" t="n">
        <v>4783</v>
      </c>
      <c r="K93" s="20" t="n">
        <v>5058</v>
      </c>
      <c r="L93" s="20" t="n">
        <v>5392</v>
      </c>
    </row>
    <row r="94">
      <c r="A94" s="18" t="inlineStr">
        <is>
          <t>감가상각누계액</t>
        </is>
      </c>
      <c r="E94" s="20" t="n">
        <v>-4192</v>
      </c>
      <c r="H94" s="20" t="n">
        <v>-2525</v>
      </c>
      <c r="I94" s="20" t="n">
        <v>-2730</v>
      </c>
      <c r="J94" s="20" t="n">
        <v>-3028</v>
      </c>
      <c r="K94" s="20" t="n">
        <v>-3733</v>
      </c>
      <c r="L94" s="20" t="n">
        <v>-4192</v>
      </c>
    </row>
    <row r="95">
      <c r="A95" s="18" t="inlineStr">
        <is>
          <t>기타(순액)</t>
        </is>
      </c>
      <c r="C95" s="20" t="n">
        <v>4338</v>
      </c>
      <c r="D95" s="20" t="n">
        <v>12858</v>
      </c>
      <c r="E95" s="20" t="n">
        <v>6938</v>
      </c>
      <c r="F95" s="20" t="n">
        <v>3413</v>
      </c>
      <c r="G95" s="20" t="n">
        <v>3492</v>
      </c>
      <c r="H95" s="20" t="n">
        <v>622</v>
      </c>
      <c r="I95" s="20" t="n">
        <v>1117</v>
      </c>
      <c r="J95" s="20" t="n">
        <v>1754</v>
      </c>
      <c r="K95" s="20" t="n">
        <v>1325</v>
      </c>
      <c r="L95" s="20" t="n">
        <v>6938</v>
      </c>
    </row>
    <row r="96">
      <c r="A96" s="18" t="inlineStr">
        <is>
          <t>유형자산 합계</t>
        </is>
      </c>
      <c r="C96" s="20" t="n">
        <v>38057</v>
      </c>
      <c r="D96" s="20" t="n">
        <v>39529</v>
      </c>
      <c r="E96" s="20" t="n">
        <v>41220</v>
      </c>
      <c r="F96" s="20" t="n">
        <v>41582</v>
      </c>
      <c r="G96" s="20" t="n">
        <v>41499</v>
      </c>
      <c r="H96" s="20" t="n">
        <v>32572</v>
      </c>
      <c r="I96" s="20" t="n">
        <v>33968</v>
      </c>
      <c r="J96" s="20" t="n">
        <v>33962</v>
      </c>
      <c r="K96" s="20" t="n">
        <v>36776</v>
      </c>
      <c r="L96" s="20" t="n">
        <v>41220</v>
      </c>
    </row>
    <row r="97">
      <c r="A97" s="18" t="inlineStr">
        <is>
          <t>영업권</t>
        </is>
      </c>
      <c r="C97" s="20" t="n">
        <v>792</v>
      </c>
      <c r="D97" s="20" t="n">
        <v>757</v>
      </c>
      <c r="H97" s="20" t="n">
        <v>317</v>
      </c>
      <c r="I97" s="20" t="n">
        <v>1142</v>
      </c>
      <c r="J97" s="20" t="n">
        <v>1002</v>
      </c>
      <c r="K97" s="20" t="n">
        <v>862</v>
      </c>
    </row>
    <row r="98">
      <c r="A98" s="18" t="inlineStr">
        <is>
          <t>기타</t>
        </is>
      </c>
      <c r="C98" s="20" t="n">
        <v>194</v>
      </c>
      <c r="D98" s="20" t="n">
        <v>207</v>
      </c>
      <c r="H98" s="20" t="n">
        <v>287</v>
      </c>
      <c r="I98" s="20" t="n">
        <v>254</v>
      </c>
      <c r="J98" s="20" t="n">
        <v>214</v>
      </c>
      <c r="K98" s="20" t="n">
        <v>211</v>
      </c>
    </row>
    <row r="99">
      <c r="A99" s="18" t="inlineStr">
        <is>
          <t>무형자산</t>
        </is>
      </c>
      <c r="C99" s="20" t="n">
        <v>987</v>
      </c>
      <c r="D99" s="20" t="n">
        <v>965</v>
      </c>
      <c r="E99" s="20" t="n">
        <v>376</v>
      </c>
      <c r="F99" s="20" t="n">
        <v>352</v>
      </c>
      <c r="G99" s="20" t="n">
        <v>331</v>
      </c>
      <c r="H99" s="20" t="n">
        <v>605</v>
      </c>
      <c r="I99" s="20" t="n">
        <v>1397</v>
      </c>
      <c r="J99" s="20" t="n">
        <v>1217</v>
      </c>
      <c r="K99" s="20" t="n">
        <v>1073</v>
      </c>
      <c r="L99" s="20" t="n">
        <v>376</v>
      </c>
    </row>
    <row r="100">
      <c r="A100" s="18" t="inlineStr">
        <is>
          <t>투자유가증권</t>
        </is>
      </c>
      <c r="E100" s="20" t="n">
        <v>3864</v>
      </c>
      <c r="H100" s="20" t="n">
        <v>2029</v>
      </c>
      <c r="I100" s="20" t="n">
        <v>2175</v>
      </c>
      <c r="J100" s="20" t="n">
        <v>2773</v>
      </c>
      <c r="K100" s="20" t="n">
        <v>2923</v>
      </c>
      <c r="L100" s="20" t="n">
        <v>3864</v>
      </c>
    </row>
    <row r="101">
      <c r="A101" s="18" t="inlineStr">
        <is>
          <t>이연법인세자산</t>
        </is>
      </c>
      <c r="E101" s="20" t="n">
        <v>245</v>
      </c>
      <c r="H101" s="20" t="n">
        <v>442</v>
      </c>
      <c r="I101" s="20" t="n">
        <v>394</v>
      </c>
      <c r="J101" s="20" t="n">
        <v>368</v>
      </c>
      <c r="K101" s="20" t="n">
        <v>319</v>
      </c>
      <c r="L101" s="20" t="n">
        <v>245</v>
      </c>
    </row>
    <row r="102">
      <c r="A102" s="18" t="inlineStr">
        <is>
          <t>기타</t>
        </is>
      </c>
      <c r="E102" s="20" t="n">
        <v>528</v>
      </c>
      <c r="H102" s="20" t="n">
        <v>337</v>
      </c>
      <c r="I102" s="20" t="n">
        <v>430</v>
      </c>
      <c r="J102" s="20" t="n">
        <v>501</v>
      </c>
      <c r="K102" s="20" t="n">
        <v>462</v>
      </c>
      <c r="L102" s="20" t="n">
        <v>528</v>
      </c>
    </row>
    <row r="103">
      <c r="A103" s="18" t="inlineStr">
        <is>
          <t>대손충당금</t>
        </is>
      </c>
      <c r="H103" s="20" t="n">
        <v>0</v>
      </c>
    </row>
    <row r="104">
      <c r="A104" s="18" t="inlineStr">
        <is>
          <t>투자 및 기타자산</t>
        </is>
      </c>
      <c r="C104" s="20" t="n">
        <v>4251</v>
      </c>
      <c r="D104" s="20" t="n">
        <v>4530</v>
      </c>
      <c r="E104" s="20" t="n">
        <v>4638</v>
      </c>
      <c r="F104" s="20" t="n">
        <v>5002</v>
      </c>
      <c r="G104" s="20" t="n">
        <v>5369</v>
      </c>
      <c r="H104" s="20" t="n">
        <v>2808</v>
      </c>
      <c r="I104" s="20" t="n">
        <v>3000</v>
      </c>
      <c r="J104" s="20" t="n">
        <v>3643</v>
      </c>
      <c r="K104" s="20" t="n">
        <v>3705</v>
      </c>
      <c r="L104" s="20" t="n">
        <v>4638</v>
      </c>
    </row>
    <row r="105">
      <c r="A105" s="9" t="inlineStr">
        <is>
          <t>비유동자산 합계</t>
        </is>
      </c>
      <c r="C105" s="12" t="n">
        <v>43296</v>
      </c>
      <c r="D105" s="12" t="n">
        <v>45025</v>
      </c>
      <c r="E105" s="12" t="n">
        <v>46235</v>
      </c>
      <c r="F105" s="12" t="n">
        <v>46937</v>
      </c>
      <c r="G105" s="12" t="n">
        <v>47200</v>
      </c>
      <c r="H105" s="12" t="n">
        <v>35987</v>
      </c>
      <c r="I105" s="12" t="n">
        <v>38365</v>
      </c>
      <c r="J105" s="12" t="n">
        <v>38822</v>
      </c>
      <c r="K105" s="12" t="n">
        <v>41556</v>
      </c>
      <c r="L105" s="12" t="n">
        <v>46235</v>
      </c>
    </row>
    <row r="106">
      <c r="A106" s="9" t="inlineStr">
        <is>
          <t>자산 합계</t>
        </is>
      </c>
      <c r="C106" s="12" t="n">
        <v>68783</v>
      </c>
      <c r="D106" s="12" t="n">
        <v>70090</v>
      </c>
      <c r="E106" s="12" t="n">
        <v>71816</v>
      </c>
      <c r="F106" s="12" t="n">
        <v>72389</v>
      </c>
      <c r="G106" s="12" t="n">
        <v>75349</v>
      </c>
      <c r="H106" s="12" t="n">
        <v>58531</v>
      </c>
      <c r="I106" s="12" t="n">
        <v>61368</v>
      </c>
      <c r="J106" s="12" t="n">
        <v>62512</v>
      </c>
      <c r="K106" s="12" t="n">
        <v>66608</v>
      </c>
      <c r="L106" s="12" t="n">
        <v>71816</v>
      </c>
    </row>
    <row r="107">
      <c r="A107" s="18" t="inlineStr">
        <is>
          <t>지급어음·매입채무</t>
        </is>
      </c>
      <c r="C107" s="20" t="n">
        <v>3754</v>
      </c>
      <c r="D107" s="20" t="n">
        <v>3387</v>
      </c>
      <c r="E107" s="20" t="n">
        <v>3704</v>
      </c>
      <c r="F107" s="20" t="n">
        <v>4185</v>
      </c>
      <c r="G107" s="20" t="n">
        <v>4255</v>
      </c>
      <c r="H107" s="20" t="n">
        <v>4955</v>
      </c>
      <c r="I107" s="20" t="n">
        <v>4087</v>
      </c>
      <c r="J107" s="20" t="n">
        <v>4156</v>
      </c>
      <c r="K107" s="20" t="n">
        <v>4772</v>
      </c>
      <c r="L107" s="20" t="n">
        <v>3704</v>
      </c>
    </row>
    <row r="108">
      <c r="A108" s="18" t="inlineStr">
        <is>
          <t>전자기록채무</t>
        </is>
      </c>
      <c r="C108" s="20" t="n">
        <v>2080</v>
      </c>
      <c r="D108" s="20" t="n">
        <v>2340</v>
      </c>
      <c r="E108" s="20" t="n">
        <v>1745</v>
      </c>
      <c r="F108" s="20" t="n">
        <v>2119</v>
      </c>
      <c r="G108" s="20" t="n">
        <v>2275</v>
      </c>
      <c r="H108" s="20" t="n">
        <v>928</v>
      </c>
      <c r="I108" s="20" t="n">
        <v>1155</v>
      </c>
      <c r="J108" s="20" t="n">
        <v>1095</v>
      </c>
      <c r="K108" s="20" t="n">
        <v>1276</v>
      </c>
      <c r="L108" s="20" t="n">
        <v>1745</v>
      </c>
    </row>
    <row r="109">
      <c r="A109" s="18" t="inlineStr">
        <is>
          <t>단기차입금</t>
        </is>
      </c>
      <c r="C109" s="20" t="n">
        <v>229</v>
      </c>
      <c r="D109" s="20" t="n">
        <v>763</v>
      </c>
      <c r="E109" s="20" t="n">
        <v>134</v>
      </c>
      <c r="F109" s="20" t="n">
        <v>134</v>
      </c>
      <c r="G109" s="20" t="n">
        <v>135</v>
      </c>
      <c r="H109" s="20" t="n">
        <v>1306</v>
      </c>
      <c r="I109" s="20" t="n">
        <v>1292</v>
      </c>
      <c r="J109" s="20" t="n">
        <v>1223</v>
      </c>
      <c r="K109" s="20" t="n">
        <v>321</v>
      </c>
      <c r="L109" s="20" t="n">
        <v>134</v>
      </c>
    </row>
    <row r="110">
      <c r="A110" s="18" t="inlineStr">
        <is>
          <t>리스부채</t>
        </is>
      </c>
      <c r="E110" s="20" t="n">
        <v>40</v>
      </c>
      <c r="H110" s="20" t="n">
        <v>56</v>
      </c>
      <c r="I110" s="20" t="n">
        <v>54</v>
      </c>
      <c r="J110" s="20" t="n">
        <v>48</v>
      </c>
      <c r="K110" s="20" t="n">
        <v>44</v>
      </c>
      <c r="L110" s="20" t="n">
        <v>40</v>
      </c>
    </row>
    <row r="111">
      <c r="A111" s="18" t="inlineStr">
        <is>
          <t>미지급법인세</t>
        </is>
      </c>
      <c r="C111" s="20" t="n">
        <v>1268</v>
      </c>
      <c r="D111" s="20" t="n">
        <v>650</v>
      </c>
      <c r="E111" s="20" t="n">
        <v>1329</v>
      </c>
      <c r="F111" s="20" t="n">
        <v>661</v>
      </c>
      <c r="G111" s="20" t="n">
        <v>1770</v>
      </c>
      <c r="H111" s="20" t="n">
        <v>754</v>
      </c>
      <c r="I111" s="20" t="n">
        <v>709</v>
      </c>
      <c r="J111" s="20" t="n">
        <v>497</v>
      </c>
      <c r="K111" s="20" t="n">
        <v>1863</v>
      </c>
      <c r="L111" s="20" t="n">
        <v>1329</v>
      </c>
    </row>
    <row r="112">
      <c r="A112" s="18" t="inlineStr">
        <is>
          <t>계약부채</t>
        </is>
      </c>
      <c r="E112" s="20" t="n">
        <v>173</v>
      </c>
      <c r="H112" s="20" t="n">
        <v>114</v>
      </c>
      <c r="I112" s="20" t="n">
        <v>125</v>
      </c>
      <c r="J112" s="20" t="n">
        <v>142</v>
      </c>
      <c r="K112" s="20" t="n">
        <v>128</v>
      </c>
      <c r="L112" s="20" t="n">
        <v>173</v>
      </c>
    </row>
    <row r="113">
      <c r="A113" s="18" t="inlineStr">
        <is>
          <t>충당금</t>
        </is>
      </c>
      <c r="D113" s="20" t="n">
        <v>479</v>
      </c>
      <c r="E113" s="20" t="n">
        <v>965</v>
      </c>
      <c r="F113" s="20" t="n">
        <v>527</v>
      </c>
      <c r="H113" s="20" t="n">
        <v>648</v>
      </c>
      <c r="I113" s="20" t="n">
        <v>727</v>
      </c>
      <c r="J113" s="20" t="n">
        <v>734</v>
      </c>
      <c r="K113" s="20" t="n">
        <v>815</v>
      </c>
      <c r="L113" s="20" t="n">
        <v>965</v>
      </c>
    </row>
    <row r="114">
      <c r="A114" s="18" t="inlineStr">
        <is>
          <t>상여충당금</t>
        </is>
      </c>
      <c r="C114" s="20" t="n">
        <v>911</v>
      </c>
      <c r="E114" s="20" t="n">
        <v>965</v>
      </c>
      <c r="G114" s="20" t="n">
        <v>1096</v>
      </c>
      <c r="H114" s="20" t="n">
        <v>648</v>
      </c>
      <c r="I114" s="20" t="n">
        <v>727</v>
      </c>
      <c r="J114" s="20" t="n">
        <v>734</v>
      </c>
      <c r="K114" s="20" t="n">
        <v>815</v>
      </c>
      <c r="L114" s="20" t="n">
        <v>965</v>
      </c>
    </row>
    <row r="115">
      <c r="A115" s="18" t="inlineStr">
        <is>
          <t>반품조정 충당금</t>
        </is>
      </c>
      <c r="H115" s="20" t="n">
        <v>0</v>
      </c>
    </row>
    <row r="116">
      <c r="A116" s="18" t="inlineStr">
        <is>
          <t>기타</t>
        </is>
      </c>
      <c r="C116" s="20" t="n">
        <v>4553</v>
      </c>
      <c r="D116" s="20" t="n">
        <v>5139</v>
      </c>
      <c r="E116" s="20" t="n">
        <v>5425</v>
      </c>
      <c r="F116" s="20" t="n">
        <v>5359</v>
      </c>
      <c r="G116" s="20" t="n">
        <v>4444</v>
      </c>
      <c r="H116" s="20" t="n">
        <v>2711</v>
      </c>
      <c r="I116" s="20" t="n">
        <v>3716</v>
      </c>
      <c r="J116" s="20" t="n">
        <v>3857</v>
      </c>
      <c r="K116" s="20" t="n">
        <v>3276</v>
      </c>
      <c r="L116" s="20" t="n">
        <v>5425</v>
      </c>
    </row>
    <row r="117">
      <c r="A117" s="9" t="inlineStr">
        <is>
          <t>유동부채 합계</t>
        </is>
      </c>
      <c r="C117" s="12" t="n">
        <v>12798</v>
      </c>
      <c r="D117" s="12" t="n">
        <v>12761</v>
      </c>
      <c r="E117" s="12" t="n">
        <v>13305</v>
      </c>
      <c r="F117" s="12" t="n">
        <v>12988</v>
      </c>
      <c r="G117" s="12" t="n">
        <v>13978</v>
      </c>
      <c r="H117" s="12" t="n">
        <v>11476</v>
      </c>
      <c r="I117" s="12" t="n">
        <v>11869</v>
      </c>
      <c r="J117" s="12" t="n">
        <v>11756</v>
      </c>
      <c r="K117" s="12" t="n">
        <v>12499</v>
      </c>
      <c r="L117" s="12" t="n">
        <v>13305</v>
      </c>
    </row>
    <row r="118">
      <c r="A118" s="18" t="inlineStr">
        <is>
          <t>장기차입금</t>
        </is>
      </c>
      <c r="C118" s="20" t="n">
        <v>120</v>
      </c>
      <c r="D118" s="20" t="n">
        <v>90</v>
      </c>
      <c r="E118" s="20" t="n">
        <v>90</v>
      </c>
      <c r="F118" s="20" t="n">
        <v>60</v>
      </c>
      <c r="G118" s="20" t="n">
        <v>60</v>
      </c>
      <c r="H118" s="20" t="n">
        <v>60</v>
      </c>
      <c r="I118" s="20" t="n">
        <v>26</v>
      </c>
      <c r="J118" s="20" t="n">
        <v>210</v>
      </c>
      <c r="K118" s="20" t="n">
        <v>150</v>
      </c>
      <c r="L118" s="20" t="n">
        <v>90</v>
      </c>
    </row>
    <row r="119">
      <c r="A119" s="18" t="inlineStr">
        <is>
          <t>리스부채</t>
        </is>
      </c>
      <c r="E119" s="20" t="n">
        <v>56</v>
      </c>
      <c r="H119" s="20" t="n">
        <v>130</v>
      </c>
      <c r="I119" s="20" t="n">
        <v>105</v>
      </c>
      <c r="J119" s="20" t="n">
        <v>74</v>
      </c>
      <c r="K119" s="20" t="n">
        <v>46</v>
      </c>
      <c r="L119" s="20" t="n">
        <v>56</v>
      </c>
    </row>
    <row r="120">
      <c r="A120" s="18" t="inlineStr">
        <is>
          <t>이연법인세부채</t>
        </is>
      </c>
      <c r="E120" s="20" t="n">
        <v>1065</v>
      </c>
      <c r="H120" s="20" t="n">
        <v>806</v>
      </c>
      <c r="I120" s="20" t="n">
        <v>833</v>
      </c>
      <c r="J120" s="20" t="n">
        <v>1016</v>
      </c>
      <c r="K120" s="20" t="n">
        <v>995</v>
      </c>
      <c r="L120" s="20" t="n">
        <v>1065</v>
      </c>
    </row>
    <row r="121">
      <c r="A121" s="18" t="inlineStr">
        <is>
          <t>재평가 관련 이연법인세부채</t>
        </is>
      </c>
      <c r="E121" s="20" t="n">
        <v>744</v>
      </c>
      <c r="H121" s="20" t="n">
        <v>729</v>
      </c>
      <c r="I121" s="20" t="n">
        <v>729</v>
      </c>
      <c r="J121" s="20" t="n">
        <v>723</v>
      </c>
      <c r="K121" s="20" t="n">
        <v>744</v>
      </c>
      <c r="L121" s="20" t="n">
        <v>744</v>
      </c>
    </row>
    <row r="122">
      <c r="A122" s="18" t="inlineStr">
        <is>
          <t>퇴직급여부채</t>
        </is>
      </c>
      <c r="C122" s="20" t="n">
        <v>4006</v>
      </c>
      <c r="D122" s="20" t="n">
        <v>4016</v>
      </c>
      <c r="E122" s="20" t="n">
        <v>4047</v>
      </c>
      <c r="F122" s="20" t="n">
        <v>4010</v>
      </c>
      <c r="G122" s="20" t="n">
        <v>4050</v>
      </c>
      <c r="H122" s="20" t="n">
        <v>4376</v>
      </c>
      <c r="I122" s="20" t="n">
        <v>4276</v>
      </c>
      <c r="J122" s="20" t="n">
        <v>4170</v>
      </c>
      <c r="K122" s="20" t="n">
        <v>4088</v>
      </c>
      <c r="L122" s="20" t="n">
        <v>4047</v>
      </c>
    </row>
    <row r="123">
      <c r="A123" s="18" t="inlineStr">
        <is>
          <t>자산복구부채</t>
        </is>
      </c>
      <c r="C123" s="20" t="n">
        <v>527</v>
      </c>
      <c r="D123" s="20" t="n">
        <v>527</v>
      </c>
      <c r="E123" s="20" t="n">
        <v>529</v>
      </c>
      <c r="F123" s="20" t="n">
        <v>546</v>
      </c>
      <c r="G123" s="20" t="n">
        <v>548</v>
      </c>
      <c r="H123" s="20" t="n">
        <v>324</v>
      </c>
      <c r="I123" s="20" t="n">
        <v>490</v>
      </c>
      <c r="J123" s="20" t="n">
        <v>500</v>
      </c>
      <c r="K123" s="20" t="n">
        <v>523</v>
      </c>
      <c r="L123" s="20" t="n">
        <v>529</v>
      </c>
    </row>
    <row r="124">
      <c r="A124" s="18" t="inlineStr">
        <is>
          <t>기타</t>
        </is>
      </c>
      <c r="C124" s="20" t="n">
        <v>2020</v>
      </c>
      <c r="D124" s="20" t="n">
        <v>2446</v>
      </c>
      <c r="E124" s="20" t="n">
        <v>2152</v>
      </c>
      <c r="F124" s="20" t="n">
        <v>2285</v>
      </c>
      <c r="G124" s="20" t="n">
        <v>2143</v>
      </c>
      <c r="H124" s="20" t="n">
        <v>130</v>
      </c>
      <c r="I124" s="20" t="n">
        <v>116</v>
      </c>
      <c r="J124" s="20" t="n">
        <v>85</v>
      </c>
      <c r="K124" s="20" t="n">
        <v>100</v>
      </c>
      <c r="L124" s="20" t="n">
        <v>2152</v>
      </c>
    </row>
    <row r="125">
      <c r="A125" s="9" t="inlineStr">
        <is>
          <t>비유동부채 합계</t>
        </is>
      </c>
      <c r="C125" s="12" t="n">
        <v>6674</v>
      </c>
      <c r="D125" s="12" t="n">
        <v>7079</v>
      </c>
      <c r="E125" s="12" t="n">
        <v>6819</v>
      </c>
      <c r="F125" s="12" t="n">
        <v>6901</v>
      </c>
      <c r="G125" s="12" t="n">
        <v>6802</v>
      </c>
      <c r="H125" s="12" t="n">
        <v>6557</v>
      </c>
      <c r="I125" s="12" t="n">
        <v>6578</v>
      </c>
      <c r="J125" s="12" t="n">
        <v>6782</v>
      </c>
      <c r="K125" s="12" t="n">
        <v>6649</v>
      </c>
      <c r="L125" s="12" t="n">
        <v>6819</v>
      </c>
    </row>
    <row r="126">
      <c r="A126" s="9" t="inlineStr">
        <is>
          <t>부채 합계</t>
        </is>
      </c>
      <c r="C126" s="12" t="n">
        <v>19472</v>
      </c>
      <c r="D126" s="12" t="n">
        <v>19840</v>
      </c>
      <c r="E126" s="12" t="n">
        <v>20124</v>
      </c>
      <c r="F126" s="12" t="n">
        <v>19890</v>
      </c>
      <c r="G126" s="12" t="n">
        <v>20780</v>
      </c>
      <c r="H126" s="12" t="n">
        <v>18034</v>
      </c>
      <c r="I126" s="12" t="n">
        <v>18448</v>
      </c>
      <c r="J126" s="12" t="n">
        <v>18539</v>
      </c>
      <c r="K126" s="12" t="n">
        <v>19148</v>
      </c>
      <c r="L126" s="12" t="n">
        <v>20124</v>
      </c>
    </row>
    <row r="127">
      <c r="A127" s="18" t="inlineStr">
        <is>
          <t>자본금</t>
        </is>
      </c>
      <c r="C127" s="20" t="n">
        <v>6673</v>
      </c>
      <c r="D127" s="20" t="n">
        <v>6673</v>
      </c>
      <c r="E127" s="20" t="n">
        <v>6673</v>
      </c>
      <c r="F127" s="20" t="n">
        <v>6673</v>
      </c>
      <c r="G127" s="20" t="n">
        <v>6673</v>
      </c>
      <c r="H127" s="20" t="n">
        <v>6673</v>
      </c>
      <c r="I127" s="20" t="n">
        <v>6673</v>
      </c>
      <c r="J127" s="20" t="n">
        <v>6673</v>
      </c>
      <c r="K127" s="20" t="n">
        <v>6673</v>
      </c>
      <c r="L127" s="20" t="n">
        <v>6673</v>
      </c>
    </row>
    <row r="128">
      <c r="A128" s="18" t="inlineStr">
        <is>
          <t>자본잉여금</t>
        </is>
      </c>
      <c r="C128" s="20" t="n">
        <v>1277</v>
      </c>
      <c r="D128" s="20" t="n">
        <v>1277</v>
      </c>
      <c r="E128" s="20" t="n">
        <v>1277</v>
      </c>
      <c r="F128" s="20" t="n">
        <v>1277</v>
      </c>
      <c r="G128" s="20" t="n">
        <v>1302</v>
      </c>
      <c r="H128" s="20" t="n">
        <v>2196</v>
      </c>
      <c r="I128" s="20" t="n">
        <v>2206</v>
      </c>
      <c r="J128" s="20" t="n">
        <v>2213</v>
      </c>
      <c r="K128" s="20" t="n">
        <v>1273</v>
      </c>
      <c r="L128" s="20" t="n">
        <v>1277</v>
      </c>
    </row>
    <row r="129">
      <c r="A129" s="18" t="inlineStr">
        <is>
          <t>이익잉여금</t>
        </is>
      </c>
      <c r="C129" s="20" t="n">
        <v>37783</v>
      </c>
      <c r="D129" s="20" t="n">
        <v>38401</v>
      </c>
      <c r="E129" s="20" t="n">
        <v>39760</v>
      </c>
      <c r="F129" s="20" t="n">
        <v>40324</v>
      </c>
      <c r="G129" s="20" t="n">
        <v>41930</v>
      </c>
      <c r="H129" s="20" t="n">
        <v>29676</v>
      </c>
      <c r="I129" s="20" t="n">
        <v>31815</v>
      </c>
      <c r="J129" s="20" t="n">
        <v>32684</v>
      </c>
      <c r="K129" s="20" t="n">
        <v>35846</v>
      </c>
      <c r="L129" s="20" t="n">
        <v>39760</v>
      </c>
    </row>
    <row r="130">
      <c r="A130" s="18" t="inlineStr">
        <is>
          <t>자기주식</t>
        </is>
      </c>
      <c r="C130" s="20" t="n">
        <v>-505</v>
      </c>
      <c r="D130" s="20" t="n">
        <v>-505</v>
      </c>
      <c r="E130" s="20" t="n">
        <v>-684</v>
      </c>
      <c r="F130" s="20" t="n">
        <v>-685</v>
      </c>
      <c r="G130" s="20" t="n">
        <v>-663</v>
      </c>
      <c r="H130" s="20" t="n">
        <v>-530</v>
      </c>
      <c r="I130" s="20" t="n">
        <v>-515</v>
      </c>
      <c r="J130" s="20" t="n">
        <v>-1002</v>
      </c>
      <c r="K130" s="20" t="n">
        <v>-28</v>
      </c>
      <c r="L130" s="20" t="n">
        <v>-684</v>
      </c>
    </row>
    <row r="131">
      <c r="A131" s="9" t="inlineStr">
        <is>
          <t>주주자본 합계</t>
        </is>
      </c>
      <c r="C131" s="12" t="n">
        <v>45229</v>
      </c>
      <c r="D131" s="12" t="n">
        <v>45847</v>
      </c>
      <c r="E131" s="12" t="n">
        <v>47027</v>
      </c>
      <c r="F131" s="12" t="n">
        <v>47590</v>
      </c>
      <c r="G131" s="12" t="n">
        <v>49242</v>
      </c>
      <c r="H131" s="12" t="n">
        <v>38015</v>
      </c>
      <c r="I131" s="12" t="n">
        <v>40179</v>
      </c>
      <c r="J131" s="12" t="n">
        <v>40569</v>
      </c>
      <c r="K131" s="12" t="n">
        <v>43765</v>
      </c>
      <c r="L131" s="12" t="n">
        <v>47027</v>
      </c>
    </row>
    <row r="132">
      <c r="A132" s="18" t="inlineStr">
        <is>
          <t>기타유가증권 평가차액</t>
        </is>
      </c>
      <c r="C132" s="20" t="n">
        <v>1731</v>
      </c>
      <c r="D132" s="20" t="n">
        <v>1907</v>
      </c>
      <c r="E132" s="20" t="n">
        <v>1971</v>
      </c>
      <c r="F132" s="20" t="n">
        <v>2243</v>
      </c>
      <c r="G132" s="20" t="n">
        <v>2549</v>
      </c>
      <c r="H132" s="20" t="n">
        <v>632</v>
      </c>
      <c r="I132" s="20" t="n">
        <v>731</v>
      </c>
      <c r="J132" s="20" t="n">
        <v>1204</v>
      </c>
      <c r="K132" s="20" t="n">
        <v>1329</v>
      </c>
      <c r="L132" s="20" t="n">
        <v>1971</v>
      </c>
    </row>
    <row r="133">
      <c r="A133" s="18" t="inlineStr">
        <is>
          <t>이연헤지손익</t>
        </is>
      </c>
      <c r="C133" s="20" t="n">
        <v>-29</v>
      </c>
      <c r="D133" s="20" t="n">
        <v>9</v>
      </c>
      <c r="E133" s="20" t="n">
        <v>-0</v>
      </c>
      <c r="F133" s="20" t="n">
        <v>0</v>
      </c>
      <c r="G133" s="20" t="n">
        <v>-6</v>
      </c>
      <c r="H133" s="20" t="n">
        <v>1</v>
      </c>
      <c r="I133" s="20" t="n">
        <v>1</v>
      </c>
      <c r="J133" s="20" t="n">
        <v>-4</v>
      </c>
      <c r="K133" s="20" t="n">
        <v>-5</v>
      </c>
      <c r="L133" s="20" t="n">
        <v>-0</v>
      </c>
    </row>
    <row r="134">
      <c r="A134" s="18" t="inlineStr">
        <is>
          <t>토지재평가차액금</t>
        </is>
      </c>
      <c r="C134" s="20" t="n">
        <v>1505</v>
      </c>
      <c r="D134" s="20" t="n">
        <v>1566</v>
      </c>
      <c r="E134" s="20" t="n">
        <v>1566</v>
      </c>
      <c r="F134" s="20" t="n">
        <v>1566</v>
      </c>
      <c r="G134" s="20" t="n">
        <v>1563</v>
      </c>
      <c r="H134" s="20" t="n">
        <v>1540</v>
      </c>
      <c r="I134" s="20" t="n">
        <v>1540</v>
      </c>
      <c r="J134" s="20" t="n">
        <v>1527</v>
      </c>
      <c r="K134" s="20" t="n">
        <v>1505</v>
      </c>
      <c r="L134" s="20" t="n">
        <v>1566</v>
      </c>
    </row>
    <row r="135">
      <c r="A135" s="18" t="inlineStr">
        <is>
          <t>해외사업환산조정</t>
        </is>
      </c>
      <c r="C135" s="20" t="n">
        <v>940</v>
      </c>
      <c r="D135" s="20" t="n">
        <v>983</v>
      </c>
      <c r="E135" s="20" t="n">
        <v>1208</v>
      </c>
      <c r="F135" s="20" t="n">
        <v>1175</v>
      </c>
      <c r="G135" s="20" t="n">
        <v>1293</v>
      </c>
      <c r="H135" s="20" t="n">
        <v>334</v>
      </c>
      <c r="I135" s="20" t="n">
        <v>523</v>
      </c>
      <c r="J135" s="20" t="n">
        <v>742</v>
      </c>
      <c r="K135" s="20" t="n">
        <v>936</v>
      </c>
      <c r="L135" s="20" t="n">
        <v>1208</v>
      </c>
    </row>
    <row r="136">
      <c r="A136" s="18" t="inlineStr">
        <is>
          <t>퇴직급여 조정누계액</t>
        </is>
      </c>
      <c r="C136" s="20" t="n">
        <v>-67</v>
      </c>
      <c r="D136" s="20" t="n">
        <v>-64</v>
      </c>
      <c r="E136" s="20" t="n">
        <v>-81</v>
      </c>
      <c r="F136" s="20" t="n">
        <v>-78</v>
      </c>
      <c r="G136" s="20" t="n">
        <v>-74</v>
      </c>
      <c r="H136" s="20" t="n">
        <v>-27</v>
      </c>
      <c r="I136" s="20" t="n">
        <v>-56</v>
      </c>
      <c r="J136" s="20" t="n">
        <v>-67</v>
      </c>
      <c r="K136" s="20" t="n">
        <v>-71</v>
      </c>
      <c r="L136" s="20" t="n">
        <v>-81</v>
      </c>
    </row>
    <row r="137">
      <c r="A137" s="18" t="inlineStr">
        <is>
          <t>기타포괄손익누계액 합계</t>
        </is>
      </c>
      <c r="C137" s="20" t="n">
        <v>4081</v>
      </c>
      <c r="D137" s="20" t="n">
        <v>4402</v>
      </c>
      <c r="E137" s="20" t="n">
        <v>4664</v>
      </c>
      <c r="F137" s="20" t="n">
        <v>4908</v>
      </c>
      <c r="G137" s="20" t="n">
        <v>5325</v>
      </c>
      <c r="H137" s="20" t="n">
        <v>2481</v>
      </c>
      <c r="I137" s="20" t="n">
        <v>2740</v>
      </c>
      <c r="J137" s="20" t="n">
        <v>3403</v>
      </c>
      <c r="K137" s="20" t="n">
        <v>3694</v>
      </c>
      <c r="L137" s="20" t="n">
        <v>4664</v>
      </c>
    </row>
    <row r="138">
      <c r="A138" s="18" t="inlineStr">
        <is>
          <t>비지배지분</t>
        </is>
      </c>
      <c r="C138" s="20" t="n">
        <v>0</v>
      </c>
      <c r="D138" s="20" t="n">
        <v>0</v>
      </c>
      <c r="E138" s="20" t="n">
        <v>0</v>
      </c>
      <c r="F138" s="20" t="n">
        <v>0</v>
      </c>
      <c r="G138" s="20" t="n">
        <v>0</v>
      </c>
      <c r="H138" s="20" t="n">
        <v>0</v>
      </c>
      <c r="I138" s="20" t="n">
        <v>0</v>
      </c>
      <c r="J138" s="20" t="n">
        <v>0</v>
      </c>
      <c r="K138" s="20" t="n">
        <v>0</v>
      </c>
      <c r="L138" s="20" t="n">
        <v>0</v>
      </c>
    </row>
    <row r="139">
      <c r="A139" s="9" t="inlineStr">
        <is>
          <t>순자산 합계</t>
        </is>
      </c>
      <c r="C139" s="12" t="n">
        <v>49311</v>
      </c>
      <c r="D139" s="12" t="n">
        <v>50250</v>
      </c>
      <c r="E139" s="12" t="n">
        <v>51691</v>
      </c>
      <c r="F139" s="12" t="n">
        <v>52499</v>
      </c>
      <c r="G139" s="12" t="n">
        <v>54568</v>
      </c>
      <c r="H139" s="12" t="n">
        <v>40497</v>
      </c>
      <c r="I139" s="12" t="n">
        <v>42920</v>
      </c>
      <c r="J139" s="12" t="n">
        <v>43973</v>
      </c>
      <c r="K139" s="12" t="n">
        <v>47460</v>
      </c>
      <c r="L139" s="12" t="n">
        <v>51691</v>
      </c>
    </row>
    <row r="140">
      <c r="A140" s="9" t="inlineStr">
        <is>
          <t>부채·순자산 합계</t>
        </is>
      </c>
      <c r="C140" s="12" t="n">
        <v>68783</v>
      </c>
      <c r="D140" s="12" t="n">
        <v>70090</v>
      </c>
      <c r="E140" s="12" t="n">
        <v>71816</v>
      </c>
      <c r="F140" s="12" t="n">
        <v>72389</v>
      </c>
      <c r="G140" s="12" t="n">
        <v>75349</v>
      </c>
      <c r="H140" s="12" t="n">
        <v>58531</v>
      </c>
      <c r="I140" s="12" t="n">
        <v>61368</v>
      </c>
      <c r="J140" s="12" t="n">
        <v>62512</v>
      </c>
      <c r="K140" s="12" t="n">
        <v>66608</v>
      </c>
      <c r="L140" s="12" t="n">
        <v>71816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후지보홀딩스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bs annual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2022</t>
        </is>
      </c>
      <c r="C5" s="53" t="inlineStr">
        <is>
          <t>2023</t>
        </is>
      </c>
      <c r="D5" s="53" t="inlineStr">
        <is>
          <t>2024</t>
        </is>
      </c>
      <c r="E5" s="53" t="inlineStr">
        <is>
          <t>2025</t>
        </is>
      </c>
      <c r="F5" s="53" t="inlineStr">
        <is>
          <t>2026</t>
        </is>
      </c>
      <c r="G5" s="53" t="inlineStr">
        <is>
          <t>출처</t>
        </is>
      </c>
    </row>
    <row r="6">
      <c r="A6" s="54" t="inlineStr">
        <is>
          <t>labels</t>
        </is>
      </c>
      <c r="B6" s="55" t="n">
        <v>2022</v>
      </c>
      <c r="C6" s="55" t="n">
        <v>2023</v>
      </c>
      <c r="D6" s="55" t="n">
        <v>2024</v>
      </c>
      <c r="E6" s="55" t="n">
        <v>2025</v>
      </c>
      <c r="F6" s="55" t="n">
        <v>2026</v>
      </c>
      <c r="G6" s="56" t="inlineStr">
        <is>
          <t>2단계 보고서 자료(회사 설명회 자료·공시)</t>
        </is>
      </c>
    </row>
    <row r="7">
      <c r="A7" s="54" t="inlineStr">
        <is>
          <t>current assets</t>
        </is>
      </c>
      <c r="B7" s="57" t="n">
        <v>225.4</v>
      </c>
      <c r="C7" s="57" t="n">
        <v>230</v>
      </c>
      <c r="D7" s="57" t="n">
        <v>236.9</v>
      </c>
      <c r="E7" s="57" t="n">
        <v>250.5</v>
      </c>
      <c r="F7" s="57" t="n">
        <v>255.8</v>
      </c>
    </row>
    <row r="8">
      <c r="A8" s="54" t="inlineStr">
        <is>
          <t>cash</t>
        </is>
      </c>
      <c r="B8" s="57" t="n">
        <v>83.3</v>
      </c>
      <c r="C8" s="57" t="n">
        <v>81</v>
      </c>
      <c r="D8" s="57" t="n">
        <v>82.59999999999999</v>
      </c>
      <c r="E8" s="57" t="n">
        <v>80.7</v>
      </c>
      <c r="F8" s="57" t="n">
        <v>95.3</v>
      </c>
    </row>
    <row r="9">
      <c r="A9" s="54" t="inlineStr">
        <is>
          <t>st fin</t>
        </is>
      </c>
      <c r="B9" s="58" t="n"/>
      <c r="C9" s="58" t="n"/>
      <c r="D9" s="58" t="n"/>
      <c r="E9" s="58" t="n"/>
      <c r="F9" s="58" t="n"/>
    </row>
    <row r="10">
      <c r="A10" s="54" t="inlineStr">
        <is>
          <t>receivables</t>
        </is>
      </c>
      <c r="B10" s="57" t="n">
        <v>85.09999999999999</v>
      </c>
      <c r="C10" s="57" t="n">
        <v>80</v>
      </c>
      <c r="D10" s="57" t="n">
        <v>85.5</v>
      </c>
      <c r="E10" s="57" t="n">
        <v>100.4</v>
      </c>
      <c r="F10" s="57" t="n">
        <v>87.40000000000001</v>
      </c>
    </row>
    <row r="11">
      <c r="A11" s="54" t="inlineStr">
        <is>
          <t>inventory</t>
        </is>
      </c>
      <c r="B11" s="57" t="n">
        <v>45.2</v>
      </c>
      <c r="C11" s="57" t="n">
        <v>58.7</v>
      </c>
      <c r="D11" s="57" t="n">
        <v>54.4</v>
      </c>
      <c r="E11" s="57" t="n">
        <v>54.2</v>
      </c>
      <c r="F11" s="57" t="n">
        <v>58.6</v>
      </c>
    </row>
    <row r="12">
      <c r="A12" s="54" t="inlineStr">
        <is>
          <t>noncurrent assets</t>
        </is>
      </c>
      <c r="B12" s="57" t="n">
        <v>359.9</v>
      </c>
      <c r="C12" s="57" t="n">
        <v>383.6</v>
      </c>
      <c r="D12" s="57" t="n">
        <v>388.2</v>
      </c>
      <c r="E12" s="57" t="n">
        <v>415.6</v>
      </c>
      <c r="F12" s="57" t="n">
        <v>462.4</v>
      </c>
    </row>
    <row r="13">
      <c r="A13" s="54" t="inlineStr">
        <is>
          <t>ppe</t>
        </is>
      </c>
      <c r="B13" s="57" t="n">
        <v>325.7</v>
      </c>
      <c r="C13" s="57" t="n">
        <v>339.7</v>
      </c>
      <c r="D13" s="57" t="n">
        <v>339.6</v>
      </c>
      <c r="E13" s="57" t="n">
        <v>367.8</v>
      </c>
      <c r="F13" s="57" t="n">
        <v>412.2</v>
      </c>
    </row>
    <row r="14">
      <c r="A14" s="54" t="inlineStr">
        <is>
          <t>intangibles</t>
        </is>
      </c>
      <c r="B14" s="57" t="n">
        <v>6</v>
      </c>
      <c r="C14" s="57" t="n">
        <v>14</v>
      </c>
      <c r="D14" s="57" t="n">
        <v>12.2</v>
      </c>
      <c r="E14" s="57" t="n">
        <v>10.7</v>
      </c>
      <c r="F14" s="57" t="n">
        <v>3.8</v>
      </c>
    </row>
    <row r="15">
      <c r="A15" s="54" t="inlineStr">
        <is>
          <t>inv property</t>
        </is>
      </c>
      <c r="B15" s="58" t="n"/>
      <c r="C15" s="58" t="n"/>
      <c r="D15" s="58" t="n"/>
      <c r="E15" s="58" t="n"/>
      <c r="F15" s="58" t="n"/>
    </row>
    <row r="16">
      <c r="A16" s="54" t="inlineStr">
        <is>
          <t>합계 assets</t>
        </is>
      </c>
      <c r="B16" s="57" t="n">
        <v>585.3</v>
      </c>
      <c r="C16" s="57" t="n">
        <v>613.7</v>
      </c>
      <c r="D16" s="57" t="n">
        <v>625.1</v>
      </c>
      <c r="E16" s="57" t="n">
        <v>666.1</v>
      </c>
      <c r="F16" s="57" t="n">
        <v>718.2</v>
      </c>
    </row>
    <row r="17">
      <c r="A17" s="54" t="inlineStr">
        <is>
          <t>current liab</t>
        </is>
      </c>
      <c r="B17" s="57" t="n">
        <v>114.8</v>
      </c>
      <c r="C17" s="57" t="n">
        <v>118.7</v>
      </c>
      <c r="D17" s="57" t="n">
        <v>117.6</v>
      </c>
      <c r="E17" s="57" t="n">
        <v>125</v>
      </c>
      <c r="F17" s="57" t="n">
        <v>133.1</v>
      </c>
    </row>
    <row r="18">
      <c r="A18" s="54" t="inlineStr">
        <is>
          <t>payables</t>
        </is>
      </c>
      <c r="B18" s="57" t="n">
        <v>49.5</v>
      </c>
      <c r="C18" s="57" t="n">
        <v>40.9</v>
      </c>
      <c r="D18" s="57" t="n">
        <v>41.6</v>
      </c>
      <c r="E18" s="57" t="n">
        <v>47.7</v>
      </c>
      <c r="F18" s="57" t="n">
        <v>37</v>
      </c>
    </row>
    <row r="19">
      <c r="A19" s="54" t="inlineStr">
        <is>
          <t>st debt</t>
        </is>
      </c>
      <c r="B19" s="57" t="n">
        <v>13.1</v>
      </c>
      <c r="C19" s="57" t="n">
        <v>12.9</v>
      </c>
      <c r="D19" s="57" t="n">
        <v>12.2</v>
      </c>
      <c r="E19" s="57" t="n">
        <v>3.2</v>
      </c>
      <c r="F19" s="57" t="n">
        <v>1.3</v>
      </c>
    </row>
    <row r="20">
      <c r="A20" s="54" t="inlineStr">
        <is>
          <t>noncurrent liab</t>
        </is>
      </c>
      <c r="B20" s="57" t="n">
        <v>65.59999999999999</v>
      </c>
      <c r="C20" s="57" t="n">
        <v>65.8</v>
      </c>
      <c r="D20" s="57" t="n">
        <v>67.8</v>
      </c>
      <c r="E20" s="57" t="n">
        <v>66.5</v>
      </c>
      <c r="F20" s="57" t="n">
        <v>68.2</v>
      </c>
    </row>
    <row r="21">
      <c r="A21" s="54" t="inlineStr">
        <is>
          <t>lt debt</t>
        </is>
      </c>
      <c r="B21" s="57" t="n">
        <v>0.6</v>
      </c>
      <c r="C21" s="57" t="n">
        <v>0.3</v>
      </c>
      <c r="D21" s="57" t="n">
        <v>2.1</v>
      </c>
      <c r="E21" s="57" t="n">
        <v>1.5</v>
      </c>
      <c r="F21" s="57" t="n">
        <v>0.9</v>
      </c>
    </row>
    <row r="22">
      <c r="A22" s="54" t="inlineStr">
        <is>
          <t>bonds</t>
        </is>
      </c>
      <c r="B22" s="58" t="n"/>
      <c r="C22" s="58" t="n"/>
      <c r="D22" s="58" t="n"/>
      <c r="E22" s="58" t="n"/>
      <c r="F22" s="58" t="n"/>
    </row>
    <row r="23">
      <c r="A23" s="54" t="inlineStr">
        <is>
          <t>합계 liab</t>
        </is>
      </c>
      <c r="B23" s="57" t="n">
        <v>180.3</v>
      </c>
      <c r="C23" s="57" t="n">
        <v>184.5</v>
      </c>
      <c r="D23" s="57" t="n">
        <v>185.4</v>
      </c>
      <c r="E23" s="57" t="n">
        <v>191.5</v>
      </c>
      <c r="F23" s="57" t="n">
        <v>201.2</v>
      </c>
    </row>
    <row r="24">
      <c r="A24" s="54" t="inlineStr">
        <is>
          <t>capital stock</t>
        </is>
      </c>
      <c r="B24" s="57" t="n">
        <v>66.7</v>
      </c>
      <c r="C24" s="57" t="n">
        <v>66.7</v>
      </c>
      <c r="D24" s="57" t="n">
        <v>66.7</v>
      </c>
      <c r="E24" s="57" t="n">
        <v>66.7</v>
      </c>
      <c r="F24" s="57" t="n">
        <v>66.7</v>
      </c>
    </row>
    <row r="25">
      <c r="A25" s="54" t="inlineStr">
        <is>
          <t>retained</t>
        </is>
      </c>
      <c r="B25" s="57" t="n">
        <v>296.8</v>
      </c>
      <c r="C25" s="57" t="n">
        <v>318.1</v>
      </c>
      <c r="D25" s="57" t="n">
        <v>326.8</v>
      </c>
      <c r="E25" s="57" t="n">
        <v>358.5</v>
      </c>
      <c r="F25" s="57" t="n">
        <v>397.6</v>
      </c>
    </row>
    <row r="26">
      <c r="A26" s="54" t="inlineStr">
        <is>
          <t>nci</t>
        </is>
      </c>
      <c r="B26" s="57" t="n">
        <v>0</v>
      </c>
      <c r="C26" s="57" t="n">
        <v>0</v>
      </c>
      <c r="D26" s="57" t="n">
        <v>0</v>
      </c>
      <c r="E26" s="57" t="n">
        <v>0</v>
      </c>
      <c r="F26" s="57" t="n">
        <v>0</v>
      </c>
    </row>
    <row r="27">
      <c r="A27" s="54" t="inlineStr">
        <is>
          <t>합계 equity</t>
        </is>
      </c>
      <c r="B27" s="57" t="n">
        <v>405</v>
      </c>
      <c r="C27" s="57" t="n">
        <v>429.2</v>
      </c>
      <c r="D27" s="57" t="n">
        <v>439.7</v>
      </c>
      <c r="E27" s="57" t="n">
        <v>474.6</v>
      </c>
      <c r="F27" s="57" t="n">
        <v>516.9</v>
      </c>
    </row>
    <row r="28">
      <c r="A28" s="54" t="inlineStr">
        <is>
          <t>current ltd</t>
        </is>
      </c>
      <c r="B28" s="58" t="n"/>
      <c r="C28" s="58" t="n"/>
      <c r="D28" s="58" t="n"/>
      <c r="E28" s="58" t="n"/>
      <c r="F28" s="58" t="n"/>
    </row>
    <row r="29">
      <c r="A29" s="54" t="inlineStr">
        <is>
          <t>equity owner</t>
        </is>
      </c>
      <c r="B29" s="57" t="n">
        <v>405</v>
      </c>
      <c r="C29" s="57" t="n">
        <v>429.2</v>
      </c>
      <c r="D29" s="57" t="n">
        <v>439.7</v>
      </c>
      <c r="E29" s="57" t="n">
        <v>474.6</v>
      </c>
      <c r="F29" s="57" t="n">
        <v>516.9</v>
      </c>
    </row>
    <row r="31">
      <c r="A31" s="52" t="inlineStr">
        <is>
          <t>cf annual</t>
        </is>
      </c>
      <c r="B31" s="52" t="n"/>
      <c r="C31" s="52" t="n"/>
      <c r="D31" s="52" t="n"/>
      <c r="E31" s="52" t="n"/>
      <c r="F31" s="52" t="n"/>
      <c r="G31" s="52" t="n"/>
    </row>
    <row r="32">
      <c r="A32" s="53" t="inlineStr">
        <is>
          <t>항목</t>
        </is>
      </c>
      <c r="B32" s="53" t="inlineStr">
        <is>
          <t>2022</t>
        </is>
      </c>
      <c r="C32" s="53" t="inlineStr">
        <is>
          <t>2023</t>
        </is>
      </c>
      <c r="D32" s="53" t="inlineStr">
        <is>
          <t>2024</t>
        </is>
      </c>
      <c r="E32" s="53" t="inlineStr">
        <is>
          <t>2025</t>
        </is>
      </c>
      <c r="F32" s="53" t="inlineStr">
        <is>
          <t>2026</t>
        </is>
      </c>
      <c r="G32" s="53" t="inlineStr">
        <is>
          <t>출처</t>
        </is>
      </c>
    </row>
    <row r="33">
      <c r="A33" s="54" t="inlineStr">
        <is>
          <t>labels</t>
        </is>
      </c>
      <c r="B33" s="55" t="n">
        <v>2022</v>
      </c>
      <c r="C33" s="55" t="n">
        <v>2023</v>
      </c>
      <c r="D33" s="55" t="n">
        <v>2024</v>
      </c>
      <c r="E33" s="55" t="n">
        <v>2025</v>
      </c>
      <c r="F33" s="55" t="n">
        <v>2026</v>
      </c>
      <c r="G33" s="56" t="inlineStr">
        <is>
          <t>2단계 보고서 자료(회사 설명회 자료·공시)</t>
        </is>
      </c>
    </row>
    <row r="34">
      <c r="A34" s="54" t="inlineStr">
        <is>
          <t>ocf</t>
        </is>
      </c>
      <c r="B34" s="57" t="n">
        <v>91.09999999999999</v>
      </c>
      <c r="C34" s="57" t="n">
        <v>51.8</v>
      </c>
      <c r="D34" s="57" t="n">
        <v>49.9</v>
      </c>
      <c r="E34" s="57" t="n">
        <v>86.59999999999999</v>
      </c>
      <c r="F34" s="57" t="n">
        <v>101.4</v>
      </c>
    </row>
    <row r="35">
      <c r="A35" s="54" t="inlineStr">
        <is>
          <t>설비투자</t>
        </is>
      </c>
      <c r="B35" s="58" t="n"/>
      <c r="C35" s="58" t="n"/>
      <c r="D35" s="58" t="n"/>
      <c r="E35" s="58" t="n"/>
      <c r="F35" s="58" t="n"/>
    </row>
    <row r="36">
      <c r="A36" s="54" t="inlineStr">
        <is>
          <t>dividends</t>
        </is>
      </c>
      <c r="B36" s="57" t="n">
        <v>12.6</v>
      </c>
      <c r="C36" s="57" t="n">
        <v>12.6</v>
      </c>
      <c r="D36" s="57" t="n">
        <v>12.6</v>
      </c>
      <c r="E36" s="57" t="n">
        <v>13</v>
      </c>
      <c r="F36" s="57" t="n">
        <v>16.4</v>
      </c>
    </row>
    <row r="38">
      <c r="A38" s="52" t="inlineStr">
        <is>
          <t>company 예상</t>
        </is>
      </c>
      <c r="B38" s="52" t="n"/>
      <c r="C38" s="52" t="n"/>
      <c r="D38" s="52" t="n"/>
      <c r="E38" s="52" t="n"/>
      <c r="F38" s="52" t="n"/>
      <c r="G38" s="52" t="n"/>
    </row>
    <row r="39">
      <c r="A39" s="53" t="inlineStr">
        <is>
          <t>항목</t>
        </is>
      </c>
      <c r="B39" s="53" t="inlineStr">
        <is>
          <t>값</t>
        </is>
      </c>
      <c r="G39" s="53" t="inlineStr">
        <is>
          <t>출처</t>
        </is>
      </c>
    </row>
    <row r="40">
      <c r="A40" s="54" t="inlineStr">
        <is>
          <t>매출</t>
        </is>
      </c>
      <c r="B40" s="57" t="n">
        <v>554</v>
      </c>
      <c r="G40" s="56" t="inlineStr">
        <is>
          <t>2단계 보고서 자료(회사 설명회 자료·공시)</t>
        </is>
      </c>
    </row>
    <row r="41">
      <c r="A41" s="54" t="inlineStr">
        <is>
          <t>영업이익</t>
        </is>
      </c>
      <c r="B41" s="57" t="n">
        <v>105</v>
      </c>
    </row>
    <row r="42">
      <c r="A42" s="54" t="inlineStr">
        <is>
          <t>경상이익</t>
        </is>
      </c>
      <c r="B42" s="57" t="n">
        <v>107</v>
      </c>
    </row>
    <row r="43">
      <c r="A43" s="54" t="inlineStr">
        <is>
          <t>순이익</t>
        </is>
      </c>
      <c r="B43" s="57" t="n">
        <v>72</v>
      </c>
    </row>
    <row r="44">
      <c r="A44" s="54" t="inlineStr">
        <is>
          <t>EPS</t>
        </is>
      </c>
      <c r="B44" s="57" t="n">
        <v>213.5</v>
      </c>
    </row>
    <row r="46">
      <c r="A46" s="52" t="inlineStr">
        <is>
          <t>this filing · 상반기</t>
        </is>
      </c>
      <c r="B46" s="52" t="n"/>
      <c r="C46" s="52" t="n"/>
      <c r="D46" s="52" t="n"/>
      <c r="E46" s="52" t="n"/>
      <c r="F46" s="52" t="n"/>
      <c r="G46" s="52" t="n"/>
    </row>
    <row r="47">
      <c r="A47" s="53" t="inlineStr">
        <is>
          <t>항목</t>
        </is>
      </c>
      <c r="B47" s="53" t="inlineStr">
        <is>
          <t>값</t>
        </is>
      </c>
      <c r="G47" s="53" t="inlineStr">
        <is>
          <t>출처</t>
        </is>
      </c>
    </row>
    <row r="48">
      <c r="A48" s="54" t="inlineStr">
        <is>
          <t>매출</t>
        </is>
      </c>
      <c r="B48" s="57" t="n">
        <v>273.54</v>
      </c>
      <c r="G48" s="56" t="inlineStr">
        <is>
          <t>2단계 보고서 자료(회사 설명회 자료·공시)</t>
        </is>
      </c>
    </row>
    <row r="49">
      <c r="A49" s="54" t="inlineStr">
        <is>
          <t>매출 YoY</t>
        </is>
      </c>
      <c r="B49" s="57" t="n">
        <v>21.4</v>
      </c>
    </row>
    <row r="50">
      <c r="A50" s="54" t="inlineStr">
        <is>
          <t>영업이익</t>
        </is>
      </c>
      <c r="B50" s="57" t="n">
        <v>48.66</v>
      </c>
    </row>
    <row r="51">
      <c r="A51" s="54" t="inlineStr">
        <is>
          <t>영업이익 YoY</t>
        </is>
      </c>
      <c r="B51" s="57" t="n">
        <v>29</v>
      </c>
    </row>
    <row r="52">
      <c r="A52" s="54" t="inlineStr">
        <is>
          <t>ordinary</t>
        </is>
      </c>
      <c r="B52" s="57" t="n">
        <v>51.76</v>
      </c>
    </row>
    <row r="53">
      <c r="A53" s="54" t="inlineStr">
        <is>
          <t>ordinary YoY</t>
        </is>
      </c>
      <c r="B53" s="57" t="n">
        <v>32.6</v>
      </c>
    </row>
    <row r="54">
      <c r="A54" s="54" t="inlineStr">
        <is>
          <t>순이익</t>
        </is>
      </c>
      <c r="B54" s="57" t="n">
        <v>33.46</v>
      </c>
    </row>
    <row r="55">
      <c r="A55" s="54" t="inlineStr">
        <is>
          <t>순이익 YoY</t>
        </is>
      </c>
      <c r="B55" s="57" t="n">
        <v>22.6</v>
      </c>
    </row>
    <row r="56">
      <c r="A56" s="54" t="inlineStr">
        <is>
          <t>EPS</t>
        </is>
      </c>
      <c r="B56" s="57" t="n">
        <v>99.23999999999999</v>
      </c>
    </row>
    <row r="58">
      <c r="A58" s="52" t="inlineStr">
        <is>
          <t>this filing · 2Q standalone</t>
        </is>
      </c>
      <c r="B58" s="52" t="n"/>
      <c r="C58" s="52" t="n"/>
      <c r="D58" s="52" t="n"/>
      <c r="E58" s="52" t="n"/>
      <c r="F58" s="52" t="n"/>
      <c r="G58" s="52" t="n"/>
    </row>
    <row r="59">
      <c r="A59" s="53" t="inlineStr">
        <is>
          <t>항목</t>
        </is>
      </c>
      <c r="B59" s="53" t="inlineStr">
        <is>
          <t>값</t>
        </is>
      </c>
      <c r="G59" s="53" t="inlineStr">
        <is>
          <t>출처</t>
        </is>
      </c>
    </row>
    <row r="60">
      <c r="A60" s="54" t="inlineStr">
        <is>
          <t>매출</t>
        </is>
      </c>
      <c r="B60" s="57" t="n">
        <v>141.8</v>
      </c>
      <c r="G60" s="56" t="inlineStr">
        <is>
          <t>2단계 보고서 자료(회사 설명회 자료·공시)</t>
        </is>
      </c>
    </row>
    <row r="61">
      <c r="A61" s="54" t="inlineStr">
        <is>
          <t>영업이익</t>
        </is>
      </c>
      <c r="B61" s="57" t="n">
        <v>23.9</v>
      </c>
    </row>
    <row r="62">
      <c r="A62" s="54" t="inlineStr">
        <is>
          <t>ordinary</t>
        </is>
      </c>
      <c r="B62" s="57" t="n">
        <v>25.8</v>
      </c>
    </row>
    <row r="63">
      <c r="A63" s="54" t="inlineStr">
        <is>
          <t>순이익</t>
        </is>
      </c>
      <c r="B63" s="57" t="n">
        <v>16</v>
      </c>
    </row>
    <row r="64">
      <c r="A64" s="54" t="inlineStr">
        <is>
          <t>YoY 매출</t>
        </is>
      </c>
      <c r="B64" s="57" t="n">
        <v>25.7</v>
      </c>
    </row>
    <row r="65">
      <c r="A65" s="54" t="inlineStr">
        <is>
          <t>YoY 영업이익</t>
        </is>
      </c>
      <c r="B65" s="57" t="n">
        <v>29.9</v>
      </c>
    </row>
    <row r="66">
      <c r="A66" s="54" t="inlineStr">
        <is>
          <t>QoQ 매출</t>
        </is>
      </c>
      <c r="B66" s="57" t="n">
        <v>7.7</v>
      </c>
    </row>
    <row r="67">
      <c r="A67" s="54" t="inlineStr">
        <is>
          <t>QoQ 영업이익</t>
        </is>
      </c>
      <c r="B67" s="57" t="n">
        <v>-3.6</v>
      </c>
    </row>
    <row r="69">
      <c r="A69" s="52" t="inlineStr">
        <is>
          <t>this filing · 부문별 2Q standalone 매출</t>
        </is>
      </c>
      <c r="B69" s="52" t="n"/>
      <c r="C69" s="52" t="n"/>
      <c r="D69" s="52" t="n"/>
      <c r="E69" s="52" t="n"/>
      <c r="F69" s="52" t="n"/>
      <c r="G69" s="52" t="n"/>
    </row>
    <row r="70">
      <c r="A70" s="53" t="inlineStr">
        <is>
          <t>항목</t>
        </is>
      </c>
      <c r="B70" s="53" t="inlineStr">
        <is>
          <t>값</t>
        </is>
      </c>
      <c r="G70" s="53" t="inlineStr">
        <is>
          <t>출처</t>
        </is>
      </c>
    </row>
    <row r="71">
      <c r="A71" s="54" t="inlineStr">
        <is>
          <t>연마재</t>
        </is>
      </c>
      <c r="B71" s="57" t="n">
        <v>66.59999999999999</v>
      </c>
      <c r="G71" s="56" t="inlineStr">
        <is>
          <t>2단계 보고서 자료(회사 설명회 자료·공시)</t>
        </is>
      </c>
    </row>
    <row r="72">
      <c r="A72" s="54" t="inlineStr">
        <is>
          <t>화학공업품</t>
        </is>
      </c>
      <c r="B72" s="57" t="n">
        <v>50.9</v>
      </c>
    </row>
    <row r="73">
      <c r="A73" s="54" t="inlineStr">
        <is>
          <t>생활의류</t>
        </is>
      </c>
      <c r="B73" s="57" t="n">
        <v>14.1</v>
      </c>
    </row>
    <row r="74">
      <c r="A74" s="54" t="inlineStr">
        <is>
          <t>기타</t>
        </is>
      </c>
      <c r="B74" s="57" t="n">
        <v>10.3</v>
      </c>
    </row>
    <row r="76">
      <c r="A76" s="52" t="inlineStr">
        <is>
          <t>this filing · pl 상반기</t>
        </is>
      </c>
      <c r="B76" s="52" t="n"/>
      <c r="C76" s="52" t="n"/>
      <c r="D76" s="52" t="n"/>
      <c r="E76" s="52" t="n"/>
      <c r="F76" s="52" t="n"/>
      <c r="G76" s="52" t="n"/>
    </row>
    <row r="77">
      <c r="A77" s="53" t="inlineStr">
        <is>
          <t>항목</t>
        </is>
      </c>
      <c r="B77" s="53" t="inlineStr">
        <is>
          <t>값</t>
        </is>
      </c>
      <c r="G77" s="53" t="inlineStr">
        <is>
          <t>출처</t>
        </is>
      </c>
    </row>
    <row r="78">
      <c r="A78" s="54" t="inlineStr">
        <is>
          <t>gp</t>
        </is>
      </c>
      <c r="B78" s="57" t="n">
        <v>95.33</v>
      </c>
      <c r="G78" s="56" t="inlineStr">
        <is>
          <t>2단계 보고서 자료(회사 설명회 자료·공시)</t>
        </is>
      </c>
    </row>
    <row r="79">
      <c r="A79" s="54" t="inlineStr">
        <is>
          <t>gp 직전</t>
        </is>
      </c>
      <c r="B79" s="57" t="n">
        <v>81.06</v>
      </c>
    </row>
    <row r="80">
      <c r="A80" s="54" t="inlineStr">
        <is>
          <t>sga</t>
        </is>
      </c>
      <c r="B80" s="57" t="n">
        <v>46.66</v>
      </c>
    </row>
    <row r="81">
      <c r="A81" s="54" t="inlineStr">
        <is>
          <t>sga 직전</t>
        </is>
      </c>
      <c r="B81" s="57" t="n">
        <v>43.34</v>
      </c>
    </row>
    <row r="83">
      <c r="A83" s="52" t="inlineStr">
        <is>
          <t>this filing · cf 상반기</t>
        </is>
      </c>
      <c r="B83" s="52" t="n"/>
      <c r="C83" s="52" t="n"/>
      <c r="D83" s="52" t="n"/>
      <c r="E83" s="52" t="n"/>
      <c r="F83" s="52" t="n"/>
      <c r="G83" s="52" t="n"/>
    </row>
    <row r="84">
      <c r="A84" s="53" t="inlineStr">
        <is>
          <t>항목</t>
        </is>
      </c>
      <c r="B84" s="53" t="inlineStr">
        <is>
          <t>값</t>
        </is>
      </c>
      <c r="G84" s="53" t="inlineStr">
        <is>
          <t>출처</t>
        </is>
      </c>
    </row>
    <row r="85">
      <c r="A85" s="54" t="inlineStr">
        <is>
          <t>ocf</t>
        </is>
      </c>
      <c r="B85" s="57" t="n">
        <v>66.98999999999999</v>
      </c>
      <c r="G85" s="56" t="inlineStr">
        <is>
          <t>2단계 보고서 자료(회사 설명회 자료·공시)</t>
        </is>
      </c>
    </row>
    <row r="86">
      <c r="A86" s="54" t="inlineStr">
        <is>
          <t>설비투자</t>
        </is>
      </c>
      <c r="B86" s="57" t="n">
        <v>-36.22</v>
      </c>
    </row>
    <row r="87">
      <c r="A87" s="54" t="inlineStr">
        <is>
          <t>depr</t>
        </is>
      </c>
      <c r="B87" s="57" t="n">
        <v>20.17</v>
      </c>
    </row>
    <row r="88">
      <c r="A88" s="54" t="inlineStr">
        <is>
          <t>dividends paid</t>
        </is>
      </c>
      <c r="B88" s="57" t="n">
        <v>-11.76</v>
      </c>
    </row>
    <row r="89">
      <c r="A89" s="54" t="inlineStr">
        <is>
          <t>ocf 직전</t>
        </is>
      </c>
      <c r="B89" s="57" t="n">
        <v>49.29</v>
      </c>
    </row>
    <row r="90">
      <c r="A90" s="54" t="inlineStr">
        <is>
          <t>설비투자 직전</t>
        </is>
      </c>
      <c r="B90" s="57" t="n">
        <v>-18.38</v>
      </c>
    </row>
    <row r="91">
      <c r="A91" s="54" t="inlineStr">
        <is>
          <t>depr 직전</t>
        </is>
      </c>
      <c r="B91" s="57" t="n">
        <v>15.76</v>
      </c>
    </row>
    <row r="93">
      <c r="A93" s="52" t="inlineStr">
        <is>
          <t>this filing · bs 상반기</t>
        </is>
      </c>
      <c r="B93" s="52" t="n"/>
      <c r="C93" s="52" t="n"/>
      <c r="D93" s="52" t="n"/>
      <c r="E93" s="52" t="n"/>
      <c r="F93" s="52" t="n"/>
      <c r="G93" s="52" t="n"/>
    </row>
    <row r="94">
      <c r="A94" s="53" t="inlineStr">
        <is>
          <t>항목</t>
        </is>
      </c>
      <c r="B94" s="53" t="inlineStr">
        <is>
          <t>값</t>
        </is>
      </c>
      <c r="G94" s="53" t="inlineStr">
        <is>
          <t>출처</t>
        </is>
      </c>
    </row>
    <row r="95">
      <c r="A95" s="54" t="inlineStr">
        <is>
          <t>합계 assets</t>
        </is>
      </c>
      <c r="B95" s="57" t="n">
        <v>753.49</v>
      </c>
      <c r="G95" s="56" t="inlineStr">
        <is>
          <t>2단계 보고서 자료(회사 설명회 자료·공시)</t>
        </is>
      </c>
    </row>
    <row r="96">
      <c r="A96" s="54" t="inlineStr">
        <is>
          <t>equity</t>
        </is>
      </c>
      <c r="B96" s="57" t="n">
        <v>545.6799999999999</v>
      </c>
    </row>
    <row r="97">
      <c r="A97" s="54" t="inlineStr">
        <is>
          <t>equity ratio</t>
        </is>
      </c>
      <c r="B97" s="57" t="n">
        <v>72.40000000000001</v>
      </c>
    </row>
    <row r="98">
      <c r="A98" s="54" t="inlineStr">
        <is>
          <t>cash</t>
        </is>
      </c>
      <c r="B98" s="57" t="n">
        <v>112.98</v>
      </c>
    </row>
    <row r="99">
      <c r="A99" s="54" t="inlineStr">
        <is>
          <t>inventory</t>
        </is>
      </c>
      <c r="B99" s="57" t="n">
        <v>63.5</v>
      </c>
    </row>
    <row r="100">
      <c r="A100" s="54" t="inlineStr">
        <is>
          <t>machinery</t>
        </is>
      </c>
      <c r="B100" s="57" t="n">
        <v>102.57</v>
      </c>
    </row>
    <row r="101">
      <c r="A101" s="54" t="inlineStr">
        <is>
          <t>machinery 직전 FY</t>
        </is>
      </c>
      <c r="B101" s="57" t="n">
        <v>73.83</v>
      </c>
    </row>
    <row r="102">
      <c r="A102" s="54" t="inlineStr">
        <is>
          <t>ppe other cip</t>
        </is>
      </c>
      <c r="B102" s="57" t="n">
        <v>34.92</v>
      </c>
    </row>
    <row r="103">
      <c r="A103" s="54" t="inlineStr">
        <is>
          <t>ppe other cip 직전 FY</t>
        </is>
      </c>
      <c r="B103" s="57" t="n">
        <v>69.38</v>
      </c>
    </row>
    <row r="105">
      <c r="A105" s="52" t="inlineStr">
        <is>
          <t>가이던스 path · 실적 EPS split adjusted</t>
        </is>
      </c>
      <c r="B105" s="52" t="n"/>
      <c r="C105" s="52" t="n"/>
      <c r="D105" s="52" t="n"/>
      <c r="E105" s="52" t="n"/>
      <c r="F105" s="52" t="n"/>
      <c r="G105" s="52" t="n"/>
    </row>
    <row r="106">
      <c r="A106" s="53" t="inlineStr">
        <is>
          <t>항목</t>
        </is>
      </c>
      <c r="B106" s="53" t="inlineStr">
        <is>
          <t>값</t>
        </is>
      </c>
      <c r="G106" s="53" t="inlineStr">
        <is>
          <t>출처</t>
        </is>
      </c>
    </row>
    <row r="107">
      <c r="A107" s="54" t="inlineStr">
        <is>
          <t>FY2023</t>
        </is>
      </c>
      <c r="B107" s="57" t="n">
        <v>98.84999999999999</v>
      </c>
      <c r="G107" s="56" t="inlineStr">
        <is>
          <t>2단계 보고서 자료(회사 설명회 자료·공시)</t>
        </is>
      </c>
    </row>
    <row r="108">
      <c r="A108" s="54" t="inlineStr">
        <is>
          <t>FY2024</t>
        </is>
      </c>
      <c r="B108" s="57" t="n">
        <v>61.74</v>
      </c>
    </row>
    <row r="109">
      <c r="A109" s="54" t="inlineStr">
        <is>
          <t>FY2025</t>
        </is>
      </c>
      <c r="B109" s="57" t="n">
        <v>135.27</v>
      </c>
    </row>
    <row r="110">
      <c r="A110" s="54" t="inlineStr">
        <is>
          <t>FY2026</t>
        </is>
      </c>
      <c r="B110" s="57" t="n">
        <v>165.94</v>
      </c>
    </row>
    <row r="112">
      <c r="A112" s="52" t="inlineStr">
        <is>
          <t>가이던스 path · remaining 하반기 implied</t>
        </is>
      </c>
      <c r="B112" s="52" t="n"/>
      <c r="C112" s="52" t="n"/>
      <c r="D112" s="52" t="n"/>
      <c r="E112" s="52" t="n"/>
      <c r="F112" s="52" t="n"/>
      <c r="G112" s="52" t="n"/>
    </row>
    <row r="113">
      <c r="A113" s="53" t="inlineStr">
        <is>
          <t>항목</t>
        </is>
      </c>
      <c r="B113" s="53" t="inlineStr">
        <is>
          <t>값</t>
        </is>
      </c>
      <c r="G113" s="53" t="inlineStr">
        <is>
          <t>출처</t>
        </is>
      </c>
    </row>
    <row r="114">
      <c r="A114" s="54" t="inlineStr">
        <is>
          <t>매출</t>
        </is>
      </c>
      <c r="B114" s="57" t="n">
        <v>280.5</v>
      </c>
      <c r="G114" s="56" t="inlineStr">
        <is>
          <t>2단계 보고서 자료(회사 설명회 자료·공시)</t>
        </is>
      </c>
    </row>
    <row r="115">
      <c r="A115" s="54" t="inlineStr">
        <is>
          <t>영업이익</t>
        </is>
      </c>
      <c r="B115" s="57" t="n">
        <v>56.3</v>
      </c>
    </row>
    <row r="116">
      <c r="A116" s="54" t="inlineStr">
        <is>
          <t>순이익</t>
        </is>
      </c>
      <c r="B116" s="57" t="n">
        <v>38.5</v>
      </c>
    </row>
    <row r="118">
      <c r="A118" s="52" t="inlineStr">
        <is>
          <t>컨센서스 · 2Q 2027 매출</t>
        </is>
      </c>
      <c r="B118" s="52" t="n"/>
      <c r="C118" s="52" t="n"/>
      <c r="D118" s="52" t="n"/>
      <c r="E118" s="52" t="n"/>
      <c r="F118" s="52" t="n"/>
      <c r="G118" s="52" t="n"/>
    </row>
    <row r="119">
      <c r="A119" s="53" t="inlineStr">
        <is>
          <t>항목</t>
        </is>
      </c>
      <c r="B119" s="53" t="inlineStr">
        <is>
          <t>값</t>
        </is>
      </c>
      <c r="G119" s="53" t="inlineStr">
        <is>
          <t>출처</t>
        </is>
      </c>
    </row>
    <row r="120">
      <c r="A120" s="54" t="inlineStr">
        <is>
          <t>avg</t>
        </is>
      </c>
      <c r="B120" s="57" t="n">
        <v>138.3</v>
      </c>
      <c r="G120" s="56" t="inlineStr">
        <is>
          <t>야후 파이낸스(jp_consensus) 2026-10-30 14:37 KST · 애널리스트 3명 이하 — '컨센' 대신 '애널리스트 n명 추정'으로 표기. 영업이익 추정 없음(fs 컨센 열은 매출만).</t>
        </is>
      </c>
    </row>
    <row r="121">
      <c r="A121" s="54" t="inlineStr">
        <is>
          <t>애널리스트 수</t>
        </is>
      </c>
      <c r="B121" s="55" t="n">
        <v>1</v>
      </c>
    </row>
    <row r="122">
      <c r="A122" s="54" t="inlineStr">
        <is>
          <t>실적</t>
        </is>
      </c>
      <c r="B122" s="57" t="n">
        <v>141.8</v>
      </c>
    </row>
    <row r="124">
      <c r="A124" s="52" t="inlineStr">
        <is>
          <t>컨센서스 · 3Q 2027 매출</t>
        </is>
      </c>
      <c r="B124" s="52" t="n"/>
      <c r="C124" s="52" t="n"/>
      <c r="D124" s="52" t="n"/>
      <c r="E124" s="52" t="n"/>
      <c r="F124" s="52" t="n"/>
      <c r="G124" s="52" t="n"/>
    </row>
    <row r="125">
      <c r="A125" s="53" t="inlineStr">
        <is>
          <t>항목</t>
        </is>
      </c>
      <c r="B125" s="53" t="inlineStr">
        <is>
          <t>값</t>
        </is>
      </c>
      <c r="G125" s="53" t="inlineStr">
        <is>
          <t>출처</t>
        </is>
      </c>
    </row>
    <row r="126">
      <c r="A126" s="54" t="inlineStr">
        <is>
          <t>avg</t>
        </is>
      </c>
      <c r="B126" s="57" t="n">
        <v>143</v>
      </c>
      <c r="G126" s="56" t="inlineStr">
        <is>
          <t>야후 파이낸스(jp_consensus) 2026-10-30 14:37 KST · 애널리스트 3명 이하 — '컨센' 대신 '애널리스트 n명 추정'으로 표기. 영업이익 추정 없음(fs 컨센 열은 매출만).</t>
        </is>
      </c>
    </row>
    <row r="127">
      <c r="A127" s="54" t="inlineStr">
        <is>
          <t>애널리스트 수</t>
        </is>
      </c>
      <c r="B127" s="55" t="n">
        <v>1</v>
      </c>
    </row>
    <row r="129">
      <c r="A129" s="52" t="inlineStr">
        <is>
          <t>컨센서스 · FY2027</t>
        </is>
      </c>
      <c r="B129" s="52" t="n"/>
      <c r="C129" s="52" t="n"/>
      <c r="D129" s="52" t="n"/>
      <c r="E129" s="52" t="n"/>
      <c r="F129" s="52" t="n"/>
      <c r="G129" s="52" t="n"/>
    </row>
    <row r="130">
      <c r="A130" s="53" t="inlineStr">
        <is>
          <t>항목</t>
        </is>
      </c>
      <c r="B130" s="53" t="inlineStr">
        <is>
          <t>값</t>
        </is>
      </c>
      <c r="G130" s="53" t="inlineStr">
        <is>
          <t>출처</t>
        </is>
      </c>
    </row>
    <row r="131">
      <c r="A131" s="54" t="inlineStr">
        <is>
          <t>EPS avg</t>
        </is>
      </c>
      <c r="B131" s="57" t="n">
        <v>218.14</v>
      </c>
      <c r="G131" s="56" t="inlineStr">
        <is>
          <t>야후 파이낸스(jp_consensus) 2026-10-30 14:37 KST · 애널리스트 3명 이하 — '컨센' 대신 '애널리스트 n명 추정'으로 표기. 영업이익 추정 없음(fs 컨센 열은 매출만).</t>
        </is>
      </c>
    </row>
    <row r="132">
      <c r="A132" s="54" t="inlineStr">
        <is>
          <t>EPS 최저</t>
        </is>
      </c>
      <c r="B132" s="57" t="n">
        <v>213.5</v>
      </c>
    </row>
    <row r="133">
      <c r="A133" s="54" t="inlineStr">
        <is>
          <t>EPS 최고</t>
        </is>
      </c>
      <c r="B133" s="57" t="n">
        <v>225.11</v>
      </c>
    </row>
    <row r="134">
      <c r="A134" s="54" t="inlineStr">
        <is>
          <t>애널리스트 수</t>
        </is>
      </c>
      <c r="B134" s="55" t="n">
        <v>3</v>
      </c>
    </row>
    <row r="135">
      <c r="A135" s="54" t="inlineStr">
        <is>
          <t>매출 avg</t>
        </is>
      </c>
      <c r="B135" s="57" t="n">
        <v>557.3</v>
      </c>
    </row>
    <row r="136">
      <c r="A136" s="54" t="inlineStr">
        <is>
          <t>EPS 7d ago</t>
        </is>
      </c>
      <c r="B136" s="57" t="n">
        <v>219.31</v>
      </c>
    </row>
    <row r="137">
      <c r="A137" s="54" t="inlineStr">
        <is>
          <t>90일 전 EPS</t>
        </is>
      </c>
      <c r="B137" s="57" t="n">
        <v>201.65</v>
      </c>
    </row>
    <row r="139">
      <c r="A139" s="52" t="inlineStr">
        <is>
          <t>컨센서스 · FY2028</t>
        </is>
      </c>
      <c r="B139" s="52" t="n"/>
      <c r="C139" s="52" t="n"/>
      <c r="D139" s="52" t="n"/>
      <c r="E139" s="52" t="n"/>
      <c r="F139" s="52" t="n"/>
      <c r="G139" s="52" t="n"/>
    </row>
    <row r="140">
      <c r="A140" s="53" t="inlineStr">
        <is>
          <t>항목</t>
        </is>
      </c>
      <c r="B140" s="53" t="inlineStr">
        <is>
          <t>값</t>
        </is>
      </c>
      <c r="G140" s="53" t="inlineStr">
        <is>
          <t>출처</t>
        </is>
      </c>
    </row>
    <row r="141">
      <c r="A141" s="54" t="inlineStr">
        <is>
          <t>EPS avg</t>
        </is>
      </c>
      <c r="B141" s="57" t="n">
        <v>255.61</v>
      </c>
      <c r="G141" s="56" t="inlineStr">
        <is>
          <t>야후 파이낸스(jp_consensus) 2026-10-30 14:37 KST · 애널리스트 3명 이하 — '컨센' 대신 '애널리스트 n명 추정'으로 표기. 영업이익 추정 없음(fs 컨센 열은 매출만).</t>
        </is>
      </c>
    </row>
    <row r="142">
      <c r="A142" s="54" t="inlineStr">
        <is>
          <t>EPS 최저</t>
        </is>
      </c>
      <c r="B142" s="57" t="n">
        <v>246.6</v>
      </c>
    </row>
    <row r="143">
      <c r="A143" s="54" t="inlineStr">
        <is>
          <t>EPS 최고</t>
        </is>
      </c>
      <c r="B143" s="57" t="n">
        <v>265.14</v>
      </c>
    </row>
    <row r="144">
      <c r="A144" s="54" t="inlineStr">
        <is>
          <t>애널리스트 수</t>
        </is>
      </c>
      <c r="B144" s="55" t="n">
        <v>3</v>
      </c>
    </row>
    <row r="145">
      <c r="A145" s="54" t="inlineStr">
        <is>
          <t>매출 avg</t>
        </is>
      </c>
      <c r="B145" s="57" t="n">
        <v>610</v>
      </c>
    </row>
    <row r="147">
      <c r="A147" s="52" t="inlineStr">
        <is>
          <t>컨센서스 · 목표주가 가격</t>
        </is>
      </c>
      <c r="B147" s="52" t="n"/>
      <c r="C147" s="52" t="n"/>
      <c r="D147" s="52" t="n"/>
      <c r="E147" s="52" t="n"/>
      <c r="F147" s="52" t="n"/>
      <c r="G147" s="52" t="n"/>
    </row>
    <row r="148">
      <c r="A148" s="53" t="inlineStr">
        <is>
          <t>항목</t>
        </is>
      </c>
      <c r="B148" s="53" t="inlineStr">
        <is>
          <t>값</t>
        </is>
      </c>
      <c r="G148" s="53" t="inlineStr">
        <is>
          <t>출처</t>
        </is>
      </c>
    </row>
    <row r="149">
      <c r="A149" s="54" t="inlineStr">
        <is>
          <t>평균</t>
        </is>
      </c>
      <c r="B149" s="55" t="n">
        <v>4500</v>
      </c>
      <c r="G149" s="56" t="inlineStr">
        <is>
          <t>야후 파이낸스(jp_consensus) 2026-10-30 14:37 KST · 애널리스트 3명 이하 — '컨센' 대신 '애널리스트 n명 추정'으로 표기. 영업이익 추정 없음(fs 컨센 열은 매출만).</t>
        </is>
      </c>
    </row>
    <row r="150">
      <c r="A150" s="54" t="inlineStr">
        <is>
          <t>애널리스트 수</t>
        </is>
      </c>
      <c r="B150" s="55" t="n">
        <v>1</v>
      </c>
    </row>
    <row r="152">
      <c r="A152" s="52" t="inlineStr">
        <is>
          <t>밸류에이션 now</t>
        </is>
      </c>
      <c r="B152" s="52" t="n"/>
      <c r="C152" s="52" t="n"/>
      <c r="D152" s="52" t="n"/>
      <c r="E152" s="52" t="n"/>
      <c r="F152" s="52" t="n"/>
      <c r="G152" s="52" t="n"/>
    </row>
    <row r="153">
      <c r="A153" s="53" t="inlineStr">
        <is>
          <t>항목</t>
        </is>
      </c>
      <c r="B153" s="53" t="inlineStr">
        <is>
          <t>값</t>
        </is>
      </c>
      <c r="G153" s="53" t="inlineStr">
        <is>
          <t>출처</t>
        </is>
      </c>
    </row>
    <row r="154">
      <c r="A154" s="54" t="inlineStr">
        <is>
          <t>가격</t>
        </is>
      </c>
      <c r="B154" s="55" t="n">
        <v>3360</v>
      </c>
      <c r="G154" s="56" t="inlineStr">
        <is>
          <t>주가 시계열(price_weekly)은 분할 조정 완료. 10/30 종가 3,360엔은 직전 주 종가(10/26 주) 3,640엔 대비 −7.7%. 고점 4,490엔(2026-06-29 주) 대비 −25%.</t>
        </is>
      </c>
    </row>
    <row r="155">
      <c r="A155" s="54" t="inlineStr">
        <is>
          <t>shares out ex treasury mn</t>
        </is>
      </c>
      <c r="B155" s="57" t="n">
        <v>33.728</v>
      </c>
    </row>
    <row r="156">
      <c r="A156" s="54" t="inlineStr">
        <is>
          <t>mcap oku</t>
        </is>
      </c>
      <c r="B156" s="57" t="n">
        <v>1133.3</v>
      </c>
    </row>
    <row r="157">
      <c r="A157" s="54" t="inlineStr">
        <is>
          <t>PER 가이던스</t>
        </is>
      </c>
      <c r="B157" s="57" t="n">
        <v>15.7</v>
      </c>
    </row>
    <row r="158">
      <c r="A158" s="54" t="inlineStr">
        <is>
          <t>PER cons fy28</t>
        </is>
      </c>
      <c r="B158" s="57" t="n">
        <v>13.1</v>
      </c>
    </row>
    <row r="159">
      <c r="A159" s="54" t="inlineStr">
        <is>
          <t>dps fc</t>
        </is>
      </c>
      <c r="B159" s="55" t="n">
        <v>87</v>
      </c>
    </row>
    <row r="160">
      <c r="A160" s="54" t="inlineStr">
        <is>
          <t>div yield</t>
        </is>
      </c>
      <c r="B160" s="57" t="n">
        <v>2.59</v>
      </c>
    </row>
    <row r="161">
      <c r="A161" s="54" t="inlineStr">
        <is>
          <t>bps 상반기</t>
        </is>
      </c>
      <c r="B161" s="57" t="n">
        <v>1618</v>
      </c>
    </row>
    <row r="162">
      <c r="A162" s="54" t="inlineStr">
        <is>
          <t>PBR</t>
        </is>
      </c>
      <c r="B162" s="57" t="n">
        <v>2.08</v>
      </c>
    </row>
    <row r="164">
      <c r="A164" s="52" t="inlineStr">
        <is>
          <t>filings</t>
        </is>
      </c>
      <c r="B164" s="52" t="n"/>
      <c r="C164" s="52" t="n"/>
      <c r="D164" s="52" t="n"/>
      <c r="E164" s="52" t="n"/>
      <c r="F164" s="52" t="n"/>
      <c r="G164" s="52" t="n"/>
    </row>
    <row r="165">
      <c r="A165" s="53" t="inlineStr">
        <is>
          <t>항목</t>
        </is>
      </c>
      <c r="B165" s="53" t="inlineStr">
        <is>
          <t>title</t>
        </is>
      </c>
      <c r="C165" s="53" t="inlineStr">
        <is>
          <t>doc</t>
        </is>
      </c>
      <c r="G165" s="53" t="inlineStr">
        <is>
          <t>출처</t>
        </is>
      </c>
    </row>
    <row r="166">
      <c r="A166" s="54" t="inlineStr">
        <is>
          <t>2026-10-30</t>
        </is>
      </c>
      <c r="B166" s="58" t="inlineStr">
        <is>
          <t>2027年３月期第２四半期（中間期）決算短信〔日本基準〕(連結)</t>
        </is>
      </c>
      <c r="C166" s="58" t="inlineStr">
        <is>
          <t>140120261019553148</t>
        </is>
      </c>
      <c r="G166" s="56" t="inlineStr">
        <is>
          <t>2단계 보고서 자료(회사 설명회 자료·공시)</t>
        </is>
      </c>
    </row>
    <row r="167">
      <c r="A167" s="54" t="inlineStr">
        <is>
          <t>2026-07-31</t>
        </is>
      </c>
      <c r="B167" s="58" t="inlineStr">
        <is>
          <t>2027年３月期第１四半期決算短信〔日本基準〕(連結)</t>
        </is>
      </c>
      <c r="C167" s="58" t="inlineStr">
        <is>
          <t>140120260730503717</t>
        </is>
      </c>
    </row>
    <row r="168">
      <c r="A168" s="54" t="inlineStr">
        <is>
          <t>2026-05-15</t>
        </is>
      </c>
      <c r="B168" s="58" t="inlineStr">
        <is>
          <t>2026年３月期決算短信〔日本基準〕(連結)</t>
        </is>
      </c>
      <c r="C168" s="58" t="inlineStr">
        <is>
          <t>140120260514535559</t>
        </is>
      </c>
    </row>
    <row r="169">
      <c r="A169" s="54" t="inlineStr">
        <is>
          <t>2026-01-30</t>
        </is>
      </c>
      <c r="B169" s="58" t="inlineStr">
        <is>
          <t>2026年３月期第３四半期決算短信〔日本基準〕(連結)</t>
        </is>
      </c>
      <c r="C169" s="58" t="inlineStr">
        <is>
          <t>140120260129541548</t>
        </is>
      </c>
    </row>
    <row r="170">
      <c r="A170" s="54" t="inlineStr">
        <is>
          <t>2025-10-31</t>
        </is>
      </c>
      <c r="B170" s="58" t="inlineStr">
        <is>
          <t>2026年３月期第２四半期（中間期）決算短信〔日本基準〕(連結)</t>
        </is>
      </c>
      <c r="C170" s="58" t="inlineStr">
        <is>
          <t>140120251030582961</t>
        </is>
      </c>
    </row>
    <row r="171">
      <c r="A171" s="54" t="inlineStr">
        <is>
          <t>2025-07-30</t>
        </is>
      </c>
      <c r="B171" s="58" t="inlineStr">
        <is>
          <t>2026年３月期 第１四半期決算短信〔日本基準〕(連結)</t>
        </is>
      </c>
      <c r="C171" s="58" t="inlineStr">
        <is>
          <t>140120250728521351</t>
        </is>
      </c>
    </row>
    <row r="172">
      <c r="A172" s="54" t="inlineStr">
        <is>
          <t>2025-05-15</t>
        </is>
      </c>
      <c r="B172" s="58" t="inlineStr">
        <is>
          <t>2025年3月期決算短信〔日本基準〕（連結）</t>
        </is>
      </c>
      <c r="C172" s="58" t="inlineStr">
        <is>
          <t>140120250513543721</t>
        </is>
      </c>
    </row>
    <row r="173">
      <c r="A173" s="54" t="inlineStr">
        <is>
          <t>2025-01-31</t>
        </is>
      </c>
      <c r="B173" s="58" t="inlineStr">
        <is>
          <t>2025年３月期第３四半期決算短信〔日本基準〕(連結)</t>
        </is>
      </c>
      <c r="C173" s="58" t="inlineStr">
        <is>
          <t>140120250130558032</t>
        </is>
      </c>
    </row>
    <row r="174">
      <c r="A174" s="54" t="inlineStr">
        <is>
          <t>2024-10-31</t>
        </is>
      </c>
      <c r="B174" s="58" t="inlineStr">
        <is>
          <t>2025年３月期第２四半期（中間期）決算短信〔日本基準〕(連結)</t>
        </is>
      </c>
      <c r="C174" s="58" t="inlineStr">
        <is>
          <t>140120241030506066</t>
        </is>
      </c>
    </row>
    <row r="175">
      <c r="A175" s="54" t="inlineStr">
        <is>
          <t>2024-07-31</t>
        </is>
      </c>
      <c r="B175" s="58" t="inlineStr">
        <is>
          <t>2025年３月期 第１四半期決算短信〔日本基準〕(連結)</t>
        </is>
      </c>
      <c r="C175" s="58" t="inlineStr">
        <is>
          <t>140120240711547830</t>
        </is>
      </c>
    </row>
    <row r="176">
      <c r="A176" s="54" t="inlineStr">
        <is>
          <t>2024-05-15</t>
        </is>
      </c>
      <c r="B176" s="58" t="inlineStr">
        <is>
          <t>2024年3月期決算短信〔日本基準〕（連結）</t>
        </is>
      </c>
      <c r="C176" s="58" t="inlineStr">
        <is>
          <t>140120240419573376</t>
        </is>
      </c>
    </row>
    <row r="177">
      <c r="A177" s="54" t="inlineStr">
        <is>
          <t>2024-01-31</t>
        </is>
      </c>
      <c r="B177" s="58" t="inlineStr">
        <is>
          <t>2024年3月期第3四半期決算短信〔日本基準〕（連結）</t>
        </is>
      </c>
      <c r="C177" s="58" t="inlineStr">
        <is>
          <t>140120240118516666</t>
        </is>
      </c>
    </row>
    <row r="178">
      <c r="A178" s="54" t="inlineStr">
        <is>
          <t>2023-10-31</t>
        </is>
      </c>
      <c r="B178" s="58" t="inlineStr">
        <is>
          <t>2024年3月期第2四半期決算短信〔日本基準〕（連結）</t>
        </is>
      </c>
      <c r="C178" s="58" t="inlineStr">
        <is>
          <t>140120231013566884</t>
        </is>
      </c>
    </row>
    <row r="179">
      <c r="A179" s="54" t="inlineStr">
        <is>
          <t>2023-07-28</t>
        </is>
      </c>
      <c r="B179" s="58" t="inlineStr">
        <is>
          <t>2024年3月期第1四半期決算短信〔日本基準〕（連結）</t>
        </is>
      </c>
      <c r="C179" s="58" t="inlineStr">
        <is>
          <t>140120230719524299</t>
        </is>
      </c>
    </row>
    <row r="180">
      <c r="A180" s="54" t="inlineStr">
        <is>
          <t>2023-05-12</t>
        </is>
      </c>
      <c r="B180" s="58" t="inlineStr">
        <is>
          <t>2023年3月期決算短信〔日本基準〕（連結）</t>
        </is>
      </c>
      <c r="C180" s="58" t="inlineStr">
        <is>
          <t>140120230404542720</t>
        </is>
      </c>
    </row>
    <row r="181">
      <c r="A181" s="54" t="inlineStr">
        <is>
          <t>2023-01-31</t>
        </is>
      </c>
      <c r="B181" s="58" t="inlineStr">
        <is>
          <t>2023年3月期第3四半期決算短信〔日本基準〕（連結）</t>
        </is>
      </c>
      <c r="C181" s="58" t="inlineStr">
        <is>
          <t>140120230119591308</t>
        </is>
      </c>
    </row>
    <row r="182">
      <c r="A182" s="54" t="inlineStr">
        <is>
          <t>2022-05-13</t>
        </is>
      </c>
      <c r="B182" s="58" t="inlineStr">
        <is>
          <t>2022年3月期決算短信〔日本基準〕（連結）</t>
        </is>
      </c>
      <c r="C182" s="58" t="inlineStr">
        <is>
          <t>140120220421524977</t>
        </is>
      </c>
    </row>
    <row r="183">
      <c r="A183" s="54" t="inlineStr">
        <is>
          <t>2021-05-14</t>
        </is>
      </c>
      <c r="B183" s="58" t="inlineStr">
        <is>
          <t>2021年3月期決算短信〔日本基準〕（連結）</t>
        </is>
      </c>
      <c r="C183" s="58" t="inlineStr">
        <is>
          <t>140120210428402204</t>
        </is>
      </c>
    </row>
    <row r="184">
      <c r="A184" s="54" t="inlineStr">
        <is>
          <t>2020-05-13</t>
        </is>
      </c>
      <c r="B184" s="58" t="inlineStr">
        <is>
          <t>2020年3月期決算短信〔日本基準〕（連結）</t>
        </is>
      </c>
      <c r="C184" s="58" t="inlineStr">
        <is>
          <t>140120200417495489</t>
        </is>
      </c>
    </row>
    <row r="185">
      <c r="A185" s="54" t="inlineStr">
        <is>
          <t>2019-05-15</t>
        </is>
      </c>
      <c r="B185" s="58" t="inlineStr">
        <is>
          <t>2019年3月期決算短信〔日本基準〕（連結）</t>
        </is>
      </c>
      <c r="C185" s="58" t="inlineStr">
        <is>
          <t>140120190501414194</t>
        </is>
      </c>
    </row>
    <row r="186">
      <c r="A186" s="54" t="inlineStr">
        <is>
          <t>2018-05-11</t>
        </is>
      </c>
      <c r="B186" s="58" t="inlineStr">
        <is>
          <t>平成30年3月期決算短信〔日本基準〕（連結）</t>
        </is>
      </c>
      <c r="C186" s="58" t="inlineStr">
        <is>
          <t>140120180414411641</t>
        </is>
      </c>
    </row>
    <row r="188">
      <c r="A188" s="52" t="inlineStr">
        <is>
          <t>reactions</t>
        </is>
      </c>
      <c r="B188" s="52" t="n"/>
      <c r="C188" s="52" t="n"/>
      <c r="D188" s="52" t="n"/>
      <c r="E188" s="52" t="n"/>
      <c r="F188" s="52" t="n"/>
      <c r="G188" s="52" t="n"/>
    </row>
    <row r="189">
      <c r="A189" s="53" t="inlineStr">
        <is>
          <t>항목</t>
        </is>
      </c>
      <c r="B189" s="53" t="inlineStr">
        <is>
          <t>기준일</t>
        </is>
      </c>
      <c r="C189" s="53" t="inlineStr">
        <is>
          <t>다음날</t>
        </is>
      </c>
      <c r="D189" s="53" t="inlineStr">
        <is>
          <t>등락%</t>
        </is>
      </c>
      <c r="G189" s="53" t="inlineStr">
        <is>
          <t>출처</t>
        </is>
      </c>
    </row>
    <row r="190">
      <c r="A190" s="54" t="inlineStr">
        <is>
          <t>2025-01-31</t>
        </is>
      </c>
      <c r="B190" s="58" t="inlineStr">
        <is>
          <t>2025-01-31</t>
        </is>
      </c>
      <c r="C190" s="58" t="inlineStr">
        <is>
          <t>2025-02-03</t>
        </is>
      </c>
      <c r="D190" s="57" t="n">
        <v>-1.2</v>
      </c>
      <c r="G190" s="56" t="inlineStr">
        <is>
          <t>2단계 보고서 자료(회사 설명회 자료·공시)</t>
        </is>
      </c>
    </row>
    <row r="191">
      <c r="A191" s="54" t="inlineStr">
        <is>
          <t>2025-05-15</t>
        </is>
      </c>
      <c r="B191" s="58" t="inlineStr">
        <is>
          <t>2025-05-15</t>
        </is>
      </c>
      <c r="C191" s="58" t="inlineStr">
        <is>
          <t>2025-05-16</t>
        </is>
      </c>
      <c r="D191" s="57" t="n">
        <v>5.5</v>
      </c>
    </row>
    <row r="192">
      <c r="A192" s="54" t="inlineStr">
        <is>
          <t>2025-07-30</t>
        </is>
      </c>
      <c r="B192" s="58" t="inlineStr">
        <is>
          <t>2025-07-30</t>
        </is>
      </c>
      <c r="C192" s="58" t="inlineStr">
        <is>
          <t>2025-07-31</t>
        </is>
      </c>
      <c r="D192" s="57" t="n">
        <v>-0.2</v>
      </c>
    </row>
    <row r="193">
      <c r="A193" s="54" t="inlineStr">
        <is>
          <t>2025-10-31</t>
        </is>
      </c>
      <c r="B193" s="58" t="inlineStr">
        <is>
          <t>2025-10-31</t>
        </is>
      </c>
      <c r="C193" s="58" t="inlineStr">
        <is>
          <t>2025-11-04</t>
        </is>
      </c>
      <c r="D193" s="57" t="n">
        <v>4.2</v>
      </c>
    </row>
    <row r="194">
      <c r="A194" s="54" t="inlineStr">
        <is>
          <t>2026-01-30</t>
        </is>
      </c>
      <c r="B194" s="58" t="inlineStr">
        <is>
          <t>2026-01-30</t>
        </is>
      </c>
      <c r="C194" s="58" t="inlineStr">
        <is>
          <t>2026-02-02</t>
        </is>
      </c>
      <c r="D194" s="57" t="n">
        <v>1.5</v>
      </c>
    </row>
    <row r="195">
      <c r="A195" s="54" t="inlineStr">
        <is>
          <t>2026-05-15</t>
        </is>
      </c>
      <c r="B195" s="58" t="inlineStr">
        <is>
          <t>2026-05-15</t>
        </is>
      </c>
      <c r="C195" s="58" t="inlineStr">
        <is>
          <t>2026-05-18</t>
        </is>
      </c>
      <c r="D195" s="57" t="n">
        <v>-2.7</v>
      </c>
    </row>
    <row r="196">
      <c r="A196" s="54" t="inlineStr">
        <is>
          <t>2026-07-31</t>
        </is>
      </c>
      <c r="B196" s="58" t="inlineStr">
        <is>
          <t>2026-07-31</t>
        </is>
      </c>
      <c r="C196" s="58" t="inlineStr">
        <is>
          <t>2026-08-03</t>
        </is>
      </c>
      <c r="D196" s="57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https://www2.jpx.co.jp/disc/31040/140120261019553148.pdf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https://www2.jpx.co.jp/disc/31040/140120260730503717.pdf</t>
        </is>
      </c>
    </row>
    <row r="6">
      <c r="A6" t="inlineStr">
        <is>
          <t>2026-05-15</t>
        </is>
      </c>
      <c r="B6" t="inlineStr">
        <is>
          <t>2026년 3월 결산기 연간 결산단신</t>
        </is>
      </c>
      <c r="C6" t="inlineStr">
        <is>
          <t>https://www2.jpx.co.jp/disc/31040/140120260514535559.pdf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https://www2.jpx.co.jp/disc/31040/140120260129541548.pdf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https://www2.jpx.co.jp/disc/31040/140120251030582961.pdf</t>
        </is>
      </c>
    </row>
    <row r="9">
      <c r="A9" t="inlineStr">
        <is>
          <t>2025-07-30</t>
        </is>
      </c>
      <c r="B9" t="inlineStr">
        <is>
          <t>2026년 3월 결산기 １분기 결산단신</t>
        </is>
      </c>
      <c r="C9" t="inlineStr">
        <is>
          <t>https://www2.jpx.co.jp/disc/31040/140120250728521351.pdf</t>
        </is>
      </c>
    </row>
    <row r="10">
      <c r="A10" t="inlineStr">
        <is>
          <t>2025-05-15</t>
        </is>
      </c>
      <c r="B10" t="inlineStr">
        <is>
          <t>2025년 3월 결산기 연간 결산단신</t>
        </is>
      </c>
      <c r="C10" t="inlineStr">
        <is>
          <t>https://www2.jpx.co.jp/disc/31040/140120250513543721.pdf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https://www2.jpx.co.jp/disc/31040/140120250130558032.pdf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https://www2.jpx.co.jp/disc/31040/140120241030506066.pdf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https://www2.jpx.co.jp/disc/31040/140120240711547830.pdf</t>
        </is>
      </c>
    </row>
    <row r="14">
      <c r="A14" t="inlineStr">
        <is>
          <t>2024-05-15</t>
        </is>
      </c>
      <c r="B14" t="inlineStr">
        <is>
          <t>2024년 3월 결산기 연간 결산단신</t>
        </is>
      </c>
      <c r="C14" t="inlineStr">
        <is>
          <t>https://www2.jpx.co.jp/disc/31040/140120240419573376.pdf</t>
        </is>
      </c>
    </row>
    <row r="15">
      <c r="A15" t="inlineStr">
        <is>
          <t>2024-01-31</t>
        </is>
      </c>
      <c r="B15" t="inlineStr">
        <is>
          <t>2024년 3월 결산기 3분기 결산단신</t>
        </is>
      </c>
      <c r="C15" t="inlineStr">
        <is>
          <t>https://www2.jpx.co.jp/disc/31040/140120240118516666.pdf</t>
        </is>
      </c>
    </row>
    <row r="16">
      <c r="A16" t="inlineStr">
        <is>
          <t>2023-10-31</t>
        </is>
      </c>
      <c r="B16" t="inlineStr">
        <is>
          <t>2024년 3월 결산기 2분기 결산단신</t>
        </is>
      </c>
      <c r="C16" t="inlineStr">
        <is>
          <t>https://www2.jpx.co.jp/disc/31040/140120231013566884.pdf</t>
        </is>
      </c>
    </row>
    <row r="17">
      <c r="A17" t="inlineStr">
        <is>
          <t>2023-07-28</t>
        </is>
      </c>
      <c r="B17" t="inlineStr">
        <is>
          <t>2024년 3월 결산기 1분기 결산단신</t>
        </is>
      </c>
      <c r="C17" t="inlineStr">
        <is>
          <t>https://www2.jpx.co.jp/disc/31040/140120230719524299.pdf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https://www2.jpx.co.jp/disc/31040/140120230404542720.pdf</t>
        </is>
      </c>
    </row>
    <row r="19">
      <c r="A19" t="inlineStr">
        <is>
          <t>2023-01-31</t>
        </is>
      </c>
      <c r="B19" t="inlineStr">
        <is>
          <t>2023년 3월 결산기 3분기 결산단신</t>
        </is>
      </c>
      <c r="C19" t="inlineStr">
        <is>
          <t>https://www2.jpx.co.jp/disc/31040/140120230119591308.pdf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https://www2.jpx.co.jp/disc/31040/140120220421524977.pdf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https://www2.jpx.co.jp/disc/31040/140120210428402204.pdf</t>
        </is>
      </c>
    </row>
    <row r="22">
      <c r="A22" t="inlineStr">
        <is>
          <t>2020-05-13</t>
        </is>
      </c>
      <c r="B22" t="inlineStr">
        <is>
          <t>2020년 3월 결산기 연간 결산단신</t>
        </is>
      </c>
      <c r="C22" t="inlineStr">
        <is>
          <t>https://www2.jpx.co.jp/disc/31040/140120200417495489.pdf</t>
        </is>
      </c>
    </row>
    <row r="23">
      <c r="A23" t="inlineStr">
        <is>
          <t>2019-05-15</t>
        </is>
      </c>
      <c r="B23" t="inlineStr">
        <is>
          <t>2019년 3월 결산기 연간 결산단신</t>
        </is>
      </c>
      <c r="C23" t="inlineStr">
        <is>
          <t>https://www2.jpx.co.jp/disc/31040/140120190501414194.pdf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https://www2.jpx.co.jp/disc/31040/140120180414411641.pdf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3104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89.09999999999999</v>
      </c>
      <c r="D5" s="65" t="n">
        <v>89.09999999999999</v>
      </c>
      <c r="E5" s="65" t="n">
        <v>86.8</v>
      </c>
      <c r="F5" s="65" t="n">
        <v>93.59999999999999</v>
      </c>
      <c r="G5" s="65" t="n">
        <v>89.40000000000001</v>
      </c>
      <c r="H5" s="65" t="n">
        <v>82.7</v>
      </c>
      <c r="I5" s="65" t="n">
        <v>94.8</v>
      </c>
      <c r="J5" s="65" t="n">
        <v>102.8</v>
      </c>
      <c r="K5" s="65" t="n">
        <v>90.59999999999999</v>
      </c>
      <c r="L5" s="65" t="n">
        <v>95</v>
      </c>
      <c r="M5" s="65" t="n">
        <v>101.7</v>
      </c>
      <c r="N5" s="65" t="n">
        <v>98.5</v>
      </c>
      <c r="O5" s="65" t="n">
        <v>91.8</v>
      </c>
      <c r="P5" s="65" t="n">
        <v>86.2</v>
      </c>
      <c r="Q5" s="65" t="n">
        <v>91.90000000000001</v>
      </c>
      <c r="R5" s="65" t="n">
        <v>96.09999999999999</v>
      </c>
      <c r="S5" s="65" t="n">
        <v>95.09999999999999</v>
      </c>
      <c r="T5" s="65" t="n">
        <v>87.09999999999999</v>
      </c>
      <c r="U5" s="65" t="n">
        <v>89</v>
      </c>
      <c r="V5" s="65" t="n">
        <v>93.09999999999999</v>
      </c>
      <c r="W5" s="65" t="n">
        <v>90</v>
      </c>
      <c r="X5" s="65" t="n">
        <v>96.3</v>
      </c>
      <c r="Y5" s="65" t="n">
        <v>99.7</v>
      </c>
      <c r="Z5" s="65" t="n">
        <v>93.8</v>
      </c>
      <c r="AA5" s="65" t="n">
        <v>86.8</v>
      </c>
      <c r="AB5" s="65" t="n">
        <v>85.09999999999999</v>
      </c>
      <c r="AC5" s="65" t="n">
        <v>85.90000000000001</v>
      </c>
      <c r="AD5" s="65" t="n">
        <v>96.09999999999999</v>
      </c>
      <c r="AE5" s="65" t="n">
        <v>94</v>
      </c>
      <c r="AF5" s="65" t="n">
        <v>103.8</v>
      </c>
      <c r="AG5" s="65" t="n">
        <v>106.8</v>
      </c>
      <c r="AH5" s="65" t="n">
        <v>111.3</v>
      </c>
      <c r="AI5" s="65" t="n">
        <v>107.2</v>
      </c>
      <c r="AJ5" s="65" t="n">
        <v>112.5</v>
      </c>
      <c r="AK5" s="65" t="n">
        <v>112.8</v>
      </c>
      <c r="AL5" s="65" t="n">
        <v>118</v>
      </c>
      <c r="AM5" s="65" t="n">
        <v>116</v>
      </c>
      <c r="AN5" s="65" t="n">
        <v>131.7</v>
      </c>
      <c r="AO5" s="65" t="n">
        <v>141.8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0.3</v>
      </c>
      <c r="H6" s="66" t="n">
        <v>-7.2</v>
      </c>
      <c r="I6" s="66" t="n">
        <v>9.199999999999999</v>
      </c>
      <c r="J6" s="66" t="n">
        <v>9.800000000000001</v>
      </c>
      <c r="K6" s="66" t="n">
        <v>1.3</v>
      </c>
      <c r="L6" s="66" t="n">
        <v>14.9</v>
      </c>
      <c r="M6" s="66" t="n">
        <v>7.3</v>
      </c>
      <c r="N6" s="66" t="n">
        <v>-4.2</v>
      </c>
      <c r="O6" s="66" t="n">
        <v>1.3</v>
      </c>
      <c r="P6" s="66" t="n">
        <v>-9.300000000000001</v>
      </c>
      <c r="Q6" s="66" t="n">
        <v>-9.6</v>
      </c>
      <c r="R6" s="66" t="n">
        <v>-2.4</v>
      </c>
      <c r="S6" s="66" t="n">
        <v>3.6</v>
      </c>
      <c r="T6" s="66" t="n">
        <v>1</v>
      </c>
      <c r="U6" s="66" t="n">
        <v>-3.2</v>
      </c>
      <c r="V6" s="66" t="n">
        <v>-3.1</v>
      </c>
      <c r="W6" s="66" t="n">
        <v>-5.4</v>
      </c>
      <c r="X6" s="66" t="n">
        <v>10.6</v>
      </c>
      <c r="Y6" s="66" t="n">
        <v>12</v>
      </c>
      <c r="Z6" s="66" t="n">
        <v>0.8</v>
      </c>
      <c r="AA6" s="66" t="n">
        <v>-3.6</v>
      </c>
      <c r="AB6" s="66" t="n">
        <v>-11.6</v>
      </c>
      <c r="AC6" s="66" t="n">
        <v>-13.8</v>
      </c>
      <c r="AD6" s="66" t="n">
        <v>2.5</v>
      </c>
      <c r="AE6" s="66" t="n">
        <v>8.300000000000001</v>
      </c>
      <c r="AF6" s="66" t="n">
        <v>22</v>
      </c>
      <c r="AG6" s="66" t="n">
        <v>24.3</v>
      </c>
      <c r="AH6" s="66" t="n">
        <v>15.8</v>
      </c>
      <c r="AI6" s="66" t="n">
        <v>14</v>
      </c>
      <c r="AJ6" s="66" t="n">
        <v>8.4</v>
      </c>
      <c r="AK6" s="66" t="n">
        <v>5.6</v>
      </c>
      <c r="AL6" s="66" t="n">
        <v>6</v>
      </c>
      <c r="AM6" s="66" t="n">
        <v>8.199999999999999</v>
      </c>
      <c r="AN6" s="66" t="n">
        <v>17.1</v>
      </c>
      <c r="AO6" s="66" t="n">
        <v>25.7</v>
      </c>
    </row>
    <row r="7">
      <c r="A7" s="64" t="inlineStr">
        <is>
          <t>영업이익</t>
        </is>
      </c>
      <c r="B7" s="65" t="n"/>
      <c r="C7" s="65" t="n">
        <v>7.2</v>
      </c>
      <c r="D7" s="65" t="n">
        <v>10.5</v>
      </c>
      <c r="E7" s="65" t="n">
        <v>9.1</v>
      </c>
      <c r="F7" s="65" t="n">
        <v>12.5</v>
      </c>
      <c r="G7" s="65" t="n">
        <v>7.8</v>
      </c>
      <c r="H7" s="65" t="n">
        <v>8.199999999999999</v>
      </c>
      <c r="I7" s="65" t="n">
        <v>9.199999999999999</v>
      </c>
      <c r="J7" s="65" t="n">
        <v>13</v>
      </c>
      <c r="K7" s="65" t="n">
        <v>7.3</v>
      </c>
      <c r="L7" s="65" t="n">
        <v>10</v>
      </c>
      <c r="M7" s="65" t="n">
        <v>11.4</v>
      </c>
      <c r="N7" s="65" t="n">
        <v>12.2</v>
      </c>
      <c r="O7" s="65" t="n">
        <v>7.2</v>
      </c>
      <c r="P7" s="65" t="n">
        <v>15.2</v>
      </c>
      <c r="Q7" s="65" t="n">
        <v>13.6</v>
      </c>
      <c r="R7" s="65" t="n">
        <v>13.6</v>
      </c>
      <c r="S7" s="65" t="n">
        <v>10.4</v>
      </c>
      <c r="T7" s="65" t="n">
        <v>15.6</v>
      </c>
      <c r="U7" s="65" t="n">
        <v>15.9</v>
      </c>
      <c r="V7" s="65" t="n">
        <v>15.5</v>
      </c>
      <c r="W7" s="65" t="n">
        <v>11.8</v>
      </c>
      <c r="X7" s="65" t="n">
        <v>16.6</v>
      </c>
      <c r="Y7" s="65" t="n">
        <v>16.8</v>
      </c>
      <c r="Z7" s="65" t="n">
        <v>11</v>
      </c>
      <c r="AA7" s="65" t="n">
        <v>4.3</v>
      </c>
      <c r="AB7" s="65" t="n">
        <v>4.5</v>
      </c>
      <c r="AC7" s="65" t="n">
        <v>4.7</v>
      </c>
      <c r="AD7" s="65" t="n">
        <v>10.8</v>
      </c>
      <c r="AE7" s="65" t="n">
        <v>8.199999999999999</v>
      </c>
      <c r="AF7" s="65" t="n">
        <v>15.5</v>
      </c>
      <c r="AG7" s="65" t="n">
        <v>14.5</v>
      </c>
      <c r="AH7" s="65" t="n">
        <v>19.9</v>
      </c>
      <c r="AI7" s="65" t="n">
        <v>14.9</v>
      </c>
      <c r="AJ7" s="65" t="n">
        <v>19.4</v>
      </c>
      <c r="AK7" s="65" t="n">
        <v>18.4</v>
      </c>
      <c r="AL7" s="65" t="n">
        <v>22.5</v>
      </c>
      <c r="AM7" s="65" t="n">
        <v>21.2</v>
      </c>
      <c r="AN7" s="65" t="n">
        <v>24.8</v>
      </c>
      <c r="AO7" s="65" t="n">
        <v>23.9</v>
      </c>
    </row>
    <row r="8">
      <c r="A8" s="64" t="inlineStr">
        <is>
          <t>영업이익률</t>
        </is>
      </c>
      <c r="B8" s="66" t="n"/>
      <c r="C8" s="66" t="n">
        <v>8.1</v>
      </c>
      <c r="D8" s="66" t="n">
        <v>11.8</v>
      </c>
      <c r="E8" s="66" t="n">
        <v>10.5</v>
      </c>
      <c r="F8" s="66" t="n">
        <v>13.4</v>
      </c>
      <c r="G8" s="66" t="n">
        <v>8.699999999999999</v>
      </c>
      <c r="H8" s="66" t="n">
        <v>9.9</v>
      </c>
      <c r="I8" s="66" t="n">
        <v>9.699999999999999</v>
      </c>
      <c r="J8" s="66" t="n">
        <v>12.6</v>
      </c>
      <c r="K8" s="66" t="n">
        <v>8.1</v>
      </c>
      <c r="L8" s="66" t="n">
        <v>10.5</v>
      </c>
      <c r="M8" s="66" t="n">
        <v>11.2</v>
      </c>
      <c r="N8" s="66" t="n">
        <v>12.4</v>
      </c>
      <c r="O8" s="66" t="n">
        <v>7.8</v>
      </c>
      <c r="P8" s="66" t="n">
        <v>17.6</v>
      </c>
      <c r="Q8" s="66" t="n">
        <v>14.8</v>
      </c>
      <c r="R8" s="66" t="n">
        <v>14.2</v>
      </c>
      <c r="S8" s="66" t="n">
        <v>10.9</v>
      </c>
      <c r="T8" s="66" t="n">
        <v>17.9</v>
      </c>
      <c r="U8" s="66" t="n">
        <v>17.9</v>
      </c>
      <c r="V8" s="66" t="n">
        <v>16.6</v>
      </c>
      <c r="W8" s="66" t="n">
        <v>13.1</v>
      </c>
      <c r="X8" s="66" t="n">
        <v>17.2</v>
      </c>
      <c r="Y8" s="66" t="n">
        <v>16.9</v>
      </c>
      <c r="Z8" s="66" t="n">
        <v>11.7</v>
      </c>
      <c r="AA8" s="66" t="n">
        <v>5</v>
      </c>
      <c r="AB8" s="66" t="n">
        <v>5.3</v>
      </c>
      <c r="AC8" s="66" t="n">
        <v>5.5</v>
      </c>
      <c r="AD8" s="66" t="n">
        <v>11.2</v>
      </c>
      <c r="AE8" s="66" t="n">
        <v>8.699999999999999</v>
      </c>
      <c r="AF8" s="66" t="n">
        <v>14.9</v>
      </c>
      <c r="AG8" s="66" t="n">
        <v>13.6</v>
      </c>
      <c r="AH8" s="66" t="n">
        <v>17.9</v>
      </c>
      <c r="AI8" s="66" t="n">
        <v>13.9</v>
      </c>
      <c r="AJ8" s="66" t="n">
        <v>17.2</v>
      </c>
      <c r="AK8" s="66" t="n">
        <v>16.3</v>
      </c>
      <c r="AL8" s="66" t="n">
        <v>19.1</v>
      </c>
      <c r="AM8" s="66" t="n">
        <v>18.3</v>
      </c>
      <c r="AN8" s="66" t="n">
        <v>18.8</v>
      </c>
      <c r="AO8" s="66" t="n">
        <v>16.9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8.300000000000001</v>
      </c>
      <c r="H9" s="66" t="n">
        <v>-21.9</v>
      </c>
      <c r="I9" s="66" t="n">
        <v>1.1</v>
      </c>
      <c r="J9" s="66" t="n">
        <v>4</v>
      </c>
      <c r="K9" s="66" t="n">
        <v>-6.4</v>
      </c>
      <c r="L9" s="66" t="n">
        <v>22</v>
      </c>
      <c r="M9" s="66" t="n">
        <v>23.9</v>
      </c>
      <c r="N9" s="66" t="n">
        <v>-6.2</v>
      </c>
      <c r="O9" s="66" t="n">
        <v>-1.4</v>
      </c>
      <c r="P9" s="66" t="n">
        <v>52</v>
      </c>
      <c r="Q9" s="66" t="n">
        <v>19.3</v>
      </c>
      <c r="R9" s="66" t="n">
        <v>11.5</v>
      </c>
      <c r="S9" s="66" t="n">
        <v>44.4</v>
      </c>
      <c r="T9" s="66" t="n">
        <v>2.6</v>
      </c>
      <c r="U9" s="66" t="n">
        <v>16.9</v>
      </c>
      <c r="V9" s="66" t="n">
        <v>14</v>
      </c>
      <c r="W9" s="66" t="n">
        <v>13.5</v>
      </c>
      <c r="X9" s="66" t="n">
        <v>6.4</v>
      </c>
      <c r="Y9" s="66" t="n">
        <v>5.7</v>
      </c>
      <c r="Z9" s="66" t="n">
        <v>-29</v>
      </c>
      <c r="AA9" s="66" t="n">
        <v>-63.6</v>
      </c>
      <c r="AB9" s="66" t="n">
        <v>-72.90000000000001</v>
      </c>
      <c r="AC9" s="66" t="n">
        <v>-72</v>
      </c>
      <c r="AD9" s="66" t="n">
        <v>-1.8</v>
      </c>
      <c r="AE9" s="66" t="n">
        <v>90.7</v>
      </c>
      <c r="AF9" s="66" t="n">
        <v>244.4</v>
      </c>
      <c r="AG9" s="66" t="n">
        <v>208.5</v>
      </c>
      <c r="AH9" s="66" t="n">
        <v>84.3</v>
      </c>
      <c r="AI9" s="66" t="n">
        <v>81.7</v>
      </c>
      <c r="AJ9" s="66" t="n">
        <v>25.2</v>
      </c>
      <c r="AK9" s="66" t="n">
        <v>26.9</v>
      </c>
      <c r="AL9" s="66" t="n">
        <v>13.1</v>
      </c>
      <c r="AM9" s="66" t="n">
        <v>42.3</v>
      </c>
      <c r="AN9" s="66" t="n">
        <v>27.8</v>
      </c>
      <c r="AO9" s="66" t="n">
        <v>29.9</v>
      </c>
    </row>
    <row r="10">
      <c r="A10" s="64" t="inlineStr">
        <is>
          <t>유동자산</t>
        </is>
      </c>
      <c r="B10" s="65" t="n"/>
      <c r="C10" s="65" t="n">
        <v>233.6</v>
      </c>
      <c r="D10" s="65" t="n"/>
      <c r="E10" s="65" t="n"/>
      <c r="F10" s="65" t="n">
        <v>179.9</v>
      </c>
      <c r="G10" s="65" t="n">
        <v>191.4</v>
      </c>
      <c r="H10" s="65" t="n">
        <v>178.9</v>
      </c>
      <c r="I10" s="65" t="n">
        <v>194.9</v>
      </c>
      <c r="J10" s="65" t="n">
        <v>189.7</v>
      </c>
      <c r="K10" s="65" t="n">
        <v>198.6</v>
      </c>
      <c r="L10" s="65" t="n">
        <v>187.3</v>
      </c>
      <c r="M10" s="65" t="n">
        <v>182.1</v>
      </c>
      <c r="N10" s="65" t="n">
        <v>185.7</v>
      </c>
      <c r="O10" s="65" t="n">
        <v>188.9</v>
      </c>
      <c r="P10" s="65" t="n">
        <v>177.5</v>
      </c>
      <c r="Q10" s="65" t="n">
        <v>186.6</v>
      </c>
      <c r="R10" s="65" t="n">
        <v>173.9</v>
      </c>
      <c r="S10" s="65" t="n">
        <v>184.3</v>
      </c>
      <c r="T10" s="65" t="n">
        <v>172</v>
      </c>
      <c r="U10" s="65" t="n">
        <v>195.7</v>
      </c>
      <c r="V10" s="65" t="n">
        <v>198.2</v>
      </c>
      <c r="W10" s="65" t="n">
        <v>225.4</v>
      </c>
      <c r="X10" s="65" t="n">
        <v>220.8</v>
      </c>
      <c r="Y10" s="65" t="n">
        <v>247.7</v>
      </c>
      <c r="Z10" s="65" t="n">
        <v>236.7</v>
      </c>
      <c r="AA10" s="65" t="n">
        <v>230</v>
      </c>
      <c r="AB10" s="65" t="n">
        <v>219</v>
      </c>
      <c r="AC10" s="65" t="n">
        <v>225.9</v>
      </c>
      <c r="AD10" s="65" t="n">
        <v>224.3</v>
      </c>
      <c r="AE10" s="65" t="n">
        <v>236.9</v>
      </c>
      <c r="AF10" s="65" t="n">
        <v>245.1</v>
      </c>
      <c r="AG10" s="65" t="n">
        <v>258.9</v>
      </c>
      <c r="AH10" s="65" t="n">
        <v>244.5</v>
      </c>
      <c r="AI10" s="65" t="n">
        <v>250.5</v>
      </c>
      <c r="AJ10" s="65" t="n">
        <v>235.6</v>
      </c>
      <c r="AK10" s="65" t="n">
        <v>254.9</v>
      </c>
      <c r="AL10" s="65" t="n">
        <v>250.7</v>
      </c>
      <c r="AM10" s="65" t="n">
        <v>255.8</v>
      </c>
      <c r="AN10" s="65" t="n">
        <v>254.5</v>
      </c>
      <c r="AO10" s="65" t="n">
        <v>281.5</v>
      </c>
    </row>
    <row r="11">
      <c r="A11" s="64" t="inlineStr">
        <is>
          <t>유동부채</t>
        </is>
      </c>
      <c r="B11" s="65" t="n"/>
      <c r="C11" s="65" t="n">
        <v>123.9</v>
      </c>
      <c r="D11" s="65" t="n"/>
      <c r="E11" s="65" t="n"/>
      <c r="F11" s="65" t="n">
        <v>79.5</v>
      </c>
      <c r="G11" s="65" t="n">
        <v>92.59999999999999</v>
      </c>
      <c r="H11" s="65" t="n">
        <v>87.90000000000001</v>
      </c>
      <c r="I11" s="65" t="n">
        <v>106</v>
      </c>
      <c r="J11" s="65" t="n">
        <v>100.8</v>
      </c>
      <c r="K11" s="65" t="n">
        <v>121.7</v>
      </c>
      <c r="L11" s="65" t="n">
        <v>109.4</v>
      </c>
      <c r="M11" s="65" t="n">
        <v>98.90000000000001</v>
      </c>
      <c r="N11" s="65" t="n">
        <v>105.3</v>
      </c>
      <c r="O11" s="65" t="n">
        <v>114.1</v>
      </c>
      <c r="P11" s="65" t="n">
        <v>102.7</v>
      </c>
      <c r="Q11" s="65" t="n">
        <v>116.9</v>
      </c>
      <c r="R11" s="65" t="n">
        <v>122.4</v>
      </c>
      <c r="S11" s="65" t="n">
        <v>118.8</v>
      </c>
      <c r="T11" s="65" t="n">
        <v>95.59999999999999</v>
      </c>
      <c r="U11" s="65" t="n">
        <v>104.4</v>
      </c>
      <c r="V11" s="65" t="n">
        <v>98.40000000000001</v>
      </c>
      <c r="W11" s="65" t="n">
        <v>114.8</v>
      </c>
      <c r="X11" s="65" t="n">
        <v>102.9</v>
      </c>
      <c r="Y11" s="65" t="n">
        <v>123.9</v>
      </c>
      <c r="Z11" s="65" t="n">
        <v>122</v>
      </c>
      <c r="AA11" s="65" t="n">
        <v>118.7</v>
      </c>
      <c r="AB11" s="65" t="n">
        <v>103.6</v>
      </c>
      <c r="AC11" s="65" t="n">
        <v>102.7</v>
      </c>
      <c r="AD11" s="65" t="n">
        <v>108.3</v>
      </c>
      <c r="AE11" s="65" t="n">
        <v>117.6</v>
      </c>
      <c r="AF11" s="65" t="n">
        <v>124.8</v>
      </c>
      <c r="AG11" s="65" t="n">
        <v>138.7</v>
      </c>
      <c r="AH11" s="65" t="n">
        <v>127.4</v>
      </c>
      <c r="AI11" s="65" t="n">
        <v>125</v>
      </c>
      <c r="AJ11" s="65" t="n">
        <v>111.1</v>
      </c>
      <c r="AK11" s="65" t="n">
        <v>128</v>
      </c>
      <c r="AL11" s="65" t="n">
        <v>127.6</v>
      </c>
      <c r="AM11" s="65" t="n">
        <v>133.1</v>
      </c>
      <c r="AN11" s="65" t="n">
        <v>129.9</v>
      </c>
      <c r="AO11" s="65" t="n">
        <v>139.8</v>
      </c>
    </row>
    <row r="12">
      <c r="A12" s="64" t="inlineStr">
        <is>
          <t>부채총계</t>
        </is>
      </c>
      <c r="B12" s="65" t="n"/>
      <c r="C12" s="65" t="n">
        <v>198.9</v>
      </c>
      <c r="D12" s="65" t="n"/>
      <c r="E12" s="65" t="n"/>
      <c r="F12" s="65" t="n">
        <v>152.9</v>
      </c>
      <c r="G12" s="65" t="n">
        <v>162.4</v>
      </c>
      <c r="H12" s="65" t="n">
        <v>158.6</v>
      </c>
      <c r="I12" s="65" t="n">
        <v>175.5</v>
      </c>
      <c r="J12" s="65" t="n">
        <v>175.2</v>
      </c>
      <c r="K12" s="65" t="n">
        <v>194.9</v>
      </c>
      <c r="L12" s="65" t="n">
        <v>183.1</v>
      </c>
      <c r="M12" s="65" t="n">
        <v>171.3</v>
      </c>
      <c r="N12" s="65" t="n">
        <v>178.8</v>
      </c>
      <c r="O12" s="65" t="n">
        <v>183.5</v>
      </c>
      <c r="P12" s="65" t="n">
        <v>173.2</v>
      </c>
      <c r="Q12" s="65" t="n">
        <v>185.1</v>
      </c>
      <c r="R12" s="65" t="n">
        <v>190.2</v>
      </c>
      <c r="S12" s="65" t="n">
        <v>185.1</v>
      </c>
      <c r="T12" s="65" t="n">
        <v>162.6</v>
      </c>
      <c r="U12" s="65" t="n">
        <v>171.2</v>
      </c>
      <c r="V12" s="65" t="n">
        <v>165.3</v>
      </c>
      <c r="W12" s="65" t="n">
        <v>180.3</v>
      </c>
      <c r="X12" s="65" t="n">
        <v>169.4</v>
      </c>
      <c r="Y12" s="65" t="n">
        <v>188.1</v>
      </c>
      <c r="Z12" s="65" t="n">
        <v>191.8</v>
      </c>
      <c r="AA12" s="65" t="n">
        <v>184.5</v>
      </c>
      <c r="AB12" s="65" t="n">
        <v>170.6</v>
      </c>
      <c r="AC12" s="65" t="n">
        <v>171</v>
      </c>
      <c r="AD12" s="65" t="n">
        <v>176.5</v>
      </c>
      <c r="AE12" s="65" t="n">
        <v>185.4</v>
      </c>
      <c r="AF12" s="65" t="n">
        <v>193.7</v>
      </c>
      <c r="AG12" s="65" t="n">
        <v>205.2</v>
      </c>
      <c r="AH12" s="65" t="n">
        <v>194.6</v>
      </c>
      <c r="AI12" s="65" t="n">
        <v>191.5</v>
      </c>
      <c r="AJ12" s="65" t="n">
        <v>178.8</v>
      </c>
      <c r="AK12" s="65" t="n">
        <v>194.7</v>
      </c>
      <c r="AL12" s="65" t="n">
        <v>198.4</v>
      </c>
      <c r="AM12" s="65" t="n">
        <v>201.2</v>
      </c>
      <c r="AN12" s="65" t="n">
        <v>198.9</v>
      </c>
      <c r="AO12" s="65" t="n">
        <v>207.8</v>
      </c>
    </row>
    <row r="13">
      <c r="A13" s="64" t="inlineStr">
        <is>
          <t>자기자본</t>
        </is>
      </c>
      <c r="B13" s="66" t="n"/>
      <c r="C13" s="66" t="n">
        <v>301.5</v>
      </c>
      <c r="D13" s="66" t="n"/>
      <c r="E13" s="66" t="n"/>
      <c r="F13" s="66" t="n">
        <v>318.1</v>
      </c>
      <c r="G13" s="66" t="n">
        <v>321.5</v>
      </c>
      <c r="H13" s="66" t="n">
        <v>316</v>
      </c>
      <c r="I13" s="66" t="n">
        <v>322.6</v>
      </c>
      <c r="J13" s="66" t="n">
        <v>323.8</v>
      </c>
      <c r="K13" s="66" t="n">
        <v>327.8</v>
      </c>
      <c r="L13" s="66" t="n">
        <v>327.6</v>
      </c>
      <c r="M13" s="66" t="n">
        <v>336.1</v>
      </c>
      <c r="N13" s="66" t="n">
        <v>339.7</v>
      </c>
      <c r="O13" s="66" t="n">
        <v>338.4</v>
      </c>
      <c r="P13" s="66" t="n">
        <v>343.7</v>
      </c>
      <c r="Q13" s="66" t="n">
        <v>354.4</v>
      </c>
      <c r="R13" s="66" t="n">
        <v>358.5</v>
      </c>
      <c r="S13" s="66" t="n">
        <v>372.8</v>
      </c>
      <c r="T13" s="66" t="n">
        <v>377.7</v>
      </c>
      <c r="U13" s="66" t="n">
        <v>389.6</v>
      </c>
      <c r="V13" s="66" t="n">
        <v>393.3</v>
      </c>
      <c r="W13" s="66" t="n">
        <v>405</v>
      </c>
      <c r="X13" s="66" t="n">
        <v>412.2</v>
      </c>
      <c r="Y13" s="66" t="n">
        <v>424.8</v>
      </c>
      <c r="Z13" s="66" t="n">
        <v>427.1</v>
      </c>
      <c r="AA13" s="66" t="n">
        <v>429.2</v>
      </c>
      <c r="AB13" s="66" t="n">
        <v>430.9</v>
      </c>
      <c r="AC13" s="66" t="n">
        <v>436.9</v>
      </c>
      <c r="AD13" s="66" t="n">
        <v>434</v>
      </c>
      <c r="AE13" s="66" t="n">
        <v>439.7</v>
      </c>
      <c r="AF13" s="66" t="n">
        <v>445.9</v>
      </c>
      <c r="AG13" s="66" t="n">
        <v>456.4</v>
      </c>
      <c r="AH13" s="66" t="n">
        <v>463.5</v>
      </c>
      <c r="AI13" s="66" t="n">
        <v>474.6</v>
      </c>
      <c r="AJ13" s="66" t="n">
        <v>477</v>
      </c>
      <c r="AK13" s="66" t="n">
        <v>493.1</v>
      </c>
      <c r="AL13" s="66" t="n">
        <v>502.5</v>
      </c>
      <c r="AM13" s="66" t="n">
        <v>516.9</v>
      </c>
      <c r="AN13" s="66" t="n">
        <v>525</v>
      </c>
      <c r="AO13" s="66" t="n">
        <v>545.7</v>
      </c>
    </row>
    <row r="14">
      <c r="A14" s="64" t="inlineStr">
        <is>
          <t>유동비율</t>
        </is>
      </c>
      <c r="B14" s="66" t="n"/>
      <c r="C14" s="66" t="n">
        <v>188.5</v>
      </c>
      <c r="D14" s="66" t="n"/>
      <c r="E14" s="66" t="n"/>
      <c r="F14" s="66" t="n">
        <v>226.3</v>
      </c>
      <c r="G14" s="66" t="n">
        <v>206.7</v>
      </c>
      <c r="H14" s="66" t="n">
        <v>203.5</v>
      </c>
      <c r="I14" s="66" t="n">
        <v>183.9</v>
      </c>
      <c r="J14" s="66" t="n">
        <v>188.2</v>
      </c>
      <c r="K14" s="66" t="n">
        <v>163.2</v>
      </c>
      <c r="L14" s="66" t="n">
        <v>171.2</v>
      </c>
      <c r="M14" s="66" t="n">
        <v>184.1</v>
      </c>
      <c r="N14" s="66" t="n">
        <v>176.4</v>
      </c>
      <c r="O14" s="66" t="n">
        <v>165.6</v>
      </c>
      <c r="P14" s="66" t="n">
        <v>172.8</v>
      </c>
      <c r="Q14" s="66" t="n">
        <v>159.6</v>
      </c>
      <c r="R14" s="66" t="n">
        <v>142.1</v>
      </c>
      <c r="S14" s="66" t="n">
        <v>155.1</v>
      </c>
      <c r="T14" s="66" t="n">
        <v>179.9</v>
      </c>
      <c r="U14" s="66" t="n">
        <v>187.5</v>
      </c>
      <c r="V14" s="66" t="n">
        <v>201.4</v>
      </c>
      <c r="W14" s="66" t="n">
        <v>196.3</v>
      </c>
      <c r="X14" s="66" t="n">
        <v>214.6</v>
      </c>
      <c r="Y14" s="66" t="n">
        <v>199.9</v>
      </c>
      <c r="Z14" s="66" t="n">
        <v>194</v>
      </c>
      <c r="AA14" s="66" t="n">
        <v>193.8</v>
      </c>
      <c r="AB14" s="66" t="n">
        <v>211.4</v>
      </c>
      <c r="AC14" s="66" t="n">
        <v>220</v>
      </c>
      <c r="AD14" s="66" t="n">
        <v>207.1</v>
      </c>
      <c r="AE14" s="66" t="n">
        <v>201.4</v>
      </c>
      <c r="AF14" s="66" t="n">
        <v>196.4</v>
      </c>
      <c r="AG14" s="66" t="n">
        <v>186.7</v>
      </c>
      <c r="AH14" s="66" t="n">
        <v>191.9</v>
      </c>
      <c r="AI14" s="66" t="n">
        <v>200.4</v>
      </c>
      <c r="AJ14" s="66" t="n">
        <v>212.1</v>
      </c>
      <c r="AK14" s="66" t="n">
        <v>199.1</v>
      </c>
      <c r="AL14" s="66" t="n">
        <v>196.5</v>
      </c>
      <c r="AM14" s="66" t="n">
        <v>192.2</v>
      </c>
      <c r="AN14" s="66" t="n">
        <v>195.9</v>
      </c>
      <c r="AO14" s="66" t="n">
        <v>201.4</v>
      </c>
    </row>
    <row r="15">
      <c r="A15" s="64" t="inlineStr">
        <is>
          <t>부채비율</t>
        </is>
      </c>
      <c r="B15" s="66" t="n"/>
      <c r="C15" s="66" t="n">
        <v>66</v>
      </c>
      <c r="D15" s="66" t="n"/>
      <c r="E15" s="66" t="n"/>
      <c r="F15" s="66" t="n">
        <v>48.1</v>
      </c>
      <c r="G15" s="66" t="n">
        <v>50.5</v>
      </c>
      <c r="H15" s="66" t="n">
        <v>50.2</v>
      </c>
      <c r="I15" s="66" t="n">
        <v>54.4</v>
      </c>
      <c r="J15" s="66" t="n">
        <v>54.1</v>
      </c>
      <c r="K15" s="66" t="n">
        <v>59.5</v>
      </c>
      <c r="L15" s="66" t="n">
        <v>55.9</v>
      </c>
      <c r="M15" s="66" t="n">
        <v>51</v>
      </c>
      <c r="N15" s="66" t="n">
        <v>52.6</v>
      </c>
      <c r="O15" s="66" t="n">
        <v>54.2</v>
      </c>
      <c r="P15" s="66" t="n">
        <v>50.4</v>
      </c>
      <c r="Q15" s="66" t="n">
        <v>52.2</v>
      </c>
      <c r="R15" s="66" t="n">
        <v>53.1</v>
      </c>
      <c r="S15" s="66" t="n">
        <v>49.7</v>
      </c>
      <c r="T15" s="66" t="n">
        <v>43.1</v>
      </c>
      <c r="U15" s="66" t="n">
        <v>43.9</v>
      </c>
      <c r="V15" s="66" t="n">
        <v>42</v>
      </c>
      <c r="W15" s="66" t="n">
        <v>44.5</v>
      </c>
      <c r="X15" s="66" t="n">
        <v>41.1</v>
      </c>
      <c r="Y15" s="66" t="n">
        <v>44.3</v>
      </c>
      <c r="Z15" s="66" t="n">
        <v>44.9</v>
      </c>
      <c r="AA15" s="66" t="n">
        <v>43</v>
      </c>
      <c r="AB15" s="66" t="n">
        <v>39.6</v>
      </c>
      <c r="AC15" s="66" t="n">
        <v>39.1</v>
      </c>
      <c r="AD15" s="66" t="n">
        <v>40.7</v>
      </c>
      <c r="AE15" s="66" t="n">
        <v>42.2</v>
      </c>
      <c r="AF15" s="66" t="n">
        <v>43.4</v>
      </c>
      <c r="AG15" s="66" t="n">
        <v>45</v>
      </c>
      <c r="AH15" s="66" t="n">
        <v>42</v>
      </c>
      <c r="AI15" s="66" t="n">
        <v>40.3</v>
      </c>
      <c r="AJ15" s="66" t="n">
        <v>37.5</v>
      </c>
      <c r="AK15" s="66" t="n">
        <v>39.5</v>
      </c>
      <c r="AL15" s="66" t="n">
        <v>39.5</v>
      </c>
      <c r="AM15" s="66" t="n">
        <v>38.9</v>
      </c>
      <c r="AN15" s="66" t="n">
        <v>37.9</v>
      </c>
      <c r="AO15" s="66" t="n">
        <v>38.1</v>
      </c>
    </row>
    <row r="16">
      <c r="A16" s="64" t="inlineStr">
        <is>
          <t>순차입금/자기자본</t>
        </is>
      </c>
      <c r="B16" s="66" t="n"/>
      <c r="C16" s="66" t="n">
        <v>-19.3</v>
      </c>
      <c r="D16" s="66" t="n"/>
      <c r="E16" s="66" t="n"/>
      <c r="F16" s="66" t="n">
        <v>-9</v>
      </c>
      <c r="G16" s="66" t="n">
        <v>-10</v>
      </c>
      <c r="H16" s="66" t="n">
        <v>-9.1</v>
      </c>
      <c r="I16" s="66" t="n">
        <v>-12.5</v>
      </c>
      <c r="J16" s="66" t="n">
        <v>-7.1</v>
      </c>
      <c r="K16" s="66" t="n">
        <v>-7.4</v>
      </c>
      <c r="L16" s="66" t="n">
        <v>-9.1</v>
      </c>
      <c r="M16" s="66" t="n">
        <v>-6.2</v>
      </c>
      <c r="N16" s="66" t="n">
        <v>-6</v>
      </c>
      <c r="O16" s="66" t="n">
        <v>-10</v>
      </c>
      <c r="P16" s="66" t="n">
        <v>-5.2</v>
      </c>
      <c r="Q16" s="66" t="n">
        <v>-8.4</v>
      </c>
      <c r="R16" s="66" t="n">
        <v>-6.1</v>
      </c>
      <c r="S16" s="66" t="n">
        <v>-8.5</v>
      </c>
      <c r="T16" s="66" t="n">
        <v>-7</v>
      </c>
      <c r="U16" s="66" t="n">
        <v>-11.4</v>
      </c>
      <c r="V16" s="66" t="n">
        <v>-11.4</v>
      </c>
      <c r="W16" s="66" t="n">
        <v>-16.7</v>
      </c>
      <c r="X16" s="66" t="n">
        <v>-15.8</v>
      </c>
      <c r="Y16" s="66" t="n">
        <v>-17.3</v>
      </c>
      <c r="Z16" s="66" t="n">
        <v>-14.3</v>
      </c>
      <c r="AA16" s="66" t="n">
        <v>-15.4</v>
      </c>
      <c r="AB16" s="66" t="n">
        <v>-13.6</v>
      </c>
      <c r="AC16" s="66" t="n">
        <v>-13.5</v>
      </c>
      <c r="AD16" s="66" t="n">
        <v>-11.8</v>
      </c>
      <c r="AE16" s="66" t="n">
        <v>-15.3</v>
      </c>
      <c r="AF16" s="66" t="n">
        <v>-16.1</v>
      </c>
      <c r="AG16" s="66" t="n">
        <v>-17.9</v>
      </c>
      <c r="AH16" s="66" t="n">
        <v>-16</v>
      </c>
      <c r="AI16" s="66" t="n">
        <v>-15.8</v>
      </c>
      <c r="AJ16" s="66" t="n">
        <v>-13.1</v>
      </c>
      <c r="AK16" s="66" t="n">
        <v>-18.8</v>
      </c>
      <c r="AL16" s="66" t="n">
        <v>-16.2</v>
      </c>
      <c r="AM16" s="66" t="n">
        <v>-17.8</v>
      </c>
      <c r="AN16" s="66" t="n">
        <v>-16.1</v>
      </c>
      <c r="AO16" s="66" t="n">
        <v>-20.3</v>
      </c>
    </row>
    <row r="17">
      <c r="A17" s="64" t="inlineStr">
        <is>
          <t>재고자산</t>
        </is>
      </c>
      <c r="B17" s="65" t="n"/>
      <c r="C17" s="65" t="n">
        <v>50.4</v>
      </c>
      <c r="D17" s="65" t="n"/>
      <c r="E17" s="65" t="n"/>
      <c r="F17" s="65" t="n">
        <v>51.5</v>
      </c>
      <c r="G17" s="65" t="n">
        <v>50.2</v>
      </c>
      <c r="H17" s="65" t="n">
        <v>57.1</v>
      </c>
      <c r="I17" s="65" t="n">
        <v>56.8</v>
      </c>
      <c r="J17" s="65" t="n">
        <v>51.5</v>
      </c>
      <c r="K17" s="65" t="n">
        <v>52.3</v>
      </c>
      <c r="L17" s="65" t="n">
        <v>51.6</v>
      </c>
      <c r="M17" s="65" t="n">
        <v>50.9</v>
      </c>
      <c r="N17" s="65" t="n">
        <v>52.7</v>
      </c>
      <c r="O17" s="65" t="n">
        <v>53.3</v>
      </c>
      <c r="P17" s="65" t="n">
        <v>57.5</v>
      </c>
      <c r="Q17" s="65" t="n">
        <v>55.6</v>
      </c>
      <c r="R17" s="65" t="n">
        <v>46.4</v>
      </c>
      <c r="S17" s="65" t="n">
        <v>42.2</v>
      </c>
      <c r="T17" s="65" t="n">
        <v>42.7</v>
      </c>
      <c r="U17" s="65" t="n">
        <v>43.9</v>
      </c>
      <c r="V17" s="65" t="n">
        <v>45</v>
      </c>
      <c r="W17" s="65" t="n">
        <v>45.2</v>
      </c>
      <c r="X17" s="65" t="n">
        <v>49.8</v>
      </c>
      <c r="Y17" s="65" t="n">
        <v>56.9</v>
      </c>
      <c r="Z17" s="65" t="n">
        <v>60.8</v>
      </c>
      <c r="AA17" s="65" t="n">
        <v>58.7</v>
      </c>
      <c r="AB17" s="65" t="n">
        <v>63</v>
      </c>
      <c r="AC17" s="65" t="n">
        <v>60.6</v>
      </c>
      <c r="AD17" s="65" t="n">
        <v>59</v>
      </c>
      <c r="AE17" s="65" t="n">
        <v>54.3</v>
      </c>
      <c r="AF17" s="65" t="n">
        <v>55.6</v>
      </c>
      <c r="AG17" s="65" t="n">
        <v>53</v>
      </c>
      <c r="AH17" s="65" t="n">
        <v>53.6</v>
      </c>
      <c r="AI17" s="65" t="n">
        <v>54.2</v>
      </c>
      <c r="AJ17" s="65" t="n">
        <v>58.4</v>
      </c>
      <c r="AK17" s="65" t="n">
        <v>61.3</v>
      </c>
      <c r="AL17" s="65" t="n">
        <v>57.4</v>
      </c>
      <c r="AM17" s="65" t="n">
        <v>58.6</v>
      </c>
      <c r="AN17" s="65" t="n">
        <v>64.90000000000001</v>
      </c>
      <c r="AO17" s="65" t="n">
        <v>63.5</v>
      </c>
    </row>
    <row r="18">
      <c r="A18" s="64" t="inlineStr">
        <is>
          <t>재고자산 회전일수</t>
        </is>
      </c>
      <c r="B18" s="65" t="n"/>
      <c r="C18" s="65" t="n">
        <v>76</v>
      </c>
      <c r="D18" s="65" t="n"/>
      <c r="E18" s="65" t="n"/>
      <c r="F18" s="65" t="n">
        <v>78</v>
      </c>
      <c r="G18" s="65" t="n">
        <v>75</v>
      </c>
      <c r="H18" s="65" t="n">
        <v>98</v>
      </c>
      <c r="I18" s="65" t="n">
        <v>81</v>
      </c>
      <c r="J18" s="65" t="n">
        <v>69</v>
      </c>
      <c r="K18" s="65" t="n">
        <v>77</v>
      </c>
      <c r="L18" s="65" t="n">
        <v>75</v>
      </c>
      <c r="M18" s="65" t="n">
        <v>68</v>
      </c>
      <c r="N18" s="65" t="n">
        <v>73</v>
      </c>
      <c r="O18" s="65" t="n">
        <v>77</v>
      </c>
      <c r="P18" s="65" t="n">
        <v>96</v>
      </c>
      <c r="Q18" s="65" t="n">
        <v>83</v>
      </c>
      <c r="R18" s="65" t="n">
        <v>65</v>
      </c>
      <c r="S18" s="65" t="n">
        <v>57</v>
      </c>
      <c r="T18" s="65" t="n">
        <v>71</v>
      </c>
      <c r="U18" s="65" t="n">
        <v>71</v>
      </c>
      <c r="V18" s="65" t="n">
        <v>68</v>
      </c>
      <c r="W18" s="65" t="n">
        <v>67</v>
      </c>
      <c r="X18" s="65" t="n">
        <v>73</v>
      </c>
      <c r="Y18" s="65" t="n">
        <v>81</v>
      </c>
      <c r="Z18" s="65" t="n">
        <v>86</v>
      </c>
      <c r="AA18" s="65" t="n">
        <v>82</v>
      </c>
      <c r="AB18" s="65" t="n">
        <v>93</v>
      </c>
      <c r="AC18" s="65" t="n">
        <v>89</v>
      </c>
      <c r="AD18" s="65" t="n">
        <v>82</v>
      </c>
      <c r="AE18" s="65" t="n">
        <v>75</v>
      </c>
      <c r="AF18" s="65" t="n">
        <v>74</v>
      </c>
      <c r="AG18" s="65" t="n">
        <v>68</v>
      </c>
      <c r="AH18" s="65" t="n">
        <v>69</v>
      </c>
      <c r="AI18" s="65" t="n">
        <v>69</v>
      </c>
      <c r="AJ18" s="65" t="n">
        <v>74</v>
      </c>
      <c r="AK18" s="65" t="n">
        <v>77</v>
      </c>
      <c r="AL18" s="65" t="n">
        <v>71</v>
      </c>
      <c r="AM18" s="65" t="n">
        <v>74</v>
      </c>
      <c r="AN18" s="65" t="n">
        <v>70</v>
      </c>
      <c r="AO18" s="65" t="n">
        <v>61</v>
      </c>
    </row>
    <row r="19">
      <c r="A19" s="64" t="inlineStr">
        <is>
          <t>매출채권 회전일수</t>
        </is>
      </c>
      <c r="B19" s="65" t="n"/>
      <c r="C19" s="65" t="n">
        <v>90</v>
      </c>
      <c r="D19" s="65" t="n"/>
      <c r="E19" s="65" t="n"/>
      <c r="F19" s="65" t="n">
        <v>84</v>
      </c>
      <c r="G19" s="65" t="n">
        <v>90</v>
      </c>
      <c r="H19" s="65" t="n">
        <v>93</v>
      </c>
      <c r="I19" s="65" t="n">
        <v>87</v>
      </c>
      <c r="J19" s="65" t="n">
        <v>84</v>
      </c>
      <c r="K19" s="65" t="n">
        <v>94</v>
      </c>
      <c r="L19" s="65" t="n">
        <v>83</v>
      </c>
      <c r="M19" s="65" t="n">
        <v>82</v>
      </c>
      <c r="N19" s="65" t="n">
        <v>87</v>
      </c>
      <c r="O19" s="65" t="n">
        <v>83</v>
      </c>
      <c r="P19" s="65" t="n">
        <v>86</v>
      </c>
      <c r="Q19" s="65" t="n">
        <v>80</v>
      </c>
      <c r="R19" s="65" t="n">
        <v>80</v>
      </c>
      <c r="S19" s="65" t="n">
        <v>82</v>
      </c>
      <c r="T19" s="65" t="n">
        <v>85</v>
      </c>
      <c r="U19" s="65" t="n">
        <v>84</v>
      </c>
      <c r="V19" s="65" t="n">
        <v>85</v>
      </c>
      <c r="W19" s="65" t="n">
        <v>86</v>
      </c>
      <c r="X19" s="65" t="n">
        <v>81</v>
      </c>
      <c r="Y19" s="65" t="n">
        <v>86</v>
      </c>
      <c r="Z19" s="65" t="n">
        <v>84</v>
      </c>
      <c r="AA19" s="65" t="n">
        <v>84</v>
      </c>
      <c r="AB19" s="65" t="n">
        <v>76</v>
      </c>
      <c r="AC19" s="65" t="n">
        <v>86</v>
      </c>
      <c r="AD19" s="65" t="n">
        <v>79</v>
      </c>
      <c r="AE19" s="65" t="n">
        <v>83</v>
      </c>
      <c r="AF19" s="65" t="n">
        <v>75</v>
      </c>
      <c r="AG19" s="65" t="n">
        <v>79</v>
      </c>
      <c r="AH19" s="65" t="n">
        <v>77</v>
      </c>
      <c r="AI19" s="65" t="n">
        <v>85</v>
      </c>
      <c r="AJ19" s="65" t="n">
        <v>77</v>
      </c>
      <c r="AK19" s="65" t="n">
        <v>68</v>
      </c>
      <c r="AL19" s="65" t="n">
        <v>67</v>
      </c>
      <c r="AM19" s="65" t="n">
        <v>69</v>
      </c>
      <c r="AN19" s="65" t="n">
        <v>61</v>
      </c>
      <c r="AO19" s="65" t="n">
        <v>60</v>
      </c>
    </row>
    <row r="20">
      <c r="A20" s="64" t="inlineStr">
        <is>
          <t>매입채무 회전일수</t>
        </is>
      </c>
      <c r="B20" s="65" t="n"/>
      <c r="C20" s="65" t="n">
        <v>68</v>
      </c>
      <c r="D20" s="65" t="n"/>
      <c r="E20" s="65" t="n"/>
      <c r="F20" s="65" t="n">
        <v>63</v>
      </c>
      <c r="G20" s="65" t="n">
        <v>61</v>
      </c>
      <c r="H20" s="65" t="n">
        <v>81</v>
      </c>
      <c r="I20" s="65" t="n">
        <v>69</v>
      </c>
      <c r="J20" s="65" t="n">
        <v>53</v>
      </c>
      <c r="K20" s="65" t="n">
        <v>53</v>
      </c>
      <c r="L20" s="65" t="n">
        <v>49</v>
      </c>
      <c r="M20" s="65" t="n">
        <v>50</v>
      </c>
      <c r="N20" s="65" t="n">
        <v>54</v>
      </c>
      <c r="O20" s="65" t="n">
        <v>55</v>
      </c>
      <c r="P20" s="65" t="n">
        <v>65</v>
      </c>
      <c r="Q20" s="65" t="n">
        <v>61</v>
      </c>
      <c r="R20" s="65" t="n">
        <v>49</v>
      </c>
      <c r="S20" s="65" t="n">
        <v>51</v>
      </c>
      <c r="T20" s="65" t="n">
        <v>64</v>
      </c>
      <c r="U20" s="65" t="n">
        <v>72</v>
      </c>
      <c r="V20" s="65" t="n">
        <v>57</v>
      </c>
      <c r="W20" s="65" t="n">
        <v>73</v>
      </c>
      <c r="X20" s="65" t="n">
        <v>60</v>
      </c>
      <c r="Y20" s="65" t="n">
        <v>70</v>
      </c>
      <c r="Z20" s="65" t="n">
        <v>61</v>
      </c>
      <c r="AA20" s="65" t="n">
        <v>57</v>
      </c>
      <c r="AB20" s="65" t="n">
        <v>57</v>
      </c>
      <c r="AC20" s="65" t="n">
        <v>60</v>
      </c>
      <c r="AD20" s="65" t="n">
        <v>54</v>
      </c>
      <c r="AE20" s="65" t="n">
        <v>57</v>
      </c>
      <c r="AF20" s="65" t="n">
        <v>56</v>
      </c>
      <c r="AG20" s="65" t="n">
        <v>62</v>
      </c>
      <c r="AH20" s="65" t="n">
        <v>55</v>
      </c>
      <c r="AI20" s="65" t="n">
        <v>61</v>
      </c>
      <c r="AJ20" s="65" t="n">
        <v>47</v>
      </c>
      <c r="AK20" s="65" t="n">
        <v>47</v>
      </c>
      <c r="AL20" s="65" t="n">
        <v>42</v>
      </c>
      <c r="AM20" s="65" t="n">
        <v>47</v>
      </c>
      <c r="AN20" s="65" t="n">
        <v>45</v>
      </c>
      <c r="AO20" s="65" t="n">
        <v>41</v>
      </c>
    </row>
    <row r="21">
      <c r="A21" s="64" t="inlineStr">
        <is>
          <t>현금전환주기(CCC)</t>
        </is>
      </c>
      <c r="B21" s="65" t="n"/>
      <c r="C21" s="65" t="n">
        <v>98</v>
      </c>
      <c r="D21" s="65" t="n"/>
      <c r="E21" s="65" t="n"/>
      <c r="F21" s="65" t="n">
        <v>99</v>
      </c>
      <c r="G21" s="65" t="n">
        <v>104</v>
      </c>
      <c r="H21" s="65" t="n">
        <v>110</v>
      </c>
      <c r="I21" s="65" t="n">
        <v>99</v>
      </c>
      <c r="J21" s="65" t="n">
        <v>100</v>
      </c>
      <c r="K21" s="65" t="n">
        <v>118</v>
      </c>
      <c r="L21" s="65" t="n">
        <v>109</v>
      </c>
      <c r="M21" s="65" t="n">
        <v>100</v>
      </c>
      <c r="N21" s="65" t="n">
        <v>106</v>
      </c>
      <c r="O21" s="65" t="n">
        <v>105</v>
      </c>
      <c r="P21" s="65" t="n">
        <v>117</v>
      </c>
      <c r="Q21" s="65" t="n">
        <v>102</v>
      </c>
      <c r="R21" s="65" t="n">
        <v>96</v>
      </c>
      <c r="S21" s="65" t="n">
        <v>88</v>
      </c>
      <c r="T21" s="65" t="n">
        <v>92</v>
      </c>
      <c r="U21" s="65" t="n">
        <v>83</v>
      </c>
      <c r="V21" s="65" t="n">
        <v>96</v>
      </c>
      <c r="W21" s="65" t="n">
        <v>80</v>
      </c>
      <c r="X21" s="65" t="n">
        <v>94</v>
      </c>
      <c r="Y21" s="65" t="n">
        <v>97</v>
      </c>
      <c r="Z21" s="65" t="n">
        <v>109</v>
      </c>
      <c r="AA21" s="65" t="n">
        <v>109</v>
      </c>
      <c r="AB21" s="65" t="n">
        <v>112</v>
      </c>
      <c r="AC21" s="65" t="n">
        <v>115</v>
      </c>
      <c r="AD21" s="65" t="n">
        <v>107</v>
      </c>
      <c r="AE21" s="65" t="n">
        <v>101</v>
      </c>
      <c r="AF21" s="65" t="n">
        <v>93</v>
      </c>
      <c r="AG21" s="65" t="n">
        <v>85</v>
      </c>
      <c r="AH21" s="65" t="n">
        <v>91</v>
      </c>
      <c r="AI21" s="65" t="n">
        <v>93</v>
      </c>
      <c r="AJ21" s="65" t="n">
        <v>104</v>
      </c>
      <c r="AK21" s="65" t="n">
        <v>98</v>
      </c>
      <c r="AL21" s="65" t="n">
        <v>96</v>
      </c>
      <c r="AM21" s="65" t="n">
        <v>96</v>
      </c>
      <c r="AN21" s="65" t="n">
        <v>86</v>
      </c>
      <c r="AO21" s="65" t="n">
        <v>80</v>
      </c>
    </row>
    <row r="22">
      <c r="A22" s="64" t="inlineStr">
        <is>
          <t>총 차입금</t>
        </is>
      </c>
      <c r="B22" s="65" t="n"/>
      <c r="C22" s="65" t="n">
        <v>29.1</v>
      </c>
      <c r="D22" s="65" t="n"/>
      <c r="E22" s="65" t="n"/>
      <c r="F22" s="65" t="n">
        <v>4.9</v>
      </c>
      <c r="G22" s="65" t="n">
        <v>15.5</v>
      </c>
      <c r="H22" s="65" t="n">
        <v>3.7</v>
      </c>
      <c r="I22" s="65" t="n">
        <v>3.2</v>
      </c>
      <c r="J22" s="65" t="n">
        <v>16.8</v>
      </c>
      <c r="K22" s="65" t="n">
        <v>24.8</v>
      </c>
      <c r="L22" s="65" t="n">
        <v>15.2</v>
      </c>
      <c r="M22" s="65" t="n">
        <v>14.4</v>
      </c>
      <c r="N22" s="65" t="n">
        <v>14.4</v>
      </c>
      <c r="O22" s="65" t="n">
        <v>15.9</v>
      </c>
      <c r="P22" s="65" t="n">
        <v>15</v>
      </c>
      <c r="Q22" s="65" t="n">
        <v>14.7</v>
      </c>
      <c r="R22" s="65" t="n">
        <v>14.1</v>
      </c>
      <c r="S22" s="65" t="n">
        <v>14.6</v>
      </c>
      <c r="T22" s="65" t="n">
        <v>13.9</v>
      </c>
      <c r="U22" s="65" t="n">
        <v>14</v>
      </c>
      <c r="V22" s="65" t="n">
        <v>13.8</v>
      </c>
      <c r="W22" s="65" t="n">
        <v>15.6</v>
      </c>
      <c r="X22" s="65" t="n">
        <v>14.3</v>
      </c>
      <c r="Y22" s="65" t="n">
        <v>14.5</v>
      </c>
      <c r="Z22" s="65" t="n">
        <v>17.6</v>
      </c>
      <c r="AA22" s="65" t="n">
        <v>14.8</v>
      </c>
      <c r="AB22" s="65" t="n">
        <v>12.2</v>
      </c>
      <c r="AC22" s="65" t="n">
        <v>14.8</v>
      </c>
      <c r="AD22" s="65" t="n">
        <v>14.4</v>
      </c>
      <c r="AE22" s="65" t="n">
        <v>15.5</v>
      </c>
      <c r="AF22" s="65" t="n">
        <v>13.6</v>
      </c>
      <c r="AG22" s="65" t="n">
        <v>14.1</v>
      </c>
      <c r="AH22" s="65" t="n">
        <v>5.3</v>
      </c>
      <c r="AI22" s="65" t="n">
        <v>5.600000000000001</v>
      </c>
      <c r="AJ22" s="65" t="n">
        <v>3.6</v>
      </c>
      <c r="AK22" s="65" t="n">
        <v>3.5</v>
      </c>
      <c r="AL22" s="65" t="n">
        <v>8.5</v>
      </c>
      <c r="AM22" s="65" t="n">
        <v>3.2</v>
      </c>
      <c r="AN22" s="65" t="n">
        <v>1.9</v>
      </c>
      <c r="AO22" s="65" t="n">
        <v>2</v>
      </c>
    </row>
    <row r="23">
      <c r="A23" s="64" t="inlineStr">
        <is>
          <t>현금</t>
        </is>
      </c>
      <c r="B23" s="65" t="n"/>
      <c r="C23" s="65" t="n">
        <v>87.3</v>
      </c>
      <c r="D23" s="65" t="n"/>
      <c r="E23" s="65" t="n"/>
      <c r="F23" s="65" t="n">
        <v>33.5</v>
      </c>
      <c r="G23" s="65" t="n">
        <v>47.6</v>
      </c>
      <c r="H23" s="65" t="n">
        <v>32.5</v>
      </c>
      <c r="I23" s="65" t="n">
        <v>43.5</v>
      </c>
      <c r="J23" s="65" t="n">
        <v>39.8</v>
      </c>
      <c r="K23" s="65" t="n">
        <v>49</v>
      </c>
      <c r="L23" s="65" t="n">
        <v>45</v>
      </c>
      <c r="M23" s="65" t="n">
        <v>35.4</v>
      </c>
      <c r="N23" s="65" t="n">
        <v>34.7</v>
      </c>
      <c r="O23" s="65" t="n">
        <v>49.9</v>
      </c>
      <c r="P23" s="65" t="n">
        <v>33</v>
      </c>
      <c r="Q23" s="65" t="n">
        <v>44.5</v>
      </c>
      <c r="R23" s="65" t="n">
        <v>36.1</v>
      </c>
      <c r="S23" s="65" t="n">
        <v>46.2</v>
      </c>
      <c r="T23" s="65" t="n">
        <v>40.4</v>
      </c>
      <c r="U23" s="65" t="n">
        <v>58.3</v>
      </c>
      <c r="V23" s="65" t="n">
        <v>58.6</v>
      </c>
      <c r="W23" s="65" t="n">
        <v>83.3</v>
      </c>
      <c r="X23" s="65" t="n">
        <v>79.3</v>
      </c>
      <c r="Y23" s="65" t="n">
        <v>88.2</v>
      </c>
      <c r="Z23" s="65" t="n">
        <v>78.59999999999999</v>
      </c>
      <c r="AA23" s="65" t="n">
        <v>81</v>
      </c>
      <c r="AB23" s="65" t="n">
        <v>70.7</v>
      </c>
      <c r="AC23" s="65" t="n">
        <v>73.7</v>
      </c>
      <c r="AD23" s="65" t="n">
        <v>65.59999999999999</v>
      </c>
      <c r="AE23" s="65" t="n">
        <v>82.59999999999999</v>
      </c>
      <c r="AF23" s="65" t="n">
        <v>85.3</v>
      </c>
      <c r="AG23" s="65" t="n">
        <v>95.7</v>
      </c>
      <c r="AH23" s="65" t="n">
        <v>79.40000000000001</v>
      </c>
      <c r="AI23" s="65" t="n">
        <v>80.7</v>
      </c>
      <c r="AJ23" s="65" t="n">
        <v>66.3</v>
      </c>
      <c r="AK23" s="65" t="n">
        <v>96.2</v>
      </c>
      <c r="AL23" s="65" t="n">
        <v>90.09999999999999</v>
      </c>
      <c r="AM23" s="65" t="n">
        <v>95.3</v>
      </c>
      <c r="AN23" s="65" t="n">
        <v>86.59999999999999</v>
      </c>
      <c r="AO23" s="65" t="n">
        <v>113</v>
      </c>
    </row>
    <row r="24">
      <c r="A24" s="64" t="inlineStr">
        <is>
          <t>부문별 매출 · AbrasiveReportableSegmentsMember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>
        <v>37.2</v>
      </c>
      <c r="AE24" s="65" t="n">
        <v>39.8</v>
      </c>
      <c r="AF24" s="65" t="n"/>
      <c r="AG24" s="65" t="n"/>
      <c r="AH24" s="65" t="n">
        <v>51.3</v>
      </c>
      <c r="AI24" s="65" t="n">
        <v>49.7</v>
      </c>
      <c r="AJ24" s="65" t="n"/>
      <c r="AK24" s="65" t="n"/>
      <c r="AL24" s="65" t="n">
        <v>57.9</v>
      </c>
      <c r="AM24" s="65" t="n">
        <v>60.3</v>
      </c>
      <c r="AN24" s="65" t="n"/>
      <c r="AO24" s="65" t="n"/>
      <c r="AP24" s="61" t="inlineStr">
        <is>
          <t>결산단신 부문 정보(외부 고객 매출)</t>
        </is>
      </c>
    </row>
    <row r="25">
      <c r="A25" s="64" t="inlineStr">
        <is>
          <t>부문별 매출 · ChemicalIndustryProductsReportableSegmentsMember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>
        <v>29.8</v>
      </c>
      <c r="AE25" s="65" t="n">
        <v>31.5</v>
      </c>
      <c r="AF25" s="65" t="n"/>
      <c r="AG25" s="65" t="n"/>
      <c r="AH25" s="65" t="n">
        <v>32.7</v>
      </c>
      <c r="AI25" s="65" t="n">
        <v>33.9</v>
      </c>
      <c r="AJ25" s="65" t="n"/>
      <c r="AK25" s="65" t="n"/>
      <c r="AL25" s="65" t="n">
        <v>34.9</v>
      </c>
      <c r="AM25" s="65" t="n">
        <v>34.1</v>
      </c>
      <c r="AN25" s="65" t="n"/>
      <c r="AO25" s="65" t="n"/>
      <c r="AP25" s="61" t="inlineStr">
        <is>
          <t>결산단신 부문 정보(외부 고객 매출)</t>
        </is>
      </c>
    </row>
    <row r="26">
      <c r="A26" s="64" t="inlineStr">
        <is>
          <t>부문별 매출 · LifestyleApparelReportableSegmentMember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>
        <v>17.4</v>
      </c>
      <c r="AC26" s="65" t="n">
        <v>17.1</v>
      </c>
      <c r="AD26" s="65" t="n">
        <v>19.5</v>
      </c>
      <c r="AE26" s="65" t="n">
        <v>15.5</v>
      </c>
      <c r="AF26" s="65" t="n">
        <v>18</v>
      </c>
      <c r="AG26" s="65" t="n">
        <v>17.5</v>
      </c>
      <c r="AH26" s="65" t="n">
        <v>18.3</v>
      </c>
      <c r="AI26" s="65" t="n">
        <v>15.9</v>
      </c>
      <c r="AJ26" s="65" t="n">
        <v>16.1</v>
      </c>
      <c r="AK26" s="65" t="n">
        <v>15.3</v>
      </c>
      <c r="AL26" s="65" t="n">
        <v>17.7</v>
      </c>
      <c r="AM26" s="65" t="n">
        <v>14.1</v>
      </c>
      <c r="AN26" s="65" t="n">
        <v>13.8</v>
      </c>
      <c r="AO26" s="65" t="n">
        <v>14.1</v>
      </c>
      <c r="AP26" s="61" t="inlineStr">
        <is>
          <t>결산단신 부문 정보(외부 고객 매출)</t>
        </is>
      </c>
    </row>
    <row r="27">
      <c r="A27" s="64" t="inlineStr">
        <is>
          <t>부문별 매출 · AbrasiveReportableSegmentMember</t>
        </is>
      </c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>
        <v>27.9</v>
      </c>
      <c r="AC27" s="65" t="n"/>
      <c r="AD27" s="65" t="n"/>
      <c r="AE27" s="65" t="n"/>
      <c r="AF27" s="65" t="n">
        <v>46.2</v>
      </c>
      <c r="AG27" s="65" t="n"/>
      <c r="AH27" s="65" t="n"/>
      <c r="AI27" s="65" t="n"/>
      <c r="AJ27" s="65" t="n">
        <v>52.4</v>
      </c>
      <c r="AK27" s="65" t="n"/>
      <c r="AL27" s="65" t="n"/>
      <c r="AM27" s="65" t="n"/>
      <c r="AN27" s="65" t="n">
        <v>65</v>
      </c>
      <c r="AO27" s="65" t="n"/>
      <c r="AP27" s="61" t="inlineStr">
        <is>
          <t>결산단신 부문 정보(외부 고객 매출)</t>
        </is>
      </c>
    </row>
    <row r="28">
      <c r="A28" s="64" t="inlineStr">
        <is>
          <t>부문별 매출 · ChemicalIndustryProductsReportableSegmentMember</t>
        </is>
      </c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  <c r="AA28" s="65" t="n"/>
      <c r="AB28" s="65" t="n">
        <v>31.5</v>
      </c>
      <c r="AC28" s="65" t="n"/>
      <c r="AD28" s="65" t="n"/>
      <c r="AE28" s="65" t="n"/>
      <c r="AF28" s="65" t="n">
        <v>33</v>
      </c>
      <c r="AG28" s="65" t="n"/>
      <c r="AH28" s="65" t="n"/>
      <c r="AI28" s="65" t="n"/>
      <c r="AJ28" s="65" t="n">
        <v>36.4</v>
      </c>
      <c r="AK28" s="65" t="n"/>
      <c r="AL28" s="65" t="n"/>
      <c r="AM28" s="65" t="n"/>
      <c r="AN28" s="65" t="n">
        <v>45.8</v>
      </c>
      <c r="AO28" s="65" t="n"/>
      <c r="AP28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2026-10-30T11:40:00Z</dcterms:created>
  <dcterms:modified xmlns:dcterms="http://purl.org/dc/terms/" xmlns:xsi="http://www.w3.org/2001/XMLSchema-instance" xsi:type="dcterms:W3CDTF">2026-10-30T11:40:21Z</dcterms:modified>
</cp:coreProperties>
</file>