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2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20" fillId="0" borderId="0" applyAlignment="1" pivotButton="0" quotePrefix="0" xfId="0">
      <alignment horizontal="center" vertical="center"/>
    </xf>
    <xf numFmtId="0" fontId="19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0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ELEMENTS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11월 결산 · 일본 기준 · 2026.3Q = 2026년 11월 결산기 3분기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2023.4Q</t>
        </is>
      </c>
      <c r="D3" s="5" t="inlineStr">
        <is>
          <t>2024.1Q</t>
        </is>
      </c>
      <c r="E3" s="5" t="inlineStr">
        <is>
          <t>2024.2Q</t>
        </is>
      </c>
      <c r="F3" s="5" t="inlineStr">
        <is>
          <t>2024.3Q</t>
        </is>
      </c>
      <c r="G3" s="5" t="inlineStr">
        <is>
          <t>2024.4Q</t>
        </is>
      </c>
      <c r="H3" s="5" t="inlineStr">
        <is>
          <t>2025.1Q</t>
        </is>
      </c>
      <c r="I3" s="5" t="inlineStr">
        <is>
          <t>2025.2Q</t>
        </is>
      </c>
      <c r="J3" s="5" t="inlineStr">
        <is>
          <t>2025.3Q</t>
        </is>
      </c>
      <c r="K3" s="5" t="inlineStr">
        <is>
          <t>2025.4Q</t>
        </is>
      </c>
      <c r="L3" s="5" t="inlineStr">
        <is>
          <t>2026.1Q</t>
        </is>
      </c>
      <c r="M3" s="5" t="inlineStr">
        <is>
          <t>2026.2Q</t>
        </is>
      </c>
      <c r="N3" s="5" t="inlineStr">
        <is>
          <t>2026.3Q</t>
        </is>
      </c>
      <c r="O3" s="6" t="inlineStr">
        <is>
          <t>2016</t>
        </is>
      </c>
      <c r="P3" s="5" t="inlineStr">
        <is>
          <t>2017</t>
        </is>
      </c>
      <c r="Q3" s="5" t="inlineStr">
        <is>
          <t>2018</t>
        </is>
      </c>
      <c r="R3" s="5" t="inlineStr">
        <is>
          <t>2019</t>
        </is>
      </c>
      <c r="S3" s="5" t="inlineStr">
        <is>
          <t>2020</t>
        </is>
      </c>
      <c r="T3" s="5" t="inlineStr">
        <is>
          <t>2021</t>
        </is>
      </c>
      <c r="U3" s="5" t="inlineStr">
        <is>
          <t>2022</t>
        </is>
      </c>
      <c r="V3" s="5" t="inlineStr">
        <is>
          <t>2023</t>
        </is>
      </c>
      <c r="W3" s="5" t="inlineStr">
        <is>
          <t>2024</t>
        </is>
      </c>
      <c r="X3" s="5" t="inlineStr">
        <is>
          <t>2025</t>
        </is>
      </c>
      <c r="Y3" s="7" t="inlineStr">
        <is>
          <t>2026(MW)</t>
        </is>
      </c>
      <c r="Z3" s="8" t="inlineStr">
        <is>
          <t>2027(MW)</t>
        </is>
      </c>
      <c r="AA3" s="8" t="inlineStr">
        <is>
          <t>2028(MW)</t>
        </is>
      </c>
      <c r="AB3" s="8" t="inlineStr">
        <is>
          <t>2029(MW)</t>
        </is>
      </c>
      <c r="AC3" s="8" t="inlineStr">
        <is>
          <t>2030(MW)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625.325</v>
      </c>
      <c r="D4" s="12" t="n">
        <v>432.209</v>
      </c>
      <c r="E4" s="12" t="n">
        <v>776.189</v>
      </c>
      <c r="F4" s="12" t="n">
        <v>648.645</v>
      </c>
      <c r="G4" s="12" t="n">
        <v>688.681</v>
      </c>
      <c r="H4" s="12" t="n">
        <v>715.427</v>
      </c>
      <c r="I4" s="12" t="n">
        <v>974.97</v>
      </c>
      <c r="J4" s="12" t="n">
        <v>1030.824</v>
      </c>
      <c r="K4" s="12" t="n">
        <v>1173.891</v>
      </c>
      <c r="L4" s="12" t="n">
        <v>1291.889</v>
      </c>
      <c r="M4" s="12" t="n">
        <v>1507.116</v>
      </c>
      <c r="N4" s="12" t="n">
        <v>1530.395</v>
      </c>
      <c r="O4" s="11" t="n"/>
      <c r="P4" s="12" t="n"/>
      <c r="Q4" s="12" t="n"/>
      <c r="R4" s="12" t="n"/>
      <c r="S4" s="12" t="n"/>
      <c r="T4" s="12" t="n">
        <v>1362.051</v>
      </c>
      <c r="U4" s="12" t="n">
        <v>1651.627</v>
      </c>
      <c r="V4" s="12" t="n">
        <v>1940.397</v>
      </c>
      <c r="W4" s="12" t="n">
        <v>2545.724</v>
      </c>
      <c r="X4" s="12" t="n">
        <v>3895.112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158.292</v>
      </c>
      <c r="D11" s="22" t="n">
        <v>48.546</v>
      </c>
      <c r="E11" s="22" t="n">
        <v>102.579</v>
      </c>
      <c r="F11" s="22" t="n">
        <v>107.472</v>
      </c>
      <c r="G11" s="22" t="n">
        <v>103.755</v>
      </c>
      <c r="H11" s="22" t="n">
        <v>81.011</v>
      </c>
      <c r="I11" s="22" t="n">
        <v>224.44</v>
      </c>
      <c r="J11" s="22" t="n">
        <v>276.551</v>
      </c>
      <c r="K11" s="22" t="n">
        <v>294.561</v>
      </c>
      <c r="L11" s="22" t="n">
        <v>311.234</v>
      </c>
      <c r="M11" s="22" t="n">
        <v>310.66</v>
      </c>
      <c r="N11" s="22" t="n">
        <v>334.342</v>
      </c>
      <c r="O11" s="21" t="n"/>
      <c r="P11" s="22" t="n"/>
      <c r="Q11" s="22" t="n"/>
      <c r="R11" s="22" t="n"/>
      <c r="S11" s="22" t="n"/>
      <c r="T11" s="22" t="n">
        <v>545.808</v>
      </c>
      <c r="U11" s="22" t="n">
        <v>563.414</v>
      </c>
      <c r="V11" s="22" t="n">
        <v>441.053</v>
      </c>
      <c r="W11" s="22" t="n">
        <v>362.352</v>
      </c>
      <c r="X11" s="22" t="n">
        <v>876.563</v>
      </c>
      <c r="Y11" s="21" t="n"/>
      <c r="Z11" s="22" t="n"/>
      <c r="AA11" s="22" t="n"/>
      <c r="AB11" s="22" t="n"/>
      <c r="AC11" s="22" t="n"/>
    </row>
    <row r="12">
      <c r="A12" s="20" t="inlineStr">
        <is>
          <t>매출총이익</t>
        </is>
      </c>
      <c r="B12" s="10" t="n"/>
      <c r="C12" s="21">
        <f>IF(OR(C4="",C11=""),"",IFERROR(C4-C11,""))</f>
        <v/>
      </c>
      <c r="D12" s="22">
        <f>IF(OR(D4="",D11=""),"",IFERROR(D4-D11,""))</f>
        <v/>
      </c>
      <c r="E12" s="22">
        <f>IF(OR(E4="",E11=""),"",IFERROR(E4-E11,""))</f>
        <v/>
      </c>
      <c r="F12" s="22">
        <f>IF(OR(F4="",F11=""),"",IFERROR(F4-F11,""))</f>
        <v/>
      </c>
      <c r="G12" s="22">
        <f>IF(OR(G4="",G11=""),"",IFERROR(G4-G11,""))</f>
        <v/>
      </c>
      <c r="H12" s="22">
        <f>IF(OR(H4="",H11=""),"",IFERROR(H4-H11,""))</f>
        <v/>
      </c>
      <c r="I12" s="22">
        <f>IF(OR(I4="",I11=""),"",IFERROR(I4-I11,""))</f>
        <v/>
      </c>
      <c r="J12" s="22">
        <f>IF(OR(J4="",J11=""),"",IFERROR(J4-J11,""))</f>
        <v/>
      </c>
      <c r="K12" s="22">
        <f>IF(OR(K4="",K11=""),"",IFERROR(K4-K11,""))</f>
        <v/>
      </c>
      <c r="L12" s="22">
        <f>IF(OR(L4="",L11=""),"",IFERROR(L4-L11,""))</f>
        <v/>
      </c>
      <c r="M12" s="22">
        <f>IF(OR(M4="",M11=""),"",IFERROR(M4-M11,""))</f>
        <v/>
      </c>
      <c r="N12" s="22">
        <f>IF(OR(N4="",N11=""),"",IFERROR(N4-N11,""))</f>
        <v/>
      </c>
      <c r="O12" s="21">
        <f>IF(OR(O4="",O11=""),"",IFERROR(O4-O11,""))</f>
        <v/>
      </c>
      <c r="P12" s="22">
        <f>IF(OR(P4="",P11=""),"",IFERROR(P4-P11,""))</f>
        <v/>
      </c>
      <c r="Q12" s="22">
        <f>IF(OR(Q4="",Q11=""),"",IFERROR(Q4-Q11,""))</f>
        <v/>
      </c>
      <c r="R12" s="22">
        <f>IF(OR(R4="",R11=""),"",IFERROR(R4-R11,""))</f>
        <v/>
      </c>
      <c r="S12" s="22">
        <f>IF(OR(S4="",S11=""),"",IFERROR(S4-S11,""))</f>
        <v/>
      </c>
      <c r="T12" s="22">
        <f>IF(OR(T4="",T11=""),"",IFERROR(T4-T11,""))</f>
        <v/>
      </c>
      <c r="U12" s="22">
        <f>IF(OR(U4="",U11=""),"",IFERROR(U4-U11,""))</f>
        <v/>
      </c>
      <c r="V12" s="22">
        <f>IF(OR(V4="",V11=""),"",IFERROR(V4-V11,""))</f>
        <v/>
      </c>
      <c r="W12" s="22">
        <f>IF(OR(W4="",W11=""),"",IFERROR(W4-W11,""))</f>
        <v/>
      </c>
      <c r="X12" s="22">
        <f>IF(OR(X4="",X11=""),"",IFERROR(X4-X11,""))</f>
        <v/>
      </c>
      <c r="Y12" s="21" t="n"/>
      <c r="Z12" s="22" t="n"/>
      <c r="AA12" s="22" t="n"/>
      <c r="AB12" s="22" t="n"/>
      <c r="AC12" s="22" t="n"/>
    </row>
    <row r="13">
      <c r="A13" s="15" t="inlineStr">
        <is>
          <t>GPM</t>
        </is>
      </c>
      <c r="B13" s="10" t="n"/>
      <c r="C13" s="16">
        <f>IF(OR(C12="",C4=""),"",IFERROR(C12/C4,""))</f>
        <v/>
      </c>
      <c r="D13" s="17">
        <f>IF(OR(D12="",D4=""),"",IFERROR(D12/D4,""))</f>
        <v/>
      </c>
      <c r="E13" s="17">
        <f>IF(OR(E12="",E4=""),"",IFERROR(E12/E4,""))</f>
        <v/>
      </c>
      <c r="F13" s="17">
        <f>IF(OR(F12="",F4=""),"",IFERROR(F12/F4,""))</f>
        <v/>
      </c>
      <c r="G13" s="17">
        <f>IF(OR(G12="",G4=""),"",IFERROR(G12/G4,""))</f>
        <v/>
      </c>
      <c r="H13" s="17">
        <f>IF(OR(H12="",H4=""),"",IFERROR(H12/H4,""))</f>
        <v/>
      </c>
      <c r="I13" s="17">
        <f>IF(OR(I12="",I4=""),"",IFERROR(I12/I4,""))</f>
        <v/>
      </c>
      <c r="J13" s="17">
        <f>IF(OR(J12="",J4=""),"",IFERROR(J12/J4,""))</f>
        <v/>
      </c>
      <c r="K13" s="17">
        <f>IF(OR(K12="",K4=""),"",IFERROR(K12/K4,""))</f>
        <v/>
      </c>
      <c r="L13" s="17">
        <f>IF(OR(L12="",L4=""),"",IFERROR(L12/L4,""))</f>
        <v/>
      </c>
      <c r="M13" s="17">
        <f>IF(OR(M12="",M4=""),"",IFERROR(M12/M4,""))</f>
        <v/>
      </c>
      <c r="N13" s="17">
        <f>IF(OR(N12="",N4=""),"",IFERROR(N12/N4,""))</f>
        <v/>
      </c>
      <c r="O13" s="16">
        <f>IF(OR(O12="",O4=""),"",IFERROR(O12/O4,""))</f>
        <v/>
      </c>
      <c r="P13" s="17">
        <f>IF(OR(P12="",P4=""),"",IFERROR(P12/P4,""))</f>
        <v/>
      </c>
      <c r="Q13" s="17">
        <f>IF(OR(Q12="",Q4=""),"",IFERROR(Q12/Q4,""))</f>
        <v/>
      </c>
      <c r="R13" s="17">
        <f>IF(OR(R12="",R4=""),"",IFERROR(R12/R4,""))</f>
        <v/>
      </c>
      <c r="S13" s="17">
        <f>IF(OR(S12="",S4=""),"",IFERROR(S12/S4,""))</f>
        <v/>
      </c>
      <c r="T13" s="17">
        <f>IF(OR(T12="",T4=""),"",IFERROR(T12/T4,""))</f>
        <v/>
      </c>
      <c r="U13" s="17">
        <f>IF(OR(U12="",U4=""),"",IFERROR(U12/U4,""))</f>
        <v/>
      </c>
      <c r="V13" s="17">
        <f>IF(OR(V12="",V4=""),"",IFERROR(V12/V4,""))</f>
        <v/>
      </c>
      <c r="W13" s="17">
        <f>IF(OR(W12="",W4=""),"",IFERROR(W12/W4,""))</f>
        <v/>
      </c>
      <c r="X13" s="17">
        <f>IF(OR(X12="",X4=""),"",IFERROR(X12/X4,""))</f>
        <v/>
      </c>
      <c r="Y13" s="16">
        <f>IF(OR(Y12="",Y4=""),"",IFERROR(Y12/Y4,""))</f>
        <v/>
      </c>
      <c r="Z13" s="17">
        <f>IF(OR(Z12="",Z4=""),"",IFERROR(Z12/Z4,""))</f>
        <v/>
      </c>
      <c r="AA13" s="17">
        <f>IF(OR(AA12="",AA4=""),"",IFERROR(AA12/AA4,""))</f>
        <v/>
      </c>
      <c r="AB13" s="17">
        <f>IF(OR(AB12="",AB4=""),"",IFERROR(AB12/AB4,""))</f>
        <v/>
      </c>
      <c r="AC13" s="17">
        <f>IF(OR(AC12="",AC4=""),"",IFERROR(AC12/AC4,""))</f>
        <v/>
      </c>
    </row>
    <row r="14">
      <c r="A14" s="25" t="inlineStr">
        <is>
          <t>판매관리비</t>
        </is>
      </c>
      <c r="B14" s="25" t="n"/>
      <c r="C14" s="26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6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6" t="n"/>
      <c r="Z14" s="25" t="n"/>
      <c r="AA14" s="25" t="n"/>
      <c r="AB14" s="25" t="n"/>
      <c r="AC14" s="25" t="n"/>
    </row>
    <row r="15">
      <c r="A15" s="20" t="inlineStr">
        <is>
          <t>전체 판관비</t>
        </is>
      </c>
      <c r="B15" s="10" t="n"/>
      <c r="C15" s="21" t="n">
        <v>388.803</v>
      </c>
      <c r="D15" s="22" t="n">
        <v>366.781</v>
      </c>
      <c r="E15" s="22" t="n">
        <v>543.199</v>
      </c>
      <c r="F15" s="22" t="n">
        <v>578.0599999999999</v>
      </c>
      <c r="G15" s="22" t="n">
        <v>637.415</v>
      </c>
      <c r="H15" s="22" t="n">
        <v>648.3200000000001</v>
      </c>
      <c r="I15" s="22" t="n">
        <v>719.607</v>
      </c>
      <c r="J15" s="22" t="n">
        <v>907.763</v>
      </c>
      <c r="K15" s="22" t="n">
        <v>958.174</v>
      </c>
      <c r="L15" s="22" t="n">
        <v>860.9160000000001</v>
      </c>
      <c r="M15" s="22" t="n">
        <v>988.5309999999999</v>
      </c>
      <c r="N15" s="22" t="n">
        <v>1065.813</v>
      </c>
      <c r="O15" s="21" t="n"/>
      <c r="P15" s="22" t="n"/>
      <c r="Q15" s="22" t="n"/>
      <c r="R15" s="22" t="n"/>
      <c r="S15" s="22" t="n"/>
      <c r="T15" s="22" t="n">
        <v>1522.299</v>
      </c>
      <c r="U15" s="22" t="n">
        <v>1668.204</v>
      </c>
      <c r="V15" s="22" t="n">
        <v>1796.829</v>
      </c>
      <c r="W15" s="22" t="n">
        <v>2125.455</v>
      </c>
      <c r="X15" s="22" t="n">
        <v>3233.864</v>
      </c>
      <c r="Y15" s="21" t="n"/>
      <c r="Z15" s="22" t="n"/>
      <c r="AA15" s="22" t="n"/>
      <c r="AB15" s="22" t="n"/>
      <c r="AC15" s="22" t="n"/>
    </row>
    <row r="16">
      <c r="A16" s="9" t="inlineStr">
        <is>
          <t>영업이익</t>
        </is>
      </c>
      <c r="B16" s="10" t="inlineStr">
        <is>
          <t>MW = 매출 × OPM</t>
        </is>
      </c>
      <c r="C16" s="11" t="n">
        <v>78.23099999999999</v>
      </c>
      <c r="D16" s="12" t="n">
        <v>16.88</v>
      </c>
      <c r="E16" s="12" t="n">
        <v>130.413</v>
      </c>
      <c r="F16" s="12" t="n">
        <v>-36.887</v>
      </c>
      <c r="G16" s="12" t="n">
        <v>-52.49</v>
      </c>
      <c r="H16" s="12" t="n">
        <v>-13.904</v>
      </c>
      <c r="I16" s="12" t="n">
        <v>30.922</v>
      </c>
      <c r="J16" s="12" t="n">
        <v>-153.488</v>
      </c>
      <c r="K16" s="12" t="n">
        <v>-78.846</v>
      </c>
      <c r="L16" s="12" t="n">
        <v>119.738</v>
      </c>
      <c r="M16" s="12" t="n">
        <v>207.925</v>
      </c>
      <c r="N16" s="12" t="n">
        <v>130.24</v>
      </c>
      <c r="O16" s="11" t="n"/>
      <c r="P16" s="12" t="n"/>
      <c r="Q16" s="12" t="n"/>
      <c r="R16" s="12" t="n"/>
      <c r="S16" s="12" t="n"/>
      <c r="T16" s="12" t="n">
        <v>-706.056</v>
      </c>
      <c r="U16" s="12" t="n">
        <v>-579.991</v>
      </c>
      <c r="V16" s="12" t="n">
        <v>-297.485</v>
      </c>
      <c r="W16" s="12" t="n">
        <v>57.916</v>
      </c>
      <c r="X16" s="12" t="n">
        <v>-215.316</v>
      </c>
      <c r="Y16" s="11">
        <f>IF(OR(Y4="",Y17=""),"",IFERROR(Y4*Y17,""))</f>
        <v/>
      </c>
      <c r="Z16" s="12">
        <f>IF(OR(Z4="",Z17=""),"",IFERROR(Z4*Z17,""))</f>
        <v/>
      </c>
      <c r="AA16" s="12">
        <f>IF(OR(AA4="",AA17=""),"",IFERROR(AA4*AA17,""))</f>
        <v/>
      </c>
      <c r="AB16" s="12">
        <f>IF(OR(AB4="",AB17=""),"",IFERROR(AB4*AB17,""))</f>
        <v/>
      </c>
      <c r="AC16" s="12">
        <f>IF(OR(AC4="",AC17=""),"",IFERROR(AC4*AC17,""))</f>
        <v/>
      </c>
    </row>
    <row r="17">
      <c r="A17" s="15" t="inlineStr">
        <is>
          <t>OPM</t>
        </is>
      </c>
      <c r="B17" s="10" t="inlineStr">
        <is>
          <t>MW 입력</t>
        </is>
      </c>
      <c r="C17" s="16">
        <f>IF(OR(C16="",C4=""),"",IFERROR(C16/C4,""))</f>
        <v/>
      </c>
      <c r="D17" s="17">
        <f>IF(OR(D16="",D4=""),"",IFERROR(D16/D4,""))</f>
        <v/>
      </c>
      <c r="E17" s="17">
        <f>IF(OR(E16="",E4=""),"",IFERROR(E16/E4,""))</f>
        <v/>
      </c>
      <c r="F17" s="17">
        <f>IF(OR(F16="",F4=""),"",IFERROR(F16/F4,""))</f>
        <v/>
      </c>
      <c r="G17" s="17">
        <f>IF(OR(G16="",G4=""),"",IFERROR(G16/G4,""))</f>
        <v/>
      </c>
      <c r="H17" s="17">
        <f>IF(OR(H16="",H4=""),"",IFERROR(H16/H4,""))</f>
        <v/>
      </c>
      <c r="I17" s="17">
        <f>IF(OR(I16="",I4=""),"",IFERROR(I16/I4,""))</f>
        <v/>
      </c>
      <c r="J17" s="17">
        <f>IF(OR(J16="",J4=""),"",IFERROR(J16/J4,""))</f>
        <v/>
      </c>
      <c r="K17" s="17">
        <f>IF(OR(K16="",K4=""),"",IFERROR(K16/K4,""))</f>
        <v/>
      </c>
      <c r="L17" s="17">
        <f>IF(OR(L16="",L4=""),"",IFERROR(L16/L4,""))</f>
        <v/>
      </c>
      <c r="M17" s="17">
        <f>IF(OR(M16="",M4=""),"",IFERROR(M16/M4,""))</f>
        <v/>
      </c>
      <c r="N17" s="17">
        <f>IF(OR(N16="",N4=""),"",IFERROR(N16/N4,""))</f>
        <v/>
      </c>
      <c r="O17" s="16">
        <f>IF(OR(O16="",O4=""),"",IFERROR(O16/O4,""))</f>
        <v/>
      </c>
      <c r="P17" s="17">
        <f>IF(OR(P16="",P4=""),"",IFERROR(P16/P4,""))</f>
        <v/>
      </c>
      <c r="Q17" s="17">
        <f>IF(OR(Q16="",Q4=""),"",IFERROR(Q16/Q4,""))</f>
        <v/>
      </c>
      <c r="R17" s="17">
        <f>IF(OR(R16="",R4=""),"",IFERROR(R16/R4,""))</f>
        <v/>
      </c>
      <c r="S17" s="17">
        <f>IF(OR(S16="",S4=""),"",IFERROR(S16/S4,""))</f>
        <v/>
      </c>
      <c r="T17" s="17">
        <f>IF(OR(T16="",T4=""),"",IFERROR(T16/T4,""))</f>
        <v/>
      </c>
      <c r="U17" s="17">
        <f>IF(OR(U16="",U4=""),"",IFERROR(U16/U4,""))</f>
        <v/>
      </c>
      <c r="V17" s="17">
        <f>IF(OR(V16="",V4=""),"",IFERROR(V16/V4,""))</f>
        <v/>
      </c>
      <c r="W17" s="17">
        <f>IF(OR(W16="",W4=""),"",IFERROR(W16/W4,""))</f>
        <v/>
      </c>
      <c r="X17" s="17">
        <f>IF(OR(X16="",X4=""),"",IFERROR(X16/X4,""))</f>
        <v/>
      </c>
      <c r="Y17" s="27" t="n"/>
      <c r="Z17" s="28" t="n"/>
      <c r="AA17" s="28" t="n"/>
      <c r="AB17" s="28" t="n"/>
      <c r="AC17" s="28" t="n"/>
    </row>
    <row r="18">
      <c r="A18" s="15" t="inlineStr">
        <is>
          <t>증가율</t>
        </is>
      </c>
      <c r="B18" s="10" t="n"/>
      <c r="C18" s="16" t="n"/>
      <c r="D18" s="17" t="n"/>
      <c r="E18" s="17" t="n"/>
      <c r="F18" s="17" t="n"/>
      <c r="G18" s="17">
        <f>IF(OR(G16="",C16=""),"",IFERROR(G16/C16-1,""))</f>
        <v/>
      </c>
      <c r="H18" s="17">
        <f>IF(OR(H16="",D16=""),"",IFERROR(H16/D16-1,""))</f>
        <v/>
      </c>
      <c r="I18" s="17">
        <f>IF(OR(I16="",E16=""),"",IFERROR(I16/E16-1,""))</f>
        <v/>
      </c>
      <c r="J18" s="17">
        <f>IF(OR(J16="",F16=""),"",IFERROR(J16/F16-1,""))</f>
        <v/>
      </c>
      <c r="K18" s="17">
        <f>IF(OR(K16="",G16=""),"",IFERROR(K16/G16-1,""))</f>
        <v/>
      </c>
      <c r="L18" s="17">
        <f>IF(OR(L16="",H16=""),"",IFERROR(L16/H16-1,""))</f>
        <v/>
      </c>
      <c r="M18" s="17">
        <f>IF(OR(M16="",I16=""),"",IFERROR(M16/I16-1,""))</f>
        <v/>
      </c>
      <c r="N18" s="17">
        <f>IF(OR(N16="",J16=""),"",IFERROR(N16/J16-1,""))</f>
        <v/>
      </c>
      <c r="O18" s="16" t="n"/>
      <c r="P18" s="17">
        <f>IF(OR(P16="",O16=""),"",IFERROR(P16/O16-1,""))</f>
        <v/>
      </c>
      <c r="Q18" s="17">
        <f>IF(OR(Q16="",P16=""),"",IFERROR(Q16/P16-1,""))</f>
        <v/>
      </c>
      <c r="R18" s="17">
        <f>IF(OR(R16="",Q16=""),"",IFERROR(R16/Q16-1,""))</f>
        <v/>
      </c>
      <c r="S18" s="17">
        <f>IF(OR(S16="",R16=""),"",IFERROR(S16/R16-1,""))</f>
        <v/>
      </c>
      <c r="T18" s="17">
        <f>IF(OR(T16="",S16=""),"",IFERROR(T16/S16-1,""))</f>
        <v/>
      </c>
      <c r="U18" s="17">
        <f>IF(OR(U16="",T16=""),"",IFERROR(U16/T16-1,""))</f>
        <v/>
      </c>
      <c r="V18" s="17">
        <f>IF(OR(V16="",U16=""),"",IFERROR(V16/U16-1,""))</f>
        <v/>
      </c>
      <c r="W18" s="17">
        <f>IF(OR(W16="",V16=""),"",IFERROR(W16/V16-1,""))</f>
        <v/>
      </c>
      <c r="X18" s="17">
        <f>IF(OR(X16="",W16=""),"",IFERROR(X16/W16-1,""))</f>
        <v/>
      </c>
      <c r="Y18" s="16">
        <f>IF(OR(Y16="",X16=""),"",IFERROR(Y16/X16-1,""))</f>
        <v/>
      </c>
      <c r="Z18" s="17">
        <f>IF(OR(Z16="",Y16=""),"",IFERROR(Z16/Y16-1,""))</f>
        <v/>
      </c>
      <c r="AA18" s="17">
        <f>IF(OR(AA16="",Z16=""),"",IFERROR(AA16/Z16-1,""))</f>
        <v/>
      </c>
      <c r="AB18" s="17">
        <f>IF(OR(AB16="",AA16=""),"",IFERROR(AB16/AA16-1,""))</f>
        <v/>
      </c>
      <c r="AC18" s="17">
        <f>IF(OR(AC16="",AB16=""),"",IFERROR(AC16/AB16-1,""))</f>
        <v/>
      </c>
    </row>
    <row r="19">
      <c r="A19" s="18" t="inlineStr">
        <is>
          <t>비용의 성격별 분류</t>
        </is>
      </c>
      <c r="B19" s="18" t="inlineStr">
        <is>
          <t>참고 데이터</t>
        </is>
      </c>
      <c r="C19" s="19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9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9" t="n"/>
      <c r="Z19" s="18" t="n"/>
      <c r="AA19" s="18" t="n"/>
      <c r="AB19" s="18" t="n"/>
      <c r="AC19" s="18" t="n"/>
    </row>
    <row r="20">
      <c r="A20" s="9" t="inlineStr">
        <is>
          <t>총 판관비</t>
        </is>
      </c>
      <c r="B20" s="10" t="n"/>
      <c r="C20" s="11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1">
        <f>IF(O15="","",O15)</f>
        <v/>
      </c>
      <c r="P20" s="12">
        <f>IF(P15="","",P15)</f>
        <v/>
      </c>
      <c r="Q20" s="12">
        <f>IF(Q15="","",Q15)</f>
        <v/>
      </c>
      <c r="R20" s="12">
        <f>IF(R15="","",R15)</f>
        <v/>
      </c>
      <c r="S20" s="12">
        <f>IF(S15="","",S15)</f>
        <v/>
      </c>
      <c r="T20" s="12">
        <f>IF(T15="","",T15)</f>
        <v/>
      </c>
      <c r="U20" s="12">
        <f>IF(U15="","",U15)</f>
        <v/>
      </c>
      <c r="V20" s="12">
        <f>IF(V15="","",V15)</f>
        <v/>
      </c>
      <c r="W20" s="12">
        <f>IF(W15="","",W15)</f>
        <v/>
      </c>
      <c r="X20" s="12">
        <f>IF(X15="","",X15)</f>
        <v/>
      </c>
      <c r="Y20" s="11" t="n"/>
      <c r="Z20" s="12" t="n"/>
      <c r="AA20" s="12" t="n"/>
      <c r="AB20" s="12" t="n"/>
      <c r="AC20" s="12" t="n"/>
    </row>
    <row r="21">
      <c r="A21" s="20" t="inlineStr">
        <is>
          <t>급여</t>
        </is>
      </c>
      <c r="B21" s="10" t="inlineStr">
        <is>
          <t>고정비</t>
        </is>
      </c>
      <c r="C21" s="21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1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1" t="n"/>
      <c r="Z21" s="22" t="n"/>
      <c r="AA21" s="22" t="n"/>
      <c r="AB21" s="22" t="n"/>
      <c r="AC21" s="22" t="n"/>
    </row>
    <row r="22">
      <c r="A22" s="15" t="inlineStr">
        <is>
          <t>% of Sales</t>
        </is>
      </c>
      <c r="B22" s="10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>
        <f>IF(OR(O21="",O4=""),"",IFERROR(O21/O4,""))</f>
        <v/>
      </c>
      <c r="P22" s="17">
        <f>IF(OR(P21="",P4=""),"",IFERROR(P21/P4,""))</f>
        <v/>
      </c>
      <c r="Q22" s="17">
        <f>IF(OR(Q21="",Q4=""),"",IFERROR(Q21/Q4,""))</f>
        <v/>
      </c>
      <c r="R22" s="17">
        <f>IF(OR(R21="",R4=""),"",IFERROR(R21/R4,""))</f>
        <v/>
      </c>
      <c r="S22" s="17">
        <f>IF(OR(S21="",S4=""),"",IFERROR(S21/S4,""))</f>
        <v/>
      </c>
      <c r="T22" s="17">
        <f>IF(OR(T21="",T4=""),"",IFERROR(T21/T4,""))</f>
        <v/>
      </c>
      <c r="U22" s="17">
        <f>IF(OR(U21="",U4=""),"",IFERROR(U21/U4,""))</f>
        <v/>
      </c>
      <c r="V22" s="17">
        <f>IF(OR(V21="",V4=""),"",IFERROR(V21/V4,""))</f>
        <v/>
      </c>
      <c r="W22" s="17">
        <f>IF(OR(W21="",W4=""),"",IFERROR(W21/W4,""))</f>
        <v/>
      </c>
      <c r="X22" s="17">
        <f>IF(OR(X21="",X4=""),"",IFERROR(X21/X4,""))</f>
        <v/>
      </c>
      <c r="Y22" s="16" t="n"/>
      <c r="Z22" s="17" t="n"/>
      <c r="AA22" s="17" t="n"/>
      <c r="AB22" s="17" t="n"/>
      <c r="AC22" s="17" t="n"/>
    </row>
    <row r="23">
      <c r="A23" s="20" t="inlineStr">
        <is>
          <t>감가상각비</t>
        </is>
      </c>
      <c r="B23" s="10" t="inlineStr">
        <is>
          <t>고정비</t>
        </is>
      </c>
      <c r="C23" s="21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1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1" t="n"/>
      <c r="Z23" s="22" t="n"/>
      <c r="AA23" s="22" t="n"/>
      <c r="AB23" s="22" t="n"/>
      <c r="AC23" s="22" t="n"/>
    </row>
    <row r="24">
      <c r="A24" s="15" t="inlineStr">
        <is>
          <t>% of Sales</t>
        </is>
      </c>
      <c r="B24" s="10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6">
        <f>IF(OR(O23="",O4=""),"",IFERROR(O23/O4,""))</f>
        <v/>
      </c>
      <c r="P24" s="17">
        <f>IF(OR(P23="",P4=""),"",IFERROR(P23/P4,""))</f>
        <v/>
      </c>
      <c r="Q24" s="17">
        <f>IF(OR(Q23="",Q4=""),"",IFERROR(Q23/Q4,""))</f>
        <v/>
      </c>
      <c r="R24" s="17">
        <f>IF(OR(R23="",R4=""),"",IFERROR(R23/R4,""))</f>
        <v/>
      </c>
      <c r="S24" s="17">
        <f>IF(OR(S23="",S4=""),"",IFERROR(S23/S4,""))</f>
        <v/>
      </c>
      <c r="T24" s="17">
        <f>IF(OR(T23="",T4=""),"",IFERROR(T23/T4,""))</f>
        <v/>
      </c>
      <c r="U24" s="17">
        <f>IF(OR(U23="",U4=""),"",IFERROR(U23/U4,""))</f>
        <v/>
      </c>
      <c r="V24" s="17">
        <f>IF(OR(V23="",V4=""),"",IFERROR(V23/V4,""))</f>
        <v/>
      </c>
      <c r="W24" s="17">
        <f>IF(OR(W23="",W4=""),"",IFERROR(W23/W4,""))</f>
        <v/>
      </c>
      <c r="X24" s="17">
        <f>IF(OR(X23="",X4=""),"",IFERROR(X23/X4,""))</f>
        <v/>
      </c>
      <c r="Y24" s="16" t="n"/>
      <c r="Z24" s="17" t="n"/>
      <c r="AA24" s="17" t="n"/>
      <c r="AB24" s="17" t="n"/>
      <c r="AC24" s="17" t="n"/>
    </row>
    <row r="25">
      <c r="A25" s="20" t="inlineStr">
        <is>
          <t>지급수수료</t>
        </is>
      </c>
      <c r="B25" s="10" t="inlineStr">
        <is>
          <t>고정비</t>
        </is>
      </c>
      <c r="C25" s="21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1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1" t="n"/>
      <c r="Z25" s="22" t="n"/>
      <c r="AA25" s="22" t="n"/>
      <c r="AB25" s="22" t="n"/>
      <c r="AC25" s="22" t="n"/>
    </row>
    <row r="26">
      <c r="A26" s="15" t="inlineStr">
        <is>
          <t>% of Sales</t>
        </is>
      </c>
      <c r="B26" s="10" t="n"/>
      <c r="C26" s="16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6">
        <f>IF(OR(O25="",O4=""),"",IFERROR(O25/O4,""))</f>
        <v/>
      </c>
      <c r="P26" s="17">
        <f>IF(OR(P25="",P4=""),"",IFERROR(P25/P4,""))</f>
        <v/>
      </c>
      <c r="Q26" s="17">
        <f>IF(OR(Q25="",Q4=""),"",IFERROR(Q25/Q4,""))</f>
        <v/>
      </c>
      <c r="R26" s="17">
        <f>IF(OR(R25="",R4=""),"",IFERROR(R25/R4,""))</f>
        <v/>
      </c>
      <c r="S26" s="17">
        <f>IF(OR(S25="",S4=""),"",IFERROR(S25/S4,""))</f>
        <v/>
      </c>
      <c r="T26" s="17">
        <f>IF(OR(T25="",T4=""),"",IFERROR(T25/T4,""))</f>
        <v/>
      </c>
      <c r="U26" s="17">
        <f>IF(OR(U25="",U4=""),"",IFERROR(U25/U4,""))</f>
        <v/>
      </c>
      <c r="V26" s="17">
        <f>IF(OR(V25="",V4=""),"",IFERROR(V25/V4,""))</f>
        <v/>
      </c>
      <c r="W26" s="17">
        <f>IF(OR(W25="",W4=""),"",IFERROR(W25/W4,""))</f>
        <v/>
      </c>
      <c r="X26" s="17">
        <f>IF(OR(X25="",X4=""),"",IFERROR(X25/X4,""))</f>
        <v/>
      </c>
      <c r="Y26" s="16" t="n"/>
      <c r="Z26" s="17" t="n"/>
      <c r="AA26" s="17" t="n"/>
      <c r="AB26" s="17" t="n"/>
      <c r="AC26" s="17" t="n"/>
    </row>
    <row r="27">
      <c r="A27" s="20" t="inlineStr">
        <is>
          <t>연구개발비</t>
        </is>
      </c>
      <c r="B27" s="10" t="inlineStr">
        <is>
          <t>변동비</t>
        </is>
      </c>
      <c r="C27" s="21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1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1" t="n"/>
      <c r="Z27" s="22" t="n"/>
      <c r="AA27" s="22" t="n"/>
      <c r="AB27" s="22" t="n"/>
      <c r="AC27" s="22" t="n"/>
    </row>
    <row r="28">
      <c r="A28" s="15" t="inlineStr">
        <is>
          <t>% of Sales</t>
        </is>
      </c>
      <c r="B28" s="10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>
        <f>IF(OR(O27="",O4=""),"",IFERROR(O27/O4,""))</f>
        <v/>
      </c>
      <c r="P28" s="17">
        <f>IF(OR(P27="",P4=""),"",IFERROR(P27/P4,""))</f>
        <v/>
      </c>
      <c r="Q28" s="17">
        <f>IF(OR(Q27="",Q4=""),"",IFERROR(Q27/Q4,""))</f>
        <v/>
      </c>
      <c r="R28" s="17">
        <f>IF(OR(R27="",R4=""),"",IFERROR(R27/R4,""))</f>
        <v/>
      </c>
      <c r="S28" s="17">
        <f>IF(OR(S27="",S4=""),"",IFERROR(S27/S4,""))</f>
        <v/>
      </c>
      <c r="T28" s="17">
        <f>IF(OR(T27="",T4=""),"",IFERROR(T27/T4,""))</f>
        <v/>
      </c>
      <c r="U28" s="17">
        <f>IF(OR(U27="",U4=""),"",IFERROR(U27/U4,""))</f>
        <v/>
      </c>
      <c r="V28" s="17">
        <f>IF(OR(V27="",V4=""),"",IFERROR(V27/V4,""))</f>
        <v/>
      </c>
      <c r="W28" s="17">
        <f>IF(OR(W27="",W4=""),"",IFERROR(W27/W4,""))</f>
        <v/>
      </c>
      <c r="X28" s="17">
        <f>IF(OR(X27="",X4=""),"",IFERROR(X27/X4,""))</f>
        <v/>
      </c>
      <c r="Y28" s="16" t="n"/>
      <c r="Z28" s="17" t="n"/>
      <c r="AA28" s="17" t="n"/>
      <c r="AB28" s="17" t="n"/>
      <c r="AC28" s="17" t="n"/>
    </row>
    <row r="29">
      <c r="A29" s="20" t="inlineStr">
        <is>
          <t>기타비용</t>
        </is>
      </c>
      <c r="B29" s="10" t="inlineStr">
        <is>
          <t>변동비</t>
        </is>
      </c>
      <c r="C29" s="21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1">
        <f>IF(OR(O20="",O21="",O23="",O25="",O27=""),"",IFERROR(O20-O21-O23-O25-O27,""))</f>
        <v/>
      </c>
      <c r="P29" s="22">
        <f>IF(OR(P20="",P21="",P23="",P25="",P27=""),"",IFERROR(P20-P21-P23-P25-P27,""))</f>
        <v/>
      </c>
      <c r="Q29" s="22">
        <f>IF(OR(Q20="",Q21="",Q23="",Q25="",Q27=""),"",IFERROR(Q20-Q21-Q23-Q25-Q27,""))</f>
        <v/>
      </c>
      <c r="R29" s="22">
        <f>IF(OR(R20="",R21="",R23="",R25="",R27=""),"",IFERROR(R20-R21-R23-R25-R27,""))</f>
        <v/>
      </c>
      <c r="S29" s="22">
        <f>IF(OR(S20="",S21="",S23="",S25="",S27=""),"",IFERROR(S20-S21-S23-S25-S27,""))</f>
        <v/>
      </c>
      <c r="T29" s="22">
        <f>IF(OR(T20="",T21="",T23="",T25="",T27=""),"",IFERROR(T20-T21-T23-T25-T27,""))</f>
        <v/>
      </c>
      <c r="U29" s="22">
        <f>IF(OR(U20="",U21="",U23="",U25="",U27=""),"",IFERROR(U20-U21-U23-U25-U27,""))</f>
        <v/>
      </c>
      <c r="V29" s="22">
        <f>IF(OR(V20="",V21="",V23="",V25="",V27=""),"",IFERROR(V20-V21-V23-V25-V27,""))</f>
        <v/>
      </c>
      <c r="W29" s="22">
        <f>IF(OR(W20="",W21="",W23="",W25="",W27=""),"",IFERROR(W20-W21-W23-W25-W27,""))</f>
        <v/>
      </c>
      <c r="X29" s="22">
        <f>IF(OR(X20="",X21="",X23="",X25="",X27=""),"",IFERROR(X20-X21-X23-X25-X27,""))</f>
        <v/>
      </c>
      <c r="Y29" s="21" t="n"/>
      <c r="Z29" s="22" t="n"/>
      <c r="AA29" s="22" t="n"/>
      <c r="AB29" s="22" t="n"/>
      <c r="AC29" s="22" t="n"/>
    </row>
    <row r="30">
      <c r="A30" s="15" t="inlineStr">
        <is>
          <t>% of Sales</t>
        </is>
      </c>
      <c r="B30" s="10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6">
        <f>IF(OR(O29="",O4=""),"",IFERROR(O29/O4,""))</f>
        <v/>
      </c>
      <c r="P30" s="17">
        <f>IF(OR(P29="",P4=""),"",IFERROR(P29/P4,""))</f>
        <v/>
      </c>
      <c r="Q30" s="17">
        <f>IF(OR(Q29="",Q4=""),"",IFERROR(Q29/Q4,""))</f>
        <v/>
      </c>
      <c r="R30" s="17">
        <f>IF(OR(R29="",R4=""),"",IFERROR(R29/R4,""))</f>
        <v/>
      </c>
      <c r="S30" s="17">
        <f>IF(OR(S29="",S4=""),"",IFERROR(S29/S4,""))</f>
        <v/>
      </c>
      <c r="T30" s="17">
        <f>IF(OR(T29="",T4=""),"",IFERROR(T29/T4,""))</f>
        <v/>
      </c>
      <c r="U30" s="17">
        <f>IF(OR(U29="",U4=""),"",IFERROR(U29/U4,""))</f>
        <v/>
      </c>
      <c r="V30" s="17">
        <f>IF(OR(V29="",V4=""),"",IFERROR(V29/V4,""))</f>
        <v/>
      </c>
      <c r="W30" s="17">
        <f>IF(OR(W29="",W4=""),"",IFERROR(W29/W4,""))</f>
        <v/>
      </c>
      <c r="X30" s="17">
        <f>IF(OR(X29="",X4=""),"",IFERROR(X29/X4,""))</f>
        <v/>
      </c>
      <c r="Y30" s="16" t="n"/>
      <c r="Z30" s="17" t="n"/>
      <c r="AA30" s="17" t="n"/>
      <c r="AB30" s="17" t="n"/>
      <c r="AC30" s="17" t="n"/>
    </row>
    <row r="31">
      <c r="A31" s="18" t="inlineStr">
        <is>
          <t>당기순이익 추정</t>
        </is>
      </c>
      <c r="B31" s="18" t="n"/>
      <c r="C31" s="19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9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9" t="n"/>
      <c r="Z31" s="18" t="n"/>
      <c r="AA31" s="18" t="n"/>
      <c r="AB31" s="18" t="n"/>
      <c r="AC31" s="18" t="n"/>
    </row>
    <row r="32">
      <c r="A32" s="20" t="inlineStr">
        <is>
          <t>특별이익</t>
        </is>
      </c>
      <c r="B32" s="10" t="n"/>
      <c r="C32" s="21" t="n">
        <v>0</v>
      </c>
      <c r="D32" s="22" t="n"/>
      <c r="E32" s="22" t="n"/>
      <c r="F32" s="22" t="n">
        <v>0</v>
      </c>
      <c r="G32" s="22" t="n">
        <v>0</v>
      </c>
      <c r="H32" s="22" t="n"/>
      <c r="I32" s="22" t="n"/>
      <c r="J32" s="22" t="n">
        <v>0</v>
      </c>
      <c r="K32" s="22" t="n">
        <v>117.398</v>
      </c>
      <c r="L32" s="22" t="n"/>
      <c r="M32" s="22" t="n"/>
      <c r="N32" s="22" t="n">
        <v>1.095</v>
      </c>
      <c r="O32" s="21" t="n"/>
      <c r="P32" s="22" t="n"/>
      <c r="Q32" s="22" t="n"/>
      <c r="R32" s="22" t="n"/>
      <c r="S32" s="22" t="n"/>
      <c r="T32" s="22" t="n">
        <v>0</v>
      </c>
      <c r="U32" s="22" t="n">
        <v>0</v>
      </c>
      <c r="V32" s="22" t="n">
        <v>0.83</v>
      </c>
      <c r="W32" s="22" t="n">
        <v>0.05</v>
      </c>
      <c r="X32" s="22" t="n">
        <v>117.398</v>
      </c>
      <c r="Y32" s="21">
        <f>IF(OR(Y4="",Y33=""),"",IFERROR(Y4*Y33,""))</f>
        <v/>
      </c>
      <c r="Z32" s="22">
        <f>IF(OR(Z4="",Z33=""),"",IFERROR(Z4*Z33,""))</f>
        <v/>
      </c>
      <c r="AA32" s="22">
        <f>IF(OR(AA4="",AA33=""),"",IFERROR(AA4*AA33,""))</f>
        <v/>
      </c>
      <c r="AB32" s="22">
        <f>IF(OR(AB4="",AB33=""),"",IFERROR(AB4*AB33,""))</f>
        <v/>
      </c>
      <c r="AC32" s="22">
        <f>IF(OR(AC4="",AC33=""),"",IFERROR(AC4*AC33,""))</f>
        <v/>
      </c>
    </row>
    <row r="33">
      <c r="A33" s="15" t="inlineStr">
        <is>
          <t>% of Sales</t>
        </is>
      </c>
      <c r="B33" s="10" t="inlineStr">
        <is>
          <t>MW = 최근 3년 평균</t>
        </is>
      </c>
      <c r="C33" s="16">
        <f>IF(OR(C32="",C4=""),"",IFERROR(C32/C4,""))</f>
        <v/>
      </c>
      <c r="D33" s="17">
        <f>IF(OR(D32="",D4=""),"",IFERROR(D32/D4,""))</f>
        <v/>
      </c>
      <c r="E33" s="17">
        <f>IF(OR(E32="",E4=""),"",IFERROR(E32/E4,""))</f>
        <v/>
      </c>
      <c r="F33" s="17">
        <f>IF(OR(F32="",F4=""),"",IFERROR(F32/F4,""))</f>
        <v/>
      </c>
      <c r="G33" s="17">
        <f>IF(OR(G32="",G4=""),"",IFERROR(G32/G4,""))</f>
        <v/>
      </c>
      <c r="H33" s="17">
        <f>IF(OR(H32="",H4=""),"",IFERROR(H32/H4,""))</f>
        <v/>
      </c>
      <c r="I33" s="17">
        <f>IF(OR(I32="",I4=""),"",IFERROR(I32/I4,""))</f>
        <v/>
      </c>
      <c r="J33" s="17">
        <f>IF(OR(J32="",J4=""),"",IFERROR(J32/J4,""))</f>
        <v/>
      </c>
      <c r="K33" s="17">
        <f>IF(OR(K32="",K4=""),"",IFERROR(K32/K4,""))</f>
        <v/>
      </c>
      <c r="L33" s="17">
        <f>IF(OR(L32="",L4=""),"",IFERROR(L32/L4,""))</f>
        <v/>
      </c>
      <c r="M33" s="17">
        <f>IF(OR(M32="",M4=""),"",IFERROR(M32/M4,""))</f>
        <v/>
      </c>
      <c r="N33" s="17">
        <f>IF(OR(N32="",N4=""),"",IFERROR(N32/N4,""))</f>
        <v/>
      </c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27">
        <f>IFERROR(AVERAGE(V33,W33,X33),"")</f>
        <v/>
      </c>
      <c r="Z33" s="28">
        <f>Y33</f>
        <v/>
      </c>
      <c r="AA33" s="28">
        <f>Z33</f>
        <v/>
      </c>
      <c r="AB33" s="28">
        <f>AA33</f>
        <v/>
      </c>
      <c r="AC33" s="28">
        <f>AB33</f>
        <v/>
      </c>
    </row>
    <row r="34">
      <c r="A34" s="20" t="inlineStr">
        <is>
          <t>특별손실</t>
        </is>
      </c>
      <c r="B34" s="10" t="n"/>
      <c r="C34" s="21" t="n">
        <v>14.265</v>
      </c>
      <c r="D34" s="22" t="n"/>
      <c r="E34" s="22" t="n"/>
      <c r="F34" s="22" t="n">
        <v>0</v>
      </c>
      <c r="G34" s="22" t="n">
        <v>0</v>
      </c>
      <c r="H34" s="22" t="n">
        <v>0</v>
      </c>
      <c r="I34" s="22" t="n">
        <v>659.325</v>
      </c>
      <c r="J34" s="22" t="n">
        <v>9.920999999999999</v>
      </c>
      <c r="K34" s="22" t="n">
        <v>160.66</v>
      </c>
      <c r="L34" s="22" t="n">
        <v>5.455</v>
      </c>
      <c r="M34" s="22" t="n">
        <v>-2.405</v>
      </c>
      <c r="N34" s="22" t="n">
        <v>0</v>
      </c>
      <c r="O34" s="21" t="n"/>
      <c r="P34" s="22" t="n"/>
      <c r="Q34" s="22" t="n"/>
      <c r="R34" s="22" t="n"/>
      <c r="S34" s="22" t="n"/>
      <c r="T34" s="22" t="n">
        <v>20.862</v>
      </c>
      <c r="U34" s="22" t="n">
        <v>71.414</v>
      </c>
      <c r="V34" s="22" t="n">
        <v>14.265</v>
      </c>
      <c r="W34" s="22" t="n">
        <v>0</v>
      </c>
      <c r="X34" s="22" t="n">
        <v>829.9059999999999</v>
      </c>
      <c r="Y34" s="21">
        <f>IF(OR(Y4="",Y35=""),"",IFERROR(Y4*Y35,""))</f>
        <v/>
      </c>
      <c r="Z34" s="22">
        <f>IF(OR(Z4="",Z35=""),"",IFERROR(Z4*Z35,""))</f>
        <v/>
      </c>
      <c r="AA34" s="22">
        <f>IF(OR(AA4="",AA35=""),"",IFERROR(AA4*AA35,""))</f>
        <v/>
      </c>
      <c r="AB34" s="22">
        <f>IF(OR(AB4="",AB35=""),"",IFERROR(AB4*AB35,""))</f>
        <v/>
      </c>
      <c r="AC34" s="22">
        <f>IF(OR(AC4="",AC35=""),"",IFERROR(AC4*AC35,""))</f>
        <v/>
      </c>
    </row>
    <row r="35">
      <c r="A35" s="15" t="inlineStr">
        <is>
          <t>% of Sales</t>
        </is>
      </c>
      <c r="B35" s="10" t="n"/>
      <c r="C35" s="16">
        <f>IF(OR(C34="",C4=""),"",IFERROR(C34/C4,""))</f>
        <v/>
      </c>
      <c r="D35" s="17">
        <f>IF(OR(D34="",D4=""),"",IFERROR(D34/D4,""))</f>
        <v/>
      </c>
      <c r="E35" s="17">
        <f>IF(OR(E34="",E4=""),"",IFERROR(E34/E4,""))</f>
        <v/>
      </c>
      <c r="F35" s="17">
        <f>IF(OR(F34="",F4=""),"",IFERROR(F34/F4,""))</f>
        <v/>
      </c>
      <c r="G35" s="17">
        <f>IF(OR(G34="",G4=""),"",IFERROR(G34/G4,""))</f>
        <v/>
      </c>
      <c r="H35" s="17">
        <f>IF(OR(H34="",H4=""),"",IFERROR(H34/H4,""))</f>
        <v/>
      </c>
      <c r="I35" s="17">
        <f>IF(OR(I34="",I4=""),"",IFERROR(I34/I4,""))</f>
        <v/>
      </c>
      <c r="J35" s="17">
        <f>IF(OR(J34="",J4=""),"",IFERROR(J34/J4,""))</f>
        <v/>
      </c>
      <c r="K35" s="17">
        <f>IF(OR(K34="",K4=""),"",IFERROR(K34/K4,""))</f>
        <v/>
      </c>
      <c r="L35" s="17">
        <f>IF(OR(L34="",L4=""),"",IFERROR(L34/L4,""))</f>
        <v/>
      </c>
      <c r="M35" s="17">
        <f>IF(OR(M34="",M4=""),"",IFERROR(M34/M4,""))</f>
        <v/>
      </c>
      <c r="N35" s="17">
        <f>IF(OR(N34="",N4=""),"",IFERROR(N34/N4,""))</f>
        <v/>
      </c>
      <c r="O35" s="16">
        <f>IF(OR(O34="",O4=""),"",IFERROR(O34/O4,""))</f>
        <v/>
      </c>
      <c r="P35" s="17">
        <f>IF(OR(P34="",P4=""),"",IFERROR(P34/P4,""))</f>
        <v/>
      </c>
      <c r="Q35" s="17">
        <f>IF(OR(Q34="",Q4=""),"",IFERROR(Q34/Q4,""))</f>
        <v/>
      </c>
      <c r="R35" s="17">
        <f>IF(OR(R34="",R4=""),"",IFERROR(R34/R4,""))</f>
        <v/>
      </c>
      <c r="S35" s="17">
        <f>IF(OR(S34="",S4=""),"",IFERROR(S34/S4,""))</f>
        <v/>
      </c>
      <c r="T35" s="17">
        <f>IF(OR(T34="",T4=""),"",IFERROR(T34/T4,""))</f>
        <v/>
      </c>
      <c r="U35" s="17">
        <f>IF(OR(U34="",U4=""),"",IFERROR(U34/U4,""))</f>
        <v/>
      </c>
      <c r="V35" s="17">
        <f>IF(OR(V34="",V4=""),"",IFERROR(V34/V4,""))</f>
        <v/>
      </c>
      <c r="W35" s="17">
        <f>IF(OR(W34="",W4=""),"",IFERROR(W34/W4,""))</f>
        <v/>
      </c>
      <c r="X35" s="17">
        <f>IF(OR(X34="",X4=""),"",IFERROR(X34/X4,""))</f>
        <v/>
      </c>
      <c r="Y35" s="27">
        <f>IFERROR(AVERAGE(V35,W35,X35),"")</f>
        <v/>
      </c>
      <c r="Z35" s="28">
        <f>Y35</f>
        <v/>
      </c>
      <c r="AA35" s="28">
        <f>Z35</f>
        <v/>
      </c>
      <c r="AB35" s="28">
        <f>AA35</f>
        <v/>
      </c>
      <c r="AC35" s="28">
        <f>AB35</f>
        <v/>
      </c>
    </row>
    <row r="36">
      <c r="A36" s="20" t="inlineStr">
        <is>
          <t>영업외수익</t>
        </is>
      </c>
      <c r="B36" s="10" t="n"/>
      <c r="C36" s="21" t="n">
        <v>0.206</v>
      </c>
      <c r="D36" s="22" t="n">
        <v>0.247</v>
      </c>
      <c r="E36" s="22" t="n">
        <v>0.24</v>
      </c>
      <c r="F36" s="22" t="n">
        <v>0.209</v>
      </c>
      <c r="G36" s="22" t="n">
        <v>0.312</v>
      </c>
      <c r="H36" s="22" t="n">
        <v>1.105</v>
      </c>
      <c r="I36" s="22" t="n">
        <v>0.462</v>
      </c>
      <c r="J36" s="22" t="n">
        <v>1.53</v>
      </c>
      <c r="K36" s="22" t="n">
        <v>0.9350000000000001</v>
      </c>
      <c r="L36" s="22" t="n">
        <v>3.488</v>
      </c>
      <c r="M36" s="22" t="n">
        <v>1.024</v>
      </c>
      <c r="N36" s="22" t="n">
        <v>3.588</v>
      </c>
      <c r="O36" s="21" t="n"/>
      <c r="P36" s="22" t="n"/>
      <c r="Q36" s="22" t="n"/>
      <c r="R36" s="22" t="n"/>
      <c r="S36" s="22" t="n"/>
      <c r="T36" s="22" t="n">
        <v>16.475</v>
      </c>
      <c r="U36" s="22" t="n">
        <v>21.284</v>
      </c>
      <c r="V36" s="22" t="n">
        <v>10.968</v>
      </c>
      <c r="W36" s="22" t="n">
        <v>1.008</v>
      </c>
      <c r="X36" s="22" t="n">
        <v>4.032</v>
      </c>
      <c r="Y36" s="21">
        <f>IF(OR(Y4="",Y37=""),"",IFERROR(Y4*Y37,""))</f>
        <v/>
      </c>
      <c r="Z36" s="22">
        <f>IF(OR(Z4="",Z37=""),"",IFERROR(Z4*Z37,""))</f>
        <v/>
      </c>
      <c r="AA36" s="22">
        <f>IF(OR(AA4="",AA37=""),"",IFERROR(AA4*AA37,""))</f>
        <v/>
      </c>
      <c r="AB36" s="22">
        <f>IF(OR(AB4="",AB37=""),"",IFERROR(AB4*AB37,""))</f>
        <v/>
      </c>
      <c r="AC36" s="22">
        <f>IF(OR(AC4="",AC37=""),"",IFERROR(AC4*AC37,""))</f>
        <v/>
      </c>
    </row>
    <row r="37">
      <c r="A37" s="15" t="inlineStr">
        <is>
          <t>% of Sales</t>
        </is>
      </c>
      <c r="B37" s="10" t="n"/>
      <c r="C37" s="16">
        <f>IF(OR(C36="",C4=""),"",IFERROR(C36/C4,""))</f>
        <v/>
      </c>
      <c r="D37" s="17">
        <f>IF(OR(D36="",D4=""),"",IFERROR(D36/D4,""))</f>
        <v/>
      </c>
      <c r="E37" s="17">
        <f>IF(OR(E36="",E4=""),"",IFERROR(E36/E4,""))</f>
        <v/>
      </c>
      <c r="F37" s="17">
        <f>IF(OR(F36="",F4=""),"",IFERROR(F36/F4,""))</f>
        <v/>
      </c>
      <c r="G37" s="17">
        <f>IF(OR(G36="",G4=""),"",IFERROR(G36/G4,""))</f>
        <v/>
      </c>
      <c r="H37" s="17">
        <f>IF(OR(H36="",H4=""),"",IFERROR(H36/H4,""))</f>
        <v/>
      </c>
      <c r="I37" s="17">
        <f>IF(OR(I36="",I4=""),"",IFERROR(I36/I4,""))</f>
        <v/>
      </c>
      <c r="J37" s="17">
        <f>IF(OR(J36="",J4=""),"",IFERROR(J36/J4,""))</f>
        <v/>
      </c>
      <c r="K37" s="17">
        <f>IF(OR(K36="",K4=""),"",IFERROR(K36/K4,""))</f>
        <v/>
      </c>
      <c r="L37" s="17">
        <f>IF(OR(L36="",L4=""),"",IFERROR(L36/L4,""))</f>
        <v/>
      </c>
      <c r="M37" s="17">
        <f>IF(OR(M36="",M4=""),"",IFERROR(M36/M4,""))</f>
        <v/>
      </c>
      <c r="N37" s="17">
        <f>IF(OR(N36="",N4=""),"",IFERROR(N36/N4,""))</f>
        <v/>
      </c>
      <c r="O37" s="16">
        <f>IF(OR(O36="",O4=""),"",IFERROR(O36/O4,""))</f>
        <v/>
      </c>
      <c r="P37" s="17">
        <f>IF(OR(P36="",P4=""),"",IFERROR(P36/P4,""))</f>
        <v/>
      </c>
      <c r="Q37" s="17">
        <f>IF(OR(Q36="",Q4=""),"",IFERROR(Q36/Q4,""))</f>
        <v/>
      </c>
      <c r="R37" s="17">
        <f>IF(OR(R36="",R4=""),"",IFERROR(R36/R4,""))</f>
        <v/>
      </c>
      <c r="S37" s="17">
        <f>IF(OR(S36="",S4=""),"",IFERROR(S36/S4,""))</f>
        <v/>
      </c>
      <c r="T37" s="17">
        <f>IF(OR(T36="",T4=""),"",IFERROR(T36/T4,""))</f>
        <v/>
      </c>
      <c r="U37" s="17">
        <f>IF(OR(U36="",U4=""),"",IFERROR(U36/U4,""))</f>
        <v/>
      </c>
      <c r="V37" s="17">
        <f>IF(OR(V36="",V4=""),"",IFERROR(V36/V4,""))</f>
        <v/>
      </c>
      <c r="W37" s="17">
        <f>IF(OR(W36="",W4=""),"",IFERROR(W36/W4,""))</f>
        <v/>
      </c>
      <c r="X37" s="17">
        <f>IF(OR(X36="",X4=""),"",IFERROR(X36/X4,""))</f>
        <v/>
      </c>
      <c r="Y37" s="27">
        <f>IFERROR(AVERAGE(V37,W37,X37),"")</f>
        <v/>
      </c>
      <c r="Z37" s="28">
        <f>Y37</f>
        <v/>
      </c>
      <c r="AA37" s="28">
        <f>Z37</f>
        <v/>
      </c>
      <c r="AB37" s="28">
        <f>AA37</f>
        <v/>
      </c>
      <c r="AC37" s="28">
        <f>AB37</f>
        <v/>
      </c>
    </row>
    <row r="38">
      <c r="A38" s="20" t="inlineStr">
        <is>
          <t>영업외비용</t>
        </is>
      </c>
      <c r="B38" s="10" t="n"/>
      <c r="C38" s="21" t="n">
        <v>25.754</v>
      </c>
      <c r="D38" s="22" t="n">
        <v>32.47</v>
      </c>
      <c r="E38" s="22" t="n">
        <v>16.8</v>
      </c>
      <c r="F38" s="22" t="n">
        <v>16.794</v>
      </c>
      <c r="G38" s="22" t="n">
        <v>20.15</v>
      </c>
      <c r="H38" s="22" t="n">
        <v>12.166</v>
      </c>
      <c r="I38" s="22" t="n">
        <v>15.421</v>
      </c>
      <c r="J38" s="22" t="n">
        <v>18.171</v>
      </c>
      <c r="K38" s="22" t="n">
        <v>44.37</v>
      </c>
      <c r="L38" s="22" t="n">
        <v>17.592</v>
      </c>
      <c r="M38" s="22" t="n">
        <v>15.987</v>
      </c>
      <c r="N38" s="22" t="n">
        <v>18.77</v>
      </c>
      <c r="O38" s="21" t="n"/>
      <c r="P38" s="22" t="n"/>
      <c r="Q38" s="22" t="n"/>
      <c r="R38" s="22" t="n"/>
      <c r="S38" s="22" t="n"/>
      <c r="T38" s="22" t="n">
        <v>5.445</v>
      </c>
      <c r="U38" s="22" t="n">
        <v>42.238</v>
      </c>
      <c r="V38" s="22" t="n">
        <v>68.93600000000001</v>
      </c>
      <c r="W38" s="22" t="n">
        <v>86.214</v>
      </c>
      <c r="X38" s="22" t="n">
        <v>90.128</v>
      </c>
      <c r="Y38" s="21">
        <f>IF(OR(Y4="",Y39=""),"",IFERROR(Y4*Y39,""))</f>
        <v/>
      </c>
      <c r="Z38" s="22">
        <f>IF(OR(Z4="",Z39=""),"",IFERROR(Z4*Z39,""))</f>
        <v/>
      </c>
      <c r="AA38" s="22">
        <f>IF(OR(AA4="",AA39=""),"",IFERROR(AA4*AA39,""))</f>
        <v/>
      </c>
      <c r="AB38" s="22">
        <f>IF(OR(AB4="",AB39=""),"",IFERROR(AB4*AB39,""))</f>
        <v/>
      </c>
      <c r="AC38" s="22">
        <f>IF(OR(AC4="",AC39=""),"",IFERROR(AC4*AC39,""))</f>
        <v/>
      </c>
    </row>
    <row r="39">
      <c r="A39" s="15" t="inlineStr">
        <is>
          <t>% of Sales</t>
        </is>
      </c>
      <c r="B39" s="10" t="n"/>
      <c r="C39" s="16">
        <f>IF(OR(C38="",C4=""),"",IFERROR(C38/C4,""))</f>
        <v/>
      </c>
      <c r="D39" s="17">
        <f>IF(OR(D38="",D4=""),"",IFERROR(D38/D4,""))</f>
        <v/>
      </c>
      <c r="E39" s="17">
        <f>IF(OR(E38="",E4=""),"",IFERROR(E38/E4,""))</f>
        <v/>
      </c>
      <c r="F39" s="17">
        <f>IF(OR(F38="",F4=""),"",IFERROR(F38/F4,""))</f>
        <v/>
      </c>
      <c r="G39" s="17">
        <f>IF(OR(G38="",G4=""),"",IFERROR(G38/G4,""))</f>
        <v/>
      </c>
      <c r="H39" s="17">
        <f>IF(OR(H38="",H4=""),"",IFERROR(H38/H4,""))</f>
        <v/>
      </c>
      <c r="I39" s="17">
        <f>IF(OR(I38="",I4=""),"",IFERROR(I38/I4,""))</f>
        <v/>
      </c>
      <c r="J39" s="17">
        <f>IF(OR(J38="",J4=""),"",IFERROR(J38/J4,""))</f>
        <v/>
      </c>
      <c r="K39" s="17">
        <f>IF(OR(K38="",K4=""),"",IFERROR(K38/K4,""))</f>
        <v/>
      </c>
      <c r="L39" s="17">
        <f>IF(OR(L38="",L4=""),"",IFERROR(L38/L4,""))</f>
        <v/>
      </c>
      <c r="M39" s="17">
        <f>IF(OR(M38="",M4=""),"",IFERROR(M38/M4,""))</f>
        <v/>
      </c>
      <c r="N39" s="17">
        <f>IF(OR(N38="",N4=""),"",IFERROR(N38/N4,""))</f>
        <v/>
      </c>
      <c r="O39" s="16">
        <f>IF(OR(O38="",O4=""),"",IFERROR(O38/O4,""))</f>
        <v/>
      </c>
      <c r="P39" s="17">
        <f>IF(OR(P38="",P4=""),"",IFERROR(P38/P4,""))</f>
        <v/>
      </c>
      <c r="Q39" s="17">
        <f>IF(OR(Q38="",Q4=""),"",IFERROR(Q38/Q4,""))</f>
        <v/>
      </c>
      <c r="R39" s="17">
        <f>IF(OR(R38="",R4=""),"",IFERROR(R38/R4,""))</f>
        <v/>
      </c>
      <c r="S39" s="17">
        <f>IF(OR(S38="",S4=""),"",IFERROR(S38/S4,""))</f>
        <v/>
      </c>
      <c r="T39" s="17">
        <f>IF(OR(T38="",T4=""),"",IFERROR(T38/T4,""))</f>
        <v/>
      </c>
      <c r="U39" s="17">
        <f>IF(OR(U38="",U4=""),"",IFERROR(U38/U4,""))</f>
        <v/>
      </c>
      <c r="V39" s="17">
        <f>IF(OR(V38="",V4=""),"",IFERROR(V38/V4,""))</f>
        <v/>
      </c>
      <c r="W39" s="17">
        <f>IF(OR(W38="",W4=""),"",IFERROR(W38/W4,""))</f>
        <v/>
      </c>
      <c r="X39" s="17">
        <f>IF(OR(X38="",X4=""),"",IFERROR(X38/X4,""))</f>
        <v/>
      </c>
      <c r="Y39" s="27">
        <f>IFERROR(AVERAGE(V39,W39,X39),"")</f>
        <v/>
      </c>
      <c r="Z39" s="28">
        <f>Y39</f>
        <v/>
      </c>
      <c r="AA39" s="28">
        <f>Z39</f>
        <v/>
      </c>
      <c r="AB39" s="28">
        <f>AA39</f>
        <v/>
      </c>
      <c r="AC39" s="28">
        <f>AB39</f>
        <v/>
      </c>
    </row>
    <row r="40">
      <c r="A40" s="9" t="inlineStr">
        <is>
          <t>법인세비용차감전순이익(손실)</t>
        </is>
      </c>
      <c r="B40" s="10" t="n"/>
      <c r="C40" s="11" t="n">
        <v>38.416</v>
      </c>
      <c r="D40" s="12" t="n">
        <v>-15.342</v>
      </c>
      <c r="E40" s="12" t="n">
        <v>113.902</v>
      </c>
      <c r="F40" s="12" t="n">
        <v>-53.472</v>
      </c>
      <c r="G40" s="12" t="n">
        <v>-72.327</v>
      </c>
      <c r="H40" s="12" t="n">
        <v>-24.965</v>
      </c>
      <c r="I40" s="12" t="n">
        <v>-643.362</v>
      </c>
      <c r="J40" s="12" t="n">
        <v>-180.051</v>
      </c>
      <c r="K40" s="12" t="n">
        <v>-165.54</v>
      </c>
      <c r="L40" s="12" t="n">
        <v>100.179</v>
      </c>
      <c r="M40" s="12" t="n">
        <v>199.134</v>
      </c>
      <c r="N40" s="12" t="n">
        <v>116.153</v>
      </c>
      <c r="O40" s="11" t="n"/>
      <c r="P40" s="12" t="n"/>
      <c r="Q40" s="12" t="n"/>
      <c r="R40" s="12" t="n"/>
      <c r="S40" s="12" t="n"/>
      <c r="T40" s="12" t="n">
        <v>-715.889</v>
      </c>
      <c r="U40" s="12" t="n">
        <v>-672.359</v>
      </c>
      <c r="V40" s="12" t="n">
        <v>-368.889</v>
      </c>
      <c r="W40" s="12" t="n">
        <v>-27.239</v>
      </c>
      <c r="X40" s="12" t="n">
        <v>-1013.918</v>
      </c>
      <c r="Y40" s="11">
        <f>IF(OR(Y16=""),"",IFERROR(Y16+N(Y32)-N(Y34)+N(Y36)-N(Y38),""))</f>
        <v/>
      </c>
      <c r="Z40" s="12">
        <f>IF(OR(Z16=""),"",IFERROR(Z16+N(Z32)-N(Z34)+N(Z36)-N(Z38),""))</f>
        <v/>
      </c>
      <c r="AA40" s="12">
        <f>IF(OR(AA16=""),"",IFERROR(AA16+N(AA32)-N(AA34)+N(AA36)-N(AA38),""))</f>
        <v/>
      </c>
      <c r="AB40" s="12">
        <f>IF(OR(AB16=""),"",IFERROR(AB16+N(AB32)-N(AB34)+N(AB36)-N(AB38),""))</f>
        <v/>
      </c>
      <c r="AC40" s="12">
        <f>IF(OR(AC16=""),"",IFERROR(AC16+N(AC32)-N(AC34)+N(AC36)-N(AC38),""))</f>
        <v/>
      </c>
    </row>
    <row r="41">
      <c r="A41" s="20" t="inlineStr">
        <is>
          <t>법인세비용(수익)</t>
        </is>
      </c>
      <c r="B41" s="10" t="n"/>
      <c r="C41" s="21" t="n">
        <v>2.508</v>
      </c>
      <c r="D41" s="22" t="n">
        <v>0.894</v>
      </c>
      <c r="E41" s="22" t="n">
        <v>25.715</v>
      </c>
      <c r="F41" s="22" t="n">
        <v>13.917</v>
      </c>
      <c r="G41" s="22" t="n">
        <v>15.285</v>
      </c>
      <c r="H41" s="22" t="n">
        <v>10.733</v>
      </c>
      <c r="I41" s="22" t="n">
        <v>-123.581</v>
      </c>
      <c r="J41" s="22" t="n">
        <v>-4.629</v>
      </c>
      <c r="K41" s="22" t="n">
        <v>-50.989</v>
      </c>
      <c r="L41" s="22" t="n">
        <v>0.957</v>
      </c>
      <c r="M41" s="22" t="n">
        <v>-1.295</v>
      </c>
      <c r="N41" s="22" t="n">
        <v>1.44</v>
      </c>
      <c r="O41" s="21" t="n"/>
      <c r="P41" s="22" t="n"/>
      <c r="Q41" s="22" t="n"/>
      <c r="R41" s="22" t="n"/>
      <c r="S41" s="22" t="n"/>
      <c r="T41" s="22" t="n">
        <v>1.888</v>
      </c>
      <c r="U41" s="22" t="n">
        <v>1.6</v>
      </c>
      <c r="V41" s="22" t="n">
        <v>3.655</v>
      </c>
      <c r="W41" s="22" t="n">
        <v>55.811</v>
      </c>
      <c r="X41" s="22" t="n">
        <v>-168.466</v>
      </c>
      <c r="Y41" s="21">
        <f>IF(OR(Y40="",Y42=""),"",IFERROR(MAX(Y40,0)*Y42,""))</f>
        <v/>
      </c>
      <c r="Z41" s="22">
        <f>IF(OR(Z40="",Z42=""),"",IFERROR(MAX(Z40,0)*Z42,""))</f>
        <v/>
      </c>
      <c r="AA41" s="22">
        <f>IF(OR(AA40="",AA42=""),"",IFERROR(MAX(AA40,0)*AA42,""))</f>
        <v/>
      </c>
      <c r="AB41" s="22">
        <f>IF(OR(AB40="",AB42=""),"",IFERROR(MAX(AB40,0)*AB42,""))</f>
        <v/>
      </c>
      <c r="AC41" s="22">
        <f>IF(OR(AC40="",AC42=""),"",IFERROR(MAX(AC40,0)*AC42,""))</f>
        <v/>
      </c>
    </row>
    <row r="42">
      <c r="A42" s="15" t="inlineStr">
        <is>
          <t>법인세율</t>
        </is>
      </c>
      <c r="B42" s="10" t="inlineStr">
        <is>
          <t>MW 기본 30%</t>
        </is>
      </c>
      <c r="C42" s="16">
        <f>IF(OR(C41="",C40=""),"",IFERROR(C41/C40,""))</f>
        <v/>
      </c>
      <c r="D42" s="17">
        <f>IF(OR(D41="",D40=""),"",IFERROR(D41/D40,""))</f>
        <v/>
      </c>
      <c r="E42" s="17">
        <f>IF(OR(E41="",E40=""),"",IFERROR(E41/E40,""))</f>
        <v/>
      </c>
      <c r="F42" s="17">
        <f>IF(OR(F41="",F40=""),"",IFERROR(F41/F40,""))</f>
        <v/>
      </c>
      <c r="G42" s="17">
        <f>IF(OR(G41="",G40=""),"",IFERROR(G41/G40,""))</f>
        <v/>
      </c>
      <c r="H42" s="17">
        <f>IF(OR(H41="",H40=""),"",IFERROR(H41/H40,""))</f>
        <v/>
      </c>
      <c r="I42" s="17">
        <f>IF(OR(I41="",I40=""),"",IFERROR(I41/I40,""))</f>
        <v/>
      </c>
      <c r="J42" s="17">
        <f>IF(OR(J41="",J40=""),"",IFERROR(J41/J40,""))</f>
        <v/>
      </c>
      <c r="K42" s="17">
        <f>IF(OR(K41="",K40=""),"",IFERROR(K41/K40,""))</f>
        <v/>
      </c>
      <c r="L42" s="17">
        <f>IF(OR(L41="",L40=""),"",IFERROR(L41/L40,""))</f>
        <v/>
      </c>
      <c r="M42" s="17">
        <f>IF(OR(M41="",M40=""),"",IFERROR(M41/M40,""))</f>
        <v/>
      </c>
      <c r="N42" s="17">
        <f>IF(OR(N41="",N40=""),"",IFERROR(N41/N40,""))</f>
        <v/>
      </c>
      <c r="O42" s="16">
        <f>IF(OR(O41="",O40=""),"",IFERROR(O41/O40,""))</f>
        <v/>
      </c>
      <c r="P42" s="17">
        <f>IF(OR(P41="",P40=""),"",IFERROR(P41/P40,""))</f>
        <v/>
      </c>
      <c r="Q42" s="17">
        <f>IF(OR(Q41="",Q40=""),"",IFERROR(Q41/Q40,""))</f>
        <v/>
      </c>
      <c r="R42" s="17">
        <f>IF(OR(R41="",R40=""),"",IFERROR(R41/R40,""))</f>
        <v/>
      </c>
      <c r="S42" s="17">
        <f>IF(OR(S41="",S40=""),"",IFERROR(S41/S40,""))</f>
        <v/>
      </c>
      <c r="T42" s="17">
        <f>IF(OR(T41="",T40=""),"",IFERROR(T41/T40,""))</f>
        <v/>
      </c>
      <c r="U42" s="17">
        <f>IF(OR(U41="",U40=""),"",IFERROR(U41/U40,""))</f>
        <v/>
      </c>
      <c r="V42" s="17">
        <f>IF(OR(V41="",V40=""),"",IFERROR(V41/V40,""))</f>
        <v/>
      </c>
      <c r="W42" s="17">
        <f>IF(OR(W41="",W40=""),"",IFERROR(W41/W40,""))</f>
        <v/>
      </c>
      <c r="X42" s="17">
        <f>IF(OR(X41="",X40=""),"",IFERROR(X41/X40,""))</f>
        <v/>
      </c>
      <c r="Y42" s="27" t="n">
        <v>0.3</v>
      </c>
      <c r="Z42" s="28" t="n">
        <v>0.3</v>
      </c>
      <c r="AA42" s="28" t="n">
        <v>0.3</v>
      </c>
      <c r="AB42" s="28" t="n">
        <v>0.3</v>
      </c>
      <c r="AC42" s="28" t="n">
        <v>0.3</v>
      </c>
    </row>
    <row r="43">
      <c r="A43" s="9" t="inlineStr">
        <is>
          <t>당기순이익(손실)</t>
        </is>
      </c>
      <c r="B43" s="10" t="n"/>
      <c r="C43" s="11" t="n">
        <v>35.908</v>
      </c>
      <c r="D43" s="12" t="n">
        <v>-16.236</v>
      </c>
      <c r="E43" s="12" t="n">
        <v>88.187</v>
      </c>
      <c r="F43" s="12" t="n">
        <v>-67.389</v>
      </c>
      <c r="G43" s="12" t="n">
        <v>-87.61199999999999</v>
      </c>
      <c r="H43" s="12" t="n">
        <v>-35.698</v>
      </c>
      <c r="I43" s="12" t="n">
        <v>-519.78</v>
      </c>
      <c r="J43" s="12" t="n">
        <v>-175.422</v>
      </c>
      <c r="K43" s="12" t="n">
        <v>-114.552</v>
      </c>
      <c r="L43" s="12" t="n">
        <v>99.22199999999999</v>
      </c>
      <c r="M43" s="12" t="n">
        <v>200.43</v>
      </c>
      <c r="N43" s="12" t="n">
        <v>114.711</v>
      </c>
      <c r="O43" s="11" t="n"/>
      <c r="P43" s="12" t="n"/>
      <c r="Q43" s="12" t="n"/>
      <c r="R43" s="12" t="n"/>
      <c r="S43" s="12" t="n"/>
      <c r="T43" s="12" t="n">
        <v>-717.778</v>
      </c>
      <c r="U43" s="12" t="n">
        <v>-673.96</v>
      </c>
      <c r="V43" s="12" t="n">
        <v>-372.545</v>
      </c>
      <c r="W43" s="12" t="n">
        <v>-83.05</v>
      </c>
      <c r="X43" s="12" t="n">
        <v>-845.452</v>
      </c>
      <c r="Y43" s="11">
        <f>IF(OR(Y40=""),"",IFERROR(Y40-Y41,""))</f>
        <v/>
      </c>
      <c r="Z43" s="12">
        <f>IF(OR(Z40=""),"",IFERROR(Z40-Z41,""))</f>
        <v/>
      </c>
      <c r="AA43" s="12">
        <f>IF(OR(AA40=""),"",IFERROR(AA40-AA41,""))</f>
        <v/>
      </c>
      <c r="AB43" s="12">
        <f>IF(OR(AB40=""),"",IFERROR(AB40-AB41,""))</f>
        <v/>
      </c>
      <c r="AC43" s="12">
        <f>IF(OR(AC40=""),"",IFERROR(AC40-AC41,""))</f>
        <v/>
      </c>
    </row>
    <row r="44">
      <c r="A44" s="9" t="inlineStr">
        <is>
          <t>지배주주 순이익</t>
        </is>
      </c>
      <c r="B44" s="10" t="n"/>
      <c r="C44" s="11" t="n">
        <v>35.908</v>
      </c>
      <c r="D44" s="12" t="n">
        <v>-16.236</v>
      </c>
      <c r="E44" s="12" t="n">
        <v>55.306</v>
      </c>
      <c r="F44" s="12" t="n">
        <v>-77.599</v>
      </c>
      <c r="G44" s="12" t="n">
        <v>-94.386</v>
      </c>
      <c r="H44" s="12" t="n">
        <v>-51.763</v>
      </c>
      <c r="I44" s="12" t="n">
        <v>-399.793</v>
      </c>
      <c r="J44" s="12" t="n">
        <v>-171.135</v>
      </c>
      <c r="K44" s="12" t="n">
        <v>-77.97499999999999</v>
      </c>
      <c r="L44" s="12" t="n">
        <v>100.156</v>
      </c>
      <c r="M44" s="12" t="n">
        <v>196.982</v>
      </c>
      <c r="N44" s="12" t="n">
        <v>113.605</v>
      </c>
      <c r="O44" s="11" t="n"/>
      <c r="P44" s="12" t="n"/>
      <c r="Q44" s="12" t="n"/>
      <c r="R44" s="12" t="n"/>
      <c r="S44" s="12" t="n"/>
      <c r="T44" s="12" t="n">
        <v>-568.9880000000001</v>
      </c>
      <c r="U44" s="12" t="n">
        <v>-561.569</v>
      </c>
      <c r="V44" s="12" t="n">
        <v>-338.711</v>
      </c>
      <c r="W44" s="12" t="n">
        <v>-132.915</v>
      </c>
      <c r="X44" s="12" t="n">
        <v>-700.6660000000001</v>
      </c>
      <c r="Y44" s="11">
        <f>IF(OR(Y43="",Y45=""),"",IFERROR(Y43*Y45,""))</f>
        <v/>
      </c>
      <c r="Z44" s="12">
        <f>IF(OR(Z43="",Z45=""),"",IFERROR(Z43*Z45,""))</f>
        <v/>
      </c>
      <c r="AA44" s="12">
        <f>IF(OR(AA43="",AA45=""),"",IFERROR(AA43*AA45,""))</f>
        <v/>
      </c>
      <c r="AB44" s="12">
        <f>IF(OR(AB43="",AB45=""),"",IFERROR(AB43*AB45,""))</f>
        <v/>
      </c>
      <c r="AC44" s="12">
        <f>IF(OR(AC43="",AC45=""),"",IFERROR(AC43*AC45,""))</f>
        <v/>
      </c>
    </row>
    <row r="45">
      <c r="A45" s="15" t="inlineStr">
        <is>
          <t>지배주주 순이익률</t>
        </is>
      </c>
      <c r="B45" s="10" t="inlineStr">
        <is>
          <t>MW 기본 100%</t>
        </is>
      </c>
      <c r="C45" s="16">
        <f>IF(OR(C44="",C43=""),"",IFERROR(C44/C43,""))</f>
        <v/>
      </c>
      <c r="D45" s="17">
        <f>IF(OR(D44="",D43=""),"",IFERROR(D44/D43,""))</f>
        <v/>
      </c>
      <c r="E45" s="17">
        <f>IF(OR(E44="",E43=""),"",IFERROR(E44/E43,""))</f>
        <v/>
      </c>
      <c r="F45" s="17">
        <f>IF(OR(F44="",F43=""),"",IFERROR(F44/F43,""))</f>
        <v/>
      </c>
      <c r="G45" s="17">
        <f>IF(OR(G44="",G43=""),"",IFERROR(G44/G43,""))</f>
        <v/>
      </c>
      <c r="H45" s="17">
        <f>IF(OR(H44="",H43=""),"",IFERROR(H44/H43,""))</f>
        <v/>
      </c>
      <c r="I45" s="17">
        <f>IF(OR(I44="",I43=""),"",IFERROR(I44/I43,""))</f>
        <v/>
      </c>
      <c r="J45" s="17">
        <f>IF(OR(J44="",J43=""),"",IFERROR(J44/J43,""))</f>
        <v/>
      </c>
      <c r="K45" s="17">
        <f>IF(OR(K44="",K43=""),"",IFERROR(K44/K43,""))</f>
        <v/>
      </c>
      <c r="L45" s="17">
        <f>IF(OR(L44="",L43=""),"",IFERROR(L44/L43,""))</f>
        <v/>
      </c>
      <c r="M45" s="17">
        <f>IF(OR(M44="",M43=""),"",IFERROR(M44/M43,""))</f>
        <v/>
      </c>
      <c r="N45" s="17">
        <f>IF(OR(N44="",N43=""),"",IFERROR(N44/N43,""))</f>
        <v/>
      </c>
      <c r="O45" s="16">
        <f>IF(OR(O44="",O43=""),"",IFERROR(O44/O43,""))</f>
        <v/>
      </c>
      <c r="P45" s="17">
        <f>IF(OR(P44="",P43=""),"",IFERROR(P44/P43,""))</f>
        <v/>
      </c>
      <c r="Q45" s="17">
        <f>IF(OR(Q44="",Q43=""),"",IFERROR(Q44/Q43,""))</f>
        <v/>
      </c>
      <c r="R45" s="17">
        <f>IF(OR(R44="",R43=""),"",IFERROR(R44/R43,""))</f>
        <v/>
      </c>
      <c r="S45" s="17">
        <f>IF(OR(S44="",S43=""),"",IFERROR(S44/S43,""))</f>
        <v/>
      </c>
      <c r="T45" s="17">
        <f>IF(OR(T44="",T43=""),"",IFERROR(T44/T43,""))</f>
        <v/>
      </c>
      <c r="U45" s="17">
        <f>IF(OR(U44="",U43=""),"",IFERROR(U44/U43,""))</f>
        <v/>
      </c>
      <c r="V45" s="17">
        <f>IF(OR(V44="",V43=""),"",IFERROR(V44/V43,""))</f>
        <v/>
      </c>
      <c r="W45" s="17">
        <f>IF(OR(W44="",W43=""),"",IFERROR(W44/W43,""))</f>
        <v/>
      </c>
      <c r="X45" s="17">
        <f>IF(OR(X44="",X43=""),"",IFERROR(X44/X43,""))</f>
        <v/>
      </c>
      <c r="Y45" s="27" t="n">
        <v>1</v>
      </c>
      <c r="Z45" s="28" t="n">
        <v>1</v>
      </c>
      <c r="AA45" s="28" t="n">
        <v>1</v>
      </c>
      <c r="AB45" s="28" t="n">
        <v>1</v>
      </c>
      <c r="AC45" s="28" t="n">
        <v>1</v>
      </c>
    </row>
    <row r="46">
      <c r="A46" s="18" t="inlineStr">
        <is>
          <t>목표주가 산출</t>
        </is>
      </c>
      <c r="B46" s="18" t="n"/>
      <c r="C46" s="19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9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9" t="n"/>
      <c r="Z46" s="18" t="n"/>
      <c r="AA46" s="18" t="n"/>
      <c r="AB46" s="18" t="n"/>
      <c r="AC46" s="18" t="n"/>
    </row>
    <row r="47">
      <c r="A47" s="20" t="inlineStr">
        <is>
          <t>현재 주가 ()</t>
        </is>
      </c>
      <c r="B47" s="29" t="n"/>
      <c r="C47" s="30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0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0" t="n"/>
      <c r="Z47" s="31" t="n"/>
      <c r="AA47" s="31" t="n"/>
      <c r="AB47" s="31" t="n"/>
      <c r="AC47" s="31" t="n"/>
    </row>
    <row r="48">
      <c r="A48" s="20" t="inlineStr">
        <is>
          <t>발행주식수 (보통주)</t>
        </is>
      </c>
      <c r="B48" s="29" t="n"/>
      <c r="C48" s="30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0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0" t="n"/>
      <c r="Z48" s="31" t="n"/>
      <c r="AA48" s="31" t="n"/>
      <c r="AB48" s="31" t="n"/>
      <c r="AC48" s="31" t="n"/>
    </row>
    <row r="49">
      <c r="A49" s="20" t="inlineStr">
        <is>
          <t>시가총액 (백만엔)</t>
        </is>
      </c>
      <c r="B49" s="12">
        <f>IF(OR(B47="",B48=""),"",B47*B48/1000000.0)</f>
        <v/>
      </c>
      <c r="C49" s="21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1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1" t="n"/>
      <c r="Z49" s="22" t="n"/>
      <c r="AA49" s="22" t="n"/>
      <c r="AB49" s="22" t="n"/>
      <c r="AC49" s="22" t="n"/>
    </row>
    <row r="50">
      <c r="A50" s="15" t="inlineStr">
        <is>
          <t>OPM</t>
        </is>
      </c>
      <c r="B50" s="10" t="n"/>
      <c r="C50" s="16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6">
        <f>IF(O17="","",O17)</f>
        <v/>
      </c>
      <c r="P50" s="17">
        <f>IF(P17="","",P17)</f>
        <v/>
      </c>
      <c r="Q50" s="17">
        <f>IF(Q17="","",Q17)</f>
        <v/>
      </c>
      <c r="R50" s="17">
        <f>IF(R17="","",R17)</f>
        <v/>
      </c>
      <c r="S50" s="17">
        <f>IF(S17="","",S17)</f>
        <v/>
      </c>
      <c r="T50" s="17">
        <f>IF(T17="","",T17)</f>
        <v/>
      </c>
      <c r="U50" s="17">
        <f>IF(U17="","",U17)</f>
        <v/>
      </c>
      <c r="V50" s="17">
        <f>IF(V17="","",V17)</f>
        <v/>
      </c>
      <c r="W50" s="17">
        <f>IF(W17="","",W17)</f>
        <v/>
      </c>
      <c r="X50" s="17">
        <f>IF(X17="","",X17)</f>
        <v/>
      </c>
      <c r="Y50" s="16">
        <f>IF(Y17="","",Y17)</f>
        <v/>
      </c>
      <c r="Z50" s="17">
        <f>IF(Z17="","",Z17)</f>
        <v/>
      </c>
      <c r="AA50" s="17">
        <f>IF(AA17="","",AA17)</f>
        <v/>
      </c>
      <c r="AB50" s="17">
        <f>IF(AB17="","",AB17)</f>
        <v/>
      </c>
      <c r="AC50" s="17">
        <f>IF(AC17="","",AC17)</f>
        <v/>
      </c>
    </row>
    <row r="51">
      <c r="A51" s="15" t="inlineStr">
        <is>
          <t>지배주주 순이익 증가율</t>
        </is>
      </c>
      <c r="B51" s="10" t="n"/>
      <c r="C51" s="16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6" t="n"/>
      <c r="P51" s="17">
        <f>IF(OR(P44="",O44=""),"",IFERROR(P44/O44-1,""))</f>
        <v/>
      </c>
      <c r="Q51" s="17">
        <f>IF(OR(Q44="",P44=""),"",IFERROR(Q44/P44-1,""))</f>
        <v/>
      </c>
      <c r="R51" s="17">
        <f>IF(OR(R44="",Q44=""),"",IFERROR(R44/Q44-1,""))</f>
        <v/>
      </c>
      <c r="S51" s="17">
        <f>IF(OR(S44="",R44=""),"",IFERROR(S44/R44-1,""))</f>
        <v/>
      </c>
      <c r="T51" s="17">
        <f>IF(OR(T44="",S44=""),"",IFERROR(T44/S44-1,""))</f>
        <v/>
      </c>
      <c r="U51" s="17">
        <f>IF(OR(U44="",T44=""),"",IFERROR(U44/T44-1,""))</f>
        <v/>
      </c>
      <c r="V51" s="17">
        <f>IF(OR(V44="",U44=""),"",IFERROR(V44/U44-1,""))</f>
        <v/>
      </c>
      <c r="W51" s="17">
        <f>IF(OR(W44="",V44=""),"",IFERROR(W44/V44-1,""))</f>
        <v/>
      </c>
      <c r="X51" s="17">
        <f>IF(OR(X44="",W44=""),"",IFERROR(X44/W44-1,""))</f>
        <v/>
      </c>
      <c r="Y51" s="16">
        <f>IF(OR(Y44="",X44=""),"",IFERROR(Y44/X44-1,""))</f>
        <v/>
      </c>
      <c r="Z51" s="17">
        <f>IF(OR(Z44="",Y44=""),"",IFERROR(Z44/Y44-1,""))</f>
        <v/>
      </c>
      <c r="AA51" s="17">
        <f>IF(OR(AA44="",Z44=""),"",IFERROR(AA44/Z44-1,""))</f>
        <v/>
      </c>
      <c r="AB51" s="17">
        <f>IF(OR(AB44="",AA44=""),"",IFERROR(AB44/AA44-1,""))</f>
        <v/>
      </c>
      <c r="AC51" s="17">
        <f>IF(OR(AC44="",AB44=""),"",IFERROR(AC44/AB44-1,""))</f>
        <v/>
      </c>
    </row>
    <row r="52">
      <c r="A52" s="20" t="inlineStr">
        <is>
          <t>P/E (현재 주가)</t>
        </is>
      </c>
      <c r="B52" s="10" t="inlineStr">
        <is>
          <t>시총 ÷ 지배순이익</t>
        </is>
      </c>
      <c r="C52" s="32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2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>
        <f>IF(OR($B$49="",X44=""),"",IFERROR($B$49/X44,""))</f>
        <v/>
      </c>
      <c r="Y52" s="32">
        <f>IF(OR($B$49="",Y44=""),"",IFERROR($B$49/Y44,""))</f>
        <v/>
      </c>
      <c r="Z52" s="33">
        <f>IF(OR($B$49="",Z44=""),"",IFERROR($B$49/Z44,""))</f>
        <v/>
      </c>
      <c r="AA52" s="33">
        <f>IF(OR($B$49="",AA44=""),"",IFERROR($B$49/AA44,""))</f>
        <v/>
      </c>
      <c r="AB52" s="33">
        <f>IF(OR($B$49="",AB44=""),"",IFERROR($B$49/AB44,""))</f>
        <v/>
      </c>
      <c r="AC52" s="33">
        <f>IF(OR($B$49="",AC44=""),"",IFERROR($B$49/AC44,""))</f>
        <v/>
      </c>
    </row>
    <row r="53">
      <c r="A53" s="20" t="inlineStr">
        <is>
          <t>Target P/E</t>
        </is>
      </c>
      <c r="B53" s="10" t="inlineStr">
        <is>
          <t>직접 입력</t>
        </is>
      </c>
      <c r="C53" s="32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2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4" t="n"/>
      <c r="Z53" s="35" t="n"/>
      <c r="AA53" s="35" t="n"/>
      <c r="AB53" s="35" t="n"/>
      <c r="AC53" s="35" t="n"/>
    </row>
    <row r="54">
      <c r="A54" s="20" t="inlineStr">
        <is>
          <t>EPS</t>
        </is>
      </c>
      <c r="B54" s="10" t="inlineStr">
        <is>
          <t>지배순이익 ÷ 주식수</t>
        </is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>
        <f>IF(OR(O44="",$B$48=""),"",IFERROR(O44*1000000.0/$B$48,""))</f>
        <v/>
      </c>
      <c r="P54" s="31">
        <f>IF(OR(P44="",$B$48=""),"",IFERROR(P44*1000000.0/$B$48,""))</f>
        <v/>
      </c>
      <c r="Q54" s="31">
        <f>IF(OR(Q44="",$B$48=""),"",IFERROR(Q44*1000000.0/$B$48,""))</f>
        <v/>
      </c>
      <c r="R54" s="31">
        <f>IF(OR(R44="",$B$48=""),"",IFERROR(R44*1000000.0/$B$48,""))</f>
        <v/>
      </c>
      <c r="S54" s="31">
        <f>IF(OR(S44="",$B$48=""),"",IFERROR(S44*1000000.0/$B$48,""))</f>
        <v/>
      </c>
      <c r="T54" s="31">
        <f>IF(OR(T44="",$B$48=""),"",IFERROR(T44*1000000.0/$B$48,""))</f>
        <v/>
      </c>
      <c r="U54" s="31">
        <f>IF(OR(U44="",$B$48=""),"",IFERROR(U44*1000000.0/$B$48,""))</f>
        <v/>
      </c>
      <c r="V54" s="31">
        <f>IF(OR(V44="",$B$48=""),"",IFERROR(V44*1000000.0/$B$48,""))</f>
        <v/>
      </c>
      <c r="W54" s="31">
        <f>IF(OR(W44="",$B$48=""),"",IFERROR(W44*1000000.0/$B$48,""))</f>
        <v/>
      </c>
      <c r="X54" s="31">
        <f>IF(OR(X44="",$B$48=""),"",IFERROR(X44*1000000.0/$B$48,""))</f>
        <v/>
      </c>
      <c r="Y54" s="30">
        <f>IF(OR(Y44="",$B$48=""),"",IFERROR(Y44*1000000.0/$B$48,""))</f>
        <v/>
      </c>
      <c r="Z54" s="31">
        <f>IF(OR(Z44="",$B$48=""),"",IFERROR(Z44*1000000.0/$B$48,""))</f>
        <v/>
      </c>
      <c r="AA54" s="31">
        <f>IF(OR(AA44="",$B$48=""),"",IFERROR(AA44*1000000.0/$B$48,""))</f>
        <v/>
      </c>
      <c r="AB54" s="31">
        <f>IF(OR(AB44="",$B$48=""),"",IFERROR(AB44*1000000.0/$B$48,""))</f>
        <v/>
      </c>
      <c r="AC54" s="31">
        <f>IF(OR(AC44="",$B$48=""),"",IFERROR(AC44*1000000.0/$B$48,""))</f>
        <v/>
      </c>
    </row>
    <row r="55">
      <c r="A55" s="9" t="inlineStr">
        <is>
          <t>목표주가</t>
        </is>
      </c>
      <c r="B55" s="10" t="n"/>
      <c r="C55" s="36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36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36">
        <f>IF(OR(Y54="",Y53=""),"",IFERROR(Y54*Y53,""))</f>
        <v/>
      </c>
      <c r="Z55" s="29">
        <f>IF(OR(Z54="",Z53=""),"",IFERROR(Z54*Z53,""))</f>
        <v/>
      </c>
      <c r="AA55" s="29">
        <f>IF(OR(AA54="",AA53=""),"",IFERROR(AA54*AA53,""))</f>
        <v/>
      </c>
      <c r="AB55" s="29">
        <f>IF(OR(AB54="",AB53=""),"",IFERROR(AB54*AB53,""))</f>
        <v/>
      </c>
      <c r="AC55" s="29">
        <f>IF(OR(AC54="",AC53=""),"",IFERROR(AC54*AC53,""))</f>
        <v/>
      </c>
    </row>
    <row r="56">
      <c r="A56" s="20" t="inlineStr">
        <is>
          <t>상승여력</t>
        </is>
      </c>
      <c r="B56" s="10" t="n"/>
      <c r="C56" s="37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7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9">
        <f>IF(OR(Y55="",$B$47=""),"",IFERROR(Y55/$B$47-1,""))</f>
        <v/>
      </c>
      <c r="Z56" s="40">
        <f>IF(OR(Z55="",$B$47=""),"",IFERROR(Z55/$B$47-1,""))</f>
        <v/>
      </c>
      <c r="AA56" s="40">
        <f>IF(OR(AA55="",$B$47=""),"",IFERROR(AA55/$B$47-1,""))</f>
        <v/>
      </c>
      <c r="AB56" s="40">
        <f>IF(OR(AB55="",$B$47=""),"",IFERROR(AB55/$B$47-1,""))</f>
        <v/>
      </c>
      <c r="AC56" s="40">
        <f>IF(OR(AC55="",$B$47=""),"",IFERROR(AC55/$B$47-1,""))</f>
        <v/>
      </c>
    </row>
    <row r="57">
      <c r="A57" s="18" t="inlineStr">
        <is>
          <t>자산가치 산출</t>
        </is>
      </c>
      <c r="B57" s="18" t="inlineStr">
        <is>
          <t>최신 분기 BS</t>
        </is>
      </c>
      <c r="C57" s="19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9" t="n"/>
      <c r="Z57" s="18" t="n"/>
      <c r="AA57" s="18" t="n"/>
      <c r="AB57" s="18" t="n"/>
      <c r="AC57" s="18" t="n"/>
    </row>
    <row r="58">
      <c r="A58" s="20" t="inlineStr">
        <is>
          <t>현금및현금성자산</t>
        </is>
      </c>
      <c r="B58" s="10" t="n"/>
      <c r="C58" s="21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1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>
        <f>'재무상태표'!G6</f>
        <v/>
      </c>
      <c r="Y58" s="21">
        <f>'재무상태표'!G6</f>
        <v/>
      </c>
      <c r="Z58" s="22">
        <f>'재무상태표'!G6</f>
        <v/>
      </c>
      <c r="AA58" s="22">
        <f>'재무상태표'!G6</f>
        <v/>
      </c>
      <c r="AB58" s="22">
        <f>'재무상태표'!G6</f>
        <v/>
      </c>
      <c r="AC58" s="22">
        <f>'재무상태표'!G6</f>
        <v/>
      </c>
    </row>
    <row r="59">
      <c r="A59" s="20" t="inlineStr">
        <is>
          <t>단기금융상품</t>
        </is>
      </c>
      <c r="B59" s="10" t="n"/>
      <c r="C59" s="21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1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>
        <f>'재무상태표'!G7</f>
        <v/>
      </c>
      <c r="Y59" s="21">
        <f>'재무상태표'!G7</f>
        <v/>
      </c>
      <c r="Z59" s="22">
        <f>'재무상태표'!G7</f>
        <v/>
      </c>
      <c r="AA59" s="22">
        <f>'재무상태표'!G7</f>
        <v/>
      </c>
      <c r="AB59" s="22">
        <f>'재무상태표'!G7</f>
        <v/>
      </c>
      <c r="AC59" s="22">
        <f>'재무상태표'!G7</f>
        <v/>
      </c>
    </row>
    <row r="60">
      <c r="A60" s="20" t="inlineStr">
        <is>
          <t>투자부동산</t>
        </is>
      </c>
      <c r="B60" s="10" t="n"/>
      <c r="C60" s="21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1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>
        <f>'재무상태표'!G14</f>
        <v/>
      </c>
      <c r="Y60" s="21">
        <f>'재무상태표'!G14</f>
        <v/>
      </c>
      <c r="Z60" s="22">
        <f>'재무상태표'!G14</f>
        <v/>
      </c>
      <c r="AA60" s="22">
        <f>'재무상태표'!G14</f>
        <v/>
      </c>
      <c r="AB60" s="22">
        <f>'재무상태표'!G14</f>
        <v/>
      </c>
      <c r="AC60" s="22">
        <f>'재무상태표'!G14</f>
        <v/>
      </c>
    </row>
    <row r="61">
      <c r="A61" s="20" t="inlineStr">
        <is>
          <t>지배자본</t>
        </is>
      </c>
      <c r="B61" s="10" t="n"/>
      <c r="C61" s="21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1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>
        <f>'재무상태표'!G31</f>
        <v/>
      </c>
      <c r="Y61" s="21">
        <f>'재무상태표'!G31</f>
        <v/>
      </c>
      <c r="Z61" s="22">
        <f>'재무상태표'!G31</f>
        <v/>
      </c>
      <c r="AA61" s="22">
        <f>'재무상태표'!G31</f>
        <v/>
      </c>
      <c r="AB61" s="22">
        <f>'재무상태표'!G31</f>
        <v/>
      </c>
      <c r="AC61" s="22">
        <f>'재무상태표'!G31</f>
        <v/>
      </c>
    </row>
    <row r="62">
      <c r="A62" s="20" t="inlineStr">
        <is>
          <t>부채</t>
        </is>
      </c>
      <c r="B62" s="10" t="n"/>
      <c r="C62" s="21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1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>
        <f>'재무상태표'!G27</f>
        <v/>
      </c>
      <c r="Y62" s="21">
        <f>'재무상태표'!G27</f>
        <v/>
      </c>
      <c r="Z62" s="22">
        <f>'재무상태표'!G27</f>
        <v/>
      </c>
      <c r="AA62" s="22">
        <f>'재무상태표'!G27</f>
        <v/>
      </c>
      <c r="AB62" s="22">
        <f>'재무상태표'!G27</f>
        <v/>
      </c>
      <c r="AC62" s="22">
        <f>'재무상태표'!G27</f>
        <v/>
      </c>
    </row>
    <row r="63">
      <c r="A63" s="15" t="inlineStr">
        <is>
          <t>부채비율</t>
        </is>
      </c>
      <c r="B63" s="10" t="n"/>
      <c r="C63" s="16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>
        <f>IF(OR(X62="",X61=""),"",IFERROR(X62/X61,""))</f>
        <v/>
      </c>
      <c r="Y63" s="16">
        <f>IF(OR(Y62="",Y61=""),"",IFERROR(Y62/Y61,""))</f>
        <v/>
      </c>
      <c r="Z63" s="17">
        <f>IF(OR(Z62="",Z61=""),"",IFERROR(Z62/Z61,""))</f>
        <v/>
      </c>
      <c r="AA63" s="17">
        <f>IF(OR(AA62="",AA61=""),"",IFERROR(AA62/AA61,""))</f>
        <v/>
      </c>
      <c r="AB63" s="17">
        <f>IF(OR(AB62="",AB61=""),"",IFERROR(AB62/AB61,""))</f>
        <v/>
      </c>
      <c r="AC63" s="17">
        <f>IF(OR(AC62="",AC61=""),"",IFERROR(AC62/AC61,""))</f>
        <v/>
      </c>
    </row>
    <row r="64">
      <c r="A64" s="9" t="inlineStr">
        <is>
          <t>자산가치</t>
        </is>
      </c>
      <c r="B64" s="10" t="inlineStr">
        <is>
          <t>현금+단기금융+투자부동산</t>
        </is>
      </c>
      <c r="C64" s="11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1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>
        <f>SUM(X58,X59,X60)</f>
        <v/>
      </c>
      <c r="Y64" s="11">
        <f>SUM(Y58,Y59,Y60)</f>
        <v/>
      </c>
      <c r="Z64" s="12">
        <f>SUM(Z58,Z59,Z60)</f>
        <v/>
      </c>
      <c r="AA64" s="12">
        <f>SUM(AA58,AA59,AA60)</f>
        <v/>
      </c>
      <c r="AB64" s="12">
        <f>SUM(AB58,AB59,AB60)</f>
        <v/>
      </c>
      <c r="AC64" s="12">
        <f>SUM(AC58,AC59,AC60)</f>
        <v/>
      </c>
    </row>
    <row r="65">
      <c r="A65" s="18" t="inlineStr">
        <is>
          <t>기업가치 산출</t>
        </is>
      </c>
      <c r="B65" s="18" t="n"/>
      <c r="C65" s="19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9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9" t="n"/>
      <c r="Z65" s="18" t="n"/>
      <c r="AA65" s="18" t="n"/>
      <c r="AB65" s="18" t="n"/>
      <c r="AC65" s="18" t="n"/>
    </row>
    <row r="66">
      <c r="A66" s="20" t="inlineStr">
        <is>
          <t>목표 시가총액 (P/E)</t>
        </is>
      </c>
      <c r="B66" s="10" t="inlineStr">
        <is>
          <t>지배순이익 × Target P/E</t>
        </is>
      </c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1">
        <f>IF(OR(Y44="",Y53=""),"",IFERROR(Y44*Y53,""))</f>
        <v/>
      </c>
      <c r="Z66" s="22">
        <f>IF(OR(Z44="",Z53=""),"",IFERROR(Z44*Z53,""))</f>
        <v/>
      </c>
      <c r="AA66" s="22">
        <f>IF(OR(AA44="",AA53=""),"",IFERROR(AA44*AA53,""))</f>
        <v/>
      </c>
      <c r="AB66" s="22">
        <f>IF(OR(AB44="",AB53=""),"",IFERROR(AB44*AB53,""))</f>
        <v/>
      </c>
      <c r="AC66" s="22">
        <f>IF(OR(AC44="",AC53=""),"",IFERROR(AC44*AC53,""))</f>
        <v/>
      </c>
    </row>
    <row r="67">
      <c r="A67" s="9" t="inlineStr">
        <is>
          <t>기업가치</t>
        </is>
      </c>
      <c r="B67" s="10" t="inlineStr">
        <is>
          <t>목표시총 + 자산가치</t>
        </is>
      </c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1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1">
        <f>IF(OR(Y66=""),"",IFERROR(Y66+Y64,""))</f>
        <v/>
      </c>
      <c r="Z67" s="12">
        <f>IF(OR(Z66=""),"",IFERROR(Z66+Z64,""))</f>
        <v/>
      </c>
      <c r="AA67" s="12">
        <f>IF(OR(AA66=""),"",IFERROR(AA66+AA64,""))</f>
        <v/>
      </c>
      <c r="AB67" s="12">
        <f>IF(OR(AB66=""),"",IFERROR(AB66+AB64,""))</f>
        <v/>
      </c>
      <c r="AC67" s="12">
        <f>IF(OR(AC66=""),"",IFERROR(AC66+AC64,""))</f>
        <v/>
      </c>
    </row>
    <row r="68">
      <c r="A68" s="20" t="inlineStr">
        <is>
          <t>현재 시가총액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1">
        <f>$B$49</f>
        <v/>
      </c>
      <c r="Z68" s="22">
        <f>$B$49</f>
        <v/>
      </c>
      <c r="AA68" s="22">
        <f>$B$49</f>
        <v/>
      </c>
      <c r="AB68" s="22">
        <f>$B$49</f>
        <v/>
      </c>
      <c r="AC68" s="22">
        <f>$B$49</f>
        <v/>
      </c>
    </row>
    <row r="69">
      <c r="A69" s="20" t="inlineStr">
        <is>
          <t>상승여력</t>
        </is>
      </c>
      <c r="B69" s="10" t="n"/>
      <c r="C69" s="37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7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9">
        <f>IF(OR(Y67="",Y68=""),"",IFERROR(Y67/Y68-1,""))</f>
        <v/>
      </c>
      <c r="Z69" s="40">
        <f>IF(OR(Z67="",Z68=""),"",IFERROR(Z67/Z68-1,""))</f>
        <v/>
      </c>
      <c r="AA69" s="40">
        <f>IF(OR(AA67="",AA68=""),"",IFERROR(AA67/AA68-1,""))</f>
        <v/>
      </c>
      <c r="AB69" s="40">
        <f>IF(OR(AB67="",AB68=""),"",IFERROR(AB67/AB68-1,""))</f>
        <v/>
      </c>
      <c r="AC69" s="40">
        <f>IF(OR(AC67="",AC68=""),"",IFERROR(AC67/AC68-1,""))</f>
        <v/>
      </c>
    </row>
    <row r="70">
      <c r="C70" s="41" t="n"/>
      <c r="O70" s="41" t="n"/>
      <c r="Y70" s="41" t="n"/>
    </row>
    <row r="71">
      <c r="A71" s="42" t="inlineStr">
        <is>
          <t>출처</t>
        </is>
      </c>
      <c r="C71" s="41" t="n"/>
      <c r="O71" s="41" t="n"/>
      <c r="Y71" s="41" t="n"/>
    </row>
    <row r="72">
      <c r="A72" s="43" t="inlineStr">
        <is>
          <t>결산단신 XBRL(TDnet·JPX 보관소) — 쓴 문서는 '출처' 시트</t>
        </is>
      </c>
      <c r="C72" s="41" t="n"/>
      <c r="O72" s="41" t="n"/>
      <c r="Y72" s="41" t="n"/>
    </row>
    <row r="73">
      <c r="A73" s="43" t="inlineStr">
        <is>
          <t>분기 = 누계에서 앞 분기를 뺀 3개월 값</t>
        </is>
      </c>
      <c r="C73" s="41" t="n"/>
      <c r="O73" s="41" t="n"/>
      <c r="Y73" s="41" t="n"/>
    </row>
    <row r="74">
      <c r="A74" s="43" t="inlineStr">
        <is>
          <t>주가: 야후 파이낸스 일봉</t>
        </is>
      </c>
      <c r="C74" s="41" t="n"/>
      <c r="O74" s="41" t="n"/>
      <c r="Y74" s="41" t="n"/>
    </row>
    <row r="76">
      <c r="A76" s="18" t="inlineStr">
        <is>
          <t>손익계산서 · 전 항목</t>
        </is>
      </c>
      <c r="B76" s="44" t="inlineStr">
        <is>
          <t>분기 = 3개월 단독</t>
        </is>
      </c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</row>
    <row r="77">
      <c r="A77" s="5" t="inlineStr">
        <is>
          <t>항목</t>
        </is>
      </c>
      <c r="B77" s="5" t="inlineStr">
        <is>
          <t>참고</t>
        </is>
      </c>
      <c r="C77" s="5" t="inlineStr">
        <is>
          <t>2023.4Q</t>
        </is>
      </c>
      <c r="D77" s="5" t="inlineStr">
        <is>
          <t>2024.1Q</t>
        </is>
      </c>
      <c r="E77" s="5" t="inlineStr">
        <is>
          <t>2024.2Q</t>
        </is>
      </c>
      <c r="F77" s="5" t="inlineStr">
        <is>
          <t>2024.3Q</t>
        </is>
      </c>
      <c r="G77" s="5" t="inlineStr">
        <is>
          <t>2024.4Q</t>
        </is>
      </c>
      <c r="H77" s="5" t="inlineStr">
        <is>
          <t>2025.1Q</t>
        </is>
      </c>
      <c r="I77" s="5" t="inlineStr">
        <is>
          <t>2025.2Q</t>
        </is>
      </c>
      <c r="J77" s="5" t="inlineStr">
        <is>
          <t>2025.3Q</t>
        </is>
      </c>
      <c r="K77" s="5" t="inlineStr">
        <is>
          <t>2025.4Q</t>
        </is>
      </c>
      <c r="L77" s="5" t="inlineStr">
        <is>
          <t>2026.1Q</t>
        </is>
      </c>
      <c r="M77" s="5" t="inlineStr">
        <is>
          <t>2026.2Q</t>
        </is>
      </c>
      <c r="N77" s="5" t="inlineStr">
        <is>
          <t>2026.3Q</t>
        </is>
      </c>
      <c r="O77" s="5" t="inlineStr">
        <is>
          <t>2016</t>
        </is>
      </c>
      <c r="P77" s="5" t="inlineStr">
        <is>
          <t>2017</t>
        </is>
      </c>
      <c r="Q77" s="5" t="inlineStr">
        <is>
          <t>2018</t>
        </is>
      </c>
      <c r="R77" s="5" t="inlineStr">
        <is>
          <t>2019</t>
        </is>
      </c>
      <c r="S77" s="5" t="inlineStr">
        <is>
          <t>2020</t>
        </is>
      </c>
      <c r="T77" s="5" t="inlineStr">
        <is>
          <t>2021</t>
        </is>
      </c>
      <c r="U77" s="5" t="inlineStr">
        <is>
          <t>2022</t>
        </is>
      </c>
      <c r="V77" s="5" t="inlineStr">
        <is>
          <t>2023</t>
        </is>
      </c>
      <c r="W77" s="5" t="inlineStr">
        <is>
          <t>2024</t>
        </is>
      </c>
      <c r="X77" s="5" t="inlineStr">
        <is>
          <t>2025</t>
        </is>
      </c>
      <c r="Y77" s="5" t="inlineStr">
        <is>
          <t>2026(MW)</t>
        </is>
      </c>
      <c r="Z77" s="5" t="inlineStr">
        <is>
          <t>2027(MW)</t>
        </is>
      </c>
      <c r="AA77" s="5" t="inlineStr">
        <is>
          <t>2028(MW)</t>
        </is>
      </c>
      <c r="AB77" s="5" t="inlineStr">
        <is>
          <t>2029(MW)</t>
        </is>
      </c>
      <c r="AC77" s="5" t="inlineStr">
        <is>
          <t>2030(MW)</t>
        </is>
      </c>
    </row>
    <row r="78">
      <c r="A78" s="9" t="inlineStr">
        <is>
          <t>매출액</t>
        </is>
      </c>
      <c r="C78" s="12" t="n">
        <v>625.325</v>
      </c>
      <c r="D78" s="12" t="n">
        <v>432.209</v>
      </c>
      <c r="E78" s="12" t="n">
        <v>776.189</v>
      </c>
      <c r="F78" s="12" t="n">
        <v>648.645</v>
      </c>
      <c r="G78" s="12" t="n">
        <v>688.681</v>
      </c>
      <c r="H78" s="12" t="n">
        <v>715.427</v>
      </c>
      <c r="I78" s="12" t="n">
        <v>974.97</v>
      </c>
      <c r="J78" s="12" t="n">
        <v>1030.824</v>
      </c>
      <c r="K78" s="12" t="n">
        <v>1173.891</v>
      </c>
      <c r="L78" s="12" t="n">
        <v>1291.889</v>
      </c>
      <c r="M78" s="12" t="n">
        <v>1507.116</v>
      </c>
      <c r="N78" s="12" t="n">
        <v>1530.395</v>
      </c>
      <c r="U78" s="12" t="n">
        <v>393.983</v>
      </c>
      <c r="V78" s="12" t="n">
        <v>625.325</v>
      </c>
      <c r="W78" s="12" t="n">
        <v>688.681</v>
      </c>
      <c r="X78" s="12" t="n">
        <v>1173.891</v>
      </c>
    </row>
    <row r="79">
      <c r="A79" s="45" t="inlineStr">
        <is>
          <t>YoY</t>
        </is>
      </c>
      <c r="B79" s="3" t="inlineStr">
        <is>
          <t>전년 같은 분기·전년 대비</t>
        </is>
      </c>
      <c r="G79" s="17">
        <f>IF(OR(G78="",C78=""),"",IF(C78&lt;=0,"",IFERROR(G78/C78-1,"")))</f>
        <v/>
      </c>
      <c r="H79" s="17">
        <f>IF(OR(H78="",D78=""),"",IF(D78&lt;=0,"",IFERROR(H78/D78-1,"")))</f>
        <v/>
      </c>
      <c r="I79" s="17">
        <f>IF(OR(I78="",E78=""),"",IF(E78&lt;=0,"",IFERROR(I78/E78-1,"")))</f>
        <v/>
      </c>
      <c r="J79" s="17">
        <f>IF(OR(J78="",F78=""),"",IF(F78&lt;=0,"",IFERROR(J78/F78-1,"")))</f>
        <v/>
      </c>
      <c r="K79" s="17">
        <f>IF(OR(K78="",G78=""),"",IF(G78&lt;=0,"",IFERROR(K78/G78-1,"")))</f>
        <v/>
      </c>
      <c r="L79" s="17">
        <f>IF(OR(L78="",H78=""),"",IF(H78&lt;=0,"",IFERROR(L78/H78-1,"")))</f>
        <v/>
      </c>
      <c r="M79" s="17">
        <f>IF(OR(M78="",I78=""),"",IF(I78&lt;=0,"",IFERROR(M78/I78-1,"")))</f>
        <v/>
      </c>
      <c r="N79" s="17">
        <f>IF(OR(N78="",J78=""),"",IF(J78&lt;=0,"",IFERROR(N78/J78-1,"")))</f>
        <v/>
      </c>
      <c r="U79" s="17">
        <f>IF(OR(U78="",T78=""),"",IF(T78&lt;=0,"",IFERROR(U78/T78-1,"")))</f>
        <v/>
      </c>
      <c r="V79" s="17">
        <f>IF(OR(V78="",U78=""),"",IF(U78&lt;=0,"",IFERROR(V78/U78-1,"")))</f>
        <v/>
      </c>
      <c r="W79" s="17">
        <f>IF(OR(W78="",V78=""),"",IF(V78&lt;=0,"",IFERROR(W78/V78-1,"")))</f>
        <v/>
      </c>
      <c r="X79" s="17">
        <f>IF(OR(X78="",W78=""),"",IF(W78&lt;=0,"",IFERROR(X78/W78-1,"")))</f>
        <v/>
      </c>
    </row>
    <row r="80">
      <c r="A80" s="20" t="inlineStr">
        <is>
          <t>매출원가</t>
        </is>
      </c>
      <c r="C80" s="22" t="n">
        <v>158.292</v>
      </c>
      <c r="D80" s="22" t="n">
        <v>48.546</v>
      </c>
      <c r="E80" s="22" t="n">
        <v>102.579</v>
      </c>
      <c r="F80" s="22" t="n">
        <v>107.472</v>
      </c>
      <c r="G80" s="22" t="n">
        <v>103.755</v>
      </c>
      <c r="H80" s="22" t="n">
        <v>81.011</v>
      </c>
      <c r="I80" s="22" t="n">
        <v>224.44</v>
      </c>
      <c r="J80" s="22" t="n">
        <v>276.551</v>
      </c>
      <c r="K80" s="22" t="n">
        <v>294.561</v>
      </c>
      <c r="L80" s="22" t="n">
        <v>311.234</v>
      </c>
      <c r="M80" s="22" t="n">
        <v>310.66</v>
      </c>
      <c r="N80" s="22" t="n">
        <v>334.342</v>
      </c>
      <c r="U80" s="22" t="n">
        <v>107.18</v>
      </c>
      <c r="V80" s="22" t="n">
        <v>158.292</v>
      </c>
      <c r="W80" s="22" t="n">
        <v>103.755</v>
      </c>
      <c r="X80" s="22" t="n">
        <v>294.561</v>
      </c>
    </row>
    <row r="81">
      <c r="A81" s="9" t="inlineStr">
        <is>
          <t>매출총이익</t>
        </is>
      </c>
      <c r="C81" s="12" t="n">
        <v>467.034</v>
      </c>
      <c r="D81" s="12" t="n">
        <v>383.662</v>
      </c>
      <c r="E81" s="12" t="n">
        <v>673.611</v>
      </c>
      <c r="F81" s="12" t="n">
        <v>541.173</v>
      </c>
      <c r="G81" s="12" t="n">
        <v>584.925</v>
      </c>
      <c r="H81" s="12" t="n">
        <v>634.4160000000001</v>
      </c>
      <c r="I81" s="12" t="n">
        <v>750.529</v>
      </c>
      <c r="J81" s="12" t="n">
        <v>754.274</v>
      </c>
      <c r="K81" s="12" t="n">
        <v>879.329</v>
      </c>
      <c r="L81" s="12" t="n">
        <v>980.655</v>
      </c>
      <c r="M81" s="12" t="n">
        <v>1196.456</v>
      </c>
      <c r="N81" s="12" t="n">
        <v>1196.053</v>
      </c>
      <c r="U81" s="12" t="n">
        <v>286.802</v>
      </c>
      <c r="V81" s="12" t="n">
        <v>467.034</v>
      </c>
      <c r="W81" s="12" t="n">
        <v>584.925</v>
      </c>
      <c r="X81" s="12" t="n">
        <v>879.329</v>
      </c>
    </row>
    <row r="82">
      <c r="A82" s="45" t="inlineStr">
        <is>
          <t>YoY</t>
        </is>
      </c>
      <c r="B82" s="3" t="inlineStr">
        <is>
          <t>전년 같은 분기·전년 대비</t>
        </is>
      </c>
      <c r="G82" s="17">
        <f>IF(OR(G81="",C81=""),"",IF(C81&lt;=0,"",IFERROR(G81/C81-1,"")))</f>
        <v/>
      </c>
      <c r="H82" s="17">
        <f>IF(OR(H81="",D81=""),"",IF(D81&lt;=0,"",IFERROR(H81/D81-1,"")))</f>
        <v/>
      </c>
      <c r="I82" s="17">
        <f>IF(OR(I81="",E81=""),"",IF(E81&lt;=0,"",IFERROR(I81/E81-1,"")))</f>
        <v/>
      </c>
      <c r="J82" s="17">
        <f>IF(OR(J81="",F81=""),"",IF(F81&lt;=0,"",IFERROR(J81/F81-1,"")))</f>
        <v/>
      </c>
      <c r="K82" s="17">
        <f>IF(OR(K81="",G81=""),"",IF(G81&lt;=0,"",IFERROR(K81/G81-1,"")))</f>
        <v/>
      </c>
      <c r="L82" s="17">
        <f>IF(OR(L81="",H81=""),"",IF(H81&lt;=0,"",IFERROR(L81/H81-1,"")))</f>
        <v/>
      </c>
      <c r="M82" s="17">
        <f>IF(OR(M81="",I81=""),"",IF(I81&lt;=0,"",IFERROR(M81/I81-1,"")))</f>
        <v/>
      </c>
      <c r="N82" s="17">
        <f>IF(OR(N81="",J81=""),"",IF(J81&lt;=0,"",IFERROR(N81/J81-1,"")))</f>
        <v/>
      </c>
      <c r="U82" s="17">
        <f>IF(OR(U81="",T81=""),"",IF(T81&lt;=0,"",IFERROR(U81/T81-1,"")))</f>
        <v/>
      </c>
      <c r="V82" s="17">
        <f>IF(OR(V81="",U81=""),"",IF(U81&lt;=0,"",IFERROR(V81/U81-1,"")))</f>
        <v/>
      </c>
      <c r="W82" s="17">
        <f>IF(OR(W81="",V81=""),"",IF(V81&lt;=0,"",IFERROR(W81/V81-1,"")))</f>
        <v/>
      </c>
      <c r="X82" s="17">
        <f>IF(OR(X81="",W81=""),"",IF(W81&lt;=0,"",IFERROR(X81/W81-1,"")))</f>
        <v/>
      </c>
    </row>
    <row r="83">
      <c r="A83" s="20" t="inlineStr">
        <is>
          <t>판매비와 관리비</t>
        </is>
      </c>
      <c r="C83" s="22" t="n">
        <v>388.803</v>
      </c>
      <c r="D83" s="22" t="n">
        <v>366.781</v>
      </c>
      <c r="E83" s="22" t="n">
        <v>543.199</v>
      </c>
      <c r="F83" s="22" t="n">
        <v>578.0599999999999</v>
      </c>
      <c r="G83" s="22" t="n">
        <v>637.415</v>
      </c>
      <c r="H83" s="22" t="n">
        <v>648.3200000000001</v>
      </c>
      <c r="I83" s="22" t="n">
        <v>719.607</v>
      </c>
      <c r="J83" s="22" t="n">
        <v>907.763</v>
      </c>
      <c r="K83" s="22" t="n">
        <v>958.174</v>
      </c>
      <c r="L83" s="22" t="n">
        <v>860.9160000000001</v>
      </c>
      <c r="M83" s="22" t="n">
        <v>988.5309999999999</v>
      </c>
      <c r="N83" s="22" t="n">
        <v>1065.813</v>
      </c>
      <c r="U83" s="22" t="n">
        <v>420.593</v>
      </c>
      <c r="V83" s="22" t="n">
        <v>388.803</v>
      </c>
      <c r="W83" s="22" t="n">
        <v>637.415</v>
      </c>
      <c r="X83" s="22" t="n">
        <v>958.174</v>
      </c>
    </row>
    <row r="84">
      <c r="A84" s="9" t="inlineStr">
        <is>
          <t>영업이익(손실)</t>
        </is>
      </c>
      <c r="C84" s="12" t="n">
        <v>78.23099999999999</v>
      </c>
      <c r="D84" s="12" t="n">
        <v>16.88</v>
      </c>
      <c r="E84" s="12" t="n">
        <v>130.413</v>
      </c>
      <c r="F84" s="12" t="n">
        <v>-36.887</v>
      </c>
      <c r="G84" s="12" t="n">
        <v>-52.49</v>
      </c>
      <c r="H84" s="12" t="n">
        <v>-13.904</v>
      </c>
      <c r="I84" s="12" t="n">
        <v>30.922</v>
      </c>
      <c r="J84" s="12" t="n">
        <v>-153.488</v>
      </c>
      <c r="K84" s="12" t="n">
        <v>-78.846</v>
      </c>
      <c r="L84" s="12" t="n">
        <v>119.738</v>
      </c>
      <c r="M84" s="12" t="n">
        <v>207.925</v>
      </c>
      <c r="N84" s="12" t="n">
        <v>130.24</v>
      </c>
      <c r="U84" s="12" t="n">
        <v>-133.791</v>
      </c>
      <c r="V84" s="12" t="n">
        <v>78.23099999999999</v>
      </c>
      <c r="W84" s="12" t="n">
        <v>-52.49</v>
      </c>
      <c r="X84" s="12" t="n">
        <v>-78.846</v>
      </c>
    </row>
    <row r="85">
      <c r="A85" s="45" t="inlineStr">
        <is>
          <t>OPM</t>
        </is>
      </c>
      <c r="B85" s="3" t="inlineStr">
        <is>
          <t>영업이익 ÷ 매출</t>
        </is>
      </c>
      <c r="C85" s="17">
        <f>IF(OR(C84="",C78=""),"",IF(C78&lt;=0,"",IFERROR(C84/C78,"")))</f>
        <v/>
      </c>
      <c r="D85" s="17">
        <f>IF(OR(D84="",D78=""),"",IF(D78&lt;=0,"",IFERROR(D84/D78,"")))</f>
        <v/>
      </c>
      <c r="E85" s="17">
        <f>IF(OR(E84="",E78=""),"",IF(E78&lt;=0,"",IFERROR(E84/E78,"")))</f>
        <v/>
      </c>
      <c r="F85" s="17">
        <f>IF(OR(F84="",F78=""),"",IF(F78&lt;=0,"",IFERROR(F84/F78,"")))</f>
        <v/>
      </c>
      <c r="G85" s="17">
        <f>IF(OR(G84="",G78=""),"",IF(G78&lt;=0,"",IFERROR(G84/G78,"")))</f>
        <v/>
      </c>
      <c r="H85" s="17">
        <f>IF(OR(H84="",H78=""),"",IF(H78&lt;=0,"",IFERROR(H84/H78,"")))</f>
        <v/>
      </c>
      <c r="I85" s="17">
        <f>IF(OR(I84="",I78=""),"",IF(I78&lt;=0,"",IFERROR(I84/I78,"")))</f>
        <v/>
      </c>
      <c r="J85" s="17">
        <f>IF(OR(J84="",J78=""),"",IF(J78&lt;=0,"",IFERROR(J84/J78,"")))</f>
        <v/>
      </c>
      <c r="K85" s="17">
        <f>IF(OR(K84="",K78=""),"",IF(K78&lt;=0,"",IFERROR(K84/K78,"")))</f>
        <v/>
      </c>
      <c r="L85" s="17">
        <f>IF(OR(L84="",L78=""),"",IF(L78&lt;=0,"",IFERROR(L84/L78,"")))</f>
        <v/>
      </c>
      <c r="M85" s="17">
        <f>IF(OR(M84="",M78=""),"",IF(M78&lt;=0,"",IFERROR(M84/M78,"")))</f>
        <v/>
      </c>
      <c r="N85" s="17">
        <f>IF(OR(N84="",N78=""),"",IF(N78&lt;=0,"",IFERROR(N84/N78,"")))</f>
        <v/>
      </c>
      <c r="U85" s="17">
        <f>IF(OR(U84="",U78=""),"",IF(U78&lt;=0,"",IFERROR(U84/U78,"")))</f>
        <v/>
      </c>
      <c r="V85" s="17">
        <f>IF(OR(V84="",V78=""),"",IF(V78&lt;=0,"",IFERROR(V84/V78,"")))</f>
        <v/>
      </c>
      <c r="W85" s="17">
        <f>IF(OR(W84="",W78=""),"",IF(W78&lt;=0,"",IFERROR(W84/W78,"")))</f>
        <v/>
      </c>
      <c r="X85" s="17">
        <f>IF(OR(X84="",X78=""),"",IF(X78&lt;=0,"",IFERROR(X84/X78,"")))</f>
        <v/>
      </c>
    </row>
    <row r="86">
      <c r="A86" s="45" t="inlineStr">
        <is>
          <t>YoY</t>
        </is>
      </c>
      <c r="B86" s="3" t="inlineStr">
        <is>
          <t>전년 같은 분기·전년 대비</t>
        </is>
      </c>
      <c r="G86" s="17">
        <f>IF(OR(G84="",C84=""),"",IF(C84&lt;=0,"",IFERROR(G84/C84-1,"")))</f>
        <v/>
      </c>
      <c r="H86" s="17">
        <f>IF(OR(H84="",D84=""),"",IF(D84&lt;=0,"",IFERROR(H84/D84-1,"")))</f>
        <v/>
      </c>
      <c r="I86" s="17">
        <f>IF(OR(I84="",E84=""),"",IF(E84&lt;=0,"",IFERROR(I84/E84-1,"")))</f>
        <v/>
      </c>
      <c r="J86" s="17">
        <f>IF(OR(J84="",F84=""),"",IF(F84&lt;=0,"",IFERROR(J84/F84-1,"")))</f>
        <v/>
      </c>
      <c r="K86" s="17">
        <f>IF(OR(K84="",G84=""),"",IF(G84&lt;=0,"",IFERROR(K84/G84-1,"")))</f>
        <v/>
      </c>
      <c r="L86" s="17">
        <f>IF(OR(L84="",H84=""),"",IF(H84&lt;=0,"",IFERROR(L84/H84-1,"")))</f>
        <v/>
      </c>
      <c r="M86" s="17">
        <f>IF(OR(M84="",I84=""),"",IF(I84&lt;=0,"",IFERROR(M84/I84-1,"")))</f>
        <v/>
      </c>
      <c r="N86" s="17">
        <f>IF(OR(N84="",J84=""),"",IF(J84&lt;=0,"",IFERROR(N84/J84-1,"")))</f>
        <v/>
      </c>
      <c r="U86" s="17">
        <f>IF(OR(U84="",T84=""),"",IF(T84&lt;=0,"",IFERROR(U84/T84-1,"")))</f>
        <v/>
      </c>
      <c r="V86" s="17">
        <f>IF(OR(V84="",U84=""),"",IF(U84&lt;=0,"",IFERROR(V84/U84-1,"")))</f>
        <v/>
      </c>
      <c r="W86" s="17">
        <f>IF(OR(W84="",V84=""),"",IF(V84&lt;=0,"",IFERROR(W84/V84-1,"")))</f>
        <v/>
      </c>
      <c r="X86" s="17">
        <f>IF(OR(X84="",W84=""),"",IF(W84&lt;=0,"",IFERROR(X84/W84-1,"")))</f>
        <v/>
      </c>
    </row>
    <row r="87">
      <c r="A87" s="20" t="inlineStr">
        <is>
          <t>잡이익</t>
        </is>
      </c>
      <c r="C87" s="22" t="n">
        <v>0.202</v>
      </c>
      <c r="D87" s="22" t="n">
        <v>0.224</v>
      </c>
      <c r="E87" s="22" t="n">
        <v>0.22</v>
      </c>
      <c r="F87" s="22" t="n">
        <v>0.029</v>
      </c>
      <c r="U87" s="22" t="n">
        <v>0</v>
      </c>
      <c r="V87" s="22" t="n">
        <v>0.202</v>
      </c>
    </row>
    <row r="88">
      <c r="A88" s="20" t="inlineStr">
        <is>
          <t>이자수익</t>
        </is>
      </c>
      <c r="C88" s="22" t="n">
        <v>0.001</v>
      </c>
      <c r="D88" s="22" t="n">
        <v>0.012</v>
      </c>
      <c r="E88" s="22" t="n">
        <v>0.011</v>
      </c>
      <c r="F88" s="22" t="n">
        <v>0.179</v>
      </c>
      <c r="G88" s="22" t="n">
        <v>0.093</v>
      </c>
      <c r="H88" s="22" t="n">
        <v>1.097</v>
      </c>
      <c r="I88" s="22" t="n">
        <v>0.208</v>
      </c>
      <c r="J88" s="22" t="n">
        <v>1.515</v>
      </c>
      <c r="K88" s="22" t="n">
        <v>0.718</v>
      </c>
      <c r="L88" s="22" t="n">
        <v>2.82</v>
      </c>
      <c r="M88" s="22" t="n">
        <v>0.657</v>
      </c>
      <c r="N88" s="22" t="n">
        <v>3.538</v>
      </c>
      <c r="U88" s="22" t="n">
        <v>0.002</v>
      </c>
      <c r="V88" s="22" t="n">
        <v>0.001</v>
      </c>
      <c r="W88" s="22" t="n">
        <v>0.093</v>
      </c>
      <c r="X88" s="22" t="n">
        <v>0.718</v>
      </c>
    </row>
    <row r="89">
      <c r="A89" s="20" t="inlineStr">
        <is>
          <t>보조금 수입</t>
        </is>
      </c>
      <c r="C89" s="22" t="n">
        <v>0</v>
      </c>
      <c r="U89" s="22" t="n">
        <v>0</v>
      </c>
      <c r="V89" s="22" t="n">
        <v>0</v>
      </c>
    </row>
    <row r="90">
      <c r="A90" s="20" t="inlineStr">
        <is>
          <t>기타</t>
        </is>
      </c>
      <c r="C90" s="22" t="n">
        <v>1.071</v>
      </c>
      <c r="D90" s="22" t="n">
        <v>0.234</v>
      </c>
      <c r="E90" s="22" t="n">
        <v>0.229</v>
      </c>
      <c r="F90" s="22" t="n">
        <v>0.03</v>
      </c>
      <c r="G90" s="22" t="n">
        <v>0.021</v>
      </c>
      <c r="H90" s="22" t="n">
        <v>0.008</v>
      </c>
      <c r="I90" s="22" t="n">
        <v>0.254</v>
      </c>
      <c r="J90" s="22" t="n">
        <v>0.014</v>
      </c>
      <c r="K90" s="22" t="n">
        <v>0.218</v>
      </c>
      <c r="L90" s="22" t="n">
        <v>0.667</v>
      </c>
      <c r="M90" s="22" t="n">
        <v>0.367</v>
      </c>
      <c r="N90" s="22" t="n">
        <v>0.05</v>
      </c>
      <c r="U90" s="22" t="n">
        <v>3.253</v>
      </c>
      <c r="V90" s="22" t="n">
        <v>1.071</v>
      </c>
      <c r="W90" s="22" t="n">
        <v>0.021</v>
      </c>
      <c r="X90" s="22" t="n">
        <v>0.218</v>
      </c>
    </row>
    <row r="91">
      <c r="A91" s="20" t="inlineStr">
        <is>
          <t>영업외수익 합계</t>
        </is>
      </c>
      <c r="C91" s="22" t="n">
        <v>0.206</v>
      </c>
      <c r="D91" s="22" t="n">
        <v>0.247</v>
      </c>
      <c r="E91" s="22" t="n">
        <v>0.24</v>
      </c>
      <c r="F91" s="22" t="n">
        <v>0.209</v>
      </c>
      <c r="G91" s="22" t="n">
        <v>0.312</v>
      </c>
      <c r="H91" s="22" t="n">
        <v>1.105</v>
      </c>
      <c r="I91" s="22" t="n">
        <v>0.462</v>
      </c>
      <c r="J91" s="22" t="n">
        <v>1.53</v>
      </c>
      <c r="K91" s="22" t="n">
        <v>0.9350000000000001</v>
      </c>
      <c r="L91" s="22" t="n">
        <v>3.488</v>
      </c>
      <c r="M91" s="22" t="n">
        <v>1.024</v>
      </c>
      <c r="N91" s="22" t="n">
        <v>3.588</v>
      </c>
      <c r="U91" s="22" t="n">
        <v>8.198</v>
      </c>
      <c r="V91" s="22" t="n">
        <v>0.206</v>
      </c>
      <c r="W91" s="22" t="n">
        <v>0.312</v>
      </c>
      <c r="X91" s="22" t="n">
        <v>0.9350000000000001</v>
      </c>
    </row>
    <row r="92">
      <c r="A92" s="20" t="inlineStr">
        <is>
          <t>이자비용</t>
        </is>
      </c>
      <c r="C92" s="22" t="n">
        <v>3.744</v>
      </c>
      <c r="D92" s="22" t="n">
        <v>4.102</v>
      </c>
      <c r="E92" s="22" t="n">
        <v>7.754</v>
      </c>
      <c r="F92" s="22" t="n">
        <v>6.753</v>
      </c>
      <c r="G92" s="22" t="n">
        <v>7.05</v>
      </c>
      <c r="H92" s="22" t="n">
        <v>6.369</v>
      </c>
      <c r="I92" s="22" t="n">
        <v>9.956</v>
      </c>
      <c r="J92" s="22" t="n">
        <v>12.668</v>
      </c>
      <c r="K92" s="22" t="n">
        <v>12.962</v>
      </c>
      <c r="L92" s="22" t="n">
        <v>11.039</v>
      </c>
      <c r="M92" s="22" t="n">
        <v>10.367</v>
      </c>
      <c r="N92" s="22" t="n">
        <v>10.527</v>
      </c>
      <c r="U92" s="22" t="n">
        <v>3.267</v>
      </c>
      <c r="V92" s="22" t="n">
        <v>3.744</v>
      </c>
      <c r="W92" s="22" t="n">
        <v>7.05</v>
      </c>
      <c r="X92" s="22" t="n">
        <v>12.962</v>
      </c>
    </row>
    <row r="93">
      <c r="A93" s="20" t="inlineStr">
        <is>
          <t>지분법손실</t>
        </is>
      </c>
      <c r="C93" s="22" t="n">
        <v>9.875</v>
      </c>
      <c r="D93" s="22" t="n">
        <v>9.048</v>
      </c>
      <c r="E93" s="22" t="n">
        <v>5.731</v>
      </c>
      <c r="F93" s="22" t="n">
        <v>5.718</v>
      </c>
      <c r="G93" s="22" t="n">
        <v>5.123</v>
      </c>
      <c r="H93" s="22" t="n">
        <v>4.102</v>
      </c>
      <c r="I93" s="22" t="n">
        <v>2.331</v>
      </c>
      <c r="J93" s="22" t="n">
        <v>3.924</v>
      </c>
      <c r="K93" s="22" t="n">
        <v>2.796</v>
      </c>
      <c r="L93" s="22" t="n">
        <v>3.78</v>
      </c>
      <c r="M93" s="22" t="n">
        <v>1.995</v>
      </c>
      <c r="N93" s="22" t="n">
        <v>3.47</v>
      </c>
      <c r="U93" s="22" t="n">
        <v>0</v>
      </c>
      <c r="V93" s="22" t="n">
        <v>9.875</v>
      </c>
      <c r="W93" s="22" t="n">
        <v>5.123</v>
      </c>
      <c r="X93" s="22" t="n">
        <v>2.796</v>
      </c>
    </row>
    <row r="94">
      <c r="A94" s="20" t="inlineStr">
        <is>
          <t>상장 관련 비용</t>
        </is>
      </c>
      <c r="C94" s="22" t="n">
        <v>0</v>
      </c>
      <c r="D94" s="22" t="n">
        <v>0</v>
      </c>
      <c r="E94" s="22" t="n">
        <v>0</v>
      </c>
      <c r="F94" s="22" t="n">
        <v>0</v>
      </c>
      <c r="G94" s="22" t="n">
        <v>0</v>
      </c>
      <c r="U94" s="22" t="n">
        <v>11.836</v>
      </c>
      <c r="V94" s="22" t="n">
        <v>0</v>
      </c>
      <c r="W94" s="22" t="n">
        <v>0</v>
      </c>
    </row>
    <row r="95">
      <c r="A95" s="20" t="inlineStr">
        <is>
          <t>이연자산 상각</t>
        </is>
      </c>
      <c r="C95" s="22" t="n">
        <v>0</v>
      </c>
      <c r="D95" s="22" t="n">
        <v>18.176</v>
      </c>
      <c r="E95" s="22" t="n">
        <v>0</v>
      </c>
      <c r="F95" s="22" t="n">
        <v>0</v>
      </c>
      <c r="G95" s="22" t="n">
        <v>0</v>
      </c>
      <c r="H95" s="22" t="n">
        <v>0</v>
      </c>
      <c r="I95" s="22" t="n">
        <v>0</v>
      </c>
      <c r="J95" s="22" t="n">
        <v>0</v>
      </c>
      <c r="K95" s="22" t="n">
        <v>0</v>
      </c>
      <c r="V95" s="22" t="n">
        <v>0</v>
      </c>
      <c r="W95" s="22" t="n">
        <v>0</v>
      </c>
      <c r="X95" s="22" t="n">
        <v>0</v>
      </c>
    </row>
    <row r="96">
      <c r="A96" s="20" t="inlineStr">
        <is>
          <t>관계회사 주식 평가손실</t>
        </is>
      </c>
      <c r="C96" s="22" t="n">
        <v>6.204</v>
      </c>
      <c r="U96" s="22" t="n">
        <v>0</v>
      </c>
      <c r="V96" s="22" t="n">
        <v>6.204</v>
      </c>
    </row>
    <row r="97">
      <c r="A97" s="20" t="inlineStr">
        <is>
          <t>기타</t>
        </is>
      </c>
      <c r="C97" s="22" t="n">
        <v>5.931</v>
      </c>
      <c r="D97" s="22" t="n">
        <v>1.142</v>
      </c>
      <c r="E97" s="22" t="n">
        <v>3.316</v>
      </c>
      <c r="F97" s="22" t="n">
        <v>4.323</v>
      </c>
      <c r="G97" s="22" t="n">
        <v>-1.536</v>
      </c>
      <c r="H97" s="22" t="n">
        <v>1.693</v>
      </c>
      <c r="I97" s="22" t="n">
        <v>3.136</v>
      </c>
      <c r="J97" s="22" t="n">
        <v>1.578</v>
      </c>
      <c r="K97" s="22" t="n">
        <v>-2.887</v>
      </c>
      <c r="L97" s="22" t="n">
        <v>2.772</v>
      </c>
      <c r="M97" s="22" t="n">
        <v>3.625</v>
      </c>
      <c r="N97" s="22" t="n">
        <v>4.772</v>
      </c>
      <c r="U97" s="22" t="n">
        <v>2.091</v>
      </c>
      <c r="V97" s="22" t="n">
        <v>5.931</v>
      </c>
      <c r="W97" s="22" t="n">
        <v>-1.536</v>
      </c>
      <c r="X97" s="22" t="n">
        <v>-2.887</v>
      </c>
    </row>
    <row r="98">
      <c r="A98" s="20" t="inlineStr">
        <is>
          <t>영업외비용 합계</t>
        </is>
      </c>
      <c r="C98" s="22" t="n">
        <v>25.754</v>
      </c>
      <c r="D98" s="22" t="n">
        <v>32.47</v>
      </c>
      <c r="E98" s="22" t="n">
        <v>16.8</v>
      </c>
      <c r="F98" s="22" t="n">
        <v>16.794</v>
      </c>
      <c r="G98" s="22" t="n">
        <v>20.15</v>
      </c>
      <c r="H98" s="22" t="n">
        <v>12.166</v>
      </c>
      <c r="I98" s="22" t="n">
        <v>15.421</v>
      </c>
      <c r="J98" s="22" t="n">
        <v>18.171</v>
      </c>
      <c r="K98" s="22" t="n">
        <v>44.37</v>
      </c>
      <c r="L98" s="22" t="n">
        <v>17.592</v>
      </c>
      <c r="M98" s="22" t="n">
        <v>15.987</v>
      </c>
      <c r="N98" s="22" t="n">
        <v>18.77</v>
      </c>
      <c r="U98" s="22" t="n">
        <v>17.194</v>
      </c>
      <c r="V98" s="22" t="n">
        <v>25.754</v>
      </c>
      <c r="W98" s="22" t="n">
        <v>20.15</v>
      </c>
      <c r="X98" s="22" t="n">
        <v>44.37</v>
      </c>
    </row>
    <row r="99">
      <c r="A99" s="9" t="inlineStr">
        <is>
          <t>경상이익(손실)</t>
        </is>
      </c>
      <c r="C99" s="12" t="n">
        <v>52.682</v>
      </c>
      <c r="D99" s="12" t="n">
        <v>-15.342</v>
      </c>
      <c r="E99" s="12" t="n">
        <v>113.851</v>
      </c>
      <c r="F99" s="12" t="n">
        <v>-53.472</v>
      </c>
      <c r="G99" s="12" t="n">
        <v>-72.327</v>
      </c>
      <c r="H99" s="12" t="n">
        <v>-24.965</v>
      </c>
      <c r="I99" s="12" t="n">
        <v>15.963</v>
      </c>
      <c r="J99" s="12" t="n">
        <v>-170.129</v>
      </c>
      <c r="K99" s="12" t="n">
        <v>-122.28</v>
      </c>
      <c r="L99" s="12" t="n">
        <v>105.634</v>
      </c>
      <c r="M99" s="12" t="n">
        <v>192.962</v>
      </c>
      <c r="N99" s="12" t="n">
        <v>115.058</v>
      </c>
      <c r="U99" s="12" t="n">
        <v>-142.787</v>
      </c>
      <c r="V99" s="12" t="n">
        <v>52.682</v>
      </c>
      <c r="W99" s="12" t="n">
        <v>-72.327</v>
      </c>
      <c r="X99" s="12" t="n">
        <v>-122.28</v>
      </c>
    </row>
    <row r="100">
      <c r="A100" s="45" t="inlineStr">
        <is>
          <t>YoY</t>
        </is>
      </c>
      <c r="B100" s="3" t="inlineStr">
        <is>
          <t>전년 같은 분기·전년 대비</t>
        </is>
      </c>
      <c r="G100" s="17">
        <f>IF(OR(G99="",C99=""),"",IF(C99&lt;=0,"",IFERROR(G99/C99-1,"")))</f>
        <v/>
      </c>
      <c r="H100" s="17">
        <f>IF(OR(H99="",D99=""),"",IF(D99&lt;=0,"",IFERROR(H99/D99-1,"")))</f>
        <v/>
      </c>
      <c r="I100" s="17">
        <f>IF(OR(I99="",E99=""),"",IF(E99&lt;=0,"",IFERROR(I99/E99-1,"")))</f>
        <v/>
      </c>
      <c r="J100" s="17">
        <f>IF(OR(J99="",F99=""),"",IF(F99&lt;=0,"",IFERROR(J99/F99-1,"")))</f>
        <v/>
      </c>
      <c r="K100" s="17">
        <f>IF(OR(K99="",G99=""),"",IF(G99&lt;=0,"",IFERROR(K99/G99-1,"")))</f>
        <v/>
      </c>
      <c r="L100" s="17">
        <f>IF(OR(L99="",H99=""),"",IF(H99&lt;=0,"",IFERROR(L99/H99-1,"")))</f>
        <v/>
      </c>
      <c r="M100" s="17">
        <f>IF(OR(M99="",I99=""),"",IF(I99&lt;=0,"",IFERROR(M99/I99-1,"")))</f>
        <v/>
      </c>
      <c r="N100" s="17">
        <f>IF(OR(N99="",J99=""),"",IF(J99&lt;=0,"",IFERROR(N99/J99-1,"")))</f>
        <v/>
      </c>
      <c r="U100" s="17">
        <f>IF(OR(U99="",T99=""),"",IF(T99&lt;=0,"",IFERROR(U99/T99-1,"")))</f>
        <v/>
      </c>
      <c r="V100" s="17">
        <f>IF(OR(V99="",U99=""),"",IF(U99&lt;=0,"",IFERROR(V99/U99-1,"")))</f>
        <v/>
      </c>
      <c r="W100" s="17">
        <f>IF(OR(W99="",V99=""),"",IF(V99&lt;=0,"",IFERROR(W99/V99-1,"")))</f>
        <v/>
      </c>
      <c r="X100" s="17">
        <f>IF(OR(X99="",W99=""),"",IF(W99&lt;=0,"",IFERROR(X99/W99-1,"")))</f>
        <v/>
      </c>
    </row>
    <row r="101">
      <c r="A101" s="20" t="inlineStr">
        <is>
          <t>관계회사 주식 매각이익</t>
        </is>
      </c>
      <c r="C101" s="22" t="n">
        <v>0</v>
      </c>
      <c r="F101" s="22" t="n">
        <v>0</v>
      </c>
      <c r="G101" s="22" t="n">
        <v>0</v>
      </c>
      <c r="J101" s="22" t="n">
        <v>0</v>
      </c>
      <c r="K101" s="22" t="n">
        <v>0</v>
      </c>
      <c r="U101" s="22" t="n">
        <v>0</v>
      </c>
      <c r="V101" s="22" t="n">
        <v>0</v>
      </c>
      <c r="W101" s="22" t="n">
        <v>0</v>
      </c>
      <c r="X101" s="22" t="n">
        <v>0</v>
      </c>
    </row>
    <row r="102">
      <c r="A102" s="20" t="inlineStr">
        <is>
          <t>지분변동이익</t>
        </is>
      </c>
      <c r="J102" s="22" t="n">
        <v>0</v>
      </c>
      <c r="N102" s="22" t="n">
        <v>0</v>
      </c>
    </row>
    <row r="103">
      <c r="A103" s="20" t="inlineStr">
        <is>
          <t>특별이익 합계</t>
        </is>
      </c>
      <c r="C103" s="22" t="n">
        <v>0</v>
      </c>
      <c r="F103" s="22" t="n">
        <v>0</v>
      </c>
      <c r="G103" s="22" t="n">
        <v>0</v>
      </c>
      <c r="J103" s="22" t="n">
        <v>0</v>
      </c>
      <c r="K103" s="22" t="n">
        <v>117.398</v>
      </c>
      <c r="N103" s="22" t="n">
        <v>1.095</v>
      </c>
      <c r="U103" s="22" t="n">
        <v>0</v>
      </c>
      <c r="V103" s="22" t="n">
        <v>0</v>
      </c>
      <c r="W103" s="22" t="n">
        <v>0</v>
      </c>
      <c r="X103" s="22" t="n">
        <v>117.398</v>
      </c>
    </row>
    <row r="104">
      <c r="A104" s="20" t="inlineStr">
        <is>
          <t>관계회사 사채 양도손</t>
        </is>
      </c>
      <c r="C104" s="22" t="n">
        <v>0</v>
      </c>
      <c r="U104" s="22" t="n">
        <v>0</v>
      </c>
      <c r="V104" s="22" t="n">
        <v>0</v>
      </c>
    </row>
    <row r="105">
      <c r="A105" s="20" t="inlineStr">
        <is>
          <t>손상차손</t>
        </is>
      </c>
      <c r="F105" s="22" t="n">
        <v>0</v>
      </c>
      <c r="G105" s="22" t="n">
        <v>0</v>
      </c>
      <c r="J105" s="22" t="n">
        <v>9.920999999999999</v>
      </c>
      <c r="K105" s="22" t="n">
        <v>153.785</v>
      </c>
      <c r="N105" s="22" t="n">
        <v>0</v>
      </c>
      <c r="W105" s="22" t="n">
        <v>0</v>
      </c>
      <c r="X105" s="22" t="n">
        <v>153.785</v>
      </c>
    </row>
    <row r="106">
      <c r="A106" s="20" t="inlineStr">
        <is>
          <t>관계회사 청산 손실</t>
        </is>
      </c>
      <c r="H106" s="22" t="n">
        <v>0</v>
      </c>
      <c r="I106" s="22" t="n">
        <v>0</v>
      </c>
      <c r="J106" s="22" t="n">
        <v>0</v>
      </c>
      <c r="K106" s="22" t="n">
        <v>6.874</v>
      </c>
      <c r="L106" s="22" t="n">
        <v>5.455</v>
      </c>
      <c r="M106" s="22" t="n">
        <v>-2.405</v>
      </c>
      <c r="N106" s="22" t="n">
        <v>0</v>
      </c>
      <c r="X106" s="22" t="n">
        <v>6.874</v>
      </c>
    </row>
    <row r="107">
      <c r="A107" s="20" t="inlineStr">
        <is>
          <t>특별손실 합계</t>
        </is>
      </c>
      <c r="C107" s="22" t="n">
        <v>14.265</v>
      </c>
      <c r="F107" s="22" t="n">
        <v>0</v>
      </c>
      <c r="G107" s="22" t="n">
        <v>0</v>
      </c>
      <c r="H107" s="22" t="n">
        <v>0</v>
      </c>
      <c r="I107" s="22" t="n">
        <v>659.325</v>
      </c>
      <c r="J107" s="22" t="n">
        <v>9.920999999999999</v>
      </c>
      <c r="K107" s="22" t="n">
        <v>160.66</v>
      </c>
      <c r="L107" s="22" t="n">
        <v>5.455</v>
      </c>
      <c r="M107" s="22" t="n">
        <v>-2.405</v>
      </c>
      <c r="N107" s="22" t="n">
        <v>0</v>
      </c>
      <c r="U107" s="22" t="n">
        <v>0</v>
      </c>
      <c r="V107" s="22" t="n">
        <v>14.265</v>
      </c>
      <c r="W107" s="22" t="n">
        <v>0</v>
      </c>
      <c r="X107" s="22" t="n">
        <v>160.66</v>
      </c>
    </row>
    <row r="108">
      <c r="A108" s="9" t="inlineStr">
        <is>
          <t>법인세차감전 중간순이익(손실)</t>
        </is>
      </c>
      <c r="C108" s="12" t="n">
        <v>38.416</v>
      </c>
      <c r="D108" s="12" t="n">
        <v>-15.342</v>
      </c>
      <c r="E108" s="12" t="n">
        <v>113.902</v>
      </c>
      <c r="F108" s="12" t="n">
        <v>-53.472</v>
      </c>
      <c r="G108" s="12" t="n">
        <v>-72.327</v>
      </c>
      <c r="H108" s="12" t="n">
        <v>-24.965</v>
      </c>
      <c r="I108" s="12" t="n">
        <v>-643.362</v>
      </c>
      <c r="J108" s="12" t="n">
        <v>-180.051</v>
      </c>
      <c r="K108" s="12" t="n">
        <v>-165.54</v>
      </c>
      <c r="L108" s="12" t="n">
        <v>100.179</v>
      </c>
      <c r="M108" s="12" t="n">
        <v>199.134</v>
      </c>
      <c r="N108" s="12" t="n">
        <v>116.153</v>
      </c>
      <c r="U108" s="12" t="n">
        <v>-142.786</v>
      </c>
      <c r="V108" s="12" t="n">
        <v>38.416</v>
      </c>
      <c r="W108" s="12" t="n">
        <v>-72.327</v>
      </c>
      <c r="X108" s="12" t="n">
        <v>-165.54</v>
      </c>
    </row>
    <row r="109">
      <c r="A109" s="20" t="inlineStr">
        <is>
          <t>법인세·주민세·사업세</t>
        </is>
      </c>
      <c r="C109" s="22" t="n">
        <v>0.501</v>
      </c>
      <c r="D109" s="22" t="n">
        <v>0.928</v>
      </c>
      <c r="E109" s="22" t="n">
        <v>25.749</v>
      </c>
      <c r="F109" s="22" t="n">
        <v>24.879</v>
      </c>
      <c r="G109" s="22" t="n">
        <v>16.543</v>
      </c>
      <c r="H109" s="22" t="n">
        <v>19.101</v>
      </c>
      <c r="I109" s="22" t="n">
        <v>10.728</v>
      </c>
      <c r="J109" s="22" t="n">
        <v>-0.779</v>
      </c>
      <c r="K109" s="22" t="n">
        <v>-0.6889999999999999</v>
      </c>
      <c r="L109" s="22" t="n">
        <v>0.957</v>
      </c>
      <c r="M109" s="22" t="n">
        <v>-1.295</v>
      </c>
      <c r="N109" s="22" t="n">
        <v>1.44</v>
      </c>
      <c r="U109" s="22" t="n">
        <v>0.398</v>
      </c>
      <c r="V109" s="22" t="n">
        <v>0.501</v>
      </c>
      <c r="W109" s="22" t="n">
        <v>16.543</v>
      </c>
      <c r="X109" s="22" t="n">
        <v>-0.6889999999999999</v>
      </c>
    </row>
    <row r="110">
      <c r="A110" s="20" t="inlineStr">
        <is>
          <t>법인세 조정액</t>
        </is>
      </c>
      <c r="C110" s="22" t="n">
        <v>2.007</v>
      </c>
      <c r="D110" s="22" t="n">
        <v>-0.034</v>
      </c>
      <c r="E110" s="22" t="n">
        <v>-0.034</v>
      </c>
      <c r="F110" s="22" t="n">
        <v>-10.962</v>
      </c>
      <c r="G110" s="22" t="n">
        <v>-1.257</v>
      </c>
      <c r="H110" s="22" t="n">
        <v>-8.367000000000001</v>
      </c>
      <c r="I110" s="22" t="n">
        <v>-134.311</v>
      </c>
      <c r="J110" s="22" t="n">
        <v>-3.85</v>
      </c>
      <c r="K110" s="22" t="n">
        <v>-50.3</v>
      </c>
      <c r="L110" s="22" t="n">
        <v>0</v>
      </c>
      <c r="M110" s="22" t="n">
        <v>0</v>
      </c>
      <c r="N110" s="22" t="n">
        <v>0</v>
      </c>
      <c r="V110" s="22" t="n">
        <v>2.007</v>
      </c>
      <c r="W110" s="22" t="n">
        <v>-1.257</v>
      </c>
      <c r="X110" s="22" t="n">
        <v>-50.3</v>
      </c>
    </row>
    <row r="111">
      <c r="A111" s="20" t="inlineStr">
        <is>
          <t>법인세 등 합계</t>
        </is>
      </c>
      <c r="C111" s="22" t="n">
        <v>2.508</v>
      </c>
      <c r="D111" s="22" t="n">
        <v>0.894</v>
      </c>
      <c r="E111" s="22" t="n">
        <v>25.715</v>
      </c>
      <c r="F111" s="22" t="n">
        <v>13.917</v>
      </c>
      <c r="G111" s="22" t="n">
        <v>15.285</v>
      </c>
      <c r="H111" s="22" t="n">
        <v>10.733</v>
      </c>
      <c r="I111" s="22" t="n">
        <v>-123.581</v>
      </c>
      <c r="J111" s="22" t="n">
        <v>-4.629</v>
      </c>
      <c r="K111" s="22" t="n">
        <v>-50.989</v>
      </c>
      <c r="L111" s="22" t="n">
        <v>0.957</v>
      </c>
      <c r="M111" s="22" t="n">
        <v>-1.295</v>
      </c>
      <c r="N111" s="22" t="n">
        <v>1.44</v>
      </c>
      <c r="U111" s="22" t="n">
        <v>0.398</v>
      </c>
      <c r="V111" s="22" t="n">
        <v>2.508</v>
      </c>
      <c r="W111" s="22" t="n">
        <v>15.285</v>
      </c>
      <c r="X111" s="22" t="n">
        <v>-50.989</v>
      </c>
    </row>
    <row r="112">
      <c r="A112" s="9" t="inlineStr">
        <is>
          <t>중간순이익(손실)</t>
        </is>
      </c>
      <c r="C112" s="12" t="n">
        <v>35.908</v>
      </c>
      <c r="D112" s="12" t="n">
        <v>-16.236</v>
      </c>
      <c r="E112" s="12" t="n">
        <v>88.187</v>
      </c>
      <c r="F112" s="12" t="n">
        <v>-67.389</v>
      </c>
      <c r="G112" s="12" t="n">
        <v>-87.61199999999999</v>
      </c>
      <c r="H112" s="12" t="n">
        <v>-35.698</v>
      </c>
      <c r="I112" s="12" t="n">
        <v>-519.78</v>
      </c>
      <c r="J112" s="12" t="n">
        <v>-175.422</v>
      </c>
      <c r="K112" s="12" t="n">
        <v>-114.552</v>
      </c>
      <c r="L112" s="12" t="n">
        <v>99.22199999999999</v>
      </c>
      <c r="M112" s="12" t="n">
        <v>200.43</v>
      </c>
      <c r="N112" s="12" t="n">
        <v>114.711</v>
      </c>
      <c r="U112" s="12" t="n">
        <v>-143.184</v>
      </c>
      <c r="V112" s="12" t="n">
        <v>35.908</v>
      </c>
      <c r="W112" s="12" t="n">
        <v>-87.61199999999999</v>
      </c>
      <c r="X112" s="12" t="n">
        <v>-114.552</v>
      </c>
    </row>
    <row r="113">
      <c r="A113" s="45" t="inlineStr">
        <is>
          <t>YoY</t>
        </is>
      </c>
      <c r="B113" s="3" t="inlineStr">
        <is>
          <t>전년 같은 분기·전년 대비</t>
        </is>
      </c>
      <c r="G113" s="17">
        <f>IF(OR(G112="",C112=""),"",IF(C112&lt;=0,"",IFERROR(G112/C112-1,"")))</f>
        <v/>
      </c>
      <c r="H113" s="17">
        <f>IF(OR(H112="",D112=""),"",IF(D112&lt;=0,"",IFERROR(H112/D112-1,"")))</f>
        <v/>
      </c>
      <c r="I113" s="17">
        <f>IF(OR(I112="",E112=""),"",IF(E112&lt;=0,"",IFERROR(I112/E112-1,"")))</f>
        <v/>
      </c>
      <c r="J113" s="17">
        <f>IF(OR(J112="",F112=""),"",IF(F112&lt;=0,"",IFERROR(J112/F112-1,"")))</f>
        <v/>
      </c>
      <c r="K113" s="17">
        <f>IF(OR(K112="",G112=""),"",IF(G112&lt;=0,"",IFERROR(K112/G112-1,"")))</f>
        <v/>
      </c>
      <c r="L113" s="17">
        <f>IF(OR(L112="",H112=""),"",IF(H112&lt;=0,"",IFERROR(L112/H112-1,"")))</f>
        <v/>
      </c>
      <c r="M113" s="17">
        <f>IF(OR(M112="",I112=""),"",IF(I112&lt;=0,"",IFERROR(M112/I112-1,"")))</f>
        <v/>
      </c>
      <c r="N113" s="17">
        <f>IF(OR(N112="",J112=""),"",IF(J112&lt;=0,"",IFERROR(N112/J112-1,"")))</f>
        <v/>
      </c>
      <c r="U113" s="17">
        <f>IF(OR(U112="",T112=""),"",IF(T112&lt;=0,"",IFERROR(U112/T112-1,"")))</f>
        <v/>
      </c>
      <c r="V113" s="17">
        <f>IF(OR(V112="",U112=""),"",IF(U112&lt;=0,"",IFERROR(V112/U112-1,"")))</f>
        <v/>
      </c>
      <c r="W113" s="17">
        <f>IF(OR(W112="",V112=""),"",IF(V112&lt;=0,"",IFERROR(W112/V112-1,"")))</f>
        <v/>
      </c>
      <c r="X113" s="17">
        <f>IF(OR(X112="",W112=""),"",IF(W112&lt;=0,"",IFERROR(X112/W112-1,"")))</f>
        <v/>
      </c>
    </row>
    <row r="114">
      <c r="A114" s="9" t="inlineStr">
        <is>
          <t>비지배주주 순손익</t>
        </is>
      </c>
      <c r="C114" s="12" t="n">
        <v>0</v>
      </c>
      <c r="D114" s="12" t="n">
        <v>0</v>
      </c>
      <c r="E114" s="12" t="n">
        <v>32.88</v>
      </c>
      <c r="F114" s="12" t="n">
        <v>10.212</v>
      </c>
      <c r="G114" s="12" t="n">
        <v>6.773</v>
      </c>
      <c r="H114" s="12" t="n">
        <v>16.064</v>
      </c>
      <c r="I114" s="12" t="n">
        <v>-119.986</v>
      </c>
      <c r="J114" s="12" t="n">
        <v>-4.287</v>
      </c>
      <c r="K114" s="12" t="n">
        <v>-36.577</v>
      </c>
      <c r="L114" s="12" t="n">
        <v>-0.9340000000000001</v>
      </c>
      <c r="M114" s="12" t="n">
        <v>3.447</v>
      </c>
      <c r="N114" s="12" t="n">
        <v>1.107</v>
      </c>
      <c r="U114" s="12" t="n">
        <v>-17.626</v>
      </c>
      <c r="V114" s="12" t="n">
        <v>0</v>
      </c>
      <c r="W114" s="12" t="n">
        <v>6.773</v>
      </c>
      <c r="X114" s="12" t="n">
        <v>-36.577</v>
      </c>
    </row>
    <row r="115">
      <c r="A115" s="9" t="inlineStr">
        <is>
          <t>지배주주 귀속 중간순이익(손실)</t>
        </is>
      </c>
      <c r="C115" s="12" t="n">
        <v>35.908</v>
      </c>
      <c r="D115" s="12" t="n">
        <v>-16.236</v>
      </c>
      <c r="E115" s="12" t="n">
        <v>55.306</v>
      </c>
      <c r="F115" s="12" t="n">
        <v>-77.599</v>
      </c>
      <c r="G115" s="12" t="n">
        <v>-94.386</v>
      </c>
      <c r="H115" s="12" t="n">
        <v>-51.763</v>
      </c>
      <c r="I115" s="12" t="n">
        <v>-399.793</v>
      </c>
      <c r="J115" s="12" t="n">
        <v>-171.135</v>
      </c>
      <c r="K115" s="12" t="n">
        <v>-77.97499999999999</v>
      </c>
      <c r="L115" s="12" t="n">
        <v>100.156</v>
      </c>
      <c r="M115" s="12" t="n">
        <v>196.982</v>
      </c>
      <c r="N115" s="12" t="n">
        <v>113.605</v>
      </c>
      <c r="U115" s="12" t="n">
        <v>-125.558</v>
      </c>
      <c r="V115" s="12" t="n">
        <v>35.908</v>
      </c>
      <c r="W115" s="12" t="n">
        <v>-94.386</v>
      </c>
      <c r="X115" s="12" t="n">
        <v>-77.97499999999999</v>
      </c>
    </row>
    <row r="116">
      <c r="A116" s="45" t="inlineStr">
        <is>
          <t>YoY</t>
        </is>
      </c>
      <c r="B116" s="3" t="inlineStr">
        <is>
          <t>전년 같은 분기·전년 대비</t>
        </is>
      </c>
      <c r="G116" s="17">
        <f>IF(OR(G115="",C115=""),"",IF(C115&lt;=0,"",IFERROR(G115/C115-1,"")))</f>
        <v/>
      </c>
      <c r="H116" s="17">
        <f>IF(OR(H115="",D115=""),"",IF(D115&lt;=0,"",IFERROR(H115/D115-1,"")))</f>
        <v/>
      </c>
      <c r="I116" s="17">
        <f>IF(OR(I115="",E115=""),"",IF(E115&lt;=0,"",IFERROR(I115/E115-1,"")))</f>
        <v/>
      </c>
      <c r="J116" s="17">
        <f>IF(OR(J115="",F115=""),"",IF(F115&lt;=0,"",IFERROR(J115/F115-1,"")))</f>
        <v/>
      </c>
      <c r="K116" s="17">
        <f>IF(OR(K115="",G115=""),"",IF(G115&lt;=0,"",IFERROR(K115/G115-1,"")))</f>
        <v/>
      </c>
      <c r="L116" s="17">
        <f>IF(OR(L115="",H115=""),"",IF(H115&lt;=0,"",IFERROR(L115/H115-1,"")))</f>
        <v/>
      </c>
      <c r="M116" s="17">
        <f>IF(OR(M115="",I115=""),"",IF(I115&lt;=0,"",IFERROR(M115/I115-1,"")))</f>
        <v/>
      </c>
      <c r="N116" s="17">
        <f>IF(OR(N115="",J115=""),"",IF(J115&lt;=0,"",IFERROR(N115/J115-1,"")))</f>
        <v/>
      </c>
      <c r="U116" s="17">
        <f>IF(OR(U115="",T115=""),"",IF(T115&lt;=0,"",IFERROR(U115/T115-1,"")))</f>
        <v/>
      </c>
      <c r="V116" s="17">
        <f>IF(OR(V115="",U115=""),"",IF(U115&lt;=0,"",IFERROR(V115/U115-1,"")))</f>
        <v/>
      </c>
      <c r="W116" s="17">
        <f>IF(OR(W115="",V115=""),"",IF(V115&lt;=0,"",IFERROR(W115/V115-1,"")))</f>
        <v/>
      </c>
      <c r="X116" s="17">
        <f>IF(OR(X115="",W115=""),"",IF(W115&lt;=0,"",IFERROR(X115/W115-1,"")))</f>
        <v/>
      </c>
    </row>
    <row r="118">
      <c r="A118" s="18" t="inlineStr">
        <is>
          <t>포괄손익 · 전 항목</t>
        </is>
      </c>
      <c r="B118" s="44" t="inlineStr">
        <is>
          <t>분기 = 3개월 단독</t>
        </is>
      </c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</row>
    <row r="119">
      <c r="A119" s="5" t="inlineStr">
        <is>
          <t>항목</t>
        </is>
      </c>
      <c r="B119" s="5" t="inlineStr">
        <is>
          <t>참고</t>
        </is>
      </c>
      <c r="C119" s="5" t="inlineStr">
        <is>
          <t>2023.4Q</t>
        </is>
      </c>
      <c r="D119" s="5" t="inlineStr">
        <is>
          <t>2024.1Q</t>
        </is>
      </c>
      <c r="E119" s="5" t="inlineStr">
        <is>
          <t>2024.2Q</t>
        </is>
      </c>
      <c r="F119" s="5" t="inlineStr">
        <is>
          <t>2024.3Q</t>
        </is>
      </c>
      <c r="G119" s="5" t="inlineStr">
        <is>
          <t>2024.4Q</t>
        </is>
      </c>
      <c r="H119" s="5" t="inlineStr">
        <is>
          <t>2025.1Q</t>
        </is>
      </c>
      <c r="I119" s="5" t="inlineStr">
        <is>
          <t>2025.2Q</t>
        </is>
      </c>
      <c r="J119" s="5" t="inlineStr">
        <is>
          <t>2025.3Q</t>
        </is>
      </c>
      <c r="K119" s="5" t="inlineStr">
        <is>
          <t>2025.4Q</t>
        </is>
      </c>
      <c r="L119" s="5" t="inlineStr">
        <is>
          <t>2026.1Q</t>
        </is>
      </c>
      <c r="M119" s="5" t="inlineStr">
        <is>
          <t>2026.2Q</t>
        </is>
      </c>
      <c r="N119" s="5" t="inlineStr">
        <is>
          <t>2026.3Q</t>
        </is>
      </c>
      <c r="O119" s="5" t="inlineStr">
        <is>
          <t>2016</t>
        </is>
      </c>
      <c r="P119" s="5" t="inlineStr">
        <is>
          <t>2017</t>
        </is>
      </c>
      <c r="Q119" s="5" t="inlineStr">
        <is>
          <t>2018</t>
        </is>
      </c>
      <c r="R119" s="5" t="inlineStr">
        <is>
          <t>2019</t>
        </is>
      </c>
      <c r="S119" s="5" t="inlineStr">
        <is>
          <t>2020</t>
        </is>
      </c>
      <c r="T119" s="5" t="inlineStr">
        <is>
          <t>2021</t>
        </is>
      </c>
      <c r="U119" s="5" t="inlineStr">
        <is>
          <t>2022</t>
        </is>
      </c>
      <c r="V119" s="5" t="inlineStr">
        <is>
          <t>2023</t>
        </is>
      </c>
      <c r="W119" s="5" t="inlineStr">
        <is>
          <t>2024</t>
        </is>
      </c>
      <c r="X119" s="5" t="inlineStr">
        <is>
          <t>2025</t>
        </is>
      </c>
      <c r="Y119" s="5" t="inlineStr">
        <is>
          <t>2026(MW)</t>
        </is>
      </c>
      <c r="Z119" s="5" t="inlineStr">
        <is>
          <t>2027(MW)</t>
        </is>
      </c>
      <c r="AA119" s="5" t="inlineStr">
        <is>
          <t>2028(MW)</t>
        </is>
      </c>
      <c r="AB119" s="5" t="inlineStr">
        <is>
          <t>2029(MW)</t>
        </is>
      </c>
      <c r="AC119" s="5" t="inlineStr">
        <is>
          <t>2030(MW)</t>
        </is>
      </c>
    </row>
    <row r="120">
      <c r="A120" s="9" t="inlineStr">
        <is>
          <t>중간순이익(손실)</t>
        </is>
      </c>
      <c r="C120" s="12" t="n">
        <v>35.908</v>
      </c>
      <c r="D120" s="12" t="n">
        <v>-16.236</v>
      </c>
      <c r="E120" s="12" t="n">
        <v>88.187</v>
      </c>
      <c r="F120" s="12" t="n">
        <v>-67.389</v>
      </c>
      <c r="G120" s="12" t="n">
        <v>-87.61199999999999</v>
      </c>
      <c r="H120" s="12" t="n">
        <v>-35.698</v>
      </c>
      <c r="I120" s="12" t="n">
        <v>-519.78</v>
      </c>
      <c r="J120" s="12" t="n">
        <v>-175.422</v>
      </c>
      <c r="K120" s="12" t="n">
        <v>-114.552</v>
      </c>
      <c r="L120" s="12" t="n">
        <v>99.22199999999999</v>
      </c>
      <c r="M120" s="12" t="n">
        <v>200.43</v>
      </c>
      <c r="N120" s="12" t="n">
        <v>114.711</v>
      </c>
      <c r="U120" s="12" t="n">
        <v>-143.184</v>
      </c>
      <c r="V120" s="12" t="n">
        <v>35.908</v>
      </c>
      <c r="W120" s="12" t="n">
        <v>-87.61199999999999</v>
      </c>
      <c r="X120" s="12" t="n">
        <v>-114.552</v>
      </c>
    </row>
    <row r="121">
      <c r="A121" s="9" t="inlineStr">
        <is>
          <t>포괄이익</t>
        </is>
      </c>
      <c r="C121" s="12" t="n">
        <v>35.908</v>
      </c>
      <c r="D121" s="12" t="n">
        <v>-16.236</v>
      </c>
      <c r="E121" s="12" t="n">
        <v>88.187</v>
      </c>
      <c r="F121" s="12" t="n">
        <v>-67.389</v>
      </c>
      <c r="G121" s="12" t="n">
        <v>-87.61199999999999</v>
      </c>
      <c r="H121" s="12" t="n">
        <v>-35.698</v>
      </c>
      <c r="I121" s="12" t="n">
        <v>-519.78</v>
      </c>
      <c r="J121" s="12" t="n">
        <v>-175.422</v>
      </c>
      <c r="K121" s="12" t="n">
        <v>-114.552</v>
      </c>
      <c r="L121" s="12" t="n">
        <v>99.22199999999999</v>
      </c>
      <c r="M121" s="12" t="n">
        <v>200.43</v>
      </c>
      <c r="N121" s="12" t="n">
        <v>114.711</v>
      </c>
      <c r="U121" s="12" t="n">
        <v>-143.184</v>
      </c>
      <c r="V121" s="12" t="n">
        <v>35.908</v>
      </c>
      <c r="W121" s="12" t="n">
        <v>-87.61199999999999</v>
      </c>
      <c r="X121" s="12" t="n">
        <v>-114.552</v>
      </c>
    </row>
    <row r="122">
      <c r="A122" s="9" t="inlineStr">
        <is>
          <t>지배주주 포괄이익</t>
        </is>
      </c>
      <c r="C122" s="12" t="n">
        <v>35.908</v>
      </c>
      <c r="D122" s="12" t="n">
        <v>-16.236</v>
      </c>
      <c r="E122" s="12" t="n">
        <v>55.306</v>
      </c>
      <c r="F122" s="12" t="n">
        <v>-77.599</v>
      </c>
      <c r="G122" s="12" t="n">
        <v>-94.386</v>
      </c>
      <c r="H122" s="12" t="n">
        <v>-51.763</v>
      </c>
      <c r="I122" s="12" t="n">
        <v>-399.793</v>
      </c>
      <c r="J122" s="12" t="n">
        <v>-171.135</v>
      </c>
      <c r="K122" s="12" t="n">
        <v>-77.97499999999999</v>
      </c>
      <c r="L122" s="12" t="n">
        <v>100.156</v>
      </c>
      <c r="M122" s="12" t="n">
        <v>196.982</v>
      </c>
      <c r="N122" s="12" t="n">
        <v>113.605</v>
      </c>
      <c r="U122" s="12" t="n">
        <v>-125.558</v>
      </c>
      <c r="V122" s="12" t="n">
        <v>35.908</v>
      </c>
      <c r="W122" s="12" t="n">
        <v>-94.386</v>
      </c>
      <c r="X122" s="12" t="n">
        <v>-77.97499999999999</v>
      </c>
    </row>
    <row r="123">
      <c r="A123" s="9" t="inlineStr">
        <is>
          <t>비지배주주 포괄이익</t>
        </is>
      </c>
      <c r="C123" s="12" t="n">
        <v>0</v>
      </c>
      <c r="D123" s="12" t="n">
        <v>0</v>
      </c>
      <c r="E123" s="12" t="n">
        <v>32.88</v>
      </c>
      <c r="F123" s="12" t="n">
        <v>10.212</v>
      </c>
      <c r="G123" s="12" t="n">
        <v>6.773</v>
      </c>
      <c r="H123" s="12" t="n">
        <v>16.064</v>
      </c>
      <c r="I123" s="12" t="n">
        <v>-119.986</v>
      </c>
      <c r="J123" s="12" t="n">
        <v>-4.287</v>
      </c>
      <c r="K123" s="12" t="n">
        <v>-36.577</v>
      </c>
      <c r="L123" s="12" t="n">
        <v>-0.9340000000000001</v>
      </c>
      <c r="M123" s="12" t="n">
        <v>3.447</v>
      </c>
      <c r="N123" s="12" t="n">
        <v>1.107</v>
      </c>
      <c r="U123" s="12" t="n">
        <v>-17.626</v>
      </c>
      <c r="V123" s="12" t="n">
        <v>0</v>
      </c>
      <c r="W123" s="12" t="n">
        <v>6.773</v>
      </c>
      <c r="X123" s="12" t="n">
        <v>-36.577</v>
      </c>
    </row>
    <row r="125">
      <c r="A125" s="18" t="inlineStr">
        <is>
          <t>현금흐름표 · 전 항목</t>
        </is>
      </c>
      <c r="B125" s="44" t="inlineStr">
        <is>
          <t>분기 = 결산기 첫날부터 누계(공시 그대로)</t>
        </is>
      </c>
      <c r="C125" s="18" t="n"/>
      <c r="D125" s="18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</row>
    <row r="126">
      <c r="A126" s="5" t="inlineStr">
        <is>
          <t>항목</t>
        </is>
      </c>
      <c r="B126" s="5" t="inlineStr">
        <is>
          <t>참고</t>
        </is>
      </c>
      <c r="C126" s="5" t="inlineStr">
        <is>
          <t>2023.4Q</t>
        </is>
      </c>
      <c r="D126" s="5" t="inlineStr">
        <is>
          <t>2024.1Q</t>
        </is>
      </c>
      <c r="E126" s="5" t="inlineStr">
        <is>
          <t>2024.2Q</t>
        </is>
      </c>
      <c r="F126" s="5" t="inlineStr">
        <is>
          <t>2024.3Q</t>
        </is>
      </c>
      <c r="G126" s="5" t="inlineStr">
        <is>
          <t>2024.4Q</t>
        </is>
      </c>
      <c r="H126" s="5" t="inlineStr">
        <is>
          <t>2025.1Q</t>
        </is>
      </c>
      <c r="I126" s="5" t="inlineStr">
        <is>
          <t>2025.2Q</t>
        </is>
      </c>
      <c r="J126" s="5" t="inlineStr">
        <is>
          <t>2025.3Q</t>
        </is>
      </c>
      <c r="K126" s="5" t="inlineStr">
        <is>
          <t>2025.4Q</t>
        </is>
      </c>
      <c r="L126" s="5" t="inlineStr">
        <is>
          <t>2026.1Q</t>
        </is>
      </c>
      <c r="M126" s="5" t="inlineStr">
        <is>
          <t>2026.2Q</t>
        </is>
      </c>
      <c r="N126" s="5" t="inlineStr">
        <is>
          <t>2026.3Q</t>
        </is>
      </c>
      <c r="O126" s="5" t="inlineStr">
        <is>
          <t>2016</t>
        </is>
      </c>
      <c r="P126" s="5" t="inlineStr">
        <is>
          <t>2017</t>
        </is>
      </c>
      <c r="Q126" s="5" t="inlineStr">
        <is>
          <t>2018</t>
        </is>
      </c>
      <c r="R126" s="5" t="inlineStr">
        <is>
          <t>2019</t>
        </is>
      </c>
      <c r="S126" s="5" t="inlineStr">
        <is>
          <t>2020</t>
        </is>
      </c>
      <c r="T126" s="5" t="inlineStr">
        <is>
          <t>2021</t>
        </is>
      </c>
      <c r="U126" s="5" t="inlineStr">
        <is>
          <t>2022</t>
        </is>
      </c>
      <c r="V126" s="5" t="inlineStr">
        <is>
          <t>2023</t>
        </is>
      </c>
      <c r="W126" s="5" t="inlineStr">
        <is>
          <t>2024</t>
        </is>
      </c>
      <c r="X126" s="5" t="inlineStr">
        <is>
          <t>2025</t>
        </is>
      </c>
      <c r="Y126" s="5" t="inlineStr">
        <is>
          <t>2026(MW)</t>
        </is>
      </c>
      <c r="Z126" s="5" t="inlineStr">
        <is>
          <t>2027(MW)</t>
        </is>
      </c>
      <c r="AA126" s="5" t="inlineStr">
        <is>
          <t>2028(MW)</t>
        </is>
      </c>
      <c r="AB126" s="5" t="inlineStr">
        <is>
          <t>2029(MW)</t>
        </is>
      </c>
      <c r="AC126" s="5" t="inlineStr">
        <is>
          <t>2030(MW)</t>
        </is>
      </c>
    </row>
    <row r="127">
      <c r="A127" s="9" t="inlineStr">
        <is>
          <t>법인세차감전 중간순이익(손실)</t>
        </is>
      </c>
      <c r="C127" s="12" t="n">
        <v>-368.889</v>
      </c>
      <c r="E127" s="12" t="n">
        <v>98.56</v>
      </c>
      <c r="G127" s="12" t="n">
        <v>-27.239</v>
      </c>
      <c r="I127" s="12" t="n">
        <v>-668.327</v>
      </c>
      <c r="K127" s="12" t="n">
        <v>-1013.918</v>
      </c>
      <c r="M127" s="12" t="n">
        <v>299.313</v>
      </c>
      <c r="T127" s="12" t="n">
        <v>-715.889</v>
      </c>
      <c r="U127" s="12" t="n">
        <v>-672.359</v>
      </c>
      <c r="V127" s="12" t="n">
        <v>-368.889</v>
      </c>
      <c r="W127" s="12" t="n">
        <v>-27.239</v>
      </c>
      <c r="X127" s="12" t="n">
        <v>-1013.918</v>
      </c>
    </row>
    <row r="128">
      <c r="A128" s="20" t="inlineStr">
        <is>
          <t>감가상각비</t>
        </is>
      </c>
      <c r="C128" s="22" t="n">
        <v>13.595</v>
      </c>
      <c r="E128" s="22" t="n">
        <v>37.285</v>
      </c>
      <c r="G128" s="22" t="n">
        <v>150.588</v>
      </c>
      <c r="I128" s="22" t="n">
        <v>118.254</v>
      </c>
      <c r="K128" s="22" t="n">
        <v>272.035</v>
      </c>
      <c r="M128" s="22" t="n">
        <v>212.709</v>
      </c>
      <c r="T128" s="22" t="n">
        <v>16.78</v>
      </c>
      <c r="U128" s="22" t="n">
        <v>8.317</v>
      </c>
      <c r="V128" s="22" t="n">
        <v>13.595</v>
      </c>
      <c r="W128" s="22" t="n">
        <v>150.588</v>
      </c>
      <c r="X128" s="22" t="n">
        <v>272.035</v>
      </c>
    </row>
    <row r="129">
      <c r="A129" s="20" t="inlineStr">
        <is>
          <t>이자비용</t>
        </is>
      </c>
      <c r="C129" s="22" t="n">
        <v>0.015</v>
      </c>
      <c r="U129" s="22" t="n">
        <v>0</v>
      </c>
      <c r="V129" s="22" t="n">
        <v>0.015</v>
      </c>
    </row>
    <row r="130">
      <c r="A130" s="20" t="inlineStr">
        <is>
          <t>영업권 상각</t>
        </is>
      </c>
      <c r="C130" s="22" t="n">
        <v>0</v>
      </c>
      <c r="E130" s="22" t="n">
        <v>28.26</v>
      </c>
      <c r="G130" s="22" t="n">
        <v>53.72</v>
      </c>
      <c r="I130" s="22" t="n">
        <v>35.813</v>
      </c>
      <c r="K130" s="22" t="n">
        <v>90.152</v>
      </c>
      <c r="M130" s="22" t="n">
        <v>54.338</v>
      </c>
      <c r="V130" s="22" t="n">
        <v>0</v>
      </c>
      <c r="W130" s="22" t="n">
        <v>53.72</v>
      </c>
      <c r="X130" s="22" t="n">
        <v>90.152</v>
      </c>
    </row>
    <row r="131">
      <c r="A131" s="20" t="inlineStr">
        <is>
          <t>이연자산 상각액</t>
        </is>
      </c>
      <c r="C131" s="22" t="n">
        <v>1.655</v>
      </c>
      <c r="E131" s="22" t="n">
        <v>18.176</v>
      </c>
      <c r="G131" s="22" t="n">
        <v>18.176</v>
      </c>
      <c r="I131" s="22" t="n">
        <v>0</v>
      </c>
      <c r="K131" s="22" t="n">
        <v>0</v>
      </c>
      <c r="U131" s="22" t="n">
        <v>0</v>
      </c>
      <c r="V131" s="22" t="n">
        <v>1.655</v>
      </c>
      <c r="W131" s="22" t="n">
        <v>18.176</v>
      </c>
      <c r="X131" s="22" t="n">
        <v>0</v>
      </c>
    </row>
    <row r="132">
      <c r="A132" s="20" t="inlineStr">
        <is>
          <t>주식보상비용</t>
        </is>
      </c>
      <c r="C132" s="22" t="n">
        <v>159.316</v>
      </c>
      <c r="E132" s="22" t="n">
        <v>21.237</v>
      </c>
      <c r="G132" s="22" t="n">
        <v>80.95699999999999</v>
      </c>
      <c r="I132" s="22" t="n">
        <v>68.837</v>
      </c>
      <c r="K132" s="22" t="n">
        <v>123.889</v>
      </c>
      <c r="M132" s="22" t="n">
        <v>58.345</v>
      </c>
      <c r="U132" s="22" t="n">
        <v>0</v>
      </c>
      <c r="V132" s="22" t="n">
        <v>159.316</v>
      </c>
      <c r="W132" s="22" t="n">
        <v>80.95699999999999</v>
      </c>
      <c r="X132" s="22" t="n">
        <v>123.889</v>
      </c>
    </row>
    <row r="133">
      <c r="A133" s="20" t="inlineStr">
        <is>
          <t>손상차손</t>
        </is>
      </c>
      <c r="E133" s="22" t="n">
        <v>0</v>
      </c>
      <c r="G133" s="22" t="n">
        <v>0</v>
      </c>
      <c r="I133" s="22" t="n">
        <v>659.325</v>
      </c>
      <c r="K133" s="22" t="n">
        <v>823.0309999999999</v>
      </c>
      <c r="M133" s="22" t="n">
        <v>0</v>
      </c>
      <c r="T133" s="22" t="n">
        <v>20.862</v>
      </c>
      <c r="U133" s="22" t="n">
        <v>0</v>
      </c>
      <c r="W133" s="22" t="n">
        <v>0</v>
      </c>
      <c r="X133" s="22" t="n">
        <v>823.0309999999999</v>
      </c>
    </row>
    <row r="134">
      <c r="A134" s="20" t="inlineStr">
        <is>
          <t>대손충당금 증감</t>
        </is>
      </c>
      <c r="C134" s="22" t="n">
        <v>14.265</v>
      </c>
      <c r="E134" s="22" t="n">
        <v>0.218</v>
      </c>
      <c r="G134" s="22" t="n">
        <v>0.794</v>
      </c>
      <c r="I134" s="22" t="n">
        <v>-0.576</v>
      </c>
      <c r="K134" s="22" t="n">
        <v>-0.576</v>
      </c>
      <c r="M134" s="22" t="n">
        <v>-7.993</v>
      </c>
      <c r="U134" s="22" t="n">
        <v>0</v>
      </c>
      <c r="V134" s="22" t="n">
        <v>14.265</v>
      </c>
      <c r="W134" s="22" t="n">
        <v>0.794</v>
      </c>
      <c r="X134" s="22" t="n">
        <v>-0.576</v>
      </c>
    </row>
    <row r="135">
      <c r="A135" s="20" t="inlineStr">
        <is>
          <t>상여충당금 증감</t>
        </is>
      </c>
      <c r="C135" s="22" t="n">
        <v>0</v>
      </c>
      <c r="E135" s="22" t="n">
        <v>0</v>
      </c>
      <c r="G135" s="22" t="n">
        <v>8.438000000000001</v>
      </c>
      <c r="I135" s="22" t="n">
        <v>-4.562</v>
      </c>
      <c r="K135" s="22" t="n">
        <v>3.188</v>
      </c>
      <c r="M135" s="22" t="n">
        <v>-11.626</v>
      </c>
      <c r="V135" s="22" t="n">
        <v>0</v>
      </c>
      <c r="W135" s="22" t="n">
        <v>8.438000000000001</v>
      </c>
      <c r="X135" s="22" t="n">
        <v>3.188</v>
      </c>
    </row>
    <row r="136">
      <c r="A136" s="20" t="inlineStr">
        <is>
          <t>이자수익</t>
        </is>
      </c>
      <c r="C136" s="22" t="n">
        <v>-0.018</v>
      </c>
      <c r="E136" s="22" t="n">
        <v>-0.023</v>
      </c>
      <c r="G136" s="22" t="n">
        <v>-0.295</v>
      </c>
      <c r="I136" s="22" t="n">
        <v>-1.305</v>
      </c>
      <c r="K136" s="22" t="n">
        <v>-3.538</v>
      </c>
      <c r="M136" s="22" t="n">
        <v>-3.477</v>
      </c>
      <c r="T136" s="22" t="n">
        <v>-0.026</v>
      </c>
      <c r="U136" s="22" t="n">
        <v>-0.022</v>
      </c>
      <c r="V136" s="22" t="n">
        <v>-0.018</v>
      </c>
      <c r="W136" s="22" t="n">
        <v>-0.295</v>
      </c>
      <c r="X136" s="22" t="n">
        <v>-3.538</v>
      </c>
    </row>
    <row r="137">
      <c r="A137" s="20" t="inlineStr">
        <is>
          <t>보조금 수입</t>
        </is>
      </c>
      <c r="C137" s="22" t="n">
        <v>0</v>
      </c>
      <c r="T137" s="22" t="n">
        <v>0</v>
      </c>
      <c r="U137" s="22" t="n">
        <v>-8.663</v>
      </c>
      <c r="V137" s="22" t="n">
        <v>0</v>
      </c>
    </row>
    <row r="138">
      <c r="A138" s="20" t="inlineStr">
        <is>
          <t>보조금 수입</t>
        </is>
      </c>
      <c r="C138" s="22" t="n">
        <v>0</v>
      </c>
      <c r="T138" s="22" t="n">
        <v>-2.595</v>
      </c>
      <c r="U138" s="22" t="n">
        <v>-0.075</v>
      </c>
      <c r="V138" s="22" t="n">
        <v>0</v>
      </c>
    </row>
    <row r="139">
      <c r="A139" s="20" t="inlineStr">
        <is>
          <t>수취 급부금</t>
        </is>
      </c>
      <c r="C139" s="22" t="n">
        <v>0</v>
      </c>
      <c r="T139" s="22" t="n">
        <v>-11.092</v>
      </c>
      <c r="U139" s="22" t="n">
        <v>-4</v>
      </c>
      <c r="V139" s="22" t="n">
        <v>0</v>
      </c>
    </row>
    <row r="140">
      <c r="A140" s="20" t="inlineStr">
        <is>
          <t>이자비용</t>
        </is>
      </c>
      <c r="C140" s="22" t="n">
        <v>14.061</v>
      </c>
      <c r="E140" s="22" t="n">
        <v>11.856</v>
      </c>
      <c r="G140" s="22" t="n">
        <v>25.659</v>
      </c>
      <c r="I140" s="22" t="n">
        <v>16.325</v>
      </c>
      <c r="K140" s="22" t="n">
        <v>41.955</v>
      </c>
      <c r="M140" s="22" t="n">
        <v>21.406</v>
      </c>
      <c r="T140" s="22" t="n">
        <v>5.033</v>
      </c>
      <c r="U140" s="22" t="n">
        <v>9.749000000000001</v>
      </c>
      <c r="V140" s="22" t="n">
        <v>14.061</v>
      </c>
      <c r="W140" s="22" t="n">
        <v>25.659</v>
      </c>
      <c r="X140" s="22" t="n">
        <v>41.955</v>
      </c>
    </row>
    <row r="141">
      <c r="A141" s="20" t="inlineStr">
        <is>
          <t>지분법손익</t>
        </is>
      </c>
      <c r="C141" s="22" t="n">
        <v>28.788</v>
      </c>
      <c r="E141" s="22" t="n">
        <v>14.779</v>
      </c>
      <c r="G141" s="22" t="n">
        <v>25.62</v>
      </c>
      <c r="I141" s="22" t="n">
        <v>6.433</v>
      </c>
      <c r="K141" s="22" t="n">
        <v>13.153</v>
      </c>
      <c r="M141" s="22" t="n">
        <v>5.775</v>
      </c>
      <c r="T141" s="22" t="n">
        <v>0</v>
      </c>
      <c r="U141" s="22" t="n">
        <v>-4.867</v>
      </c>
      <c r="V141" s="22" t="n">
        <v>28.788</v>
      </c>
      <c r="W141" s="22" t="n">
        <v>25.62</v>
      </c>
      <c r="X141" s="22" t="n">
        <v>13.153</v>
      </c>
    </row>
    <row r="142">
      <c r="A142" s="20" t="inlineStr">
        <is>
          <t>관계회사 주식 평가손실</t>
        </is>
      </c>
      <c r="C142" s="22" t="n">
        <v>6.204</v>
      </c>
      <c r="G142" s="22" t="n">
        <v>0</v>
      </c>
      <c r="T142" s="22" t="n">
        <v>0</v>
      </c>
      <c r="U142" s="22" t="n">
        <v>6.228</v>
      </c>
      <c r="V142" s="22" t="n">
        <v>6.204</v>
      </c>
      <c r="W142" s="22" t="n">
        <v>0</v>
      </c>
    </row>
    <row r="143">
      <c r="A143" s="20" t="inlineStr">
        <is>
          <t>관계회사 사채 양도손</t>
        </is>
      </c>
      <c r="C143" s="22" t="n">
        <v>0</v>
      </c>
      <c r="T143" s="22" t="n">
        <v>0</v>
      </c>
      <c r="U143" s="22" t="n">
        <v>71.414</v>
      </c>
      <c r="V143" s="22" t="n">
        <v>0</v>
      </c>
    </row>
    <row r="144">
      <c r="A144" s="20" t="inlineStr">
        <is>
          <t>관계회사 주식 매각손익</t>
        </is>
      </c>
      <c r="C144" s="22" t="n">
        <v>-0.83</v>
      </c>
      <c r="E144" s="22" t="n">
        <v>-0.05</v>
      </c>
      <c r="G144" s="22" t="n">
        <v>-0.05</v>
      </c>
      <c r="I144" s="22" t="n">
        <v>0</v>
      </c>
      <c r="K144" s="22" t="n">
        <v>0</v>
      </c>
      <c r="U144" s="22" t="n">
        <v>0</v>
      </c>
      <c r="V144" s="22" t="n">
        <v>-0.83</v>
      </c>
      <c r="W144" s="22" t="n">
        <v>-0.05</v>
      </c>
      <c r="X144" s="22" t="n">
        <v>0</v>
      </c>
    </row>
    <row r="145">
      <c r="A145" s="20" t="inlineStr">
        <is>
          <t>유형자산 제각손실</t>
        </is>
      </c>
      <c r="C145" s="22" t="n">
        <v>0.354</v>
      </c>
      <c r="U145" s="22" t="n">
        <v>0</v>
      </c>
      <c r="V145" s="22" t="n">
        <v>0.354</v>
      </c>
    </row>
    <row r="146">
      <c r="A146" s="20" t="inlineStr">
        <is>
          <t>예치금 증감액(△는 증가)</t>
        </is>
      </c>
      <c r="C146" s="22" t="n">
        <v>0.149</v>
      </c>
      <c r="T146" s="22" t="n">
        <v>0</v>
      </c>
      <c r="U146" s="22" t="n">
        <v>-0.149</v>
      </c>
      <c r="V146" s="22" t="n">
        <v>0.149</v>
      </c>
    </row>
    <row r="147">
      <c r="A147" s="20" t="inlineStr">
        <is>
          <t>조건부 대가 수취 이익</t>
        </is>
      </c>
      <c r="G147" s="22" t="n">
        <v>0</v>
      </c>
      <c r="K147" s="22" t="n">
        <v>-116.503</v>
      </c>
      <c r="W147" s="22" t="n">
        <v>0</v>
      </c>
      <c r="X147" s="22" t="n">
        <v>-116.503</v>
      </c>
    </row>
    <row r="148">
      <c r="A148" s="20" t="inlineStr">
        <is>
          <t>매출채권 증감</t>
        </is>
      </c>
      <c r="C148" s="22" t="n">
        <v>-204.548</v>
      </c>
      <c r="E148" s="22" t="n">
        <v>96.259</v>
      </c>
      <c r="G148" s="22" t="n">
        <v>46.078</v>
      </c>
      <c r="I148" s="22" t="n">
        <v>-220.028</v>
      </c>
      <c r="K148" s="22" t="n">
        <v>120.145</v>
      </c>
      <c r="M148" s="22" t="n">
        <v>-126.386</v>
      </c>
      <c r="T148" s="22" t="n">
        <v>-78.95999999999999</v>
      </c>
      <c r="U148" s="22" t="n">
        <v>27.926</v>
      </c>
      <c r="V148" s="22" t="n">
        <v>-204.548</v>
      </c>
      <c r="W148" s="22" t="n">
        <v>46.078</v>
      </c>
      <c r="X148" s="22" t="n">
        <v>120.145</v>
      </c>
    </row>
    <row r="149">
      <c r="A149" s="20" t="inlineStr">
        <is>
          <t>재고자산 증감</t>
        </is>
      </c>
      <c r="C149" s="22" t="n">
        <v>2.428</v>
      </c>
      <c r="E149" s="22" t="n">
        <v>-14.135</v>
      </c>
      <c r="G149" s="22" t="n">
        <v>-2.604</v>
      </c>
      <c r="I149" s="22" t="n">
        <v>3.384</v>
      </c>
      <c r="K149" s="22" t="n">
        <v>3.393</v>
      </c>
      <c r="M149" s="22" t="n">
        <v>0.012</v>
      </c>
      <c r="T149" s="22" t="n">
        <v>-5.732</v>
      </c>
      <c r="U149" s="22" t="n">
        <v>0.723</v>
      </c>
      <c r="V149" s="22" t="n">
        <v>2.428</v>
      </c>
      <c r="W149" s="22" t="n">
        <v>-2.604</v>
      </c>
      <c r="X149" s="22" t="n">
        <v>3.393</v>
      </c>
    </row>
    <row r="150">
      <c r="A150" s="20" t="inlineStr">
        <is>
          <t>미수금 증감</t>
        </is>
      </c>
      <c r="C150" s="22" t="n">
        <v>-4.531</v>
      </c>
      <c r="T150" s="22" t="n">
        <v>3.125</v>
      </c>
      <c r="U150" s="22" t="n">
        <v>-3.368</v>
      </c>
      <c r="V150" s="22" t="n">
        <v>-4.531</v>
      </c>
    </row>
    <row r="151">
      <c r="A151" s="20" t="inlineStr">
        <is>
          <t>선급비용 증감</t>
        </is>
      </c>
      <c r="C151" s="22" t="n">
        <v>0.899</v>
      </c>
      <c r="G151" s="22" t="n">
        <v>6.887</v>
      </c>
      <c r="I151" s="22" t="n">
        <v>-18.216</v>
      </c>
      <c r="K151" s="22" t="n">
        <v>-229.435</v>
      </c>
      <c r="M151" s="22" t="n">
        <v>201.118</v>
      </c>
      <c r="T151" s="22" t="n">
        <v>6.126</v>
      </c>
      <c r="U151" s="22" t="n">
        <v>5.6</v>
      </c>
      <c r="V151" s="22" t="n">
        <v>0.899</v>
      </c>
      <c r="W151" s="22" t="n">
        <v>6.887</v>
      </c>
      <c r="X151" s="22" t="n">
        <v>-229.435</v>
      </c>
    </row>
    <row r="152">
      <c r="A152" s="20" t="inlineStr">
        <is>
          <t>선급금 증감</t>
        </is>
      </c>
      <c r="C152" s="22" t="n">
        <v>14.735</v>
      </c>
      <c r="T152" s="22" t="n">
        <v>1.789</v>
      </c>
      <c r="U152" s="22" t="n">
        <v>-17.581</v>
      </c>
      <c r="V152" s="22" t="n">
        <v>14.735</v>
      </c>
    </row>
    <row r="153">
      <c r="A153" s="20" t="inlineStr">
        <is>
          <t>미수 소비세 증감</t>
        </is>
      </c>
      <c r="C153" s="22" t="n">
        <v>2.993</v>
      </c>
      <c r="T153" s="22" t="n">
        <v>7.124</v>
      </c>
      <c r="U153" s="22" t="n">
        <v>4.952</v>
      </c>
      <c r="V153" s="22" t="n">
        <v>2.993</v>
      </c>
    </row>
    <row r="154">
      <c r="A154" s="20" t="inlineStr">
        <is>
          <t>매입채무 증감</t>
        </is>
      </c>
      <c r="C154" s="22" t="n">
        <v>0.657</v>
      </c>
      <c r="E154" s="22" t="n">
        <v>12.161</v>
      </c>
      <c r="G154" s="22" t="n">
        <v>-9.525</v>
      </c>
      <c r="I154" s="22" t="n">
        <v>177.572</v>
      </c>
      <c r="K154" s="22" t="n">
        <v>25.637</v>
      </c>
      <c r="M154" s="22" t="n">
        <v>-21.482</v>
      </c>
      <c r="T154" s="22" t="n">
        <v>7.603</v>
      </c>
      <c r="U154" s="22" t="n">
        <v>-15.423</v>
      </c>
      <c r="V154" s="22" t="n">
        <v>0.657</v>
      </c>
      <c r="W154" s="22" t="n">
        <v>-9.525</v>
      </c>
      <c r="X154" s="22" t="n">
        <v>25.637</v>
      </c>
    </row>
    <row r="155">
      <c r="A155" s="20" t="inlineStr">
        <is>
          <t>미지급금 증감</t>
        </is>
      </c>
      <c r="C155" s="22" t="n">
        <v>13.888</v>
      </c>
      <c r="E155" s="22" t="n">
        <v>2.35</v>
      </c>
      <c r="G155" s="22" t="n">
        <v>53.856</v>
      </c>
      <c r="I155" s="22" t="n">
        <v>46.281</v>
      </c>
      <c r="K155" s="22" t="n">
        <v>-598.049</v>
      </c>
      <c r="M155" s="22" t="n">
        <v>-51.791</v>
      </c>
      <c r="T155" s="22" t="n">
        <v>-14.66</v>
      </c>
      <c r="U155" s="22" t="n">
        <v>25.204</v>
      </c>
      <c r="V155" s="22" t="n">
        <v>13.888</v>
      </c>
      <c r="W155" s="22" t="n">
        <v>53.856</v>
      </c>
      <c r="X155" s="22" t="n">
        <v>-598.049</v>
      </c>
    </row>
    <row r="156">
      <c r="A156" s="20" t="inlineStr">
        <is>
          <t>선수금 증감</t>
        </is>
      </c>
      <c r="C156" s="22" t="n">
        <v>-16.521</v>
      </c>
      <c r="T156" s="22" t="n">
        <v>-9.538</v>
      </c>
      <c r="U156" s="22" t="n">
        <v>-2.199</v>
      </c>
      <c r="V156" s="22" t="n">
        <v>-16.521</v>
      </c>
    </row>
    <row r="157">
      <c r="A157" s="20" t="inlineStr">
        <is>
          <t>예수금 증감</t>
        </is>
      </c>
      <c r="C157" s="22" t="n">
        <v>2.498</v>
      </c>
      <c r="T157" s="22" t="n">
        <v>0.157</v>
      </c>
      <c r="U157" s="22" t="n">
        <v>1.496</v>
      </c>
      <c r="V157" s="22" t="n">
        <v>2.498</v>
      </c>
    </row>
    <row r="158">
      <c r="A158" s="20" t="inlineStr">
        <is>
          <t>미지급 소비세 증감</t>
        </is>
      </c>
      <c r="C158" s="22" t="n">
        <v>-0.214</v>
      </c>
      <c r="T158" s="22" t="n">
        <v>11.217</v>
      </c>
      <c r="U158" s="22" t="n">
        <v>4.96</v>
      </c>
      <c r="V158" s="22" t="n">
        <v>-0.214</v>
      </c>
    </row>
    <row r="159">
      <c r="A159" s="20" t="inlineStr">
        <is>
          <t>포인트 충당금 증감</t>
        </is>
      </c>
      <c r="T159" s="22" t="n">
        <v>-1.67</v>
      </c>
      <c r="U159" s="22" t="n">
        <v>0</v>
      </c>
    </row>
    <row r="160">
      <c r="A160" s="20" t="inlineStr">
        <is>
          <t>기타</t>
        </is>
      </c>
      <c r="C160" s="22" t="n">
        <v>-1.378</v>
      </c>
      <c r="E160" s="22" t="n">
        <v>-34.431</v>
      </c>
      <c r="G160" s="22" t="n">
        <v>-54.986</v>
      </c>
      <c r="I160" s="22" t="n">
        <v>38.131</v>
      </c>
      <c r="K160" s="22" t="n">
        <v>33.089</v>
      </c>
      <c r="M160" s="22" t="n">
        <v>-84.462</v>
      </c>
      <c r="T160" s="22" t="n">
        <v>-2.7</v>
      </c>
      <c r="U160" s="22" t="n">
        <v>-3.082</v>
      </c>
      <c r="V160" s="22" t="n">
        <v>-1.378</v>
      </c>
      <c r="W160" s="22" t="n">
        <v>-54.986</v>
      </c>
      <c r="X160" s="22" t="n">
        <v>33.089</v>
      </c>
    </row>
    <row r="161">
      <c r="A161" s="20" t="inlineStr">
        <is>
          <t>소계</t>
        </is>
      </c>
      <c r="C161" s="22" t="n">
        <v>-320.803</v>
      </c>
      <c r="E161" s="22" t="n">
        <v>292.503</v>
      </c>
      <c r="G161" s="22" t="n">
        <v>376.077</v>
      </c>
      <c r="I161" s="22" t="n">
        <v>257.343</v>
      </c>
      <c r="K161" s="22" t="n">
        <v>-412.349</v>
      </c>
      <c r="M161" s="22" t="n">
        <v>545.799</v>
      </c>
      <c r="T161" s="22" t="n">
        <v>-763.045</v>
      </c>
      <c r="U161" s="22" t="n">
        <v>-565.2190000000001</v>
      </c>
      <c r="V161" s="22" t="n">
        <v>-320.803</v>
      </c>
      <c r="W161" s="22" t="n">
        <v>376.077</v>
      </c>
      <c r="X161" s="22" t="n">
        <v>-412.349</v>
      </c>
    </row>
    <row r="162">
      <c r="A162" s="20" t="inlineStr">
        <is>
          <t>이자·배당금 수취</t>
        </is>
      </c>
      <c r="C162" s="22" t="n">
        <v>0.018</v>
      </c>
      <c r="E162" s="22" t="n">
        <v>0.023</v>
      </c>
      <c r="G162" s="22" t="n">
        <v>0.295</v>
      </c>
      <c r="I162" s="22" t="n">
        <v>1.305</v>
      </c>
      <c r="K162" s="22" t="n">
        <v>3.538</v>
      </c>
      <c r="M162" s="22" t="n">
        <v>3.477</v>
      </c>
      <c r="T162" s="22" t="n">
        <v>0.026</v>
      </c>
      <c r="U162" s="22" t="n">
        <v>0.022</v>
      </c>
      <c r="V162" s="22" t="n">
        <v>0.018</v>
      </c>
      <c r="W162" s="22" t="n">
        <v>0.295</v>
      </c>
      <c r="X162" s="22" t="n">
        <v>3.538</v>
      </c>
    </row>
    <row r="163">
      <c r="A163" s="20" t="inlineStr">
        <is>
          <t>이자 지급</t>
        </is>
      </c>
      <c r="C163" s="22" t="n">
        <v>-18.977</v>
      </c>
      <c r="E163" s="22" t="n">
        <v>-13.735</v>
      </c>
      <c r="G163" s="22" t="n">
        <v>-25.659</v>
      </c>
      <c r="I163" s="22" t="n">
        <v>-18.283</v>
      </c>
      <c r="K163" s="22" t="n">
        <v>-42.328</v>
      </c>
      <c r="M163" s="22" t="n">
        <v>-21.783</v>
      </c>
      <c r="T163" s="22" t="n">
        <v>-6.958</v>
      </c>
      <c r="U163" s="22" t="n">
        <v>-12.661</v>
      </c>
      <c r="V163" s="22" t="n">
        <v>-18.977</v>
      </c>
      <c r="W163" s="22" t="n">
        <v>-25.659</v>
      </c>
      <c r="X163" s="22" t="n">
        <v>-42.328</v>
      </c>
    </row>
    <row r="164">
      <c r="A164" s="20" t="inlineStr">
        <is>
          <t>보조금 수취</t>
        </is>
      </c>
      <c r="C164" s="22" t="n">
        <v>0</v>
      </c>
      <c r="T164" s="22" t="n">
        <v>2.595</v>
      </c>
      <c r="U164" s="22" t="n">
        <v>0.075</v>
      </c>
      <c r="V164" s="22" t="n">
        <v>0</v>
      </c>
    </row>
    <row r="165">
      <c r="A165" s="20" t="inlineStr">
        <is>
          <t>보조금 수취</t>
        </is>
      </c>
      <c r="C165" s="22" t="n">
        <v>0</v>
      </c>
      <c r="T165" s="22" t="n">
        <v>0</v>
      </c>
      <c r="U165" s="22" t="n">
        <v>8.663</v>
      </c>
      <c r="V165" s="22" t="n">
        <v>0</v>
      </c>
    </row>
    <row r="166">
      <c r="A166" s="20" t="inlineStr">
        <is>
          <t>수취 급부금 수령</t>
        </is>
      </c>
      <c r="C166" s="22" t="n">
        <v>0</v>
      </c>
      <c r="T166" s="22" t="n">
        <v>11.092</v>
      </c>
      <c r="U166" s="22" t="n">
        <v>4</v>
      </c>
      <c r="V166" s="22" t="n">
        <v>0</v>
      </c>
    </row>
    <row r="167">
      <c r="A167" s="20" t="inlineStr">
        <is>
          <t>법인세 납부</t>
        </is>
      </c>
      <c r="C167" s="22" t="n">
        <v>-1.599</v>
      </c>
      <c r="E167" s="22" t="n">
        <v>-80.581</v>
      </c>
      <c r="G167" s="22" t="n">
        <v>-127.98</v>
      </c>
      <c r="I167" s="22" t="n">
        <v>-38.53</v>
      </c>
      <c r="K167" s="22" t="n">
        <v>-46.604</v>
      </c>
      <c r="M167" s="22" t="n">
        <v>-0.25</v>
      </c>
      <c r="T167" s="22" t="n">
        <v>-1.888</v>
      </c>
      <c r="U167" s="22" t="n">
        <v>-1.89</v>
      </c>
      <c r="V167" s="22" t="n">
        <v>-1.599</v>
      </c>
      <c r="W167" s="22" t="n">
        <v>-127.98</v>
      </c>
      <c r="X167" s="22" t="n">
        <v>-46.604</v>
      </c>
    </row>
    <row r="168">
      <c r="A168" s="20" t="inlineStr">
        <is>
          <t>법인세 환급</t>
        </is>
      </c>
      <c r="C168" s="22" t="n">
        <v>0</v>
      </c>
      <c r="E168" s="22" t="n">
        <v>0.002</v>
      </c>
      <c r="T168" s="22" t="n">
        <v>0.409</v>
      </c>
      <c r="U168" s="22" t="n">
        <v>0</v>
      </c>
      <c r="V168" s="22" t="n">
        <v>0</v>
      </c>
    </row>
    <row r="169">
      <c r="A169" s="9" t="inlineStr">
        <is>
          <t>영업활동 현금흐름</t>
        </is>
      </c>
      <c r="C169" s="12" t="n">
        <v>-341.361</v>
      </c>
      <c r="E169" s="12" t="n">
        <v>198.21</v>
      </c>
      <c r="G169" s="12" t="n">
        <v>222.732</v>
      </c>
      <c r="I169" s="12" t="n">
        <v>201.834</v>
      </c>
      <c r="K169" s="12" t="n">
        <v>-497.744</v>
      </c>
      <c r="M169" s="12" t="n">
        <v>527.2430000000001</v>
      </c>
      <c r="T169" s="12" t="n">
        <v>-757.769</v>
      </c>
      <c r="U169" s="12" t="n">
        <v>-567.009</v>
      </c>
      <c r="V169" s="12" t="n">
        <v>-341.361</v>
      </c>
      <c r="W169" s="12" t="n">
        <v>222.732</v>
      </c>
      <c r="X169" s="12" t="n">
        <v>-497.744</v>
      </c>
    </row>
    <row r="170">
      <c r="A170" s="20" t="inlineStr">
        <is>
          <t>유형자산 취득(설비투자)</t>
        </is>
      </c>
      <c r="C170" s="22" t="n">
        <v>-43.311</v>
      </c>
      <c r="E170" s="22" t="n">
        <v>-234.051</v>
      </c>
      <c r="G170" s="22" t="n">
        <v>-238.616</v>
      </c>
      <c r="I170" s="22" t="n">
        <v>-163.605</v>
      </c>
      <c r="K170" s="22" t="n">
        <v>-183.487</v>
      </c>
      <c r="M170" s="22" t="n">
        <v>-250.868</v>
      </c>
      <c r="T170" s="22" t="n">
        <v>-12.888</v>
      </c>
      <c r="U170" s="22" t="n">
        <v>-10.569</v>
      </c>
      <c r="V170" s="22" t="n">
        <v>-43.311</v>
      </c>
      <c r="W170" s="22" t="n">
        <v>-238.616</v>
      </c>
      <c r="X170" s="22" t="n">
        <v>-183.487</v>
      </c>
    </row>
    <row r="171">
      <c r="A171" s="20" t="inlineStr">
        <is>
          <t>유형자산 매각</t>
        </is>
      </c>
      <c r="C171" s="22" t="n">
        <v>0.574</v>
      </c>
      <c r="G171" s="22" t="n">
        <v>0</v>
      </c>
      <c r="U171" s="22" t="n">
        <v>0</v>
      </c>
      <c r="V171" s="22" t="n">
        <v>0.574</v>
      </c>
      <c r="W171" s="22" t="n">
        <v>0</v>
      </c>
    </row>
    <row r="172">
      <c r="A172" s="20" t="inlineStr">
        <is>
          <t>무형자산 취득</t>
        </is>
      </c>
      <c r="C172" s="22" t="n">
        <v>-120.813</v>
      </c>
      <c r="E172" s="22" t="n">
        <v>-189.299</v>
      </c>
      <c r="G172" s="22" t="n">
        <v>-298.36</v>
      </c>
      <c r="I172" s="22" t="n">
        <v>-245.36</v>
      </c>
      <c r="K172" s="22" t="n">
        <v>-772.147</v>
      </c>
      <c r="M172" s="22" t="n">
        <v>-515.943</v>
      </c>
      <c r="U172" s="22" t="n">
        <v>0</v>
      </c>
      <c r="V172" s="22" t="n">
        <v>-120.813</v>
      </c>
      <c r="W172" s="22" t="n">
        <v>-298.36</v>
      </c>
      <c r="X172" s="22" t="n">
        <v>-772.147</v>
      </c>
    </row>
    <row r="173">
      <c r="A173" s="20" t="inlineStr">
        <is>
          <t>단기대여 지출</t>
        </is>
      </c>
      <c r="C173" s="22" t="n">
        <v>-1.5</v>
      </c>
      <c r="E173" s="22" t="n">
        <v>0</v>
      </c>
      <c r="U173" s="22" t="n">
        <v>0</v>
      </c>
      <c r="V173" s="22" t="n">
        <v>-1.5</v>
      </c>
    </row>
    <row r="174">
      <c r="A174" s="20" t="inlineStr">
        <is>
          <t>단기대여금 회수 수입</t>
        </is>
      </c>
      <c r="C174" s="22" t="n">
        <v>1.5</v>
      </c>
      <c r="E174" s="22" t="n">
        <v>0</v>
      </c>
      <c r="U174" s="22" t="n">
        <v>0</v>
      </c>
      <c r="V174" s="22" t="n">
        <v>1.5</v>
      </c>
    </row>
    <row r="175">
      <c r="A175" s="20" t="inlineStr">
        <is>
          <t>정기예금 예입</t>
        </is>
      </c>
      <c r="C175" s="22" t="n">
        <v>-50</v>
      </c>
      <c r="E175" s="22" t="n">
        <v>-150</v>
      </c>
      <c r="G175" s="22" t="n">
        <v>-150</v>
      </c>
      <c r="I175" s="22" t="n">
        <v>0</v>
      </c>
      <c r="K175" s="22" t="n">
        <v>0</v>
      </c>
      <c r="V175" s="22" t="n">
        <v>-50</v>
      </c>
      <c r="W175" s="22" t="n">
        <v>-150</v>
      </c>
      <c r="X175" s="22" t="n">
        <v>0</v>
      </c>
    </row>
    <row r="176">
      <c r="A176" s="20" t="inlineStr">
        <is>
          <t>임차보증금·보증금 납입</t>
        </is>
      </c>
      <c r="C176" s="22" t="n">
        <v>-28.8</v>
      </c>
      <c r="E176" s="22" t="n">
        <v>-6.292</v>
      </c>
      <c r="T176" s="22" t="n">
        <v>-0.8</v>
      </c>
      <c r="U176" s="22" t="n">
        <v>0</v>
      </c>
      <c r="V176" s="22" t="n">
        <v>-28.8</v>
      </c>
    </row>
    <row r="177">
      <c r="A177" s="20" t="inlineStr">
        <is>
          <t>임차보증금·보증금 회수</t>
        </is>
      </c>
      <c r="C177" s="22" t="n">
        <v>10.301</v>
      </c>
      <c r="E177" s="22" t="n">
        <v>27.21</v>
      </c>
      <c r="T177" s="22" t="n">
        <v>0.576</v>
      </c>
      <c r="U177" s="22" t="n">
        <v>0</v>
      </c>
      <c r="V177" s="22" t="n">
        <v>10.301</v>
      </c>
    </row>
    <row r="178">
      <c r="A178" s="20" t="inlineStr">
        <is>
          <t>정기예금 인출</t>
        </is>
      </c>
      <c r="C178" s="22" t="n">
        <v>0</v>
      </c>
      <c r="G178" s="22" t="n">
        <v>200</v>
      </c>
      <c r="K178" s="22" t="n">
        <v>0</v>
      </c>
      <c r="V178" s="22" t="n">
        <v>0</v>
      </c>
      <c r="W178" s="22" t="n">
        <v>200</v>
      </c>
      <c r="X178" s="22" t="n">
        <v>0</v>
      </c>
    </row>
    <row r="179">
      <c r="A179" s="20" t="inlineStr">
        <is>
          <t>연결범위 변경 자회사 주식 취득</t>
        </is>
      </c>
      <c r="C179" s="22" t="n">
        <v>0</v>
      </c>
      <c r="E179" s="22" t="n">
        <v>-362.221</v>
      </c>
      <c r="G179" s="22" t="n">
        <v>-362.221</v>
      </c>
      <c r="I179" s="22" t="n">
        <v>-1038.106</v>
      </c>
      <c r="K179" s="22" t="n">
        <v>-1039.106</v>
      </c>
      <c r="M179" s="22" t="n">
        <v>0</v>
      </c>
      <c r="V179" s="22" t="n">
        <v>0</v>
      </c>
      <c r="W179" s="22" t="n">
        <v>-362.221</v>
      </c>
      <c r="X179" s="22" t="n">
        <v>-1039.106</v>
      </c>
    </row>
    <row r="180">
      <c r="A180" s="20" t="inlineStr">
        <is>
          <t>연결범위 변경 자회사 주식 매각(지출)</t>
        </is>
      </c>
      <c r="C180" s="22" t="n">
        <v>-452.031</v>
      </c>
      <c r="G180" s="22" t="n">
        <v>0</v>
      </c>
      <c r="U180" s="22" t="n">
        <v>0</v>
      </c>
      <c r="V180" s="22" t="n">
        <v>-452.031</v>
      </c>
      <c r="W180" s="22" t="n">
        <v>0</v>
      </c>
    </row>
    <row r="181">
      <c r="A181" s="20" t="inlineStr">
        <is>
          <t>조건부 대가 결제 수입</t>
        </is>
      </c>
      <c r="G181" s="22" t="n">
        <v>0</v>
      </c>
      <c r="K181" s="22" t="n">
        <v>116.503</v>
      </c>
      <c r="W181" s="22" t="n">
        <v>0</v>
      </c>
      <c r="X181" s="22" t="n">
        <v>116.503</v>
      </c>
    </row>
    <row r="182">
      <c r="A182" s="20" t="inlineStr">
        <is>
          <t>기타</t>
        </is>
      </c>
      <c r="C182" s="22" t="n">
        <v>-18.492</v>
      </c>
      <c r="E182" s="22" t="n">
        <v>14.502</v>
      </c>
      <c r="G182" s="22" t="n">
        <v>11.418</v>
      </c>
      <c r="I182" s="22" t="n">
        <v>0.8070000000000001</v>
      </c>
      <c r="K182" s="22" t="n">
        <v>-22.655</v>
      </c>
      <c r="M182" s="22" t="n">
        <v>-4.424</v>
      </c>
      <c r="T182" s="22" t="n">
        <v>0</v>
      </c>
      <c r="U182" s="22" t="n">
        <v>0.01</v>
      </c>
      <c r="V182" s="22" t="n">
        <v>-18.492</v>
      </c>
      <c r="W182" s="22" t="n">
        <v>11.418</v>
      </c>
      <c r="X182" s="22" t="n">
        <v>-22.655</v>
      </c>
    </row>
    <row r="183">
      <c r="A183" s="9" t="inlineStr">
        <is>
          <t>투자활동 현금흐름</t>
        </is>
      </c>
      <c r="C183" s="12" t="n">
        <v>-684.074</v>
      </c>
      <c r="E183" s="12" t="n">
        <v>-921.0700000000001</v>
      </c>
      <c r="G183" s="12" t="n">
        <v>-837.78</v>
      </c>
      <c r="I183" s="12" t="n">
        <v>-1446.264</v>
      </c>
      <c r="K183" s="12" t="n">
        <v>-1900.893</v>
      </c>
      <c r="M183" s="12" t="n">
        <v>-771.236</v>
      </c>
      <c r="T183" s="12" t="n">
        <v>-13.112</v>
      </c>
      <c r="U183" s="12" t="n">
        <v>-10.559</v>
      </c>
      <c r="V183" s="12" t="n">
        <v>-684.074</v>
      </c>
      <c r="W183" s="12" t="n">
        <v>-837.78</v>
      </c>
      <c r="X183" s="12" t="n">
        <v>-1900.893</v>
      </c>
    </row>
    <row r="184">
      <c r="A184" s="20" t="inlineStr">
        <is>
          <t>단기차입금 순증감</t>
        </is>
      </c>
      <c r="C184" s="22" t="n">
        <v>15</v>
      </c>
      <c r="G184" s="22" t="n">
        <v>-499.468</v>
      </c>
      <c r="K184" s="22" t="n">
        <v>409.384</v>
      </c>
      <c r="V184" s="22" t="n">
        <v>15</v>
      </c>
      <c r="W184" s="22" t="n">
        <v>-499.468</v>
      </c>
      <c r="X184" s="22" t="n">
        <v>409.384</v>
      </c>
    </row>
    <row r="185">
      <c r="A185" s="20" t="inlineStr">
        <is>
          <t>장기차입</t>
        </is>
      </c>
      <c r="C185" s="22" t="n">
        <v>0</v>
      </c>
      <c r="E185" s="22" t="n">
        <v>200</v>
      </c>
      <c r="G185" s="22" t="n">
        <v>575</v>
      </c>
      <c r="I185" s="22" t="n">
        <v>0</v>
      </c>
      <c r="K185" s="22" t="n">
        <v>870</v>
      </c>
      <c r="T185" s="22" t="n">
        <v>300</v>
      </c>
      <c r="U185" s="22" t="n">
        <v>170</v>
      </c>
      <c r="V185" s="22" t="n">
        <v>0</v>
      </c>
      <c r="W185" s="22" t="n">
        <v>575</v>
      </c>
      <c r="X185" s="22" t="n">
        <v>870</v>
      </c>
    </row>
    <row r="186">
      <c r="A186" s="20" t="inlineStr">
        <is>
          <t>단기차입</t>
        </is>
      </c>
      <c r="C186" s="22" t="n">
        <v>15</v>
      </c>
      <c r="E186" s="22" t="n">
        <v>560</v>
      </c>
      <c r="I186" s="22" t="n">
        <v>500</v>
      </c>
      <c r="M186" s="22" t="n">
        <v>0</v>
      </c>
      <c r="T186" s="22" t="n">
        <v>191</v>
      </c>
      <c r="U186" s="22" t="n">
        <v>284</v>
      </c>
      <c r="V186" s="22" t="n">
        <v>15</v>
      </c>
    </row>
    <row r="187">
      <c r="A187" s="20" t="inlineStr">
        <is>
          <t>단기차입금 상환</t>
        </is>
      </c>
      <c r="E187" s="22" t="n">
        <v>-682.8</v>
      </c>
      <c r="I187" s="22" t="n">
        <v>-25.002</v>
      </c>
      <c r="M187" s="22" t="n">
        <v>-158.899</v>
      </c>
    </row>
    <row r="188">
      <c r="A188" s="20" t="inlineStr">
        <is>
          <t>장기차입금 상환</t>
        </is>
      </c>
      <c r="C188" s="22" t="n">
        <v>-2.88</v>
      </c>
      <c r="E188" s="22" t="n">
        <v>-26.521</v>
      </c>
      <c r="G188" s="22" t="n">
        <v>-64.021</v>
      </c>
      <c r="I188" s="22" t="n">
        <v>-37.5</v>
      </c>
      <c r="K188" s="22" t="n">
        <v>-87.83499999999999</v>
      </c>
      <c r="M188" s="22" t="n">
        <v>-427.344</v>
      </c>
      <c r="T188" s="22" t="n">
        <v>-11.36</v>
      </c>
      <c r="U188" s="22" t="n">
        <v>-83.13800000000001</v>
      </c>
      <c r="V188" s="22" t="n">
        <v>-2.88</v>
      </c>
      <c r="W188" s="22" t="n">
        <v>-64.021</v>
      </c>
      <c r="X188" s="22" t="n">
        <v>-87.83499999999999</v>
      </c>
    </row>
    <row r="189">
      <c r="A189" s="20" t="inlineStr">
        <is>
          <t>사채 발행</t>
        </is>
      </c>
      <c r="C189" s="22" t="n">
        <v>936</v>
      </c>
      <c r="G189" s="22" t="n">
        <v>0</v>
      </c>
      <c r="U189" s="22" t="n">
        <v>0</v>
      </c>
      <c r="V189" s="22" t="n">
        <v>936</v>
      </c>
      <c r="W189" s="22" t="n">
        <v>0</v>
      </c>
    </row>
    <row r="190">
      <c r="A190" s="20" t="inlineStr">
        <is>
          <t>주식 발행</t>
        </is>
      </c>
      <c r="C190" s="22" t="n">
        <v>614.226</v>
      </c>
      <c r="E190" s="22" t="n">
        <v>0</v>
      </c>
      <c r="G190" s="22" t="n">
        <v>0</v>
      </c>
      <c r="K190" s="22" t="n">
        <v>1713.72</v>
      </c>
      <c r="U190" s="22" t="n">
        <v>0</v>
      </c>
      <c r="V190" s="22" t="n">
        <v>614.226</v>
      </c>
      <c r="W190" s="22" t="n">
        <v>0</v>
      </c>
      <c r="X190" s="22" t="n">
        <v>1713.72</v>
      </c>
    </row>
    <row r="191">
      <c r="A191" s="20" t="inlineStr">
        <is>
          <t>비지배주주 환급</t>
        </is>
      </c>
      <c r="I191" s="22" t="n">
        <v>0</v>
      </c>
      <c r="M191" s="22" t="n">
        <v>-92.23399999999999</v>
      </c>
    </row>
    <row r="192">
      <c r="A192" s="20" t="inlineStr">
        <is>
          <t>리스부채 상환</t>
        </is>
      </c>
      <c r="C192" s="22" t="n">
        <v>0</v>
      </c>
      <c r="E192" s="22" t="n">
        <v>-10.951</v>
      </c>
      <c r="G192" s="22" t="n">
        <v>-33.558</v>
      </c>
      <c r="I192" s="22" t="n">
        <v>-73.235</v>
      </c>
      <c r="K192" s="22" t="n">
        <v>-112.309</v>
      </c>
      <c r="M192" s="22" t="n">
        <v>-40.169</v>
      </c>
      <c r="V192" s="22" t="n">
        <v>0</v>
      </c>
      <c r="W192" s="22" t="n">
        <v>-33.558</v>
      </c>
      <c r="X192" s="22" t="n">
        <v>-112.309</v>
      </c>
    </row>
    <row r="193">
      <c r="A193" s="20" t="inlineStr">
        <is>
          <t>세일앤리스백 수입</t>
        </is>
      </c>
      <c r="C193" s="22" t="n">
        <v>0</v>
      </c>
      <c r="E193" s="22" t="n">
        <v>251.505</v>
      </c>
      <c r="G193" s="22" t="n">
        <v>251.505</v>
      </c>
      <c r="I193" s="22" t="n">
        <v>173.517</v>
      </c>
      <c r="K193" s="22" t="n">
        <v>173.517</v>
      </c>
      <c r="M193" s="22" t="n">
        <v>0</v>
      </c>
      <c r="V193" s="22" t="n">
        <v>0</v>
      </c>
      <c r="W193" s="22" t="n">
        <v>251.505</v>
      </c>
      <c r="X193" s="22" t="n">
        <v>173.517</v>
      </c>
    </row>
    <row r="194">
      <c r="A194" s="20" t="inlineStr">
        <is>
          <t>연결범위 변경 없는 자회사 주식 취득</t>
        </is>
      </c>
      <c r="G194" s="22" t="n">
        <v>0</v>
      </c>
      <c r="K194" s="22" t="n">
        <v>-62.378</v>
      </c>
      <c r="W194" s="22" t="n">
        <v>0</v>
      </c>
      <c r="X194" s="22" t="n">
        <v>-62.378</v>
      </c>
    </row>
    <row r="195">
      <c r="A195" s="20" t="inlineStr">
        <is>
          <t>신주예약권 발행</t>
        </is>
      </c>
      <c r="C195" s="22" t="n">
        <v>8.292999999999999</v>
      </c>
      <c r="E195" s="22" t="n">
        <v>8.1</v>
      </c>
      <c r="G195" s="22" t="n">
        <v>8.933</v>
      </c>
      <c r="I195" s="22" t="n">
        <v>0</v>
      </c>
      <c r="K195" s="22" t="n">
        <v>0</v>
      </c>
      <c r="T195" s="22" t="n">
        <v>0.266</v>
      </c>
      <c r="U195" s="22" t="n">
        <v>0</v>
      </c>
      <c r="V195" s="22" t="n">
        <v>8.292999999999999</v>
      </c>
      <c r="W195" s="22" t="n">
        <v>8.933</v>
      </c>
      <c r="X195" s="22" t="n">
        <v>0</v>
      </c>
    </row>
    <row r="196">
      <c r="A196" s="20" t="inlineStr">
        <is>
          <t>비지배주주 납입</t>
        </is>
      </c>
      <c r="C196" s="22" t="n">
        <v>97</v>
      </c>
      <c r="E196" s="22" t="n">
        <v>0</v>
      </c>
      <c r="G196" s="22" t="n">
        <v>0</v>
      </c>
      <c r="I196" s="22" t="n">
        <v>0</v>
      </c>
      <c r="M196" s="22" t="n">
        <v>100</v>
      </c>
      <c r="U196" s="22" t="n">
        <v>0</v>
      </c>
      <c r="V196" s="22" t="n">
        <v>97</v>
      </c>
      <c r="W196" s="22" t="n">
        <v>0</v>
      </c>
    </row>
    <row r="197">
      <c r="A197" s="20" t="inlineStr">
        <is>
          <t>신주예약권 행사에 따른 주식 발행</t>
        </is>
      </c>
      <c r="C197" s="22" t="n">
        <v>36.752</v>
      </c>
      <c r="E197" s="22" t="n">
        <v>20.505</v>
      </c>
      <c r="G197" s="22" t="n">
        <v>381.048</v>
      </c>
      <c r="I197" s="22" t="n">
        <v>17.39</v>
      </c>
      <c r="K197" s="22" t="n">
        <v>22.602</v>
      </c>
      <c r="M197" s="22" t="n">
        <v>20.758</v>
      </c>
      <c r="U197" s="22" t="n">
        <v>0</v>
      </c>
      <c r="V197" s="22" t="n">
        <v>36.752</v>
      </c>
      <c r="W197" s="22" t="n">
        <v>381.048</v>
      </c>
      <c r="X197" s="22" t="n">
        <v>22.602</v>
      </c>
    </row>
    <row r="198">
      <c r="A198" s="9" t="inlineStr">
        <is>
          <t>재무활동 현금흐름</t>
        </is>
      </c>
      <c r="C198" s="12" t="n">
        <v>1704.392</v>
      </c>
      <c r="E198" s="12" t="n">
        <v>319.837</v>
      </c>
      <c r="G198" s="12" t="n">
        <v>619.439</v>
      </c>
      <c r="I198" s="12" t="n">
        <v>555.169</v>
      </c>
      <c r="K198" s="12" t="n">
        <v>2926.7</v>
      </c>
      <c r="M198" s="12" t="n">
        <v>-597.89</v>
      </c>
      <c r="T198" s="12" t="n">
        <v>479.906</v>
      </c>
      <c r="U198" s="12" t="n">
        <v>370.862</v>
      </c>
      <c r="V198" s="12" t="n">
        <v>1704.392</v>
      </c>
      <c r="W198" s="12" t="n">
        <v>619.439</v>
      </c>
      <c r="X198" s="12" t="n">
        <v>2926.7</v>
      </c>
    </row>
    <row r="199">
      <c r="A199" s="20" t="inlineStr">
        <is>
          <t>현금성자산 환산차이</t>
        </is>
      </c>
      <c r="E199" s="22" t="n">
        <v>0</v>
      </c>
      <c r="I199" s="22" t="n">
        <v>0</v>
      </c>
    </row>
    <row r="200">
      <c r="A200" s="20" t="inlineStr">
        <is>
          <t>현금성자산 증감</t>
        </is>
      </c>
      <c r="C200" s="22" t="n">
        <v>678.956</v>
      </c>
      <c r="E200" s="22" t="n">
        <v>-403.021</v>
      </c>
      <c r="G200" s="22" t="n">
        <v>4.391</v>
      </c>
      <c r="I200" s="22" t="n">
        <v>-689.259</v>
      </c>
      <c r="K200" s="22" t="n">
        <v>528.062</v>
      </c>
      <c r="M200" s="22" t="n">
        <v>-841.883</v>
      </c>
      <c r="T200" s="22" t="n">
        <v>-290.975</v>
      </c>
      <c r="U200" s="22" t="n">
        <v>-206.707</v>
      </c>
      <c r="V200" s="22" t="n">
        <v>678.956</v>
      </c>
      <c r="W200" s="22" t="n">
        <v>4.391</v>
      </c>
      <c r="X200" s="22" t="n">
        <v>528.062</v>
      </c>
    </row>
    <row r="201">
      <c r="A201" s="20" t="inlineStr">
        <is>
          <t>신규 연결 현금성자산 증가</t>
        </is>
      </c>
      <c r="G201" s="22" t="n">
        <v>0</v>
      </c>
      <c r="K201" s="22" t="n">
        <v>1</v>
      </c>
      <c r="W201" s="22" t="n">
        <v>0</v>
      </c>
      <c r="X201" s="22" t="n">
        <v>1</v>
      </c>
    </row>
    <row r="202">
      <c r="A202" s="20" t="inlineStr">
        <is>
          <t>연결범위 변경에 따른 현금성자산 증감</t>
        </is>
      </c>
      <c r="C202" s="22" t="n">
        <v>0</v>
      </c>
      <c r="I202" s="22" t="n">
        <v>0</v>
      </c>
      <c r="M202" s="22" t="n">
        <v>-101.073</v>
      </c>
      <c r="T202" s="22" t="n">
        <v>0</v>
      </c>
      <c r="U202" s="22" t="n">
        <v>-34.82</v>
      </c>
      <c r="V202" s="22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ELEMENTS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2025.3Q</t>
        </is>
      </c>
      <c r="D3" s="5" t="inlineStr">
        <is>
          <t>2025.4Q</t>
        </is>
      </c>
      <c r="E3" s="5" t="inlineStr">
        <is>
          <t>2026.1Q</t>
        </is>
      </c>
      <c r="F3" s="5" t="inlineStr">
        <is>
          <t>2026.2Q</t>
        </is>
      </c>
      <c r="G3" s="5" t="inlineStr">
        <is>
          <t>2026.3Q</t>
        </is>
      </c>
      <c r="H3" s="6" t="inlineStr">
        <is>
          <t>2021</t>
        </is>
      </c>
      <c r="I3" s="5" t="inlineStr">
        <is>
          <t>2022</t>
        </is>
      </c>
      <c r="J3" s="5" t="inlineStr">
        <is>
          <t>2023</t>
        </is>
      </c>
      <c r="K3" s="5" t="inlineStr">
        <is>
          <t>2024</t>
        </is>
      </c>
      <c r="L3" s="5" t="inlineStr">
        <is>
          <t>2025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3545.732</v>
      </c>
      <c r="D5" s="12" t="n">
        <v>4495.523</v>
      </c>
      <c r="E5" s="12" t="n">
        <v>3753.027</v>
      </c>
      <c r="F5" s="12" t="n">
        <v>3523.985</v>
      </c>
      <c r="G5" s="12" t="n">
        <v>3629.249</v>
      </c>
      <c r="H5" s="11" t="n">
        <v>2557.434</v>
      </c>
      <c r="I5" s="12" t="n">
        <v>2296.396</v>
      </c>
      <c r="J5" s="12" t="n">
        <v>3196.98</v>
      </c>
      <c r="K5" s="12" t="n">
        <v>3207.262</v>
      </c>
      <c r="L5" s="12" t="n">
        <v>4495.523</v>
      </c>
    </row>
    <row r="6">
      <c r="A6" s="20" t="inlineStr">
        <is>
          <t>현금및현금성자산</t>
        </is>
      </c>
      <c r="B6" s="10" t="n"/>
      <c r="C6" s="21" t="n">
        <v>2701.349</v>
      </c>
      <c r="D6" s="22" t="n">
        <v>3275.338</v>
      </c>
      <c r="E6" s="22" t="n">
        <v>2652.708</v>
      </c>
      <c r="F6" s="22" t="n">
        <v>2332.381</v>
      </c>
      <c r="G6" s="22" t="n">
        <v>2425.119</v>
      </c>
      <c r="H6" s="21" t="n">
        <v>2304.455</v>
      </c>
      <c r="I6" s="22" t="n">
        <v>2062.928</v>
      </c>
      <c r="J6" s="22" t="n">
        <v>2791.884</v>
      </c>
      <c r="K6" s="22" t="n">
        <v>2746.276</v>
      </c>
      <c r="L6" s="22" t="n">
        <v>3275.338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/>
      <c r="L7" s="22" t="n"/>
    </row>
    <row r="8">
      <c r="A8" s="20" t="inlineStr">
        <is>
          <t>매출채권</t>
        </is>
      </c>
      <c r="B8" s="10" t="n"/>
      <c r="C8" s="21" t="n">
        <v>677.399</v>
      </c>
      <c r="D8" s="22" t="n">
        <v>757.489</v>
      </c>
      <c r="E8" s="22" t="n">
        <v>743.877</v>
      </c>
      <c r="F8" s="22" t="n">
        <v>883.876</v>
      </c>
      <c r="G8" s="22" t="n">
        <v>969.395</v>
      </c>
      <c r="H8" s="21" t="n">
        <v>201.954</v>
      </c>
      <c r="I8" s="22" t="n">
        <v>169.982</v>
      </c>
      <c r="J8" s="22" t="n">
        <v>373.925</v>
      </c>
      <c r="K8" s="22" t="n">
        <v>391.581</v>
      </c>
      <c r="L8" s="22" t="n">
        <v>757.489</v>
      </c>
    </row>
    <row r="9">
      <c r="A9" s="20" t="inlineStr">
        <is>
          <t>재고자산</t>
        </is>
      </c>
      <c r="B9" s="10" t="n"/>
      <c r="C9" s="21" t="n">
        <v>1.993</v>
      </c>
      <c r="D9" s="22" t="n">
        <v>0.08699999999999999</v>
      </c>
      <c r="E9" s="22" t="n">
        <v>0.095</v>
      </c>
      <c r="F9" s="22" t="n">
        <v>0.075</v>
      </c>
      <c r="G9" s="22" t="n">
        <v>29.175</v>
      </c>
      <c r="H9" s="21" t="n">
        <v>11.186</v>
      </c>
      <c r="I9" s="22" t="n">
        <v>3.304</v>
      </c>
      <c r="J9" s="22" t="n">
        <v>0.876</v>
      </c>
      <c r="K9" s="22" t="n">
        <v>3.481</v>
      </c>
      <c r="L9" s="22" t="n">
        <v>0.08699999999999999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2755.96</v>
      </c>
      <c r="D11" s="12" t="n">
        <v>2744.431</v>
      </c>
      <c r="E11" s="12" t="n">
        <v>3204.831</v>
      </c>
      <c r="F11" s="12" t="n">
        <v>3242.252</v>
      </c>
      <c r="G11" s="12" t="n">
        <v>3345.561</v>
      </c>
      <c r="H11" s="11" t="n">
        <v>57.422</v>
      </c>
      <c r="I11" s="12" t="n">
        <v>55.035</v>
      </c>
      <c r="J11" s="12" t="n">
        <v>413.946</v>
      </c>
      <c r="K11" s="12" t="n">
        <v>1709.605</v>
      </c>
      <c r="L11" s="12" t="n">
        <v>2744.431</v>
      </c>
    </row>
    <row r="12">
      <c r="A12" s="20" t="inlineStr">
        <is>
          <t>유형자산</t>
        </is>
      </c>
      <c r="B12" s="10" t="n"/>
      <c r="C12" s="21" t="n">
        <v>341.879</v>
      </c>
      <c r="D12" s="22" t="n">
        <v>322.41</v>
      </c>
      <c r="E12" s="22" t="n">
        <v>541.955</v>
      </c>
      <c r="F12" s="22" t="n">
        <v>513.67</v>
      </c>
      <c r="G12" s="22" t="n">
        <v>603.157</v>
      </c>
      <c r="H12" s="21" t="n">
        <v>15.738</v>
      </c>
      <c r="I12" s="22" t="n">
        <v>16.672</v>
      </c>
      <c r="J12" s="22" t="n">
        <v>50.11</v>
      </c>
      <c r="K12" s="22" t="n">
        <v>244.898</v>
      </c>
      <c r="L12" s="22" t="n">
        <v>322.41</v>
      </c>
    </row>
    <row r="13">
      <c r="A13" s="20" t="inlineStr">
        <is>
          <t>무형자산</t>
        </is>
      </c>
      <c r="B13" s="10" t="n"/>
      <c r="C13" s="21" t="n">
        <v>2183.706</v>
      </c>
      <c r="D13" s="22" t="n">
        <v>2200.622</v>
      </c>
      <c r="E13" s="22" t="n">
        <v>2441.21</v>
      </c>
      <c r="F13" s="22" t="n">
        <v>2508.823</v>
      </c>
      <c r="G13" s="22" t="n">
        <v>2542.474</v>
      </c>
      <c r="H13" s="21" t="n">
        <v>3.681</v>
      </c>
      <c r="I13" s="22" t="n">
        <v>1.732</v>
      </c>
      <c r="J13" s="22" t="n">
        <v>117.465</v>
      </c>
      <c r="K13" s="22" t="n">
        <v>1252.127</v>
      </c>
      <c r="L13" s="22" t="n">
        <v>2200.622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6301.693</v>
      </c>
      <c r="D16" s="12" t="n">
        <v>7239.954</v>
      </c>
      <c r="E16" s="12" t="n">
        <v>6957.858</v>
      </c>
      <c r="F16" s="12" t="n">
        <v>6766.237</v>
      </c>
      <c r="G16" s="12" t="n">
        <v>6974.811</v>
      </c>
      <c r="H16" s="11" t="n">
        <v>2614.856</v>
      </c>
      <c r="I16" s="12" t="n">
        <v>2351.432</v>
      </c>
      <c r="J16" s="12" t="n">
        <v>3629.103</v>
      </c>
      <c r="K16" s="12" t="n">
        <v>4916.868</v>
      </c>
      <c r="L16" s="12" t="n">
        <v>7239.954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1991.516</v>
      </c>
      <c r="D18" s="12" t="n">
        <v>1845.244</v>
      </c>
      <c r="E18" s="12" t="n">
        <v>1450.806</v>
      </c>
      <c r="F18" s="12" t="n">
        <v>1150.538</v>
      </c>
      <c r="G18" s="12" t="n">
        <v>1230.468</v>
      </c>
      <c r="H18" s="11" t="n">
        <v>844.4059999999999</v>
      </c>
      <c r="I18" s="12" t="n">
        <v>875.263</v>
      </c>
      <c r="J18" s="12" t="n">
        <v>876.1</v>
      </c>
      <c r="K18" s="12" t="n">
        <v>707.122</v>
      </c>
      <c r="L18" s="12" t="n">
        <v>1845.244</v>
      </c>
    </row>
    <row r="19">
      <c r="A19" s="20" t="inlineStr">
        <is>
          <t>매입채무</t>
        </is>
      </c>
      <c r="B19" s="10" t="n"/>
      <c r="C19" s="21" t="n">
        <v>125.688</v>
      </c>
      <c r="D19" s="22" t="n">
        <v>107.711</v>
      </c>
      <c r="E19" s="22" t="n">
        <v>89.917</v>
      </c>
      <c r="F19" s="22" t="n">
        <v>86.22799999999999</v>
      </c>
      <c r="G19" s="22" t="n">
        <v>86.47199999999999</v>
      </c>
      <c r="H19" s="21" t="n">
        <v>38.503</v>
      </c>
      <c r="I19" s="22" t="n">
        <v>23.08</v>
      </c>
      <c r="J19" s="22" t="n">
        <v>23.737</v>
      </c>
      <c r="K19" s="22" t="n">
        <v>43.911</v>
      </c>
      <c r="L19" s="22" t="n">
        <v>107.711</v>
      </c>
    </row>
    <row r="20">
      <c r="A20" s="20" t="inlineStr">
        <is>
          <t>단기차입금</t>
        </is>
      </c>
      <c r="B20" s="10" t="n"/>
      <c r="C20" s="21" t="n">
        <v>1117.995</v>
      </c>
      <c r="D20" s="22" t="n">
        <v>642.716</v>
      </c>
      <c r="E20" s="22" t="n">
        <v>613.266</v>
      </c>
      <c r="F20" s="22" t="n">
        <v>483.816</v>
      </c>
      <c r="G20" s="22" t="n">
        <v>454.366</v>
      </c>
      <c r="H20" s="21" t="n">
        <v>353.8</v>
      </c>
      <c r="I20" s="22" t="n">
        <v>637.8</v>
      </c>
      <c r="J20" s="22" t="n">
        <v>652.8</v>
      </c>
      <c r="K20" s="22" t="n">
        <v>233.332</v>
      </c>
      <c r="L20" s="22" t="n">
        <v>642.716</v>
      </c>
    </row>
    <row r="21">
      <c r="A21" s="20" t="inlineStr">
        <is>
          <t>유동성장기부채</t>
        </is>
      </c>
      <c r="B21" s="10" t="n"/>
      <c r="C21" s="21" t="n">
        <v>104.097</v>
      </c>
      <c r="D21" s="22" t="n">
        <v>472.848</v>
      </c>
      <c r="E21" s="22" t="n">
        <v>81.753</v>
      </c>
      <c r="F21" s="22" t="n">
        <v>68.661</v>
      </c>
      <c r="G21" s="22" t="n">
        <v>70.7</v>
      </c>
      <c r="H21" s="21" t="n">
        <v>246.18</v>
      </c>
      <c r="I21" s="22" t="n">
        <v>2.88</v>
      </c>
      <c r="J21" s="22" t="n">
        <v>1.52</v>
      </c>
      <c r="K21" s="22" t="n">
        <v>81</v>
      </c>
      <c r="L21" s="22" t="n">
        <v>472.848</v>
      </c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2284.1</v>
      </c>
      <c r="D23" s="12" t="n">
        <v>1809.504</v>
      </c>
      <c r="E23" s="12" t="n">
        <v>1776.267</v>
      </c>
      <c r="F23" s="12" t="n">
        <v>1743.892</v>
      </c>
      <c r="G23" s="12" t="n">
        <v>1727.578</v>
      </c>
      <c r="H23" s="11" t="n">
        <v>500.62</v>
      </c>
      <c r="I23" s="12" t="n">
        <v>791.52</v>
      </c>
      <c r="J23" s="12" t="n">
        <v>1734.051</v>
      </c>
      <c r="K23" s="12" t="n">
        <v>1600.711</v>
      </c>
      <c r="L23" s="12" t="n">
        <v>1809.504</v>
      </c>
    </row>
    <row r="24">
      <c r="A24" s="20" t="inlineStr">
        <is>
          <t>장기차입금</t>
        </is>
      </c>
      <c r="B24" s="10" t="n"/>
      <c r="C24" s="21" t="n">
        <v>2008.818</v>
      </c>
      <c r="D24" s="22" t="n">
        <v>1611.816</v>
      </c>
      <c r="E24" s="22" t="n">
        <v>1599.66</v>
      </c>
      <c r="F24" s="22" t="n">
        <v>1588.659</v>
      </c>
      <c r="G24" s="22" t="n">
        <v>1563.118</v>
      </c>
      <c r="H24" s="21" t="n">
        <v>500.62</v>
      </c>
      <c r="I24" s="22" t="n">
        <v>791.52</v>
      </c>
      <c r="J24" s="22" t="n">
        <v>790</v>
      </c>
      <c r="K24" s="22" t="n">
        <v>1221.499</v>
      </c>
      <c r="L24" s="22" t="n">
        <v>1611.816</v>
      </c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4275.617</v>
      </c>
      <c r="D27" s="12" t="n">
        <v>3654.749</v>
      </c>
      <c r="E27" s="12" t="n">
        <v>3227.074</v>
      </c>
      <c r="F27" s="12" t="n">
        <v>2894.431</v>
      </c>
      <c r="G27" s="12" t="n">
        <v>2958.046</v>
      </c>
      <c r="H27" s="11" t="n">
        <v>1345.026</v>
      </c>
      <c r="I27" s="12" t="n">
        <v>1666.783</v>
      </c>
      <c r="J27" s="12" t="n">
        <v>2610.151</v>
      </c>
      <c r="K27" s="12" t="n">
        <v>2307.834</v>
      </c>
      <c r="L27" s="12" t="n">
        <v>3654.749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1536.753</v>
      </c>
      <c r="D31" s="12" t="n">
        <v>3201.068</v>
      </c>
      <c r="E31" s="12" t="n">
        <v>3318.034</v>
      </c>
      <c r="F31" s="12" t="n">
        <v>3520.516</v>
      </c>
      <c r="G31" s="12" t="n">
        <v>3637.119</v>
      </c>
      <c r="H31" s="11" t="n">
        <v>996.769</v>
      </c>
      <c r="I31" s="12" t="n">
        <v>423.571</v>
      </c>
      <c r="J31" s="12" t="n">
        <v>884.287</v>
      </c>
      <c r="K31" s="12" t="n">
        <v>2105.999</v>
      </c>
      <c r="L31" s="12" t="n">
        <v>3201.068</v>
      </c>
    </row>
    <row r="32">
      <c r="A32" s="20" t="inlineStr">
        <is>
          <t>자본금</t>
        </is>
      </c>
      <c r="B32" s="10" t="n"/>
      <c r="C32" s="21" t="n">
        <v>36.722</v>
      </c>
      <c r="D32" s="22" t="n">
        <v>10</v>
      </c>
      <c r="E32" s="22" t="n">
        <v>18.404</v>
      </c>
      <c r="F32" s="22" t="n">
        <v>21.154</v>
      </c>
      <c r="G32" s="22" t="n">
        <v>22.654</v>
      </c>
      <c r="H32" s="21" t="n">
        <v>100</v>
      </c>
      <c r="I32" s="22" t="n">
        <v>100</v>
      </c>
      <c r="J32" s="22" t="n">
        <v>10.1</v>
      </c>
      <c r="K32" s="22" t="n">
        <v>10</v>
      </c>
      <c r="L32" s="22" t="n">
        <v>10</v>
      </c>
    </row>
    <row r="33">
      <c r="A33" s="20" t="inlineStr">
        <is>
          <t>이익잉여금</t>
        </is>
      </c>
      <c r="B33" s="10" t="n"/>
      <c r="C33" s="21" t="n">
        <v>-1701.965</v>
      </c>
      <c r="D33" s="22" t="n">
        <v>-1779.939</v>
      </c>
      <c r="E33" s="22" t="n">
        <v>-1679.782</v>
      </c>
      <c r="F33" s="22" t="n">
        <v>-1482.801</v>
      </c>
      <c r="G33" s="22" t="n">
        <v>-1369.196</v>
      </c>
      <c r="H33" s="21" t="n">
        <v>-3556.161</v>
      </c>
      <c r="I33" s="22" t="n">
        <v>-4117.73</v>
      </c>
      <c r="J33" s="22" t="n">
        <v>-4456.442</v>
      </c>
      <c r="K33" s="22" t="n">
        <v>-1079.273</v>
      </c>
      <c r="L33" s="22" t="n">
        <v>-1779.939</v>
      </c>
    </row>
    <row r="34">
      <c r="A34" s="20" t="inlineStr">
        <is>
          <t>비지배지분</t>
        </is>
      </c>
      <c r="B34" s="10" t="n"/>
      <c r="C34" s="21" t="n">
        <v>231.641</v>
      </c>
      <c r="D34" s="22" t="n">
        <v>112.892</v>
      </c>
      <c r="E34" s="22" t="n">
        <v>111.957</v>
      </c>
      <c r="F34" s="22" t="n">
        <v>23.251</v>
      </c>
      <c r="G34" s="22" t="n">
        <v>24.358</v>
      </c>
      <c r="H34" s="21" t="n">
        <v>272.288</v>
      </c>
      <c r="I34" s="22" t="n">
        <v>260.406</v>
      </c>
      <c r="J34" s="22" t="n">
        <v>0</v>
      </c>
      <c r="K34" s="22" t="n">
        <v>316.059</v>
      </c>
      <c r="L34" s="22" t="n">
        <v>112.892</v>
      </c>
    </row>
    <row r="35">
      <c r="A35" s="9" t="inlineStr">
        <is>
          <t>자본총계</t>
        </is>
      </c>
      <c r="B35" s="10" t="n"/>
      <c r="C35" s="11" t="n">
        <v>2026.076</v>
      </c>
      <c r="D35" s="12" t="n">
        <v>3585.205</v>
      </c>
      <c r="E35" s="12" t="n">
        <v>3730.783</v>
      </c>
      <c r="F35" s="12" t="n">
        <v>3871.806</v>
      </c>
      <c r="G35" s="12" t="n">
        <v>4016.764</v>
      </c>
      <c r="H35" s="11" t="n">
        <v>1269.829</v>
      </c>
      <c r="I35" s="12" t="n">
        <v>684.649</v>
      </c>
      <c r="J35" s="12" t="n">
        <v>1018.951</v>
      </c>
      <c r="K35" s="12" t="n">
        <v>2609.033</v>
      </c>
      <c r="L35" s="12" t="n">
        <v>3585.205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/>
      <c r="D37" s="12" t="n">
        <v>-497.744</v>
      </c>
      <c r="E37" s="12" t="n"/>
      <c r="F37" s="12" t="n">
        <v>-172.335</v>
      </c>
      <c r="G37" s="12" t="n"/>
      <c r="H37" s="11" t="n">
        <v>-757.769</v>
      </c>
      <c r="I37" s="12" t="n">
        <v>-567.009</v>
      </c>
      <c r="J37" s="12" t="n">
        <v>-341.361</v>
      </c>
      <c r="K37" s="12" t="n">
        <v>222.732</v>
      </c>
      <c r="L37" s="12" t="n">
        <v>-497.744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>
        <v>955.634</v>
      </c>
      <c r="E38" s="22" t="n"/>
      <c r="F38" s="22" t="n">
        <v>1313.48</v>
      </c>
      <c r="G38" s="22" t="n"/>
      <c r="H38" s="21" t="n">
        <v>12.888</v>
      </c>
      <c r="I38" s="22" t="n">
        <v>10.569</v>
      </c>
      <c r="J38" s="22" t="n">
        <v>164.124</v>
      </c>
      <c r="K38" s="22" t="n">
        <v>536.976</v>
      </c>
      <c r="L38" s="22" t="n">
        <v>955.634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/>
      <c r="E40" s="22" t="n"/>
      <c r="F40" s="22" t="n"/>
      <c r="G40" s="22" t="n"/>
      <c r="H40" s="21" t="n"/>
      <c r="I40" s="22" t="n"/>
      <c r="J40" s="22" t="n"/>
      <c r="K40" s="22" t="n"/>
      <c r="L40" s="22" t="n"/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IFERROR((IF(COUNT('연간'!G16:J16)&lt;4,"",SUM('연간'!G16:J16)))/(IF(COUNT('연간'!G38:J38)&lt;4,"",SUM('연간'!G38:J38))),"")</f>
        <v/>
      </c>
      <c r="D48" s="33">
        <f>IFERROR((IF(COUNT('연간'!H16:K16)&lt;4,"",SUM('연간'!H16:K16)))/(IF(COUNT('연간'!H38:K38)&lt;4,"",SUM('연간'!H38:K38))),"")</f>
        <v/>
      </c>
      <c r="E48" s="33">
        <f>IFERROR((IF(COUNT('연간'!I16:L16)&lt;4,"",SUM('연간'!I16:L16)))/(IF(COUNT('연간'!I38:L38)&lt;4,"",SUM('연간'!I38:L38))),"")</f>
        <v/>
      </c>
      <c r="F48" s="33">
        <f>IFERROR((IF(COUNT('연간'!J16:M16)&lt;4,"",SUM('연간'!J16:M16)))/(IF(COUNT('연간'!J38:M38)&lt;4,"",SUM('연간'!J38:M38))),"")</f>
        <v/>
      </c>
      <c r="G48" s="33">
        <f>IFERROR((IF(COUNT('연간'!K16:N16)&lt;4,"",SUM('연간'!K16:N16)))/(IF(COUNT('연간'!K38:N38)&lt;4,"",SUM('연간'!K38:N38))),"")</f>
        <v/>
      </c>
      <c r="H48" s="32">
        <f>IFERROR(('연간'!T16)/('연간'!T38),"")</f>
        <v/>
      </c>
      <c r="I48" s="33">
        <f>IFERROR(('연간'!U16)/('연간'!U38),"")</f>
        <v/>
      </c>
      <c r="J48" s="33">
        <f>IFERROR(('연간'!V16)/('연간'!V38),"")</f>
        <v/>
      </c>
      <c r="K48" s="33">
        <f>IFERROR(('연간'!W16)/('연간'!W38),"")</f>
        <v/>
      </c>
      <c r="L48" s="33">
        <f>IFERROR(('연간'!X16)/('연간'!X38),"")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IFERROR(IF((IF(COUNT('연간'!G44:J44)&lt;4,"",SUM('연간'!G44:J44)))&lt;=0,"적자",C28/(IF(COUNT('연간'!G44:J44)&lt;4,"",SUM('연간'!G44:J44)))),"")</f>
        <v/>
      </c>
      <c r="D49" s="49">
        <f>IFERROR(IF((IF(COUNT('연간'!H44:K44)&lt;4,"",SUM('연간'!H44:K44)))&lt;=0,"적자",D28/(IF(COUNT('연간'!H44:K44)&lt;4,"",SUM('연간'!H44:K44)))),"")</f>
        <v/>
      </c>
      <c r="E49" s="49">
        <f>IFERROR(IF((IF(COUNT('연간'!I44:L44)&lt;4,"",SUM('연간'!I44:L44)))&lt;=0,"적자",E28/(IF(COUNT('연간'!I44:L44)&lt;4,"",SUM('연간'!I44:L44)))),"")</f>
        <v/>
      </c>
      <c r="F49" s="49">
        <f>IFERROR(IF((IF(COUNT('연간'!J44:M44)&lt;4,"",SUM('연간'!J44:M44)))&lt;=0,"적자",F28/(IF(COUNT('연간'!J44:M44)&lt;4,"",SUM('연간'!J44:M44)))),"")</f>
        <v/>
      </c>
      <c r="G49" s="49">
        <f>IFERROR(IF((IF(COUNT('연간'!K44:N44)&lt;4,"",SUM('연간'!K44:N44)))&lt;=0,"적자",G28/(IF(COUNT('연간'!K44:N44)&lt;4,"",SUM('연간'!K44:N44)))),"")</f>
        <v/>
      </c>
      <c r="H49" s="48">
        <f>IFERROR(IF(('연간'!T44)&lt;=0,"적자",H28/('연간'!T44)),"")</f>
        <v/>
      </c>
      <c r="I49" s="49">
        <f>IFERROR(IF(('연간'!U44)&lt;=0,"적자",I28/('연간'!U44)),"")</f>
        <v/>
      </c>
      <c r="J49" s="49">
        <f>IFERROR(IF(('연간'!V44)&lt;=0,"적자",J28/('연간'!V44)),"")</f>
        <v/>
      </c>
      <c r="K49" s="49">
        <f>IFERROR(IF(('연간'!W44)&lt;=0,"적자",K28/('연간'!W44)),"")</f>
        <v/>
      </c>
      <c r="L49" s="49">
        <f>IFERROR(IF(('연간'!X44)&lt;=0,"적자",L28/('연간'!X44)),"")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IFERROR((IF(COUNT('연간'!G44:J44)&lt;4,"",SUM('연간'!G44:J44)))/C31,"")</f>
        <v/>
      </c>
      <c r="D51" s="38">
        <f>IFERROR((IF(COUNT('연간'!H44:K44)&lt;4,"",SUM('연간'!H44:K44)))/D31,"")</f>
        <v/>
      </c>
      <c r="E51" s="38">
        <f>IFERROR((IF(COUNT('연간'!I44:L44)&lt;4,"",SUM('연간'!I44:L44)))/E31,"")</f>
        <v/>
      </c>
      <c r="F51" s="38">
        <f>IFERROR((IF(COUNT('연간'!J44:M44)&lt;4,"",SUM('연간'!J44:M44)))/F31,"")</f>
        <v/>
      </c>
      <c r="G51" s="38">
        <f>IFERROR((IF(COUNT('연간'!K44:N44)&lt;4,"",SUM('연간'!K44:N44)))/G31,"")</f>
        <v/>
      </c>
      <c r="H51" s="37">
        <f>IFERROR(('연간'!T44)/H31,"")</f>
        <v/>
      </c>
      <c r="I51" s="38">
        <f>IFERROR(('연간'!U44)/I31,"")</f>
        <v/>
      </c>
      <c r="J51" s="38">
        <f>IFERROR(('연간'!V44)/J31,"")</f>
        <v/>
      </c>
      <c r="K51" s="38">
        <f>IFERROR(('연간'!W44)/K31,"")</f>
        <v/>
      </c>
      <c r="L51" s="38">
        <f>IFERROR(('연간'!X44)/L31,"")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IFERROR((IF(COUNT('연간'!G43:J43)&lt;4,"",SUM('연간'!G43:J43)))/C16,"")</f>
        <v/>
      </c>
      <c r="D52" s="38">
        <f>IFERROR((IF(COUNT('연간'!H43:K43)&lt;4,"",SUM('연간'!H43:K43)))/D16,"")</f>
        <v/>
      </c>
      <c r="E52" s="38">
        <f>IFERROR((IF(COUNT('연간'!I43:L43)&lt;4,"",SUM('연간'!I43:L43)))/E16,"")</f>
        <v/>
      </c>
      <c r="F52" s="38">
        <f>IFERROR((IF(COUNT('연간'!J43:M43)&lt;4,"",SUM('연간'!J43:M43)))/F16,"")</f>
        <v/>
      </c>
      <c r="G52" s="38">
        <f>IFERROR((IF(COUNT('연간'!K43:N43)&lt;4,"",SUM('연간'!K43:N43)))/G16,"")</f>
        <v/>
      </c>
      <c r="H52" s="37">
        <f>IFERROR(('연간'!T43)/H16,"")</f>
        <v/>
      </c>
      <c r="I52" s="38">
        <f>IFERROR(('연간'!U43)/I16,"")</f>
        <v/>
      </c>
      <c r="J52" s="38">
        <f>IFERROR(('연간'!V43)/J16,"")</f>
        <v/>
      </c>
      <c r="K52" s="38">
        <f>IFERROR(('연간'!W43)/K16,"")</f>
        <v/>
      </c>
      <c r="L52" s="38">
        <f>IFERROR(('연간'!X43)/L16,"")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IFERROR((IF(COUNT('연간'!G16:J16)&lt;4,"",SUM('연간'!G16:J16)))*(1-0.3)/(C35+C29),"")</f>
        <v/>
      </c>
      <c r="D53" s="38">
        <f>IFERROR((IF(COUNT('연간'!H16:K16)&lt;4,"",SUM('연간'!H16:K16)))*(1-0.3)/(D35+D29),"")</f>
        <v/>
      </c>
      <c r="E53" s="38">
        <f>IFERROR((IF(COUNT('연간'!I16:L16)&lt;4,"",SUM('연간'!I16:L16)))*(1-0.3)/(E35+E29),"")</f>
        <v/>
      </c>
      <c r="F53" s="38">
        <f>IFERROR((IF(COUNT('연간'!J16:M16)&lt;4,"",SUM('연간'!J16:M16)))*(1-0.3)/(F35+F29),"")</f>
        <v/>
      </c>
      <c r="G53" s="38">
        <f>IFERROR((IF(COUNT('연간'!K16:N16)&lt;4,"",SUM('연간'!K16:N16)))*(1-0.3)/(G35+G29),"")</f>
        <v/>
      </c>
      <c r="H53" s="37">
        <f>IFERROR(('연간'!T16)*(1-0.3)/(H35+H29),"")</f>
        <v/>
      </c>
      <c r="I53" s="38">
        <f>IFERROR(('연간'!U16)*(1-0.3)/(I35+I29),"")</f>
        <v/>
      </c>
      <c r="J53" s="38">
        <f>IFERROR(('연간'!V16)*(1-0.3)/(J35+J29),"")</f>
        <v/>
      </c>
      <c r="K53" s="38">
        <f>IFERROR(('연간'!W16)*(1-0.3)/(K35+K29),"")</f>
        <v/>
      </c>
      <c r="L53" s="38">
        <f>IFERROR(('연간'!X16)*(1-0.3)/(L35+L29),"")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IFERROR((IF(COUNT('연간'!G12:J12)&lt;4,"",SUM('연간'!G12:J12)))/(IF(COUNT('연간'!G4:J4)&lt;4,"",SUM('연간'!G4:J4))),"")</f>
        <v/>
      </c>
      <c r="D54" s="38">
        <f>IFERROR((IF(COUNT('연간'!H12:K12)&lt;4,"",SUM('연간'!H12:K12)))/(IF(COUNT('연간'!H4:K4)&lt;4,"",SUM('연간'!H4:K4))),"")</f>
        <v/>
      </c>
      <c r="E54" s="38">
        <f>IFERROR((IF(COUNT('연간'!I12:L12)&lt;4,"",SUM('연간'!I12:L12)))/(IF(COUNT('연간'!I4:L4)&lt;4,"",SUM('연간'!I4:L4))),"")</f>
        <v/>
      </c>
      <c r="F54" s="38">
        <f>IFERROR((IF(COUNT('연간'!J12:M12)&lt;4,"",SUM('연간'!J12:M12)))/(IF(COUNT('연간'!J4:M4)&lt;4,"",SUM('연간'!J4:M4))),"")</f>
        <v/>
      </c>
      <c r="G54" s="38">
        <f>IFERROR((IF(COUNT('연간'!K12:N12)&lt;4,"",SUM('연간'!K12:N12)))/(IF(COUNT('연간'!K4:N4)&lt;4,"",SUM('연간'!K4:N4))),"")</f>
        <v/>
      </c>
      <c r="H54" s="37">
        <f>IFERROR(('연간'!T12)/('연간'!T4),"")</f>
        <v/>
      </c>
      <c r="I54" s="38">
        <f>IFERROR(('연간'!U12)/('연간'!U4),"")</f>
        <v/>
      </c>
      <c r="J54" s="38">
        <f>IFERROR(('연간'!V12)/('연간'!V4),"")</f>
        <v/>
      </c>
      <c r="K54" s="38">
        <f>IFERROR(('연간'!W12)/('연간'!W4),"")</f>
        <v/>
      </c>
      <c r="L54" s="38">
        <f>IFERROR(('연간'!X12)/('연간'!X4),"")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IFERROR((IF(COUNT('연간'!G16:J16)&lt;4,"",SUM('연간'!G16:J16)))/(IF(COUNT('연간'!G4:J4)&lt;4,"",SUM('연간'!G4:J4))),"")</f>
        <v/>
      </c>
      <c r="D55" s="38">
        <f>IFERROR((IF(COUNT('연간'!H16:K16)&lt;4,"",SUM('연간'!H16:K16)))/(IF(COUNT('연간'!H4:K4)&lt;4,"",SUM('연간'!H4:K4))),"")</f>
        <v/>
      </c>
      <c r="E55" s="38">
        <f>IFERROR((IF(COUNT('연간'!I16:L16)&lt;4,"",SUM('연간'!I16:L16)))/(IF(COUNT('연간'!I4:L4)&lt;4,"",SUM('연간'!I4:L4))),"")</f>
        <v/>
      </c>
      <c r="F55" s="38">
        <f>IFERROR((IF(COUNT('연간'!J16:M16)&lt;4,"",SUM('연간'!J16:M16)))/(IF(COUNT('연간'!J4:M4)&lt;4,"",SUM('연간'!J4:M4))),"")</f>
        <v/>
      </c>
      <c r="G55" s="38">
        <f>IFERROR((IF(COUNT('연간'!K16:N16)&lt;4,"",SUM('연간'!K16:N16)))/(IF(COUNT('연간'!K4:N4)&lt;4,"",SUM('연간'!K4:N4))),"")</f>
        <v/>
      </c>
      <c r="H55" s="37">
        <f>IFERROR(('연간'!T16)/('연간'!T4),"")</f>
        <v/>
      </c>
      <c r="I55" s="38">
        <f>IFERROR(('연간'!U16)/('연간'!U4),"")</f>
        <v/>
      </c>
      <c r="J55" s="38">
        <f>IFERROR(('연간'!V16)/('연간'!V4),"")</f>
        <v/>
      </c>
      <c r="K55" s="38">
        <f>IFERROR(('연간'!W16)/('연간'!W4),"")</f>
        <v/>
      </c>
      <c r="L55" s="38">
        <f>IFERROR(('연간'!X16)/('연간'!X4),"")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IFERROR((IF(COUNT('연간'!G43:J43)&lt;4,"",SUM('연간'!G43:J43)))/(IF(COUNT('연간'!G4:J4)&lt;4,"",SUM('연간'!G4:J4))),"")</f>
        <v/>
      </c>
      <c r="D56" s="38">
        <f>IFERROR((IF(COUNT('연간'!H43:K43)&lt;4,"",SUM('연간'!H43:K43)))/(IF(COUNT('연간'!H4:K4)&lt;4,"",SUM('연간'!H4:K4))),"")</f>
        <v/>
      </c>
      <c r="E56" s="38">
        <f>IFERROR((IF(COUNT('연간'!I43:L43)&lt;4,"",SUM('연간'!I43:L43)))/(IF(COUNT('연간'!I4:L4)&lt;4,"",SUM('연간'!I4:L4))),"")</f>
        <v/>
      </c>
      <c r="F56" s="38">
        <f>IFERROR((IF(COUNT('연간'!J43:M43)&lt;4,"",SUM('연간'!J43:M43)))/(IF(COUNT('연간'!J4:M4)&lt;4,"",SUM('연간'!J4:M4))),"")</f>
        <v/>
      </c>
      <c r="G56" s="38">
        <f>IFERROR((IF(COUNT('연간'!K43:N43)&lt;4,"",SUM('연간'!K43:N43)))/(IF(COUNT('연간'!K4:N4)&lt;4,"",SUM('연간'!K4:N4))),"")</f>
        <v/>
      </c>
      <c r="H56" s="37">
        <f>IFERROR(('연간'!T43)/('연간'!T4),"")</f>
        <v/>
      </c>
      <c r="I56" s="38">
        <f>IFERROR(('연간'!U43)/('연간'!U4),"")</f>
        <v/>
      </c>
      <c r="J56" s="38">
        <f>IFERROR(('연간'!V43)/('연간'!V4),"")</f>
        <v/>
      </c>
      <c r="K56" s="38">
        <f>IFERROR(('연간'!W43)/('연간'!W4),"")</f>
        <v/>
      </c>
      <c r="L56" s="38">
        <f>IFERROR(('연간'!X43)/('연간'!X4),"")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IF(C37="","",IFERROR(C37/(IF(COUNT('연간'!G43:J43)&lt;4,"",SUM('연간'!G43:J43))),""))</f>
        <v/>
      </c>
      <c r="D64" s="33">
        <f>IF(D37="","",IFERROR(D37/(IF(COUNT('연간'!H43:K43)&lt;4,"",SUM('연간'!H43:K43))),""))</f>
        <v/>
      </c>
      <c r="E64" s="33">
        <f>IF(E37="","",IFERROR(E37/(IF(COUNT('연간'!I43:L43)&lt;4,"",SUM('연간'!I43:L43))),""))</f>
        <v/>
      </c>
      <c r="F64" s="33">
        <f>IF(F37="","",IFERROR(F37/(IF(COUNT('연간'!J43:M43)&lt;4,"",SUM('연간'!J43:M43))),""))</f>
        <v/>
      </c>
      <c r="G64" s="33">
        <f>IF(G37="","",IFERROR(G37/(IF(COUNT('연간'!K43:N43)&lt;4,"",SUM('연간'!K43:N43))),""))</f>
        <v/>
      </c>
      <c r="H64" s="32">
        <f>IF(H37="","",IFERROR(H37/('연간'!T43),""))</f>
        <v/>
      </c>
      <c r="I64" s="33">
        <f>IF(I37="","",IFERROR(I37/('연간'!U43),""))</f>
        <v/>
      </c>
      <c r="J64" s="33">
        <f>IF(J37="","",IFERROR(J37/('연간'!V43),""))</f>
        <v/>
      </c>
      <c r="K64" s="33">
        <f>IF(K37="","",IFERROR(K37/('연간'!W43),""))</f>
        <v/>
      </c>
      <c r="L64" s="33">
        <f>IF(L37="","",IFERROR(L37/('연간'!X43),""))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IF(C40="","",IFERROR(C40/(IF(COUNT('연간'!G44:J44)&lt;4,"",SUM('연간'!G44:J44))),""))</f>
        <v/>
      </c>
      <c r="D67" s="38">
        <f>IF(D40="","",IFERROR(D40/(IF(COUNT('연간'!H44:K44)&lt;4,"",SUM('연간'!H44:K44))),""))</f>
        <v/>
      </c>
      <c r="E67" s="38">
        <f>IF(E40="","",IFERROR(E40/(IF(COUNT('연간'!I44:L44)&lt;4,"",SUM('연간'!I44:L44))),""))</f>
        <v/>
      </c>
      <c r="F67" s="38">
        <f>IF(F40="","",IFERROR(F40/(IF(COUNT('연간'!J44:M44)&lt;4,"",SUM('연간'!J44:M44))),""))</f>
        <v/>
      </c>
      <c r="G67" s="38">
        <f>IF(G40="","",IFERROR(G40/(IF(COUNT('연간'!K44:N44)&lt;4,"",SUM('연간'!K44:N44))),""))</f>
        <v/>
      </c>
      <c r="H67" s="37">
        <f>IF(H40="","",IFERROR(H40/('연간'!T44),""))</f>
        <v/>
      </c>
      <c r="I67" s="38">
        <f>IF(I40="","",IFERROR(I40/('연간'!U44),""))</f>
        <v/>
      </c>
      <c r="J67" s="38">
        <f>IF(J40="","",IFERROR(J40/('연간'!V44),""))</f>
        <v/>
      </c>
      <c r="K67" s="38">
        <f>IF(K40="","",IFERROR(K40/('연간'!W44),""))</f>
        <v/>
      </c>
      <c r="L67" s="38">
        <f>IF(L40="","",IFERROR(L40/('연간'!X44),""))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2025.3Q</t>
        </is>
      </c>
      <c r="D70" s="5" t="inlineStr">
        <is>
          <t>2025.4Q</t>
        </is>
      </c>
      <c r="E70" s="5" t="inlineStr">
        <is>
          <t>2026.1Q</t>
        </is>
      </c>
      <c r="F70" s="5" t="inlineStr">
        <is>
          <t>2026.2Q</t>
        </is>
      </c>
      <c r="G70" s="5" t="inlineStr">
        <is>
          <t>2026.3Q</t>
        </is>
      </c>
      <c r="H70" s="5" t="inlineStr">
        <is>
          <t>2021</t>
        </is>
      </c>
      <c r="I70" s="5" t="inlineStr">
        <is>
          <t>2022</t>
        </is>
      </c>
      <c r="J70" s="5" t="inlineStr">
        <is>
          <t>2023</t>
        </is>
      </c>
      <c r="K70" s="5" t="inlineStr">
        <is>
          <t>2024</t>
        </is>
      </c>
      <c r="L70" s="5" t="inlineStr">
        <is>
          <t>2025</t>
        </is>
      </c>
    </row>
    <row r="71">
      <c r="A71" s="20" t="inlineStr">
        <is>
          <t>현금 및 예금</t>
        </is>
      </c>
      <c r="C71" s="22" t="n">
        <v>2701.349</v>
      </c>
      <c r="D71" s="22" t="n">
        <v>3275.338</v>
      </c>
      <c r="E71" s="22" t="n">
        <v>2652.708</v>
      </c>
      <c r="F71" s="22" t="n">
        <v>2332.381</v>
      </c>
      <c r="G71" s="22" t="n">
        <v>2425.119</v>
      </c>
      <c r="H71" s="22" t="n">
        <v>2304.455</v>
      </c>
      <c r="I71" s="22" t="n">
        <v>2062.928</v>
      </c>
      <c r="J71" s="22" t="n">
        <v>2791.884</v>
      </c>
      <c r="K71" s="22" t="n">
        <v>2746.276</v>
      </c>
      <c r="L71" s="22" t="n">
        <v>3275.338</v>
      </c>
    </row>
    <row r="72">
      <c r="A72" s="20" t="inlineStr">
        <is>
          <t>매출채권</t>
        </is>
      </c>
      <c r="C72" s="22" t="n">
        <v>677.399</v>
      </c>
      <c r="D72" s="22" t="n">
        <v>757.489</v>
      </c>
      <c r="E72" s="22" t="n">
        <v>743.877</v>
      </c>
      <c r="F72" s="22" t="n">
        <v>883.876</v>
      </c>
      <c r="G72" s="22" t="n">
        <v>969.395</v>
      </c>
      <c r="H72" s="22" t="n">
        <v>201.954</v>
      </c>
      <c r="I72" s="22" t="n">
        <v>169.982</v>
      </c>
      <c r="J72" s="22" t="n">
        <v>373.925</v>
      </c>
      <c r="K72" s="22" t="n">
        <v>391.581</v>
      </c>
      <c r="L72" s="22" t="n">
        <v>757.489</v>
      </c>
    </row>
    <row r="73">
      <c r="A73" s="20" t="inlineStr">
        <is>
          <t>상품·제품</t>
        </is>
      </c>
      <c r="I73" s="22" t="n">
        <v>3.236</v>
      </c>
    </row>
    <row r="74">
      <c r="A74" s="20" t="inlineStr">
        <is>
          <t>원재료·저장품</t>
        </is>
      </c>
      <c r="I74" s="22" t="n">
        <v>0.068</v>
      </c>
    </row>
    <row r="75">
      <c r="A75" s="20" t="inlineStr">
        <is>
          <t>상품</t>
        </is>
      </c>
      <c r="K75" s="22" t="n">
        <v>3.44</v>
      </c>
    </row>
    <row r="76">
      <c r="A76" s="20" t="inlineStr">
        <is>
          <t>재공품</t>
        </is>
      </c>
      <c r="K76" s="22" t="n">
        <v>0</v>
      </c>
    </row>
    <row r="77">
      <c r="A77" s="20" t="inlineStr">
        <is>
          <t>저장품</t>
        </is>
      </c>
      <c r="K77" s="22" t="n">
        <v>0.041</v>
      </c>
    </row>
    <row r="78">
      <c r="A78" s="20" t="inlineStr">
        <is>
          <t>재고자산</t>
        </is>
      </c>
      <c r="C78" s="22" t="n">
        <v>1.993</v>
      </c>
      <c r="D78" s="22" t="n">
        <v>0.08699999999999999</v>
      </c>
      <c r="E78" s="22" t="n">
        <v>0.095</v>
      </c>
      <c r="F78" s="22" t="n">
        <v>0.075</v>
      </c>
      <c r="G78" s="22" t="n">
        <v>29.175</v>
      </c>
      <c r="H78" s="22" t="n">
        <v>11.186</v>
      </c>
      <c r="I78" s="22" t="n">
        <v>3.304</v>
      </c>
      <c r="J78" s="22" t="n">
        <v>0.876</v>
      </c>
      <c r="K78" s="22" t="n">
        <v>3.481</v>
      </c>
      <c r="L78" s="22" t="n">
        <v>0.08699999999999999</v>
      </c>
    </row>
    <row r="79">
      <c r="A79" s="20" t="inlineStr">
        <is>
          <t>선급비용</t>
        </is>
      </c>
      <c r="D79" s="22" t="n">
        <v>443.343</v>
      </c>
      <c r="K79" s="22" t="n">
        <v>17.467</v>
      </c>
      <c r="L79" s="22" t="n">
        <v>443.343</v>
      </c>
    </row>
    <row r="80">
      <c r="A80" s="20" t="inlineStr">
        <is>
          <t>기타</t>
        </is>
      </c>
      <c r="C80" s="22" t="n">
        <v>187.779</v>
      </c>
      <c r="D80" s="22" t="n">
        <v>485.395</v>
      </c>
      <c r="E80" s="22" t="n">
        <v>370.829</v>
      </c>
      <c r="F80" s="22" t="n">
        <v>322.448</v>
      </c>
      <c r="G80" s="22" t="n">
        <v>220.354</v>
      </c>
      <c r="H80" s="22" t="n">
        <v>39.837</v>
      </c>
      <c r="I80" s="22" t="n">
        <v>60.181</v>
      </c>
      <c r="J80" s="22" t="n">
        <v>44.56</v>
      </c>
      <c r="K80" s="22" t="n">
        <v>63.516</v>
      </c>
      <c r="L80" s="22" t="n">
        <v>485.395</v>
      </c>
    </row>
    <row r="81">
      <c r="A81" s="20" t="inlineStr">
        <is>
          <t>대손충당금</t>
        </is>
      </c>
      <c r="C81" s="22" t="n">
        <v>-22.788</v>
      </c>
      <c r="D81" s="22" t="n">
        <v>-22.788</v>
      </c>
      <c r="E81" s="22" t="n">
        <v>-14.483</v>
      </c>
      <c r="F81" s="22" t="n">
        <v>-14.795</v>
      </c>
      <c r="G81" s="22" t="n">
        <v>-14.795</v>
      </c>
      <c r="I81" s="22" t="n">
        <v>0</v>
      </c>
      <c r="J81" s="22" t="n">
        <v>-14.265</v>
      </c>
      <c r="K81" s="22" t="n">
        <v>-15.06</v>
      </c>
      <c r="L81" s="22" t="n">
        <v>-22.788</v>
      </c>
    </row>
    <row r="82">
      <c r="A82" s="9" t="inlineStr">
        <is>
          <t>유동자산 합계</t>
        </is>
      </c>
      <c r="C82" s="12" t="n">
        <v>3545.732</v>
      </c>
      <c r="D82" s="12" t="n">
        <v>4495.523</v>
      </c>
      <c r="E82" s="12" t="n">
        <v>3753.027</v>
      </c>
      <c r="F82" s="12" t="n">
        <v>3523.985</v>
      </c>
      <c r="G82" s="12" t="n">
        <v>3629.249</v>
      </c>
      <c r="H82" s="12" t="n">
        <v>2557.434</v>
      </c>
      <c r="I82" s="12" t="n">
        <v>2296.396</v>
      </c>
      <c r="J82" s="12" t="n">
        <v>3196.98</v>
      </c>
      <c r="K82" s="12" t="n">
        <v>3207.262</v>
      </c>
      <c r="L82" s="12" t="n">
        <v>4495.523</v>
      </c>
    </row>
    <row r="83">
      <c r="A83" s="20" t="inlineStr">
        <is>
          <t>건물(순액)</t>
        </is>
      </c>
      <c r="H83" s="22" t="n">
        <v>0.654</v>
      </c>
      <c r="I83" s="22" t="n">
        <v>0.49</v>
      </c>
      <c r="J83" s="22" t="n">
        <v>0</v>
      </c>
    </row>
    <row r="84">
      <c r="A84" s="20" t="inlineStr">
        <is>
          <t>리스자산</t>
        </is>
      </c>
      <c r="J84" s="22" t="n">
        <v>0</v>
      </c>
    </row>
    <row r="85">
      <c r="A85" s="20" t="inlineStr">
        <is>
          <t>기타</t>
        </is>
      </c>
      <c r="J85" s="22" t="n">
        <v>50.11</v>
      </c>
    </row>
    <row r="86">
      <c r="A86" s="20" t="inlineStr">
        <is>
          <t>건물부속설비(순액)</t>
        </is>
      </c>
      <c r="D86" s="22" t="n">
        <v>8.970000000000001</v>
      </c>
      <c r="I86" s="22" t="n">
        <v>0</v>
      </c>
      <c r="J86" s="22" t="n">
        <v>28.605</v>
      </c>
      <c r="K86" s="22" t="n">
        <v>25.056</v>
      </c>
      <c r="L86" s="22" t="n">
        <v>8.970000000000001</v>
      </c>
    </row>
    <row r="87">
      <c r="A87" s="20" t="inlineStr">
        <is>
          <t>차량운반구(순액)</t>
        </is>
      </c>
      <c r="D87" s="22" t="n">
        <v>4.807</v>
      </c>
      <c r="H87" s="22" t="n">
        <v>0.221</v>
      </c>
      <c r="I87" s="22" t="n">
        <v>0</v>
      </c>
      <c r="J87" s="22" t="n">
        <v>0</v>
      </c>
      <c r="K87" s="22" t="n">
        <v>7.207</v>
      </c>
      <c r="L87" s="22" t="n">
        <v>4.807</v>
      </c>
    </row>
    <row r="88">
      <c r="A88" s="20" t="inlineStr">
        <is>
          <t>공구·기구·비품(순액)</t>
        </is>
      </c>
      <c r="D88" s="22" t="n">
        <v>30.283</v>
      </c>
      <c r="H88" s="22" t="n">
        <v>14.862</v>
      </c>
      <c r="I88" s="22" t="n">
        <v>16.182</v>
      </c>
      <c r="J88" s="22" t="n">
        <v>21.504</v>
      </c>
      <c r="K88" s="22" t="n">
        <v>18.15</v>
      </c>
      <c r="L88" s="22" t="n">
        <v>30.283</v>
      </c>
    </row>
    <row r="89">
      <c r="A89" s="20" t="inlineStr">
        <is>
          <t>건설중인자산</t>
        </is>
      </c>
      <c r="I89" s="22" t="n">
        <v>0</v>
      </c>
    </row>
    <row r="90">
      <c r="A90" s="20" t="inlineStr">
        <is>
          <t>리스자산(순액)</t>
        </is>
      </c>
      <c r="D90" s="22" t="n">
        <v>278.349</v>
      </c>
      <c r="J90" s="22" t="n">
        <v>0</v>
      </c>
      <c r="K90" s="22" t="n">
        <v>194.484</v>
      </c>
      <c r="L90" s="22" t="n">
        <v>278.349</v>
      </c>
    </row>
    <row r="91">
      <c r="A91" s="20" t="inlineStr">
        <is>
          <t>유형자산</t>
        </is>
      </c>
      <c r="C91" s="22" t="n">
        <v>341.879</v>
      </c>
      <c r="D91" s="22" t="n">
        <v>322.41</v>
      </c>
      <c r="E91" s="22" t="n">
        <v>541.955</v>
      </c>
      <c r="F91" s="22" t="n">
        <v>513.67</v>
      </c>
      <c r="G91" s="22" t="n">
        <v>603.157</v>
      </c>
      <c r="H91" s="22" t="n">
        <v>15.738</v>
      </c>
      <c r="I91" s="22" t="n">
        <v>16.672</v>
      </c>
      <c r="J91" s="22" t="n">
        <v>50.11</v>
      </c>
      <c r="K91" s="22" t="n">
        <v>244.898</v>
      </c>
      <c r="L91" s="22" t="n">
        <v>322.41</v>
      </c>
    </row>
    <row r="92">
      <c r="A92" s="20" t="inlineStr">
        <is>
          <t>소프트웨어</t>
        </is>
      </c>
      <c r="C92" s="22" t="n">
        <v>778.326</v>
      </c>
      <c r="D92" s="22" t="n">
        <v>999.075</v>
      </c>
      <c r="E92" s="22" t="n">
        <v>1294.355</v>
      </c>
      <c r="F92" s="22" t="n">
        <v>1418.886</v>
      </c>
      <c r="G92" s="22" t="n">
        <v>1489.595</v>
      </c>
      <c r="H92" s="22" t="n">
        <v>3.273</v>
      </c>
      <c r="I92" s="22" t="n">
        <v>1.398</v>
      </c>
      <c r="J92" s="22" t="n">
        <v>80.002</v>
      </c>
      <c r="K92" s="22" t="n">
        <v>325.149</v>
      </c>
      <c r="L92" s="22" t="n">
        <v>999.075</v>
      </c>
    </row>
    <row r="93">
      <c r="A93" s="20" t="inlineStr">
        <is>
          <t>개발 중 소프트웨어</t>
        </is>
      </c>
      <c r="D93" s="22" t="n">
        <v>168.857</v>
      </c>
      <c r="I93" s="22" t="n">
        <v>0</v>
      </c>
      <c r="J93" s="22" t="n">
        <v>37.462</v>
      </c>
      <c r="K93" s="22" t="n">
        <v>38.09</v>
      </c>
      <c r="L93" s="22" t="n">
        <v>168.857</v>
      </c>
    </row>
    <row r="94">
      <c r="A94" s="20" t="inlineStr">
        <is>
          <t>특허권</t>
        </is>
      </c>
      <c r="H94" s="22" t="n">
        <v>0.407</v>
      </c>
      <c r="I94" s="22" t="n">
        <v>0.333</v>
      </c>
      <c r="J94" s="22" t="n">
        <v>0</v>
      </c>
    </row>
    <row r="95">
      <c r="A95" s="20" t="inlineStr">
        <is>
          <t>영업권</t>
        </is>
      </c>
      <c r="C95" s="22" t="n">
        <v>1059.599</v>
      </c>
      <c r="D95" s="22" t="n">
        <v>1032.43</v>
      </c>
      <c r="E95" s="22" t="n">
        <v>1005.261</v>
      </c>
      <c r="F95" s="22" t="n">
        <v>978.092</v>
      </c>
      <c r="G95" s="22" t="n">
        <v>950.922</v>
      </c>
      <c r="J95" s="22" t="n">
        <v>0</v>
      </c>
      <c r="K95" s="22" t="n">
        <v>304.418</v>
      </c>
      <c r="L95" s="22" t="n">
        <v>1032.43</v>
      </c>
    </row>
    <row r="96">
      <c r="A96" s="20" t="inlineStr">
        <is>
          <t>고객관계자산</t>
        </is>
      </c>
      <c r="C96" s="22" t="n">
        <v>157.522</v>
      </c>
      <c r="D96" s="22" t="n">
        <v>0</v>
      </c>
      <c r="J96" s="22" t="n">
        <v>0</v>
      </c>
      <c r="K96" s="22" t="n">
        <v>584.4690000000001</v>
      </c>
      <c r="L96" s="22" t="n">
        <v>0</v>
      </c>
    </row>
    <row r="97">
      <c r="A97" s="20" t="inlineStr">
        <is>
          <t>기타</t>
        </is>
      </c>
      <c r="C97" s="22" t="n">
        <v>188.257</v>
      </c>
      <c r="D97" s="22" t="n">
        <v>169.116</v>
      </c>
      <c r="E97" s="22" t="n">
        <v>141.592</v>
      </c>
      <c r="F97" s="22" t="n">
        <v>111.843</v>
      </c>
      <c r="G97" s="22" t="n">
        <v>101.956</v>
      </c>
      <c r="K97" s="22" t="n">
        <v>0</v>
      </c>
      <c r="L97" s="22" t="n">
        <v>169.116</v>
      </c>
    </row>
    <row r="98">
      <c r="A98" s="20" t="inlineStr">
        <is>
          <t>무형자산 합계</t>
        </is>
      </c>
      <c r="C98" s="22" t="n">
        <v>2183.706</v>
      </c>
      <c r="D98" s="22" t="n">
        <v>2200.622</v>
      </c>
      <c r="E98" s="22" t="n">
        <v>2441.21</v>
      </c>
      <c r="F98" s="22" t="n">
        <v>2508.823</v>
      </c>
      <c r="G98" s="22" t="n">
        <v>2542.474</v>
      </c>
      <c r="H98" s="22" t="n">
        <v>3.681</v>
      </c>
      <c r="I98" s="22" t="n">
        <v>1.732</v>
      </c>
      <c r="J98" s="22" t="n">
        <v>117.465</v>
      </c>
      <c r="K98" s="22" t="n">
        <v>1252.127</v>
      </c>
      <c r="L98" s="22" t="n">
        <v>2200.622</v>
      </c>
    </row>
    <row r="99">
      <c r="A99" s="20" t="inlineStr">
        <is>
          <t>투자유가증권</t>
        </is>
      </c>
      <c r="D99" s="22" t="n">
        <v>163.546</v>
      </c>
      <c r="H99" s="22" t="n">
        <v>13.433</v>
      </c>
      <c r="I99" s="22" t="n">
        <v>12.072</v>
      </c>
      <c r="J99" s="22" t="n">
        <v>203.32</v>
      </c>
      <c r="K99" s="22" t="n">
        <v>176.699</v>
      </c>
      <c r="L99" s="22" t="n">
        <v>163.546</v>
      </c>
    </row>
    <row r="100">
      <c r="A100" s="20" t="inlineStr">
        <is>
          <t>보증금</t>
        </is>
      </c>
      <c r="H100" s="22" t="n">
        <v>24.541</v>
      </c>
      <c r="I100" s="22" t="n">
        <v>24.541</v>
      </c>
      <c r="J100" s="22" t="n">
        <v>43.04</v>
      </c>
    </row>
    <row r="101">
      <c r="A101" s="20" t="inlineStr">
        <is>
          <t>이연법인세자산</t>
        </is>
      </c>
      <c r="D101" s="22" t="n">
        <v>0</v>
      </c>
      <c r="J101" s="22" t="n">
        <v>0</v>
      </c>
      <c r="K101" s="22" t="n">
        <v>5.339</v>
      </c>
      <c r="L101" s="22" t="n">
        <v>0</v>
      </c>
    </row>
    <row r="102">
      <c r="A102" s="20" t="inlineStr">
        <is>
          <t>기타</t>
        </is>
      </c>
      <c r="D102" s="22" t="n">
        <v>57.852</v>
      </c>
      <c r="H102" s="22" t="n">
        <v>0.026</v>
      </c>
      <c r="I102" s="22" t="n">
        <v>0.016</v>
      </c>
      <c r="J102" s="22" t="n">
        <v>43.05</v>
      </c>
      <c r="K102" s="22" t="n">
        <v>30.539</v>
      </c>
      <c r="L102" s="22" t="n">
        <v>57.852</v>
      </c>
    </row>
    <row r="103">
      <c r="A103" s="20" t="inlineStr">
        <is>
          <t>투자 및 기타자산</t>
        </is>
      </c>
      <c r="C103" s="22" t="n">
        <v>230.374</v>
      </c>
      <c r="D103" s="22" t="n">
        <v>221.398</v>
      </c>
      <c r="E103" s="22" t="n">
        <v>221.666</v>
      </c>
      <c r="F103" s="22" t="n">
        <v>219.758</v>
      </c>
      <c r="G103" s="22" t="n">
        <v>199.93</v>
      </c>
      <c r="H103" s="22" t="n">
        <v>38.001</v>
      </c>
      <c r="I103" s="22" t="n">
        <v>36.63</v>
      </c>
      <c r="J103" s="22" t="n">
        <v>246.37</v>
      </c>
      <c r="K103" s="22" t="n">
        <v>212.579</v>
      </c>
      <c r="L103" s="22" t="n">
        <v>221.398</v>
      </c>
    </row>
    <row r="104">
      <c r="A104" s="9" t="inlineStr">
        <is>
          <t>비유동자산 합계</t>
        </is>
      </c>
      <c r="C104" s="12" t="n">
        <v>2755.96</v>
      </c>
      <c r="D104" s="12" t="n">
        <v>2744.431</v>
      </c>
      <c r="E104" s="12" t="n">
        <v>3204.831</v>
      </c>
      <c r="F104" s="12" t="n">
        <v>3242.252</v>
      </c>
      <c r="G104" s="12" t="n">
        <v>3345.561</v>
      </c>
      <c r="H104" s="12" t="n">
        <v>57.422</v>
      </c>
      <c r="I104" s="12" t="n">
        <v>55.035</v>
      </c>
      <c r="J104" s="12" t="n">
        <v>413.946</v>
      </c>
      <c r="K104" s="12" t="n">
        <v>1709.605</v>
      </c>
      <c r="L104" s="12" t="n">
        <v>2744.431</v>
      </c>
    </row>
    <row r="105">
      <c r="A105" s="20" t="inlineStr">
        <is>
          <t>주식교부비</t>
        </is>
      </c>
      <c r="I105" s="22" t="n">
        <v>0</v>
      </c>
      <c r="J105" s="22" t="n">
        <v>18.176</v>
      </c>
      <c r="K105" s="22" t="n">
        <v>0</v>
      </c>
    </row>
    <row r="106">
      <c r="A106" s="20" t="inlineStr">
        <is>
          <t>이연자산 합계</t>
        </is>
      </c>
      <c r="I106" s="22" t="n">
        <v>0</v>
      </c>
      <c r="J106" s="22" t="n">
        <v>18.176</v>
      </c>
      <c r="K106" s="22" t="n">
        <v>0</v>
      </c>
    </row>
    <row r="107">
      <c r="A107" s="9" t="inlineStr">
        <is>
          <t>자산 합계</t>
        </is>
      </c>
      <c r="C107" s="12" t="n">
        <v>6301.693</v>
      </c>
      <c r="D107" s="12" t="n">
        <v>7239.954</v>
      </c>
      <c r="E107" s="12" t="n">
        <v>6957.858</v>
      </c>
      <c r="F107" s="12" t="n">
        <v>6766.237</v>
      </c>
      <c r="G107" s="12" t="n">
        <v>6974.811</v>
      </c>
      <c r="H107" s="12" t="n">
        <v>2614.856</v>
      </c>
      <c r="I107" s="12" t="n">
        <v>2351.432</v>
      </c>
      <c r="J107" s="12" t="n">
        <v>3629.103</v>
      </c>
      <c r="K107" s="12" t="n">
        <v>4916.868</v>
      </c>
      <c r="L107" s="12" t="n">
        <v>7239.954</v>
      </c>
    </row>
    <row r="108">
      <c r="A108" s="20" t="inlineStr">
        <is>
          <t>매입채무</t>
        </is>
      </c>
      <c r="C108" s="22" t="n">
        <v>125.688</v>
      </c>
      <c r="D108" s="22" t="n">
        <v>107.711</v>
      </c>
      <c r="E108" s="22" t="n">
        <v>89.917</v>
      </c>
      <c r="F108" s="22" t="n">
        <v>86.22799999999999</v>
      </c>
      <c r="G108" s="22" t="n">
        <v>86.47199999999999</v>
      </c>
      <c r="H108" s="22" t="n">
        <v>38.503</v>
      </c>
      <c r="I108" s="22" t="n">
        <v>23.08</v>
      </c>
      <c r="J108" s="22" t="n">
        <v>23.737</v>
      </c>
      <c r="K108" s="22" t="n">
        <v>43.911</v>
      </c>
      <c r="L108" s="22" t="n">
        <v>107.711</v>
      </c>
    </row>
    <row r="109">
      <c r="A109" s="20" t="inlineStr">
        <is>
          <t>단기차입금</t>
        </is>
      </c>
      <c r="C109" s="22" t="n">
        <v>1117.995</v>
      </c>
      <c r="D109" s="22" t="n">
        <v>642.716</v>
      </c>
      <c r="E109" s="22" t="n">
        <v>613.266</v>
      </c>
      <c r="F109" s="22" t="n">
        <v>483.816</v>
      </c>
      <c r="G109" s="22" t="n">
        <v>454.366</v>
      </c>
      <c r="H109" s="22" t="n">
        <v>353.8</v>
      </c>
      <c r="I109" s="22" t="n">
        <v>637.8</v>
      </c>
      <c r="J109" s="22" t="n">
        <v>652.8</v>
      </c>
      <c r="K109" s="22" t="n">
        <v>233.332</v>
      </c>
      <c r="L109" s="22" t="n">
        <v>642.716</v>
      </c>
    </row>
    <row r="110">
      <c r="A110" s="20" t="inlineStr">
        <is>
          <t>1년 내 상환 장기차입금</t>
        </is>
      </c>
      <c r="C110" s="22" t="n">
        <v>104.097</v>
      </c>
      <c r="D110" s="22" t="n">
        <v>472.848</v>
      </c>
      <c r="E110" s="22" t="n">
        <v>81.753</v>
      </c>
      <c r="F110" s="22" t="n">
        <v>68.661</v>
      </c>
      <c r="G110" s="22" t="n">
        <v>70.7</v>
      </c>
      <c r="H110" s="22" t="n">
        <v>246.18</v>
      </c>
      <c r="I110" s="22" t="n">
        <v>2.88</v>
      </c>
      <c r="J110" s="22" t="n">
        <v>1.52</v>
      </c>
      <c r="K110" s="22" t="n">
        <v>81</v>
      </c>
      <c r="L110" s="22" t="n">
        <v>472.848</v>
      </c>
    </row>
    <row r="111">
      <c r="A111" s="20" t="inlineStr">
        <is>
          <t>미지급금</t>
        </is>
      </c>
      <c r="C111" s="22" t="n">
        <v>377.178</v>
      </c>
      <c r="D111" s="22" t="n">
        <v>367.996</v>
      </c>
      <c r="E111" s="22" t="n">
        <v>451.505</v>
      </c>
      <c r="F111" s="22" t="n">
        <v>309.6</v>
      </c>
      <c r="G111" s="22" t="n">
        <v>336.704</v>
      </c>
      <c r="H111" s="22" t="n">
        <v>157.99</v>
      </c>
      <c r="I111" s="22" t="n">
        <v>165.215</v>
      </c>
      <c r="J111" s="22" t="n">
        <v>167.901</v>
      </c>
      <c r="K111" s="22" t="n">
        <v>228.919</v>
      </c>
      <c r="L111" s="22" t="n">
        <v>367.996</v>
      </c>
    </row>
    <row r="112">
      <c r="A112" s="20" t="inlineStr">
        <is>
          <t>미지급법인세</t>
        </is>
      </c>
      <c r="C112" s="22" t="n">
        <v>10.368</v>
      </c>
      <c r="D112" s="22" t="n">
        <v>3.203</v>
      </c>
      <c r="E112" s="22" t="n">
        <v>1.963</v>
      </c>
      <c r="F112" s="22" t="n">
        <v>2.275</v>
      </c>
      <c r="G112" s="22" t="n">
        <v>2.225</v>
      </c>
      <c r="H112" s="22" t="n">
        <v>1.89</v>
      </c>
      <c r="I112" s="22" t="n">
        <v>1.6</v>
      </c>
      <c r="J112" s="22" t="n">
        <v>1.503</v>
      </c>
      <c r="K112" s="22" t="n">
        <v>20.121</v>
      </c>
      <c r="L112" s="22" t="n">
        <v>3.203</v>
      </c>
    </row>
    <row r="113">
      <c r="A113" s="20" t="inlineStr">
        <is>
          <t>미지급 소비세</t>
        </is>
      </c>
      <c r="H113" s="22" t="n">
        <v>11.586</v>
      </c>
      <c r="I113" s="22" t="n">
        <v>16.329</v>
      </c>
      <c r="J113" s="22" t="n">
        <v>16.114</v>
      </c>
    </row>
    <row r="114">
      <c r="A114" s="20" t="inlineStr">
        <is>
          <t>리스부채</t>
        </is>
      </c>
      <c r="D114" s="22" t="n">
        <v>81.46599999999999</v>
      </c>
      <c r="J114" s="22" t="n">
        <v>0</v>
      </c>
      <c r="K114" s="22" t="n">
        <v>47.009</v>
      </c>
      <c r="L114" s="22" t="n">
        <v>81.46599999999999</v>
      </c>
    </row>
    <row r="115">
      <c r="A115" s="20" t="inlineStr">
        <is>
          <t>상여충당금</t>
        </is>
      </c>
      <c r="C115" s="22" t="n">
        <v>7.751</v>
      </c>
      <c r="D115" s="22" t="n">
        <v>11.626</v>
      </c>
      <c r="E115" s="22" t="n">
        <v>0</v>
      </c>
      <c r="F115" s="22" t="n">
        <v>0</v>
      </c>
      <c r="G115" s="22" t="n">
        <v>0</v>
      </c>
      <c r="J115" s="22" t="n">
        <v>0</v>
      </c>
      <c r="K115" s="22" t="n">
        <v>8.438000000000001</v>
      </c>
      <c r="L115" s="22" t="n">
        <v>11.626</v>
      </c>
    </row>
    <row r="116">
      <c r="A116" s="20" t="inlineStr">
        <is>
          <t>기타</t>
        </is>
      </c>
      <c r="C116" s="22" t="n">
        <v>248.437</v>
      </c>
      <c r="D116" s="22" t="n">
        <v>239.142</v>
      </c>
      <c r="E116" s="22" t="n">
        <v>212.399</v>
      </c>
      <c r="F116" s="22" t="n">
        <v>199.957</v>
      </c>
      <c r="G116" s="22" t="n">
        <v>280</v>
      </c>
      <c r="H116" s="22" t="n">
        <v>34.455</v>
      </c>
      <c r="I116" s="22" t="n">
        <v>28.358</v>
      </c>
      <c r="J116" s="22" t="n">
        <v>28.638</v>
      </c>
      <c r="K116" s="22" t="n">
        <v>44.389</v>
      </c>
      <c r="L116" s="22" t="n">
        <v>239.142</v>
      </c>
    </row>
    <row r="117">
      <c r="A117" s="9" t="inlineStr">
        <is>
          <t>유동부채 합계</t>
        </is>
      </c>
      <c r="C117" s="12" t="n">
        <v>1991.516</v>
      </c>
      <c r="D117" s="12" t="n">
        <v>1845.244</v>
      </c>
      <c r="E117" s="12" t="n">
        <v>1450.806</v>
      </c>
      <c r="F117" s="12" t="n">
        <v>1150.538</v>
      </c>
      <c r="G117" s="12" t="n">
        <v>1230.468</v>
      </c>
      <c r="H117" s="12" t="n">
        <v>844.4059999999999</v>
      </c>
      <c r="I117" s="12" t="n">
        <v>875.263</v>
      </c>
      <c r="J117" s="12" t="n">
        <v>876.1</v>
      </c>
      <c r="K117" s="12" t="n">
        <v>707.122</v>
      </c>
      <c r="L117" s="12" t="n">
        <v>1845.244</v>
      </c>
    </row>
    <row r="118">
      <c r="A118" s="20" t="inlineStr">
        <is>
          <t>전환사채형 신주예약권부 사채</t>
        </is>
      </c>
      <c r="I118" s="22" t="n">
        <v>0</v>
      </c>
      <c r="J118" s="22" t="n">
        <v>936</v>
      </c>
      <c r="K118" s="22" t="n">
        <v>0</v>
      </c>
    </row>
    <row r="119">
      <c r="A119" s="20" t="inlineStr">
        <is>
          <t>장기차입금</t>
        </is>
      </c>
      <c r="C119" s="22" t="n">
        <v>2008.818</v>
      </c>
      <c r="D119" s="22" t="n">
        <v>1611.816</v>
      </c>
      <c r="E119" s="22" t="n">
        <v>1599.66</v>
      </c>
      <c r="F119" s="22" t="n">
        <v>1588.659</v>
      </c>
      <c r="G119" s="22" t="n">
        <v>1563.118</v>
      </c>
      <c r="H119" s="22" t="n">
        <v>500.62</v>
      </c>
      <c r="I119" s="22" t="n">
        <v>791.52</v>
      </c>
      <c r="J119" s="22" t="n">
        <v>790</v>
      </c>
      <c r="K119" s="22" t="n">
        <v>1221.499</v>
      </c>
      <c r="L119" s="22" t="n">
        <v>1611.816</v>
      </c>
    </row>
    <row r="120">
      <c r="A120" s="20" t="inlineStr">
        <is>
          <t>리스부채</t>
        </is>
      </c>
      <c r="D120" s="22" t="n">
        <v>197.688</v>
      </c>
      <c r="J120" s="22" t="n">
        <v>0</v>
      </c>
      <c r="K120" s="22" t="n">
        <v>170.937</v>
      </c>
      <c r="L120" s="22" t="n">
        <v>197.688</v>
      </c>
    </row>
    <row r="121">
      <c r="A121" s="20" t="inlineStr">
        <is>
          <t>자산복구부채</t>
        </is>
      </c>
      <c r="C121" s="22" t="n">
        <v>0</v>
      </c>
      <c r="D121" s="22" t="n">
        <v>0</v>
      </c>
      <c r="I121" s="22" t="n">
        <v>0</v>
      </c>
      <c r="J121" s="22" t="n">
        <v>6.043</v>
      </c>
      <c r="K121" s="22" t="n">
        <v>6.106</v>
      </c>
      <c r="L121" s="22" t="n">
        <v>0</v>
      </c>
    </row>
    <row r="122">
      <c r="A122" s="20" t="inlineStr">
        <is>
          <t>이연법인세부채</t>
        </is>
      </c>
      <c r="D122" s="22" t="n">
        <v>0</v>
      </c>
      <c r="I122" s="22" t="n">
        <v>0</v>
      </c>
      <c r="J122" s="22" t="n">
        <v>2.007</v>
      </c>
      <c r="K122" s="22" t="n">
        <v>202.168</v>
      </c>
      <c r="L122" s="22" t="n">
        <v>0</v>
      </c>
    </row>
    <row r="123">
      <c r="A123" s="20" t="inlineStr">
        <is>
          <t>기타</t>
        </is>
      </c>
      <c r="C123" s="22" t="n">
        <v>275.282</v>
      </c>
      <c r="D123" s="22" t="n">
        <v>197.688</v>
      </c>
      <c r="E123" s="22" t="n">
        <v>176.607</v>
      </c>
      <c r="F123" s="22" t="n">
        <v>155.233</v>
      </c>
      <c r="G123" s="22" t="n">
        <v>164.46</v>
      </c>
      <c r="K123" s="22" t="n">
        <v>373.105</v>
      </c>
      <c r="L123" s="22" t="n">
        <v>197.688</v>
      </c>
    </row>
    <row r="124">
      <c r="A124" s="9" t="inlineStr">
        <is>
          <t>비유동부채 합계</t>
        </is>
      </c>
      <c r="C124" s="12" t="n">
        <v>2284.1</v>
      </c>
      <c r="D124" s="12" t="n">
        <v>1809.504</v>
      </c>
      <c r="E124" s="12" t="n">
        <v>1776.267</v>
      </c>
      <c r="F124" s="12" t="n">
        <v>1743.892</v>
      </c>
      <c r="G124" s="12" t="n">
        <v>1727.578</v>
      </c>
      <c r="H124" s="12" t="n">
        <v>500.62</v>
      </c>
      <c r="I124" s="12" t="n">
        <v>791.52</v>
      </c>
      <c r="J124" s="12" t="n">
        <v>1734.051</v>
      </c>
      <c r="K124" s="12" t="n">
        <v>1600.711</v>
      </c>
      <c r="L124" s="12" t="n">
        <v>1809.504</v>
      </c>
    </row>
    <row r="125">
      <c r="A125" s="9" t="inlineStr">
        <is>
          <t>부채 합계</t>
        </is>
      </c>
      <c r="C125" s="12" t="n">
        <v>4275.617</v>
      </c>
      <c r="D125" s="12" t="n">
        <v>3654.749</v>
      </c>
      <c r="E125" s="12" t="n">
        <v>3227.074</v>
      </c>
      <c r="F125" s="12" t="n">
        <v>2894.431</v>
      </c>
      <c r="G125" s="12" t="n">
        <v>2958.046</v>
      </c>
      <c r="H125" s="12" t="n">
        <v>1345.026</v>
      </c>
      <c r="I125" s="12" t="n">
        <v>1666.783</v>
      </c>
      <c r="J125" s="12" t="n">
        <v>2610.151</v>
      </c>
      <c r="K125" s="12" t="n">
        <v>2307.834</v>
      </c>
      <c r="L125" s="12" t="n">
        <v>3654.749</v>
      </c>
    </row>
    <row r="126">
      <c r="A126" s="20" t="inlineStr">
        <is>
          <t>자본금</t>
        </is>
      </c>
      <c r="C126" s="22" t="n">
        <v>36.722</v>
      </c>
      <c r="D126" s="22" t="n">
        <v>10</v>
      </c>
      <c r="E126" s="22" t="n">
        <v>18.404</v>
      </c>
      <c r="F126" s="22" t="n">
        <v>21.154</v>
      </c>
      <c r="G126" s="22" t="n">
        <v>22.654</v>
      </c>
      <c r="H126" s="22" t="n">
        <v>100</v>
      </c>
      <c r="I126" s="22" t="n">
        <v>100</v>
      </c>
      <c r="J126" s="22" t="n">
        <v>10.1</v>
      </c>
      <c r="K126" s="22" t="n">
        <v>10</v>
      </c>
      <c r="L126" s="22" t="n">
        <v>10</v>
      </c>
    </row>
    <row r="127">
      <c r="A127" s="20" t="inlineStr">
        <is>
          <t>자본잉여금</t>
        </is>
      </c>
      <c r="C127" s="22" t="n">
        <v>3201.995</v>
      </c>
      <c r="D127" s="22" t="n">
        <v>4971.006</v>
      </c>
      <c r="E127" s="22" t="n">
        <v>4979.411</v>
      </c>
      <c r="F127" s="22" t="n">
        <v>4982.161</v>
      </c>
      <c r="G127" s="22" t="n">
        <v>4983.661</v>
      </c>
      <c r="H127" s="22" t="n">
        <v>4452.93</v>
      </c>
      <c r="I127" s="22" t="n">
        <v>4441.301</v>
      </c>
      <c r="J127" s="22" t="n">
        <v>5330.63</v>
      </c>
      <c r="K127" s="22" t="n">
        <v>3175.272</v>
      </c>
      <c r="L127" s="22" t="n">
        <v>4971.006</v>
      </c>
    </row>
    <row r="128">
      <c r="A128" s="20" t="inlineStr">
        <is>
          <t>이익잉여금</t>
        </is>
      </c>
      <c r="C128" s="22" t="n">
        <v>-1701.965</v>
      </c>
      <c r="D128" s="22" t="n">
        <v>-1779.939</v>
      </c>
      <c r="E128" s="22" t="n">
        <v>-1679.782</v>
      </c>
      <c r="F128" s="22" t="n">
        <v>-1482.801</v>
      </c>
      <c r="G128" s="22" t="n">
        <v>-1369.196</v>
      </c>
      <c r="H128" s="22" t="n">
        <v>-3556.161</v>
      </c>
      <c r="I128" s="22" t="n">
        <v>-4117.73</v>
      </c>
      <c r="J128" s="22" t="n">
        <v>-4456.442</v>
      </c>
      <c r="K128" s="22" t="n">
        <v>-1079.273</v>
      </c>
      <c r="L128" s="22" t="n">
        <v>-1779.939</v>
      </c>
    </row>
    <row r="129">
      <c r="A129" s="9" t="inlineStr">
        <is>
          <t>주주자본 합계</t>
        </is>
      </c>
      <c r="C129" s="12" t="n">
        <v>1536.753</v>
      </c>
      <c r="D129" s="12" t="n">
        <v>3201.066</v>
      </c>
      <c r="E129" s="12" t="n">
        <v>3318.033</v>
      </c>
      <c r="F129" s="12" t="n">
        <v>3520.515</v>
      </c>
      <c r="G129" s="12" t="n">
        <v>3637.119</v>
      </c>
      <c r="H129" s="12" t="n">
        <v>996.769</v>
      </c>
      <c r="I129" s="12" t="n">
        <v>423.57</v>
      </c>
      <c r="J129" s="12" t="n">
        <v>884.287</v>
      </c>
      <c r="K129" s="12" t="n">
        <v>2105.999</v>
      </c>
      <c r="L129" s="12" t="n">
        <v>3201.066</v>
      </c>
    </row>
    <row r="130">
      <c r="A130" s="20" t="inlineStr">
        <is>
          <t>신주예약권</t>
        </is>
      </c>
      <c r="C130" s="22" t="n">
        <v>257.682</v>
      </c>
      <c r="D130" s="22" t="n">
        <v>271.245</v>
      </c>
      <c r="E130" s="22" t="n">
        <v>300.792</v>
      </c>
      <c r="F130" s="22" t="n">
        <v>328.039</v>
      </c>
      <c r="G130" s="22" t="n">
        <v>355.287</v>
      </c>
      <c r="H130" s="22" t="n">
        <v>0.772</v>
      </c>
      <c r="I130" s="22" t="n">
        <v>0.672</v>
      </c>
      <c r="J130" s="22" t="n">
        <v>134.664</v>
      </c>
      <c r="K130" s="22" t="n">
        <v>186.975</v>
      </c>
      <c r="L130" s="22" t="n">
        <v>271.245</v>
      </c>
    </row>
    <row r="131">
      <c r="A131" s="20" t="inlineStr">
        <is>
          <t>비지배지분</t>
        </is>
      </c>
      <c r="C131" s="22" t="n">
        <v>231.641</v>
      </c>
      <c r="D131" s="22" t="n">
        <v>112.892</v>
      </c>
      <c r="E131" s="22" t="n">
        <v>111.957</v>
      </c>
      <c r="F131" s="22" t="n">
        <v>23.251</v>
      </c>
      <c r="G131" s="22" t="n">
        <v>24.358</v>
      </c>
      <c r="H131" s="22" t="n">
        <v>272.288</v>
      </c>
      <c r="I131" s="22" t="n">
        <v>260.406</v>
      </c>
      <c r="J131" s="22" t="n">
        <v>0</v>
      </c>
      <c r="K131" s="22" t="n">
        <v>316.059</v>
      </c>
      <c r="L131" s="22" t="n">
        <v>112.892</v>
      </c>
    </row>
    <row r="132">
      <c r="A132" s="9" t="inlineStr">
        <is>
          <t>순자산 합계</t>
        </is>
      </c>
      <c r="C132" s="12" t="n">
        <v>2026.076</v>
      </c>
      <c r="D132" s="12" t="n">
        <v>3585.205</v>
      </c>
      <c r="E132" s="12" t="n">
        <v>3730.783</v>
      </c>
      <c r="F132" s="12" t="n">
        <v>3871.806</v>
      </c>
      <c r="G132" s="12" t="n">
        <v>4016.764</v>
      </c>
      <c r="H132" s="12" t="n">
        <v>1269.829</v>
      </c>
      <c r="I132" s="12" t="n">
        <v>684.649</v>
      </c>
      <c r="J132" s="12" t="n">
        <v>1018.951</v>
      </c>
      <c r="K132" s="12" t="n">
        <v>2609.033</v>
      </c>
      <c r="L132" s="12" t="n">
        <v>3585.205</v>
      </c>
    </row>
    <row r="133">
      <c r="A133" s="9" t="inlineStr">
        <is>
          <t>부채·순자산 합계</t>
        </is>
      </c>
      <c r="C133" s="12" t="n">
        <v>6301.693</v>
      </c>
      <c r="D133" s="12" t="n">
        <v>7239.954</v>
      </c>
      <c r="E133" s="12" t="n">
        <v>6957.858</v>
      </c>
      <c r="F133" s="12" t="n">
        <v>6766.237</v>
      </c>
      <c r="G133" s="12" t="n">
        <v>6974.811</v>
      </c>
      <c r="H133" s="12" t="n">
        <v>2614.856</v>
      </c>
      <c r="I133" s="12" t="n">
        <v>2351.432</v>
      </c>
      <c r="J133" s="12" t="n">
        <v>3629.103</v>
      </c>
      <c r="K133" s="12" t="n">
        <v>4916.868</v>
      </c>
      <c r="L133" s="12" t="n">
        <v>7239.954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44" customWidth="1" min="14" max="14"/>
  </cols>
  <sheetData>
    <row r="1">
      <c r="A1" s="52" t="inlineStr">
        <is>
          <t>ELEMENTS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q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</row>
    <row r="5">
      <c r="A5" s="55" t="inlineStr">
        <is>
          <t>항목</t>
        </is>
      </c>
      <c r="B5" s="55" t="inlineStr">
        <is>
          <t>2023.4Q</t>
        </is>
      </c>
      <c r="C5" s="55" t="inlineStr">
        <is>
          <t>2024.1Q</t>
        </is>
      </c>
      <c r="D5" s="55" t="inlineStr">
        <is>
          <t>2024.2Q</t>
        </is>
      </c>
      <c r="E5" s="55" t="inlineStr">
        <is>
          <t>2024.3Q</t>
        </is>
      </c>
      <c r="F5" s="55" t="inlineStr">
        <is>
          <t>2024.4Q</t>
        </is>
      </c>
      <c r="G5" s="55" t="inlineStr">
        <is>
          <t>2025.1Q</t>
        </is>
      </c>
      <c r="H5" s="55" t="inlineStr">
        <is>
          <t>2025.2Q</t>
        </is>
      </c>
      <c r="I5" s="55" t="inlineStr">
        <is>
          <t>2025.3Q</t>
        </is>
      </c>
      <c r="J5" s="55" t="inlineStr">
        <is>
          <t>2025.4Q</t>
        </is>
      </c>
      <c r="K5" s="55" t="inlineStr">
        <is>
          <t>2026.1Q</t>
        </is>
      </c>
      <c r="L5" s="55" t="inlineStr">
        <is>
          <t>2026.2Q</t>
        </is>
      </c>
      <c r="M5" s="55" t="inlineStr">
        <is>
          <t>2026.3Q</t>
        </is>
      </c>
      <c r="N5" s="55" t="inlineStr">
        <is>
          <t>출처</t>
        </is>
      </c>
    </row>
    <row r="6">
      <c r="A6" s="56" t="inlineStr">
        <is>
          <t>매출</t>
        </is>
      </c>
      <c r="B6" s="57" t="n">
        <v>6.25</v>
      </c>
      <c r="C6" s="57" t="n">
        <v>4.32</v>
      </c>
      <c r="D6" s="57" t="n">
        <v>7.76</v>
      </c>
      <c r="E6" s="57" t="n">
        <v>6.49</v>
      </c>
      <c r="F6" s="57" t="n">
        <v>6.88</v>
      </c>
      <c r="G6" s="57" t="n">
        <v>7.15</v>
      </c>
      <c r="H6" s="57" t="n">
        <v>9.75</v>
      </c>
      <c r="I6" s="57" t="n">
        <v>10.31</v>
      </c>
      <c r="J6" s="57" t="n">
        <v>11.74</v>
      </c>
      <c r="K6" s="57" t="n">
        <v>12.91</v>
      </c>
      <c r="L6" s="57" t="n">
        <v>15.08</v>
      </c>
      <c r="M6" s="57" t="n">
        <v>15.3</v>
      </c>
      <c r="N6" s="58" t="inlineStr">
        <is>
          <t>2단계 보고서 자료(회사 설명회 자료·공시)</t>
        </is>
      </c>
    </row>
    <row r="7">
      <c r="A7" s="56" t="inlineStr">
        <is>
          <t>gp</t>
        </is>
      </c>
      <c r="B7" s="57" t="n">
        <v>4.7</v>
      </c>
      <c r="C7" s="57" t="n">
        <v>3.8</v>
      </c>
      <c r="D7" s="57" t="n">
        <v>6.7</v>
      </c>
      <c r="E7" s="57" t="n">
        <v>5.4</v>
      </c>
      <c r="F7" s="57" t="n">
        <v>5.8</v>
      </c>
      <c r="G7" s="57" t="n">
        <v>6.3</v>
      </c>
      <c r="H7" s="57" t="n">
        <v>7.5</v>
      </c>
      <c r="I7" s="57" t="n">
        <v>7.54</v>
      </c>
      <c r="J7" s="57" t="n">
        <v>8.800000000000001</v>
      </c>
      <c r="K7" s="57" t="n">
        <v>9.800000000000001</v>
      </c>
      <c r="L7" s="57" t="n">
        <v>12</v>
      </c>
      <c r="M7" s="57" t="n">
        <v>11.96</v>
      </c>
    </row>
    <row r="8">
      <c r="A8" s="56" t="inlineStr">
        <is>
          <t>sga</t>
        </is>
      </c>
      <c r="B8" s="57" t="n">
        <v>3.9</v>
      </c>
      <c r="C8" s="57" t="n">
        <v>3.7</v>
      </c>
      <c r="D8" s="57" t="n">
        <v>5.4</v>
      </c>
      <c r="E8" s="57" t="n">
        <v>5.8</v>
      </c>
      <c r="F8" s="57" t="n">
        <v>6.4</v>
      </c>
      <c r="G8" s="57" t="n">
        <v>6.45</v>
      </c>
      <c r="H8" s="57" t="n">
        <v>7.22</v>
      </c>
      <c r="I8" s="57" t="n">
        <v>9.07</v>
      </c>
      <c r="J8" s="57" t="n">
        <v>9.58</v>
      </c>
      <c r="K8" s="57" t="n">
        <v>8.6</v>
      </c>
      <c r="L8" s="57" t="n">
        <v>9.880000000000001</v>
      </c>
      <c r="M8" s="57" t="n">
        <v>10.65</v>
      </c>
    </row>
    <row r="9">
      <c r="A9" s="56" t="inlineStr">
        <is>
          <t>영업이익</t>
        </is>
      </c>
      <c r="B9" s="57" t="n">
        <v>0.78</v>
      </c>
      <c r="C9" s="57" t="n">
        <v>0.16</v>
      </c>
      <c r="D9" s="57" t="n">
        <v>1.31</v>
      </c>
      <c r="E9" s="57" t="n">
        <v>-0.37</v>
      </c>
      <c r="F9" s="57" t="n">
        <v>-0.53</v>
      </c>
      <c r="G9" s="57" t="n">
        <v>-0.13</v>
      </c>
      <c r="H9" s="57" t="n">
        <v>0.3</v>
      </c>
      <c r="I9" s="57" t="n">
        <v>-1.53</v>
      </c>
      <c r="J9" s="57" t="n">
        <v>-0.79</v>
      </c>
      <c r="K9" s="57" t="n">
        <v>1.19</v>
      </c>
      <c r="L9" s="57" t="n">
        <v>2.08</v>
      </c>
      <c r="M9" s="57" t="n">
        <v>1.3</v>
      </c>
    </row>
    <row r="10">
      <c r="A10" s="56" t="inlineStr">
        <is>
          <t>ord</t>
        </is>
      </c>
      <c r="B10" s="57" t="n">
        <v>0.53</v>
      </c>
      <c r="C10" s="57" t="n">
        <v>-0.15</v>
      </c>
      <c r="D10" s="57" t="n">
        <v>1.13</v>
      </c>
      <c r="E10" s="57" t="n">
        <v>-0.53</v>
      </c>
      <c r="F10" s="57" t="n">
        <v>-0.72</v>
      </c>
      <c r="G10" s="57" t="n">
        <v>-0.24</v>
      </c>
      <c r="H10" s="57" t="n">
        <v>0.15</v>
      </c>
      <c r="I10" s="57" t="n">
        <v>-1.7</v>
      </c>
      <c r="J10" s="57" t="n">
        <v>-1.22</v>
      </c>
      <c r="K10" s="57" t="n">
        <v>1.05</v>
      </c>
      <c r="L10" s="57" t="n">
        <v>1.93</v>
      </c>
      <c r="M10" s="57" t="n">
        <v>1.15</v>
      </c>
    </row>
    <row r="11">
      <c r="A11" s="56" t="inlineStr">
        <is>
          <t>pbt</t>
        </is>
      </c>
      <c r="B11" s="57" t="n">
        <v>0.4</v>
      </c>
      <c r="C11" s="57" t="n">
        <v>-0.2</v>
      </c>
      <c r="D11" s="57" t="n">
        <v>1.1</v>
      </c>
      <c r="E11" s="57" t="n">
        <v>-0.5</v>
      </c>
      <c r="F11" s="57" t="n">
        <v>-0.7</v>
      </c>
      <c r="G11" s="57" t="n">
        <v>-0.2</v>
      </c>
      <c r="H11" s="57" t="n">
        <v>-6.4</v>
      </c>
      <c r="I11" s="57" t="n">
        <v>-1.8</v>
      </c>
      <c r="J11" s="57" t="n">
        <v>-1.7</v>
      </c>
      <c r="K11" s="57" t="n">
        <v>1</v>
      </c>
      <c r="L11" s="57" t="n">
        <v>2</v>
      </c>
      <c r="M11" s="57" t="n">
        <v>1.2</v>
      </c>
    </row>
    <row r="12">
      <c r="A12" s="56" t="inlineStr">
        <is>
          <t>순이익</t>
        </is>
      </c>
      <c r="B12" s="57" t="n">
        <v>0.36</v>
      </c>
      <c r="C12" s="57" t="n">
        <v>-0.16</v>
      </c>
      <c r="D12" s="57" t="n">
        <v>0.55</v>
      </c>
      <c r="E12" s="57" t="n">
        <v>-0.77</v>
      </c>
      <c r="F12" s="57" t="n">
        <v>-0.9399999999999999</v>
      </c>
      <c r="G12" s="57" t="n">
        <v>-0.51</v>
      </c>
      <c r="H12" s="57" t="n">
        <v>-4</v>
      </c>
      <c r="I12" s="57" t="n">
        <v>-1.71</v>
      </c>
      <c r="J12" s="57" t="n">
        <v>-0.78</v>
      </c>
      <c r="K12" s="57" t="n">
        <v>1</v>
      </c>
      <c r="L12" s="57" t="n">
        <v>1.97</v>
      </c>
      <c r="M12" s="57" t="n">
        <v>1.13</v>
      </c>
    </row>
    <row r="14">
      <c r="A14" s="54" t="inlineStr">
        <is>
          <t>sga items</t>
        </is>
      </c>
      <c r="B14" s="54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4" t="n"/>
      <c r="M14" s="54" t="n"/>
      <c r="N14" s="54" t="n"/>
    </row>
    <row r="15">
      <c r="A15" s="55" t="inlineStr">
        <is>
          <t>항목</t>
        </is>
      </c>
      <c r="B15" s="55" t="inlineStr">
        <is>
          <t>2025.1Q</t>
        </is>
      </c>
      <c r="C15" s="55" t="inlineStr">
        <is>
          <t>2025.2Q</t>
        </is>
      </c>
      <c r="D15" s="55" t="inlineStr">
        <is>
          <t>2025.3Q</t>
        </is>
      </c>
      <c r="E15" s="55" t="inlineStr">
        <is>
          <t>2025.4Q</t>
        </is>
      </c>
      <c r="F15" s="55" t="inlineStr">
        <is>
          <t>2026.1Q</t>
        </is>
      </c>
      <c r="G15" s="55" t="inlineStr">
        <is>
          <t>2026.2Q</t>
        </is>
      </c>
      <c r="H15" s="55" t="inlineStr">
        <is>
          <t>2026.3Q</t>
        </is>
      </c>
      <c r="N15" s="55" t="inlineStr">
        <is>
          <t>출처</t>
        </is>
      </c>
    </row>
    <row r="16">
      <c r="A16" s="56" t="inlineStr">
        <is>
          <t>인건비·연구개발비</t>
        </is>
      </c>
      <c r="B16" s="57" t="n">
        <v>3.52</v>
      </c>
      <c r="C16" s="57" t="n">
        <v>3.54</v>
      </c>
      <c r="D16" s="57" t="n">
        <v>3.75</v>
      </c>
      <c r="E16" s="57" t="n">
        <v>4.45</v>
      </c>
      <c r="F16" s="57" t="n">
        <v>3.79</v>
      </c>
      <c r="G16" s="57" t="n">
        <v>4.15</v>
      </c>
      <c r="H16" s="57" t="n">
        <v>4.36</v>
      </c>
      <c r="N16" s="58" t="inlineStr">
        <is>
          <t>2단계 보고서 자료(회사 설명회 자료·공시)</t>
        </is>
      </c>
    </row>
    <row r="17">
      <c r="A17" s="56" t="inlineStr">
        <is>
          <t>통신비·지급수수료</t>
        </is>
      </c>
      <c r="B17" s="57" t="n">
        <v>1.25</v>
      </c>
      <c r="C17" s="57" t="n">
        <v>1.23</v>
      </c>
      <c r="D17" s="57" t="n">
        <v>1.19</v>
      </c>
      <c r="E17" s="57" t="n">
        <v>1.37</v>
      </c>
      <c r="F17" s="57" t="n">
        <v>1.44</v>
      </c>
      <c r="G17" s="57" t="n">
        <v>1.96</v>
      </c>
      <c r="H17" s="57" t="n">
        <v>2.18</v>
      </c>
    </row>
    <row r="18">
      <c r="A18" s="56" t="inlineStr">
        <is>
          <t>감가상각·영업권 상각·주식보상</t>
        </is>
      </c>
      <c r="B18" s="57" t="n">
        <v>1.05</v>
      </c>
      <c r="C18" s="57" t="n">
        <v>1.17</v>
      </c>
      <c r="D18" s="57" t="n">
        <v>0.92</v>
      </c>
      <c r="E18" s="57" t="n">
        <v>0.78</v>
      </c>
      <c r="F18" s="57" t="n">
        <v>0.9</v>
      </c>
      <c r="G18" s="57" t="n">
        <v>1.09</v>
      </c>
      <c r="H18" s="57" t="n">
        <v>1.41</v>
      </c>
    </row>
    <row r="19">
      <c r="A19" s="56" t="inlineStr">
        <is>
          <t>기타</t>
        </is>
      </c>
      <c r="B19" s="57" t="n">
        <v>0.63</v>
      </c>
      <c r="C19" s="57" t="n">
        <v>0.55</v>
      </c>
      <c r="D19" s="57" t="n">
        <v>0.53</v>
      </c>
      <c r="E19" s="57" t="n">
        <v>0.62</v>
      </c>
      <c r="F19" s="57" t="n">
        <v>0.44</v>
      </c>
      <c r="G19" s="57" t="n">
        <v>0.71</v>
      </c>
      <c r="H19" s="57" t="n">
        <v>0.67</v>
      </c>
    </row>
    <row r="20">
      <c r="A20" s="56" t="inlineStr">
        <is>
          <t>폴라리파이 인수 관련 비용</t>
        </is>
      </c>
      <c r="B20" s="59" t="n"/>
      <c r="C20" s="57" t="n">
        <v>0.73</v>
      </c>
      <c r="D20" s="57" t="n">
        <v>0.53</v>
      </c>
      <c r="E20" s="57" t="n">
        <v>0.38</v>
      </c>
      <c r="F20" s="57" t="n">
        <v>0.27</v>
      </c>
      <c r="G20" s="57" t="n">
        <v>0.27</v>
      </c>
      <c r="H20" s="57" t="n">
        <v>0.27</v>
      </c>
    </row>
    <row r="21">
      <c r="A21" s="56" t="inlineStr">
        <is>
          <t>폴라리파이 판관비</t>
        </is>
      </c>
      <c r="B21" s="59" t="n"/>
      <c r="C21" s="59" t="n"/>
      <c r="D21" s="57" t="n">
        <v>2.15</v>
      </c>
      <c r="E21" s="57" t="n">
        <v>1.98</v>
      </c>
      <c r="F21" s="57" t="n">
        <v>1.76</v>
      </c>
      <c r="G21" s="57" t="n">
        <v>1.7</v>
      </c>
      <c r="H21" s="57" t="n">
        <v>1.76</v>
      </c>
    </row>
    <row r="23">
      <c r="A23" s="54" t="inlineStr">
        <is>
          <t>guide fy2026</t>
        </is>
      </c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</row>
    <row r="24">
      <c r="A24" s="55" t="inlineStr">
        <is>
          <t>항목</t>
        </is>
      </c>
      <c r="B24" s="55" t="inlineStr">
        <is>
          <t>값</t>
        </is>
      </c>
      <c r="N24" s="55" t="inlineStr">
        <is>
          <t>출처</t>
        </is>
      </c>
    </row>
    <row r="25">
      <c r="A25" s="56" t="inlineStr">
        <is>
          <t>매출</t>
        </is>
      </c>
      <c r="B25" s="57" t="n">
        <v>57</v>
      </c>
      <c r="N25" s="58" t="inlineStr">
        <is>
          <t>2단계 보고서 자료(회사 설명회 자료·공시)</t>
        </is>
      </c>
    </row>
    <row r="26">
      <c r="A26" s="56" t="inlineStr">
        <is>
          <t>gp</t>
        </is>
      </c>
      <c r="B26" s="57" t="n">
        <v>44.5</v>
      </c>
    </row>
    <row r="27">
      <c r="A27" s="56" t="inlineStr">
        <is>
          <t>sga</t>
        </is>
      </c>
      <c r="B27" s="57" t="n">
        <v>40.5</v>
      </c>
    </row>
    <row r="28">
      <c r="A28" s="56" t="inlineStr">
        <is>
          <t>ebitda</t>
        </is>
      </c>
      <c r="B28" s="57" t="n">
        <v>12</v>
      </c>
    </row>
    <row r="29">
      <c r="A29" s="56" t="inlineStr">
        <is>
          <t>영업이익</t>
        </is>
      </c>
      <c r="B29" s="57" t="n">
        <v>4</v>
      </c>
    </row>
    <row r="30">
      <c r="A30" s="56" t="inlineStr">
        <is>
          <t>ord</t>
        </is>
      </c>
      <c r="B30" s="57" t="n">
        <v>3</v>
      </c>
    </row>
    <row r="31">
      <c r="A31" s="56" t="inlineStr">
        <is>
          <t>순이익</t>
        </is>
      </c>
      <c r="B31" s="57" t="n">
        <v>3</v>
      </c>
    </row>
    <row r="32">
      <c r="A32" s="56" t="inlineStr">
        <is>
          <t>EPS</t>
        </is>
      </c>
      <c r="B32" s="57" t="n">
        <v>11.03</v>
      </c>
    </row>
    <row r="34">
      <c r="A34" s="54" t="inlineStr">
        <is>
          <t>guide fy2026 · ytd 3Q</t>
        </is>
      </c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</row>
    <row r="35">
      <c r="A35" s="55" t="inlineStr">
        <is>
          <t>항목</t>
        </is>
      </c>
      <c r="B35" s="55" t="inlineStr">
        <is>
          <t>값</t>
        </is>
      </c>
      <c r="N35" s="55" t="inlineStr">
        <is>
          <t>출처</t>
        </is>
      </c>
    </row>
    <row r="36">
      <c r="A36" s="56" t="inlineStr">
        <is>
          <t>매출</t>
        </is>
      </c>
      <c r="B36" s="57" t="n">
        <v>43.29</v>
      </c>
      <c r="N36" s="58" t="inlineStr">
        <is>
          <t>2단계 보고서 자료(회사 설명회 자료·공시)</t>
        </is>
      </c>
    </row>
    <row r="37">
      <c r="A37" s="56" t="inlineStr">
        <is>
          <t>gp</t>
        </is>
      </c>
      <c r="B37" s="57" t="n">
        <v>33.73</v>
      </c>
    </row>
    <row r="38">
      <c r="A38" s="56" t="inlineStr">
        <is>
          <t>sga</t>
        </is>
      </c>
      <c r="B38" s="57" t="n">
        <v>29.15</v>
      </c>
    </row>
    <row r="39">
      <c r="A39" s="56" t="inlineStr">
        <is>
          <t>ebitda</t>
        </is>
      </c>
      <c r="B39" s="57" t="n">
        <v>9.949999999999999</v>
      </c>
    </row>
    <row r="40">
      <c r="A40" s="56" t="inlineStr">
        <is>
          <t>영업이익</t>
        </is>
      </c>
      <c r="B40" s="57" t="n">
        <v>4.58</v>
      </c>
    </row>
    <row r="41">
      <c r="A41" s="56" t="inlineStr">
        <is>
          <t>ord</t>
        </is>
      </c>
      <c r="B41" s="57" t="n">
        <v>4.14</v>
      </c>
    </row>
    <row r="42">
      <c r="A42" s="56" t="inlineStr">
        <is>
          <t>순이익</t>
        </is>
      </c>
      <c r="B42" s="57" t="n">
        <v>4.11</v>
      </c>
    </row>
    <row r="43">
      <c r="A43" s="56" t="inlineStr">
        <is>
          <t>EPS</t>
        </is>
      </c>
      <c r="B43" s="57" t="n">
        <v>15.1</v>
      </c>
    </row>
    <row r="45">
      <c r="A45" s="54" t="inlineStr">
        <is>
          <t>bs 3Q26</t>
        </is>
      </c>
      <c r="B45" s="54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>
      <c r="A46" s="55" t="inlineStr">
        <is>
          <t>항목</t>
        </is>
      </c>
      <c r="B46" s="55" t="inlineStr">
        <is>
          <t>값</t>
        </is>
      </c>
      <c r="N46" s="55" t="inlineStr">
        <is>
          <t>출처</t>
        </is>
      </c>
    </row>
    <row r="47">
      <c r="A47" s="56" t="inlineStr">
        <is>
          <t>cash</t>
        </is>
      </c>
      <c r="B47" s="57" t="n">
        <v>24.25</v>
      </c>
      <c r="N47" s="58" t="inlineStr">
        <is>
          <t>2단계 보고서 자료(회사 설명회 자료·공시)</t>
        </is>
      </c>
    </row>
    <row r="48">
      <c r="A48" s="56" t="inlineStr">
        <is>
          <t>short debt</t>
        </is>
      </c>
      <c r="B48" s="57" t="n">
        <v>4.54</v>
      </c>
    </row>
    <row r="49">
      <c r="A49" s="56" t="inlineStr">
        <is>
          <t>ltd current</t>
        </is>
      </c>
      <c r="B49" s="57" t="n">
        <v>0.71</v>
      </c>
    </row>
    <row r="50">
      <c r="A50" s="56" t="inlineStr">
        <is>
          <t>ltd</t>
        </is>
      </c>
      <c r="B50" s="57" t="n">
        <v>15.63</v>
      </c>
    </row>
    <row r="51">
      <c r="A51" s="56" t="inlineStr">
        <is>
          <t>equity owner</t>
        </is>
      </c>
      <c r="B51" s="57" t="n">
        <v>36.37</v>
      </c>
    </row>
    <row r="52">
      <c r="A52" s="56" t="inlineStr">
        <is>
          <t>equity ratio</t>
        </is>
      </c>
      <c r="B52" s="57" t="n">
        <v>52.1</v>
      </c>
    </row>
    <row r="53">
      <c r="A53" s="56" t="inlineStr">
        <is>
          <t>goodwill</t>
        </is>
      </c>
      <c r="B53" s="57" t="n">
        <v>9.51</v>
      </c>
    </row>
    <row r="54">
      <c r="A54" s="56" t="inlineStr">
        <is>
          <t>software</t>
        </is>
      </c>
      <c r="B54" s="57" t="n">
        <v>14.9</v>
      </c>
    </row>
    <row r="56">
      <c r="A56" s="54" t="inlineStr">
        <is>
          <t>reactions</t>
        </is>
      </c>
      <c r="B56" s="54" t="n"/>
      <c r="C56" s="54" t="n"/>
      <c r="D56" s="54" t="n"/>
      <c r="E56" s="54" t="n"/>
      <c r="F56" s="54" t="n"/>
      <c r="G56" s="54" t="n"/>
      <c r="H56" s="54" t="n"/>
      <c r="I56" s="54" t="n"/>
      <c r="J56" s="54" t="n"/>
      <c r="K56" s="54" t="n"/>
      <c r="L56" s="54" t="n"/>
      <c r="M56" s="54" t="n"/>
      <c r="N56" s="54" t="n"/>
    </row>
    <row r="57">
      <c r="A57" s="55" t="inlineStr">
        <is>
          <t>항목</t>
        </is>
      </c>
      <c r="B57" s="55" t="inlineStr">
        <is>
          <t>기준일</t>
        </is>
      </c>
      <c r="C57" s="55" t="inlineStr">
        <is>
          <t>다음날</t>
        </is>
      </c>
      <c r="D57" s="55" t="inlineStr">
        <is>
          <t>등락%</t>
        </is>
      </c>
      <c r="N57" s="55" t="inlineStr">
        <is>
          <t>출처</t>
        </is>
      </c>
    </row>
    <row r="58">
      <c r="A58" s="56" t="inlineStr">
        <is>
          <t>2025-01-14</t>
        </is>
      </c>
      <c r="B58" s="59" t="inlineStr">
        <is>
          <t>2025-01-14</t>
        </is>
      </c>
      <c r="C58" s="59" t="inlineStr">
        <is>
          <t>2025-01-15</t>
        </is>
      </c>
      <c r="D58" s="57" t="n">
        <v>16.8</v>
      </c>
      <c r="N58" s="58" t="inlineStr">
        <is>
          <t>2단계 보고서 자료(회사 설명회 자료·공시)</t>
        </is>
      </c>
    </row>
    <row r="59">
      <c r="A59" s="56" t="inlineStr">
        <is>
          <t>2025-04-14</t>
        </is>
      </c>
      <c r="B59" s="59" t="inlineStr">
        <is>
          <t>2025-04-14</t>
        </is>
      </c>
      <c r="C59" s="59" t="inlineStr">
        <is>
          <t>2025-04-15</t>
        </is>
      </c>
      <c r="D59" s="57" t="n">
        <v>-0.4</v>
      </c>
    </row>
    <row r="60">
      <c r="A60" s="56" t="inlineStr">
        <is>
          <t>2025-07-14</t>
        </is>
      </c>
      <c r="B60" s="59" t="inlineStr">
        <is>
          <t>2025-07-14</t>
        </is>
      </c>
      <c r="C60" s="59" t="inlineStr">
        <is>
          <t>2025-07-15</t>
        </is>
      </c>
      <c r="D60" s="57" t="n">
        <v>-21</v>
      </c>
    </row>
    <row r="61">
      <c r="A61" s="56" t="inlineStr">
        <is>
          <t>2025-10-14</t>
        </is>
      </c>
      <c r="B61" s="59" t="inlineStr">
        <is>
          <t>2025-10-14</t>
        </is>
      </c>
      <c r="C61" s="59" t="inlineStr">
        <is>
          <t>2025-10-15</t>
        </is>
      </c>
      <c r="D61" s="57" t="n">
        <v>-13.2</v>
      </c>
    </row>
    <row r="62">
      <c r="A62" s="56" t="inlineStr">
        <is>
          <t>2026-01-13</t>
        </is>
      </c>
      <c r="B62" s="59" t="inlineStr">
        <is>
          <t>2026-01-13</t>
        </is>
      </c>
      <c r="C62" s="59" t="inlineStr">
        <is>
          <t>2026-01-14</t>
        </is>
      </c>
      <c r="D62" s="57" t="n">
        <v>-2.5</v>
      </c>
    </row>
    <row r="63">
      <c r="A63" s="56" t="inlineStr">
        <is>
          <t>2026-04-13</t>
        </is>
      </c>
      <c r="B63" s="59" t="inlineStr">
        <is>
          <t>2026-04-13</t>
        </is>
      </c>
      <c r="C63" s="59" t="inlineStr">
        <is>
          <t>2026-04-14</t>
        </is>
      </c>
      <c r="D63" s="57" t="n">
        <v>15.8</v>
      </c>
    </row>
    <row r="64">
      <c r="A64" s="56" t="inlineStr">
        <is>
          <t>2026-07-14</t>
        </is>
      </c>
      <c r="B64" s="59" t="inlineStr">
        <is>
          <t>2026-07-14</t>
        </is>
      </c>
      <c r="C64" s="59" t="inlineStr">
        <is>
          <t>2026-07-15</t>
        </is>
      </c>
      <c r="D64" s="57" t="n">
        <v>8.800000000000001</v>
      </c>
    </row>
    <row r="65">
      <c r="A65" s="56" t="inlineStr">
        <is>
          <t>2026-10-14</t>
        </is>
      </c>
      <c r="B65" s="59" t="inlineStr">
        <is>
          <t>2026-10-14</t>
        </is>
      </c>
      <c r="C65" s="59" t="inlineStr">
        <is>
          <t>2026-10-15</t>
        </is>
      </c>
      <c r="D65" s="57" t="n">
        <v>8.6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0" t="inlineStr">
        <is>
          <t>공시일</t>
        </is>
      </c>
      <c r="B3" s="60" t="inlineStr">
        <is>
          <t>문서</t>
        </is>
      </c>
      <c r="C3" s="60" t="inlineStr">
        <is>
          <t>PDF</t>
        </is>
      </c>
    </row>
    <row r="4">
      <c r="A4" t="inlineStr">
        <is>
          <t>2026-10-14</t>
        </is>
      </c>
      <c r="B4" t="inlineStr">
        <is>
          <t>2026년 11월 결산기 ３분기 결산단신</t>
        </is>
      </c>
      <c r="C4" t="inlineStr">
        <is>
          <t>https://www2.jpx.co.jp/disc/52460/140120261008547827.pdf</t>
        </is>
      </c>
    </row>
    <row r="5">
      <c r="A5" t="inlineStr">
        <is>
          <t>2026-07-14</t>
        </is>
      </c>
      <c r="B5" t="inlineStr">
        <is>
          <t>2026년 11월 결산기 ２분기 결산단신</t>
        </is>
      </c>
      <c r="C5" t="inlineStr">
        <is>
          <t>https://www2.jpx.co.jp/disc/52460/140120260713592617.pdf</t>
        </is>
      </c>
    </row>
    <row r="6">
      <c r="A6" t="inlineStr">
        <is>
          <t>2026-04-13</t>
        </is>
      </c>
      <c r="B6" t="inlineStr">
        <is>
          <t>2026년 11월 결산기 １분기 결산단신</t>
        </is>
      </c>
      <c r="C6" t="inlineStr">
        <is>
          <t>https://www2.jpx.co.jp/disc/52460/140120260413502434.pdf</t>
        </is>
      </c>
    </row>
    <row r="7">
      <c r="A7" t="inlineStr">
        <is>
          <t>2026-01-13</t>
        </is>
      </c>
      <c r="B7" t="inlineStr">
        <is>
          <t>2025년 11월 결산기 연간 결산단신</t>
        </is>
      </c>
      <c r="C7" t="inlineStr">
        <is>
          <t>https://www2.jpx.co.jp/disc/52460/140120260107530068.pdf</t>
        </is>
      </c>
    </row>
    <row r="8">
      <c r="A8" t="inlineStr">
        <is>
          <t>2025-10-14</t>
        </is>
      </c>
      <c r="B8" t="inlineStr">
        <is>
          <t>2025년 11월 결산기 ３분기 결산단신</t>
        </is>
      </c>
      <c r="C8" t="inlineStr">
        <is>
          <t>https://www2.jpx.co.jp/disc/52460/140120251009570925.pdf</t>
        </is>
      </c>
    </row>
    <row r="9">
      <c r="A9" t="inlineStr">
        <is>
          <t>2025-07-14</t>
        </is>
      </c>
      <c r="B9" t="inlineStr">
        <is>
          <t>2025년 11월 결산기 ２분기 결산단신</t>
        </is>
      </c>
      <c r="C9" t="inlineStr">
        <is>
          <t>https://www2.jpx.co.jp/disc/52460/140120250710511156.pdf</t>
        </is>
      </c>
    </row>
    <row r="10">
      <c r="A10" t="inlineStr">
        <is>
          <t>2025-04-14</t>
        </is>
      </c>
      <c r="B10" t="inlineStr">
        <is>
          <t>2025년 11월 결산기 １분기 결산단신</t>
        </is>
      </c>
      <c r="C10" t="inlineStr">
        <is>
          <t>https://www2.jpx.co.jp/disc/52460/140120250411514159.pdf</t>
        </is>
      </c>
    </row>
    <row r="11">
      <c r="A11" t="inlineStr">
        <is>
          <t>2025-01-14</t>
        </is>
      </c>
      <c r="B11" t="inlineStr">
        <is>
          <t>2024년 11월 결산기 연간 결산단신</t>
        </is>
      </c>
      <c r="C11" t="inlineStr">
        <is>
          <t>https://www2.jpx.co.jp/disc/52460/140120250110549478.pdf</t>
        </is>
      </c>
    </row>
    <row r="12">
      <c r="A12" t="inlineStr">
        <is>
          <t>2024-10-11</t>
        </is>
      </c>
      <c r="B12" t="inlineStr">
        <is>
          <t>2024년 11월 결산기 ３분기 결산단신</t>
        </is>
      </c>
      <c r="C12" t="inlineStr">
        <is>
          <t>https://www2.jpx.co.jp/disc/52460/140120241010596557.pdf</t>
        </is>
      </c>
    </row>
    <row r="13">
      <c r="A13" t="inlineStr">
        <is>
          <t>2024-07-12</t>
        </is>
      </c>
      <c r="B13" t="inlineStr">
        <is>
          <t>2024년 11월 결산기 ２분기 결산단신</t>
        </is>
      </c>
      <c r="C13" t="inlineStr">
        <is>
          <t>https://www2.jpx.co.jp/disc/52460/140120240711547922.pdf</t>
        </is>
      </c>
    </row>
    <row r="14">
      <c r="A14" t="inlineStr">
        <is>
          <t>2024-04-12</t>
        </is>
      </c>
      <c r="B14" t="inlineStr">
        <is>
          <t>2024년 11월 결산기 １분기 결산단신</t>
        </is>
      </c>
      <c r="C14" t="inlineStr">
        <is>
          <t>https://www2.jpx.co.jp/disc/52460/140120240410568676.pdf</t>
        </is>
      </c>
    </row>
    <row r="15">
      <c r="A15" t="inlineStr">
        <is>
          <t>2024-01-15</t>
        </is>
      </c>
      <c r="B15" t="inlineStr">
        <is>
          <t>2023년 11월 결산기 연간 결산단신</t>
        </is>
      </c>
      <c r="C15" t="inlineStr">
        <is>
          <t>https://www2.jpx.co.jp/disc/52460/140120240115515252.pdf</t>
        </is>
      </c>
    </row>
    <row r="16">
      <c r="A16" t="inlineStr">
        <is>
          <t>2023-10-12</t>
        </is>
      </c>
      <c r="B16" t="inlineStr">
        <is>
          <t>2023년 11월 결산기 3분기 결산단신</t>
        </is>
      </c>
      <c r="C16" t="inlineStr">
        <is>
          <t>https://www2.jpx.co.jp/disc/52460/140120231012565777.pdf</t>
        </is>
      </c>
    </row>
    <row r="17">
      <c r="A17" t="inlineStr">
        <is>
          <t>2023-07-13</t>
        </is>
      </c>
      <c r="B17" t="inlineStr">
        <is>
          <t>2023년 11월 결산기 2분기 결산단신</t>
        </is>
      </c>
      <c r="C17" t="inlineStr">
        <is>
          <t>https://www2.jpx.co.jp/disc/52460/140120230713521793.pdf</t>
        </is>
      </c>
    </row>
    <row r="18">
      <c r="A18" t="inlineStr">
        <is>
          <t>2023-04-12</t>
        </is>
      </c>
      <c r="B18" t="inlineStr">
        <is>
          <t>2023년 11월 결산기 1분기 결산단신</t>
        </is>
      </c>
      <c r="C18" t="inlineStr">
        <is>
          <t>https://www2.jpx.co.jp/disc/52460/140120230412545767.pdf</t>
        </is>
      </c>
    </row>
    <row r="19">
      <c r="A19" t="inlineStr">
        <is>
          <t>2023-01-16</t>
        </is>
      </c>
      <c r="B19" t="inlineStr">
        <is>
          <t>2022년 11월 결산기 연간 결산단신</t>
        </is>
      </c>
      <c r="C19" t="inlineStr">
        <is>
          <t>https://www2.jpx.co.jp/disc/52460/140120230113589379.pdf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2026-10-27T07:57:08Z</dcterms:created>
  <dcterms:modified xmlns:dcterms="http://purl.org/dc/terms/" xmlns:xsi="http://www.w3.org/2001/XMLSchema-instance" xsi:type="dcterms:W3CDTF">2026-10-27T07:57:08Z</dcterms:modified>
</cp:coreProperties>
</file>