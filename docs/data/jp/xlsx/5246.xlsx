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ELEMENTS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11월 결산 · 일본 기준 · 2026.3Q = 2026년 11월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625.325</v>
      </c>
      <c r="D4" s="12" t="n">
        <v>432.209</v>
      </c>
      <c r="E4" s="12" t="n">
        <v>776.189</v>
      </c>
      <c r="F4" s="12" t="n">
        <v>648.645</v>
      </c>
      <c r="G4" s="12" t="n">
        <v>688.681</v>
      </c>
      <c r="H4" s="12" t="n">
        <v>715.427</v>
      </c>
      <c r="I4" s="12" t="n">
        <v>974.97</v>
      </c>
      <c r="J4" s="12" t="n">
        <v>1030.824</v>
      </c>
      <c r="K4" s="12" t="n">
        <v>1173.891</v>
      </c>
      <c r="L4" s="12" t="n">
        <v>1291.889</v>
      </c>
      <c r="M4" s="12" t="n">
        <v>1507.116</v>
      </c>
      <c r="N4" s="12" t="n">
        <v>1530.395</v>
      </c>
      <c r="O4" s="11" t="n"/>
      <c r="P4" s="12" t="n"/>
      <c r="Q4" s="12" t="n"/>
      <c r="R4" s="12" t="n"/>
      <c r="S4" s="12" t="n"/>
      <c r="T4" s="12" t="n">
        <v>1362.051</v>
      </c>
      <c r="U4" s="12" t="n">
        <v>1651.627</v>
      </c>
      <c r="V4" s="12" t="n">
        <v>1940.397</v>
      </c>
      <c r="W4" s="12" t="n">
        <v>2545.724</v>
      </c>
      <c r="X4" s="12" t="n">
        <v>3895.112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158.292</v>
      </c>
      <c r="D11" s="22" t="n">
        <v>48.546</v>
      </c>
      <c r="E11" s="22" t="n">
        <v>102.579</v>
      </c>
      <c r="F11" s="22" t="n">
        <v>107.472</v>
      </c>
      <c r="G11" s="22" t="n">
        <v>103.755</v>
      </c>
      <c r="H11" s="22" t="n">
        <v>81.011</v>
      </c>
      <c r="I11" s="22" t="n">
        <v>224.44</v>
      </c>
      <c r="J11" s="22" t="n">
        <v>276.551</v>
      </c>
      <c r="K11" s="22" t="n">
        <v>294.561</v>
      </c>
      <c r="L11" s="22" t="n">
        <v>311.234</v>
      </c>
      <c r="M11" s="22" t="n">
        <v>310.66</v>
      </c>
      <c r="N11" s="22" t="n">
        <v>334.342</v>
      </c>
      <c r="O11" s="21" t="n"/>
      <c r="P11" s="22" t="n"/>
      <c r="Q11" s="22" t="n"/>
      <c r="R11" s="22" t="n"/>
      <c r="S11" s="22" t="n"/>
      <c r="T11" s="22" t="n">
        <v>545.808</v>
      </c>
      <c r="U11" s="22" t="n">
        <v>563.414</v>
      </c>
      <c r="V11" s="22" t="n">
        <v>441.053</v>
      </c>
      <c r="W11" s="22" t="n">
        <v>362.352</v>
      </c>
      <c r="X11" s="22" t="n">
        <v>876.563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388.803</v>
      </c>
      <c r="D17" s="22" t="n">
        <v>366.781</v>
      </c>
      <c r="E17" s="22" t="n">
        <v>543.199</v>
      </c>
      <c r="F17" s="22" t="n">
        <v>578.0599999999999</v>
      </c>
      <c r="G17" s="22" t="n">
        <v>637.415</v>
      </c>
      <c r="H17" s="22" t="n">
        <v>648.3200000000001</v>
      </c>
      <c r="I17" s="22" t="n">
        <v>719.607</v>
      </c>
      <c r="J17" s="22" t="n">
        <v>907.763</v>
      </c>
      <c r="K17" s="22" t="n">
        <v>958.174</v>
      </c>
      <c r="L17" s="22" t="n">
        <v>860.9160000000001</v>
      </c>
      <c r="M17" s="22" t="n">
        <v>988.5309999999999</v>
      </c>
      <c r="N17" s="22" t="n">
        <v>1065.813</v>
      </c>
      <c r="O17" s="21" t="n"/>
      <c r="P17" s="22" t="n"/>
      <c r="Q17" s="22" t="n"/>
      <c r="R17" s="22" t="n"/>
      <c r="S17" s="22" t="n"/>
      <c r="T17" s="22" t="n">
        <v>1522.299</v>
      </c>
      <c r="U17" s="22" t="n">
        <v>1668.204</v>
      </c>
      <c r="V17" s="22" t="n">
        <v>1796.829</v>
      </c>
      <c r="W17" s="22" t="n">
        <v>2125.455</v>
      </c>
      <c r="X17" s="22" t="n">
        <v>3233.864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78.23099999999999</v>
      </c>
      <c r="D19" s="12" t="n">
        <v>16.88</v>
      </c>
      <c r="E19" s="12" t="n">
        <v>130.413</v>
      </c>
      <c r="F19" s="12" t="n">
        <v>-36.887</v>
      </c>
      <c r="G19" s="12" t="n">
        <v>-52.49</v>
      </c>
      <c r="H19" s="12" t="n">
        <v>-13.904</v>
      </c>
      <c r="I19" s="12" t="n">
        <v>30.922</v>
      </c>
      <c r="J19" s="12" t="n">
        <v>-153.488</v>
      </c>
      <c r="K19" s="12" t="n">
        <v>-78.846</v>
      </c>
      <c r="L19" s="12" t="n">
        <v>119.738</v>
      </c>
      <c r="M19" s="12" t="n">
        <v>207.925</v>
      </c>
      <c r="N19" s="12" t="n">
        <v>130.24</v>
      </c>
      <c r="O19" s="11" t="n"/>
      <c r="P19" s="12" t="n"/>
      <c r="Q19" s="12" t="n"/>
      <c r="R19" s="12" t="n"/>
      <c r="S19" s="12" t="n"/>
      <c r="T19" s="12" t="n">
        <v>-706.056</v>
      </c>
      <c r="U19" s="12" t="n">
        <v>-579.991</v>
      </c>
      <c r="V19" s="12" t="n">
        <v>-297.485</v>
      </c>
      <c r="W19" s="12" t="n">
        <v>57.916</v>
      </c>
      <c r="X19" s="12" t="n">
        <v>-215.316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/>
      <c r="E35" s="22" t="n"/>
      <c r="F35" s="22" t="n">
        <v>0</v>
      </c>
      <c r="G35" s="22" t="n">
        <v>0</v>
      </c>
      <c r="H35" s="22" t="n"/>
      <c r="I35" s="22" t="n"/>
      <c r="J35" s="22" t="n">
        <v>0</v>
      </c>
      <c r="K35" s="22" t="n">
        <v>117.398</v>
      </c>
      <c r="L35" s="22" t="n"/>
      <c r="M35" s="22" t="n"/>
      <c r="N35" s="22" t="n">
        <v>1.095</v>
      </c>
      <c r="O35" s="21" t="n"/>
      <c r="P35" s="22" t="n"/>
      <c r="Q35" s="22" t="n"/>
      <c r="R35" s="22" t="n"/>
      <c r="S35" s="22" t="n"/>
      <c r="T35" s="22" t="n">
        <v>0</v>
      </c>
      <c r="U35" s="22" t="n">
        <v>0</v>
      </c>
      <c r="V35" s="22" t="n">
        <v>0.83</v>
      </c>
      <c r="W35" s="22" t="n">
        <v>0.05</v>
      </c>
      <c r="X35" s="22" t="n">
        <v>117.398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14.265</v>
      </c>
      <c r="D37" s="22" t="n"/>
      <c r="E37" s="22" t="n"/>
      <c r="F37" s="22" t="n">
        <v>0</v>
      </c>
      <c r="G37" s="22" t="n">
        <v>0</v>
      </c>
      <c r="H37" s="22" t="n">
        <v>0</v>
      </c>
      <c r="I37" s="22" t="n">
        <v>659.325</v>
      </c>
      <c r="J37" s="22" t="n">
        <v>9.920999999999999</v>
      </c>
      <c r="K37" s="22" t="n">
        <v>160.66</v>
      </c>
      <c r="L37" s="22" t="n">
        <v>5.455</v>
      </c>
      <c r="M37" s="22" t="n">
        <v>-2.405</v>
      </c>
      <c r="N37" s="22" t="n">
        <v>0</v>
      </c>
      <c r="O37" s="21" t="n"/>
      <c r="P37" s="22" t="n"/>
      <c r="Q37" s="22" t="n"/>
      <c r="R37" s="22" t="n"/>
      <c r="S37" s="22" t="n"/>
      <c r="T37" s="22" t="n">
        <v>20.862</v>
      </c>
      <c r="U37" s="22" t="n">
        <v>71.414</v>
      </c>
      <c r="V37" s="22" t="n">
        <v>14.265</v>
      </c>
      <c r="W37" s="22" t="n">
        <v>0</v>
      </c>
      <c r="X37" s="22" t="n">
        <v>829.9059999999999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0.206</v>
      </c>
      <c r="D39" s="22" t="n">
        <v>0.247</v>
      </c>
      <c r="E39" s="22" t="n">
        <v>0.24</v>
      </c>
      <c r="F39" s="22" t="n">
        <v>0.209</v>
      </c>
      <c r="G39" s="22" t="n">
        <v>0.312</v>
      </c>
      <c r="H39" s="22" t="n">
        <v>1.105</v>
      </c>
      <c r="I39" s="22" t="n">
        <v>0.462</v>
      </c>
      <c r="J39" s="22" t="n">
        <v>1.53</v>
      </c>
      <c r="K39" s="22" t="n">
        <v>0.9350000000000001</v>
      </c>
      <c r="L39" s="22" t="n">
        <v>3.488</v>
      </c>
      <c r="M39" s="22" t="n">
        <v>1.024</v>
      </c>
      <c r="N39" s="22" t="n">
        <v>3.588</v>
      </c>
      <c r="O39" s="21" t="n"/>
      <c r="P39" s="22" t="n"/>
      <c r="Q39" s="22" t="n"/>
      <c r="R39" s="22" t="n"/>
      <c r="S39" s="22" t="n"/>
      <c r="T39" s="22" t="n">
        <v>16.475</v>
      </c>
      <c r="U39" s="22" t="n">
        <v>21.284</v>
      </c>
      <c r="V39" s="22" t="n">
        <v>10.968</v>
      </c>
      <c r="W39" s="22" t="n">
        <v>1.008</v>
      </c>
      <c r="X39" s="22" t="n">
        <v>4.032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25.754</v>
      </c>
      <c r="D41" s="22" t="n">
        <v>32.47</v>
      </c>
      <c r="E41" s="22" t="n">
        <v>16.8</v>
      </c>
      <c r="F41" s="22" t="n">
        <v>16.794</v>
      </c>
      <c r="G41" s="22" t="n">
        <v>20.15</v>
      </c>
      <c r="H41" s="22" t="n">
        <v>12.166</v>
      </c>
      <c r="I41" s="22" t="n">
        <v>15.421</v>
      </c>
      <c r="J41" s="22" t="n">
        <v>18.171</v>
      </c>
      <c r="K41" s="22" t="n">
        <v>44.37</v>
      </c>
      <c r="L41" s="22" t="n">
        <v>17.592</v>
      </c>
      <c r="M41" s="22" t="n">
        <v>15.987</v>
      </c>
      <c r="N41" s="22" t="n">
        <v>18.77</v>
      </c>
      <c r="O41" s="21" t="n"/>
      <c r="P41" s="22" t="n"/>
      <c r="Q41" s="22" t="n"/>
      <c r="R41" s="22" t="n"/>
      <c r="S41" s="22" t="n"/>
      <c r="T41" s="22" t="n">
        <v>5.445</v>
      </c>
      <c r="U41" s="22" t="n">
        <v>42.238</v>
      </c>
      <c r="V41" s="22" t="n">
        <v>68.93600000000001</v>
      </c>
      <c r="W41" s="22" t="n">
        <v>86.214</v>
      </c>
      <c r="X41" s="22" t="n">
        <v>90.128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38.416</v>
      </c>
      <c r="D43" s="12" t="n">
        <v>-15.342</v>
      </c>
      <c r="E43" s="12" t="n">
        <v>113.902</v>
      </c>
      <c r="F43" s="12" t="n">
        <v>-53.472</v>
      </c>
      <c r="G43" s="12" t="n">
        <v>-72.327</v>
      </c>
      <c r="H43" s="12" t="n">
        <v>-24.965</v>
      </c>
      <c r="I43" s="12" t="n">
        <v>-643.362</v>
      </c>
      <c r="J43" s="12" t="n">
        <v>-180.051</v>
      </c>
      <c r="K43" s="12" t="n">
        <v>-165.54</v>
      </c>
      <c r="L43" s="12" t="n">
        <v>100.179</v>
      </c>
      <c r="M43" s="12" t="n">
        <v>199.134</v>
      </c>
      <c r="N43" s="12" t="n">
        <v>116.153</v>
      </c>
      <c r="O43" s="11" t="n"/>
      <c r="P43" s="12" t="n"/>
      <c r="Q43" s="12" t="n"/>
      <c r="R43" s="12" t="n"/>
      <c r="S43" s="12" t="n"/>
      <c r="T43" s="12" t="n">
        <v>-715.889</v>
      </c>
      <c r="U43" s="12" t="n">
        <v>-672.359</v>
      </c>
      <c r="V43" s="12" t="n">
        <v>-368.889</v>
      </c>
      <c r="W43" s="12" t="n">
        <v>-27.239</v>
      </c>
      <c r="X43" s="12" t="n">
        <v>-1013.918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2.508</v>
      </c>
      <c r="D45" s="22" t="n">
        <v>0.894</v>
      </c>
      <c r="E45" s="22" t="n">
        <v>25.715</v>
      </c>
      <c r="F45" s="22" t="n">
        <v>13.917</v>
      </c>
      <c r="G45" s="22" t="n">
        <v>15.285</v>
      </c>
      <c r="H45" s="22" t="n">
        <v>10.733</v>
      </c>
      <c r="I45" s="22" t="n">
        <v>-123.581</v>
      </c>
      <c r="J45" s="22" t="n">
        <v>-4.629</v>
      </c>
      <c r="K45" s="22" t="n">
        <v>-50.989</v>
      </c>
      <c r="L45" s="22" t="n">
        <v>0.957</v>
      </c>
      <c r="M45" s="22" t="n">
        <v>-1.295</v>
      </c>
      <c r="N45" s="22" t="n">
        <v>1.44</v>
      </c>
      <c r="O45" s="21" t="n"/>
      <c r="P45" s="22" t="n"/>
      <c r="Q45" s="22" t="n"/>
      <c r="R45" s="22" t="n"/>
      <c r="S45" s="22" t="n"/>
      <c r="T45" s="22" t="n">
        <v>1.888</v>
      </c>
      <c r="U45" s="22" t="n">
        <v>1.6</v>
      </c>
      <c r="V45" s="22" t="n">
        <v>3.655</v>
      </c>
      <c r="W45" s="22" t="n">
        <v>55.811</v>
      </c>
      <c r="X45" s="22" t="n">
        <v>-168.466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35.908</v>
      </c>
      <c r="D47" s="12" t="n">
        <v>-16.236</v>
      </c>
      <c r="E47" s="12" t="n">
        <v>88.187</v>
      </c>
      <c r="F47" s="12" t="n">
        <v>-67.389</v>
      </c>
      <c r="G47" s="12" t="n">
        <v>-87.61199999999999</v>
      </c>
      <c r="H47" s="12" t="n">
        <v>-35.698</v>
      </c>
      <c r="I47" s="12" t="n">
        <v>-519.78</v>
      </c>
      <c r="J47" s="12" t="n">
        <v>-175.422</v>
      </c>
      <c r="K47" s="12" t="n">
        <v>-114.552</v>
      </c>
      <c r="L47" s="12" t="n">
        <v>99.22199999999999</v>
      </c>
      <c r="M47" s="12" t="n">
        <v>200.43</v>
      </c>
      <c r="N47" s="12" t="n">
        <v>114.711</v>
      </c>
      <c r="O47" s="11" t="n"/>
      <c r="P47" s="12" t="n"/>
      <c r="Q47" s="12" t="n"/>
      <c r="R47" s="12" t="n"/>
      <c r="S47" s="12" t="n"/>
      <c r="T47" s="12" t="n">
        <v>-717.778</v>
      </c>
      <c r="U47" s="12" t="n">
        <v>-673.96</v>
      </c>
      <c r="V47" s="12" t="n">
        <v>-372.545</v>
      </c>
      <c r="W47" s="12" t="n">
        <v>-83.05</v>
      </c>
      <c r="X47" s="12" t="n">
        <v>-845.452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35.908</v>
      </c>
      <c r="D49" s="12" t="n">
        <v>-16.236</v>
      </c>
      <c r="E49" s="12" t="n">
        <v>55.306</v>
      </c>
      <c r="F49" s="12" t="n">
        <v>-77.599</v>
      </c>
      <c r="G49" s="12" t="n">
        <v>-94.386</v>
      </c>
      <c r="H49" s="12" t="n">
        <v>-51.763</v>
      </c>
      <c r="I49" s="12" t="n">
        <v>-399.793</v>
      </c>
      <c r="J49" s="12" t="n">
        <v>-171.135</v>
      </c>
      <c r="K49" s="12" t="n">
        <v>-77.97499999999999</v>
      </c>
      <c r="L49" s="12" t="n">
        <v>100.156</v>
      </c>
      <c r="M49" s="12" t="n">
        <v>196.982</v>
      </c>
      <c r="N49" s="12" t="n">
        <v>113.605</v>
      </c>
      <c r="O49" s="11" t="n"/>
      <c r="P49" s="12" t="n"/>
      <c r="Q49" s="12" t="n"/>
      <c r="R49" s="12" t="n"/>
      <c r="S49" s="12" t="n"/>
      <c r="T49" s="12" t="n">
        <v>-568.9880000000001</v>
      </c>
      <c r="U49" s="12" t="n">
        <v>-561.569</v>
      </c>
      <c r="V49" s="12" t="n">
        <v>-338.711</v>
      </c>
      <c r="W49" s="12" t="n">
        <v>-132.915</v>
      </c>
      <c r="X49" s="12" t="n">
        <v>-700.6660000000001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1071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27250514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C84" s="12" t="n">
        <v>625.325</v>
      </c>
      <c r="D84" s="12" t="n">
        <v>432.209</v>
      </c>
      <c r="E84" s="12" t="n">
        <v>776.189</v>
      </c>
      <c r="F84" s="12" t="n">
        <v>648.645</v>
      </c>
      <c r="G84" s="12" t="n">
        <v>688.681</v>
      </c>
      <c r="H84" s="12" t="n">
        <v>715.427</v>
      </c>
      <c r="I84" s="12" t="n">
        <v>974.97</v>
      </c>
      <c r="J84" s="12" t="n">
        <v>1030.824</v>
      </c>
      <c r="K84" s="12" t="n">
        <v>1173.891</v>
      </c>
      <c r="L84" s="12" t="n">
        <v>1291.889</v>
      </c>
      <c r="M84" s="12" t="n">
        <v>1507.116</v>
      </c>
      <c r="N84" s="12" t="n">
        <v>1530.395</v>
      </c>
      <c r="U84" s="12" t="n">
        <v>393.983</v>
      </c>
      <c r="V84" s="12" t="n">
        <v>625.325</v>
      </c>
      <c r="W84" s="12" t="n">
        <v>688.681</v>
      </c>
      <c r="X84" s="12" t="n">
        <v>1173.891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158.292</v>
      </c>
      <c r="D86" s="22" t="n">
        <v>48.546</v>
      </c>
      <c r="E86" s="22" t="n">
        <v>102.579</v>
      </c>
      <c r="F86" s="22" t="n">
        <v>107.472</v>
      </c>
      <c r="G86" s="22" t="n">
        <v>103.755</v>
      </c>
      <c r="H86" s="22" t="n">
        <v>81.011</v>
      </c>
      <c r="I86" s="22" t="n">
        <v>224.44</v>
      </c>
      <c r="J86" s="22" t="n">
        <v>276.551</v>
      </c>
      <c r="K86" s="22" t="n">
        <v>294.561</v>
      </c>
      <c r="L86" s="22" t="n">
        <v>311.234</v>
      </c>
      <c r="M86" s="22" t="n">
        <v>310.66</v>
      </c>
      <c r="N86" s="22" t="n">
        <v>334.342</v>
      </c>
      <c r="U86" s="22" t="n">
        <v>107.18</v>
      </c>
      <c r="V86" s="22" t="n">
        <v>158.292</v>
      </c>
      <c r="W86" s="22" t="n">
        <v>103.755</v>
      </c>
      <c r="X86" s="22" t="n">
        <v>294.561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467.034</v>
      </c>
      <c r="D88" s="12" t="n">
        <v>383.662</v>
      </c>
      <c r="E88" s="12" t="n">
        <v>673.611</v>
      </c>
      <c r="F88" s="12" t="n">
        <v>541.173</v>
      </c>
      <c r="G88" s="12" t="n">
        <v>584.925</v>
      </c>
      <c r="H88" s="12" t="n">
        <v>634.4160000000001</v>
      </c>
      <c r="I88" s="12" t="n">
        <v>750.529</v>
      </c>
      <c r="J88" s="12" t="n">
        <v>754.274</v>
      </c>
      <c r="K88" s="12" t="n">
        <v>879.329</v>
      </c>
      <c r="L88" s="12" t="n">
        <v>980.655</v>
      </c>
      <c r="M88" s="12" t="n">
        <v>1196.456</v>
      </c>
      <c r="N88" s="12" t="n">
        <v>1196.053</v>
      </c>
      <c r="U88" s="12" t="n">
        <v>286.802</v>
      </c>
      <c r="V88" s="12" t="n">
        <v>467.034</v>
      </c>
      <c r="W88" s="12" t="n">
        <v>584.925</v>
      </c>
      <c r="X88" s="12" t="n">
        <v>879.329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388.803</v>
      </c>
      <c r="D90" s="22" t="n">
        <v>366.781</v>
      </c>
      <c r="E90" s="22" t="n">
        <v>543.199</v>
      </c>
      <c r="F90" s="22" t="n">
        <v>578.0599999999999</v>
      </c>
      <c r="G90" s="22" t="n">
        <v>637.415</v>
      </c>
      <c r="H90" s="22" t="n">
        <v>648.3200000000001</v>
      </c>
      <c r="I90" s="22" t="n">
        <v>719.607</v>
      </c>
      <c r="J90" s="22" t="n">
        <v>907.763</v>
      </c>
      <c r="K90" s="22" t="n">
        <v>958.174</v>
      </c>
      <c r="L90" s="22" t="n">
        <v>860.9160000000001</v>
      </c>
      <c r="M90" s="22" t="n">
        <v>988.5309999999999</v>
      </c>
      <c r="N90" s="22" t="n">
        <v>1065.813</v>
      </c>
      <c r="U90" s="22" t="n">
        <v>420.593</v>
      </c>
      <c r="V90" s="22" t="n">
        <v>388.803</v>
      </c>
      <c r="W90" s="22" t="n">
        <v>637.415</v>
      </c>
      <c r="X90" s="22" t="n">
        <v>958.174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영업이익(손실)</t>
        </is>
      </c>
      <c r="C92" s="12" t="n">
        <v>78.23099999999999</v>
      </c>
      <c r="D92" s="12" t="n">
        <v>16.88</v>
      </c>
      <c r="E92" s="12" t="n">
        <v>130.413</v>
      </c>
      <c r="F92" s="12" t="n">
        <v>-36.887</v>
      </c>
      <c r="G92" s="12" t="n">
        <v>-52.49</v>
      </c>
      <c r="H92" s="12" t="n">
        <v>-13.904</v>
      </c>
      <c r="I92" s="12" t="n">
        <v>30.922</v>
      </c>
      <c r="J92" s="12" t="n">
        <v>-153.488</v>
      </c>
      <c r="K92" s="12" t="n">
        <v>-78.846</v>
      </c>
      <c r="L92" s="12" t="n">
        <v>119.738</v>
      </c>
      <c r="M92" s="12" t="n">
        <v>207.925</v>
      </c>
      <c r="N92" s="12" t="n">
        <v>130.24</v>
      </c>
      <c r="U92" s="12" t="n">
        <v>-133.791</v>
      </c>
      <c r="V92" s="12" t="n">
        <v>78.23099999999999</v>
      </c>
      <c r="W92" s="12" t="n">
        <v>-52.49</v>
      </c>
      <c r="X92" s="12" t="n">
        <v>-78.846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잡이익</t>
        </is>
      </c>
      <c r="C95" s="22" t="n">
        <v>0.202</v>
      </c>
      <c r="D95" s="22" t="n">
        <v>0.224</v>
      </c>
      <c r="E95" s="22" t="n">
        <v>0.22</v>
      </c>
      <c r="F95" s="22" t="n">
        <v>0.029</v>
      </c>
      <c r="U95" s="22" t="n">
        <v>0</v>
      </c>
      <c r="V95" s="22" t="n">
        <v>0.202</v>
      </c>
    </row>
    <row r="96">
      <c r="A96" s="20" t="inlineStr">
        <is>
          <t>이자수익</t>
        </is>
      </c>
      <c r="C96" s="22" t="n">
        <v>0.001</v>
      </c>
      <c r="D96" s="22" t="n">
        <v>0.012</v>
      </c>
      <c r="E96" s="22" t="n">
        <v>0.011</v>
      </c>
      <c r="F96" s="22" t="n">
        <v>0.179</v>
      </c>
      <c r="G96" s="22" t="n">
        <v>0.093</v>
      </c>
      <c r="H96" s="22" t="n">
        <v>1.097</v>
      </c>
      <c r="I96" s="22" t="n">
        <v>0.208</v>
      </c>
      <c r="J96" s="22" t="n">
        <v>1.515</v>
      </c>
      <c r="K96" s="22" t="n">
        <v>0.718</v>
      </c>
      <c r="L96" s="22" t="n">
        <v>2.82</v>
      </c>
      <c r="M96" s="22" t="n">
        <v>0.657</v>
      </c>
      <c r="N96" s="22" t="n">
        <v>3.538</v>
      </c>
      <c r="U96" s="22" t="n">
        <v>0.002</v>
      </c>
      <c r="V96" s="22" t="n">
        <v>0.001</v>
      </c>
      <c r="W96" s="22" t="n">
        <v>0.093</v>
      </c>
      <c r="X96" s="22" t="n">
        <v>0.718</v>
      </c>
    </row>
    <row r="97">
      <c r="A97" s="20" t="inlineStr">
        <is>
          <t>보조금 수입</t>
        </is>
      </c>
      <c r="C97" s="22" t="n">
        <v>0</v>
      </c>
      <c r="U97" s="22" t="n">
        <v>0</v>
      </c>
      <c r="V97" s="22" t="n">
        <v>0</v>
      </c>
    </row>
    <row r="98">
      <c r="A98" s="20" t="inlineStr">
        <is>
          <t>기타</t>
        </is>
      </c>
      <c r="C98" s="22" t="n">
        <v>1.071</v>
      </c>
      <c r="D98" s="22" t="n">
        <v>0.234</v>
      </c>
      <c r="E98" s="22" t="n">
        <v>0.229</v>
      </c>
      <c r="F98" s="22" t="n">
        <v>0.03</v>
      </c>
      <c r="G98" s="22" t="n">
        <v>0.021</v>
      </c>
      <c r="H98" s="22" t="n">
        <v>0.008</v>
      </c>
      <c r="I98" s="22" t="n">
        <v>0.254</v>
      </c>
      <c r="J98" s="22" t="n">
        <v>0.014</v>
      </c>
      <c r="K98" s="22" t="n">
        <v>0.218</v>
      </c>
      <c r="L98" s="22" t="n">
        <v>0.667</v>
      </c>
      <c r="M98" s="22" t="n">
        <v>0.367</v>
      </c>
      <c r="N98" s="22" t="n">
        <v>0.05</v>
      </c>
      <c r="U98" s="22" t="n">
        <v>3.253</v>
      </c>
      <c r="V98" s="22" t="n">
        <v>1.071</v>
      </c>
      <c r="W98" s="22" t="n">
        <v>0.021</v>
      </c>
      <c r="X98" s="22" t="n">
        <v>0.218</v>
      </c>
    </row>
    <row r="99">
      <c r="A99" s="20" t="inlineStr">
        <is>
          <t>영업외수익 합계</t>
        </is>
      </c>
      <c r="C99" s="22" t="n">
        <v>0.206</v>
      </c>
      <c r="D99" s="22" t="n">
        <v>0.247</v>
      </c>
      <c r="E99" s="22" t="n">
        <v>0.24</v>
      </c>
      <c r="F99" s="22" t="n">
        <v>0.209</v>
      </c>
      <c r="G99" s="22" t="n">
        <v>0.312</v>
      </c>
      <c r="H99" s="22" t="n">
        <v>1.105</v>
      </c>
      <c r="I99" s="22" t="n">
        <v>0.462</v>
      </c>
      <c r="J99" s="22" t="n">
        <v>1.53</v>
      </c>
      <c r="K99" s="22" t="n">
        <v>0.9350000000000001</v>
      </c>
      <c r="L99" s="22" t="n">
        <v>3.488</v>
      </c>
      <c r="M99" s="22" t="n">
        <v>1.024</v>
      </c>
      <c r="N99" s="22" t="n">
        <v>3.588</v>
      </c>
      <c r="U99" s="22" t="n">
        <v>8.198</v>
      </c>
      <c r="V99" s="22" t="n">
        <v>0.206</v>
      </c>
      <c r="W99" s="22" t="n">
        <v>0.312</v>
      </c>
      <c r="X99" s="22" t="n">
        <v>0.9350000000000001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3.744</v>
      </c>
      <c r="D101" s="22" t="n">
        <v>4.102</v>
      </c>
      <c r="E101" s="22" t="n">
        <v>7.754</v>
      </c>
      <c r="F101" s="22" t="n">
        <v>6.753</v>
      </c>
      <c r="G101" s="22" t="n">
        <v>7.05</v>
      </c>
      <c r="H101" s="22" t="n">
        <v>6.369</v>
      </c>
      <c r="I101" s="22" t="n">
        <v>9.956</v>
      </c>
      <c r="J101" s="22" t="n">
        <v>12.668</v>
      </c>
      <c r="K101" s="22" t="n">
        <v>12.962</v>
      </c>
      <c r="L101" s="22" t="n">
        <v>11.039</v>
      </c>
      <c r="M101" s="22" t="n">
        <v>10.367</v>
      </c>
      <c r="N101" s="22" t="n">
        <v>10.527</v>
      </c>
      <c r="U101" s="22" t="n">
        <v>3.267</v>
      </c>
      <c r="V101" s="22" t="n">
        <v>3.744</v>
      </c>
      <c r="W101" s="22" t="n">
        <v>7.05</v>
      </c>
      <c r="X101" s="22" t="n">
        <v>12.962</v>
      </c>
    </row>
    <row r="102">
      <c r="A102" s="20" t="inlineStr">
        <is>
          <t>지분법손실</t>
        </is>
      </c>
      <c r="C102" s="22" t="n">
        <v>9.875</v>
      </c>
      <c r="D102" s="22" t="n">
        <v>9.048</v>
      </c>
      <c r="E102" s="22" t="n">
        <v>5.731</v>
      </c>
      <c r="F102" s="22" t="n">
        <v>5.718</v>
      </c>
      <c r="G102" s="22" t="n">
        <v>5.123</v>
      </c>
      <c r="H102" s="22" t="n">
        <v>4.102</v>
      </c>
      <c r="I102" s="22" t="n">
        <v>2.331</v>
      </c>
      <c r="J102" s="22" t="n">
        <v>3.924</v>
      </c>
      <c r="K102" s="22" t="n">
        <v>2.796</v>
      </c>
      <c r="L102" s="22" t="n">
        <v>3.78</v>
      </c>
      <c r="M102" s="22" t="n">
        <v>1.995</v>
      </c>
      <c r="N102" s="22" t="n">
        <v>3.47</v>
      </c>
      <c r="U102" s="22" t="n">
        <v>0</v>
      </c>
      <c r="V102" s="22" t="n">
        <v>9.875</v>
      </c>
      <c r="W102" s="22" t="n">
        <v>5.123</v>
      </c>
      <c r="X102" s="22" t="n">
        <v>2.796</v>
      </c>
    </row>
    <row r="103">
      <c r="A103" s="20" t="inlineStr">
        <is>
          <t>상장 관련 비용</t>
        </is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U103" s="22" t="n">
        <v>11.836</v>
      </c>
      <c r="V103" s="22" t="n">
        <v>0</v>
      </c>
      <c r="W103" s="22" t="n">
        <v>0</v>
      </c>
    </row>
    <row r="104">
      <c r="A104" s="20" t="inlineStr">
        <is>
          <t>이연자산 상각</t>
        </is>
      </c>
      <c r="C104" s="22" t="n">
        <v>0</v>
      </c>
      <c r="D104" s="22" t="n">
        <v>18.176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V104" s="22" t="n">
        <v>0</v>
      </c>
      <c r="W104" s="22" t="n">
        <v>0</v>
      </c>
      <c r="X104" s="22" t="n">
        <v>0</v>
      </c>
    </row>
    <row r="105">
      <c r="A105" s="20" t="inlineStr">
        <is>
          <t>관계회사 주식 평가손실</t>
        </is>
      </c>
      <c r="C105" s="22" t="n">
        <v>6.204</v>
      </c>
      <c r="U105" s="22" t="n">
        <v>0</v>
      </c>
      <c r="V105" s="22" t="n">
        <v>6.204</v>
      </c>
    </row>
    <row r="106">
      <c r="A106" s="20" t="inlineStr">
        <is>
          <t>기타</t>
        </is>
      </c>
      <c r="C106" s="22" t="n">
        <v>5.931</v>
      </c>
      <c r="D106" s="22" t="n">
        <v>1.142</v>
      </c>
      <c r="E106" s="22" t="n">
        <v>3.316</v>
      </c>
      <c r="F106" s="22" t="n">
        <v>4.323</v>
      </c>
      <c r="G106" s="22" t="n">
        <v>-1.536</v>
      </c>
      <c r="H106" s="22" t="n">
        <v>1.693</v>
      </c>
      <c r="I106" s="22" t="n">
        <v>3.136</v>
      </c>
      <c r="J106" s="22" t="n">
        <v>1.578</v>
      </c>
      <c r="K106" s="22" t="n">
        <v>-2.887</v>
      </c>
      <c r="L106" s="22" t="n">
        <v>2.772</v>
      </c>
      <c r="M106" s="22" t="n">
        <v>3.625</v>
      </c>
      <c r="N106" s="22" t="n">
        <v>4.772</v>
      </c>
      <c r="U106" s="22" t="n">
        <v>2.091</v>
      </c>
      <c r="V106" s="22" t="n">
        <v>5.931</v>
      </c>
      <c r="W106" s="22" t="n">
        <v>-1.536</v>
      </c>
      <c r="X106" s="22" t="n">
        <v>-2.887</v>
      </c>
    </row>
    <row r="107">
      <c r="A107" s="20" t="inlineStr">
        <is>
          <t>영업외비용 합계</t>
        </is>
      </c>
      <c r="C107" s="22" t="n">
        <v>25.754</v>
      </c>
      <c r="D107" s="22" t="n">
        <v>32.47</v>
      </c>
      <c r="E107" s="22" t="n">
        <v>16.8</v>
      </c>
      <c r="F107" s="22" t="n">
        <v>16.794</v>
      </c>
      <c r="G107" s="22" t="n">
        <v>20.15</v>
      </c>
      <c r="H107" s="22" t="n">
        <v>12.166</v>
      </c>
      <c r="I107" s="22" t="n">
        <v>15.421</v>
      </c>
      <c r="J107" s="22" t="n">
        <v>18.171</v>
      </c>
      <c r="K107" s="22" t="n">
        <v>44.37</v>
      </c>
      <c r="L107" s="22" t="n">
        <v>17.592</v>
      </c>
      <c r="M107" s="22" t="n">
        <v>15.987</v>
      </c>
      <c r="N107" s="22" t="n">
        <v>18.77</v>
      </c>
      <c r="U107" s="22" t="n">
        <v>17.194</v>
      </c>
      <c r="V107" s="22" t="n">
        <v>25.754</v>
      </c>
      <c r="W107" s="22" t="n">
        <v>20.15</v>
      </c>
      <c r="X107" s="22" t="n">
        <v>44.37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IF(OR(G107="",C107=""),"",IF(G107*C107&lt;=0,"",IFERROR(G107/C107-1,"")))</f>
        <v/>
      </c>
      <c r="H108" s="17">
        <f>IF(OR(H107="",D107=""),"",IF(H107*D107&lt;=0,"",IFERROR(H107/D107-1,"")))</f>
        <v/>
      </c>
      <c r="I108" s="17">
        <f>IF(OR(I107="",E107=""),"",IF(I107*E107&lt;=0,"",IFERROR(I107/E107-1,"")))</f>
        <v/>
      </c>
      <c r="J108" s="17">
        <f>IF(OR(J107="",F107=""),"",IF(J107*F107&lt;=0,"",IFERROR(J107/F107-1,"")))</f>
        <v/>
      </c>
      <c r="K108" s="17">
        <f>IF(OR(K107="",G107=""),"",IF(K107*G107&lt;=0,"",IFERROR(K107/G107-1,"")))</f>
        <v/>
      </c>
      <c r="L108" s="17">
        <f>IF(OR(L107="",H107=""),"",IF(L107*H107&lt;=0,"",IFERROR(L107/H107-1,"")))</f>
        <v/>
      </c>
      <c r="M108" s="17">
        <f>IF(OR(M107="",I107=""),"",IF(M107*I107&lt;=0,"",IFERROR(M107/I107-1,"")))</f>
        <v/>
      </c>
      <c r="N108" s="17">
        <f>IF(OR(N107="",J107=""),"",IF(N107*J107&lt;=0,"",IFERROR(N107/J107-1,"")))</f>
        <v/>
      </c>
      <c r="U108" s="17">
        <f>IF(OR(U107="",T107=""),"",IF(U107*T107&lt;=0,"",IFERROR(U107/T107-1,"")))</f>
        <v/>
      </c>
      <c r="V108" s="17">
        <f>IF(OR(V107="",U107=""),"",IF(V107*U107&lt;=0,"",IFERROR(V107/U107-1,"")))</f>
        <v/>
      </c>
      <c r="W108" s="17">
        <f>IF(OR(W107="",V107=""),"",IF(W107*V107&lt;=0,"",IFERROR(W107/V107-1,"")))</f>
        <v/>
      </c>
      <c r="X108" s="17">
        <f>IF(OR(X107="",W107=""),"",IF(X107*W107&lt;=0,"",IFERROR(X107/W107-1,"")))</f>
        <v/>
      </c>
    </row>
    <row r="109">
      <c r="A109" s="9" t="inlineStr">
        <is>
          <t>경상이익(손실)</t>
        </is>
      </c>
      <c r="C109" s="12" t="n">
        <v>52.682</v>
      </c>
      <c r="D109" s="12" t="n">
        <v>-15.342</v>
      </c>
      <c r="E109" s="12" t="n">
        <v>113.851</v>
      </c>
      <c r="F109" s="12" t="n">
        <v>-53.472</v>
      </c>
      <c r="G109" s="12" t="n">
        <v>-72.327</v>
      </c>
      <c r="H109" s="12" t="n">
        <v>-24.965</v>
      </c>
      <c r="I109" s="12" t="n">
        <v>15.963</v>
      </c>
      <c r="J109" s="12" t="n">
        <v>-170.129</v>
      </c>
      <c r="K109" s="12" t="n">
        <v>-122.28</v>
      </c>
      <c r="L109" s="12" t="n">
        <v>105.634</v>
      </c>
      <c r="M109" s="12" t="n">
        <v>192.962</v>
      </c>
      <c r="N109" s="12" t="n">
        <v>115.058</v>
      </c>
      <c r="U109" s="12" t="n">
        <v>-142.787</v>
      </c>
      <c r="V109" s="12" t="n">
        <v>52.682</v>
      </c>
      <c r="W109" s="12" t="n">
        <v>-72.327</v>
      </c>
      <c r="X109" s="12" t="n">
        <v>-122.28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20" t="inlineStr">
        <is>
          <t>관계회사 주식 매각이익</t>
        </is>
      </c>
      <c r="C111" s="22" t="n">
        <v>0</v>
      </c>
      <c r="F111" s="22" t="n">
        <v>0</v>
      </c>
      <c r="G111" s="22" t="n">
        <v>0</v>
      </c>
      <c r="J111" s="22" t="n">
        <v>0</v>
      </c>
      <c r="K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</row>
    <row r="112">
      <c r="A112" s="20" t="inlineStr">
        <is>
          <t>지분변동이익</t>
        </is>
      </c>
      <c r="J112" s="22" t="n">
        <v>0</v>
      </c>
      <c r="N112" s="22" t="n">
        <v>0</v>
      </c>
    </row>
    <row r="113">
      <c r="A113" s="20" t="inlineStr">
        <is>
          <t>특별이익 합계</t>
        </is>
      </c>
      <c r="C113" s="22" t="n">
        <v>0</v>
      </c>
      <c r="F113" s="22" t="n">
        <v>0</v>
      </c>
      <c r="G113" s="22" t="n">
        <v>0</v>
      </c>
      <c r="J113" s="22" t="n">
        <v>0</v>
      </c>
      <c r="K113" s="22" t="n">
        <v>117.398</v>
      </c>
      <c r="N113" s="22" t="n">
        <v>1.095</v>
      </c>
      <c r="U113" s="22" t="n">
        <v>0</v>
      </c>
      <c r="V113" s="22" t="n">
        <v>0</v>
      </c>
      <c r="W113" s="22" t="n">
        <v>0</v>
      </c>
      <c r="X113" s="22" t="n">
        <v>117.398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IF(OR(G113="",C113=""),"",IF(G113*C113&lt;=0,"",IFERROR(G113/C113-1,"")))</f>
        <v/>
      </c>
      <c r="J114" s="17">
        <f>IF(OR(J113="",F113=""),"",IF(J113*F113&lt;=0,"",IFERROR(J113/F113-1,"")))</f>
        <v/>
      </c>
      <c r="K114" s="17">
        <f>IF(OR(K113="",G113=""),"",IF(K113*G113&lt;=0,"",IFERROR(K113/G113-1,"")))</f>
        <v/>
      </c>
      <c r="N114" s="17">
        <f>IF(OR(N113="",J113=""),"",IF(N113*J113&lt;=0,"",IFERROR(N113/J113-1,"")))</f>
        <v/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  <c r="W114" s="17">
        <f>IF(OR(W113="",V113=""),"",IF(W113*V113&lt;=0,"",IFERROR(W113/V113-1,"")))</f>
        <v/>
      </c>
      <c r="X114" s="17">
        <f>IF(OR(X113="",W113=""),"",IF(X113*W113&lt;=0,"",IFERROR(X113/W113-1,"")))</f>
        <v/>
      </c>
    </row>
    <row r="115">
      <c r="A115" s="20" t="inlineStr">
        <is>
          <t>관계회사 사채 양도손</t>
        </is>
      </c>
      <c r="C115" s="22" t="n">
        <v>0</v>
      </c>
      <c r="U115" s="22" t="n">
        <v>0</v>
      </c>
      <c r="V115" s="22" t="n">
        <v>0</v>
      </c>
    </row>
    <row r="116">
      <c r="A116" s="20" t="inlineStr">
        <is>
          <t>손상차손</t>
        </is>
      </c>
      <c r="F116" s="22" t="n">
        <v>0</v>
      </c>
      <c r="G116" s="22" t="n">
        <v>0</v>
      </c>
      <c r="J116" s="22" t="n">
        <v>9.920999999999999</v>
      </c>
      <c r="K116" s="22" t="n">
        <v>153.785</v>
      </c>
      <c r="N116" s="22" t="n">
        <v>0</v>
      </c>
      <c r="W116" s="22" t="n">
        <v>0</v>
      </c>
      <c r="X116" s="22" t="n">
        <v>153.785</v>
      </c>
    </row>
    <row r="117">
      <c r="A117" s="20" t="inlineStr">
        <is>
          <t>관계회사 청산 손실</t>
        </is>
      </c>
      <c r="H117" s="22" t="n">
        <v>0</v>
      </c>
      <c r="I117" s="22" t="n">
        <v>0</v>
      </c>
      <c r="J117" s="22" t="n">
        <v>0</v>
      </c>
      <c r="K117" s="22" t="n">
        <v>6.874</v>
      </c>
      <c r="L117" s="22" t="n">
        <v>5.455</v>
      </c>
      <c r="M117" s="22" t="n">
        <v>-2.405</v>
      </c>
      <c r="N117" s="22" t="n">
        <v>0</v>
      </c>
      <c r="X117" s="22" t="n">
        <v>6.874</v>
      </c>
    </row>
    <row r="118">
      <c r="A118" s="20" t="inlineStr">
        <is>
          <t>특별손실 합계</t>
        </is>
      </c>
      <c r="C118" s="22" t="n">
        <v>14.265</v>
      </c>
      <c r="F118" s="22" t="n">
        <v>0</v>
      </c>
      <c r="G118" s="22" t="n">
        <v>0</v>
      </c>
      <c r="H118" s="22" t="n">
        <v>0</v>
      </c>
      <c r="I118" s="22" t="n">
        <v>659.325</v>
      </c>
      <c r="J118" s="22" t="n">
        <v>9.920999999999999</v>
      </c>
      <c r="K118" s="22" t="n">
        <v>160.66</v>
      </c>
      <c r="L118" s="22" t="n">
        <v>5.455</v>
      </c>
      <c r="M118" s="22" t="n">
        <v>-2.405</v>
      </c>
      <c r="N118" s="22" t="n">
        <v>0</v>
      </c>
      <c r="U118" s="22" t="n">
        <v>0</v>
      </c>
      <c r="V118" s="22" t="n">
        <v>14.265</v>
      </c>
      <c r="W118" s="22" t="n">
        <v>0</v>
      </c>
      <c r="X118" s="22" t="n">
        <v>160.66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법인세차감전 중간순이익(손실)</t>
        </is>
      </c>
      <c r="C120" s="12" t="n">
        <v>38.416</v>
      </c>
      <c r="D120" s="12" t="n">
        <v>-15.342</v>
      </c>
      <c r="E120" s="12" t="n">
        <v>113.902</v>
      </c>
      <c r="F120" s="12" t="n">
        <v>-53.472</v>
      </c>
      <c r="G120" s="12" t="n">
        <v>-72.327</v>
      </c>
      <c r="H120" s="12" t="n">
        <v>-24.965</v>
      </c>
      <c r="I120" s="12" t="n">
        <v>-643.362</v>
      </c>
      <c r="J120" s="12" t="n">
        <v>-180.051</v>
      </c>
      <c r="K120" s="12" t="n">
        <v>-165.54</v>
      </c>
      <c r="L120" s="12" t="n">
        <v>100.179</v>
      </c>
      <c r="M120" s="12" t="n">
        <v>199.134</v>
      </c>
      <c r="N120" s="12" t="n">
        <v>116.153</v>
      </c>
      <c r="U120" s="12" t="n">
        <v>-142.786</v>
      </c>
      <c r="V120" s="12" t="n">
        <v>38.416</v>
      </c>
      <c r="W120" s="12" t="n">
        <v>-72.327</v>
      </c>
      <c r="X120" s="12" t="n">
        <v>-165.54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2">
      <c r="A122" s="20" t="inlineStr">
        <is>
          <t>법인세·주민세·사업세</t>
        </is>
      </c>
      <c r="C122" s="22" t="n">
        <v>0.501</v>
      </c>
      <c r="D122" s="22" t="n">
        <v>0.928</v>
      </c>
      <c r="E122" s="22" t="n">
        <v>25.749</v>
      </c>
      <c r="F122" s="22" t="n">
        <v>24.879</v>
      </c>
      <c r="G122" s="22" t="n">
        <v>16.543</v>
      </c>
      <c r="H122" s="22" t="n">
        <v>19.101</v>
      </c>
      <c r="I122" s="22" t="n">
        <v>10.728</v>
      </c>
      <c r="J122" s="22" t="n">
        <v>-0.779</v>
      </c>
      <c r="K122" s="22" t="n">
        <v>-0.6889999999999999</v>
      </c>
      <c r="L122" s="22" t="n">
        <v>0.957</v>
      </c>
      <c r="M122" s="22" t="n">
        <v>-1.295</v>
      </c>
      <c r="N122" s="22" t="n">
        <v>1.44</v>
      </c>
      <c r="U122" s="22" t="n">
        <v>0.398</v>
      </c>
      <c r="V122" s="22" t="n">
        <v>0.501</v>
      </c>
      <c r="W122" s="22" t="n">
        <v>16.543</v>
      </c>
      <c r="X122" s="22" t="n">
        <v>-0.6889999999999999</v>
      </c>
    </row>
    <row r="123">
      <c r="A123" s="20" t="inlineStr">
        <is>
          <t>법인세 조정액</t>
        </is>
      </c>
      <c r="C123" s="22" t="n">
        <v>2.007</v>
      </c>
      <c r="D123" s="22" t="n">
        <v>-0.034</v>
      </c>
      <c r="E123" s="22" t="n">
        <v>-0.034</v>
      </c>
      <c r="F123" s="22" t="n">
        <v>-10.962</v>
      </c>
      <c r="G123" s="22" t="n">
        <v>-1.257</v>
      </c>
      <c r="H123" s="22" t="n">
        <v>-8.367000000000001</v>
      </c>
      <c r="I123" s="22" t="n">
        <v>-134.311</v>
      </c>
      <c r="J123" s="22" t="n">
        <v>-3.85</v>
      </c>
      <c r="K123" s="22" t="n">
        <v>-50.3</v>
      </c>
      <c r="L123" s="22" t="n">
        <v>0</v>
      </c>
      <c r="M123" s="22" t="n">
        <v>0</v>
      </c>
      <c r="N123" s="22" t="n">
        <v>0</v>
      </c>
      <c r="V123" s="22" t="n">
        <v>2.007</v>
      </c>
      <c r="W123" s="22" t="n">
        <v>-1.257</v>
      </c>
      <c r="X123" s="22" t="n">
        <v>-50.3</v>
      </c>
    </row>
    <row r="124">
      <c r="A124" s="20" t="inlineStr">
        <is>
          <t>법인세 등 합계</t>
        </is>
      </c>
      <c r="C124" s="22" t="n">
        <v>2.508</v>
      </c>
      <c r="D124" s="22" t="n">
        <v>0.894</v>
      </c>
      <c r="E124" s="22" t="n">
        <v>25.715</v>
      </c>
      <c r="F124" s="22" t="n">
        <v>13.917</v>
      </c>
      <c r="G124" s="22" t="n">
        <v>15.285</v>
      </c>
      <c r="H124" s="22" t="n">
        <v>10.733</v>
      </c>
      <c r="I124" s="22" t="n">
        <v>-123.581</v>
      </c>
      <c r="J124" s="22" t="n">
        <v>-4.629</v>
      </c>
      <c r="K124" s="22" t="n">
        <v>-50.989</v>
      </c>
      <c r="L124" s="22" t="n">
        <v>0.957</v>
      </c>
      <c r="M124" s="22" t="n">
        <v>-1.295</v>
      </c>
      <c r="N124" s="22" t="n">
        <v>1.44</v>
      </c>
      <c r="U124" s="22" t="n">
        <v>0.398</v>
      </c>
      <c r="V124" s="22" t="n">
        <v>2.508</v>
      </c>
      <c r="W124" s="22" t="n">
        <v>15.285</v>
      </c>
      <c r="X124" s="22" t="n">
        <v>-50.989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IF(OR(G124="",C124=""),"",IF(G124*C124&lt;=0,"",IFERROR(G124/C124-1,"")))</f>
        <v/>
      </c>
      <c r="H125" s="17">
        <f>IF(OR(H124="",D124=""),"",IF(H124*D124&lt;=0,"",IFERROR(H124/D124-1,"")))</f>
        <v/>
      </c>
      <c r="I125" s="17">
        <f>IF(OR(I124="",E124=""),"",IF(I124*E124&lt;=0,"",IFERROR(I124/E124-1,"")))</f>
        <v/>
      </c>
      <c r="J125" s="17">
        <f>IF(OR(J124="",F124=""),"",IF(J124*F124&lt;=0,"",IFERROR(J124/F124-1,"")))</f>
        <v/>
      </c>
      <c r="K125" s="17">
        <f>IF(OR(K124="",G124=""),"",IF(K124*G124&lt;=0,"",IFERROR(K124/G124-1,"")))</f>
        <v/>
      </c>
      <c r="L125" s="17">
        <f>IF(OR(L124="",H124=""),"",IF(L124*H124&lt;=0,"",IFERROR(L124/H124-1,"")))</f>
        <v/>
      </c>
      <c r="M125" s="17">
        <f>IF(OR(M124="",I124=""),"",IF(M124*I124&lt;=0,"",IFERROR(M124/I124-1,"")))</f>
        <v/>
      </c>
      <c r="N125" s="17">
        <f>IF(OR(N124="",J124=""),"",IF(N124*J124&lt;=0,"",IFERROR(N124/J124-1,"")))</f>
        <v/>
      </c>
      <c r="U125" s="17">
        <f>IF(OR(U124="",T124=""),"",IF(U124*T124&lt;=0,"",IFERROR(U124/T124-1,"")))</f>
        <v/>
      </c>
      <c r="V125" s="17">
        <f>IF(OR(V124="",U124=""),"",IF(V124*U124&lt;=0,"",IFERROR(V124/U124-1,"")))</f>
        <v/>
      </c>
      <c r="W125" s="17">
        <f>IF(OR(W124="",V124=""),"",IF(W124*V124&lt;=0,"",IFERROR(W124/V124-1,"")))</f>
        <v/>
      </c>
      <c r="X125" s="17">
        <f>IF(OR(X124="",W124=""),"",IF(X124*W124&lt;=0,"",IFERROR(X124/W124-1,"")))</f>
        <v/>
      </c>
    </row>
    <row r="126">
      <c r="A126" s="9" t="inlineStr">
        <is>
          <t>중간순이익(손실)</t>
        </is>
      </c>
      <c r="C126" s="12" t="n">
        <v>35.908</v>
      </c>
      <c r="D126" s="12" t="n">
        <v>-16.236</v>
      </c>
      <c r="E126" s="12" t="n">
        <v>88.187</v>
      </c>
      <c r="F126" s="12" t="n">
        <v>-67.389</v>
      </c>
      <c r="G126" s="12" t="n">
        <v>-87.61199999999999</v>
      </c>
      <c r="H126" s="12" t="n">
        <v>-35.698</v>
      </c>
      <c r="I126" s="12" t="n">
        <v>-519.78</v>
      </c>
      <c r="J126" s="12" t="n">
        <v>-175.422</v>
      </c>
      <c r="K126" s="12" t="n">
        <v>-114.552</v>
      </c>
      <c r="L126" s="12" t="n">
        <v>99.22199999999999</v>
      </c>
      <c r="M126" s="12" t="n">
        <v>200.43</v>
      </c>
      <c r="N126" s="12" t="n">
        <v>114.711</v>
      </c>
      <c r="U126" s="12" t="n">
        <v>-143.184</v>
      </c>
      <c r="V126" s="12" t="n">
        <v>35.908</v>
      </c>
      <c r="W126" s="12" t="n">
        <v>-87.61199999999999</v>
      </c>
      <c r="X126" s="12" t="n">
        <v>-114.552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8">
      <c r="A128" s="9" t="inlineStr">
        <is>
          <t>비지배주주 순손익</t>
        </is>
      </c>
      <c r="C128" s="12" t="n">
        <v>0</v>
      </c>
      <c r="D128" s="12" t="n">
        <v>0</v>
      </c>
      <c r="E128" s="12" t="n">
        <v>32.88</v>
      </c>
      <c r="F128" s="12" t="n">
        <v>10.212</v>
      </c>
      <c r="G128" s="12" t="n">
        <v>6.773</v>
      </c>
      <c r="H128" s="12" t="n">
        <v>16.064</v>
      </c>
      <c r="I128" s="12" t="n">
        <v>-119.986</v>
      </c>
      <c r="J128" s="12" t="n">
        <v>-4.287</v>
      </c>
      <c r="K128" s="12" t="n">
        <v>-36.577</v>
      </c>
      <c r="L128" s="12" t="n">
        <v>-0.9340000000000001</v>
      </c>
      <c r="M128" s="12" t="n">
        <v>3.447</v>
      </c>
      <c r="N128" s="12" t="n">
        <v>1.107</v>
      </c>
      <c r="U128" s="12" t="n">
        <v>-17.626</v>
      </c>
      <c r="V128" s="12" t="n">
        <v>0</v>
      </c>
      <c r="W128" s="12" t="n">
        <v>6.773</v>
      </c>
      <c r="X128" s="12" t="n">
        <v>-36.577</v>
      </c>
    </row>
    <row r="129">
      <c r="A129" s="9" t="inlineStr">
        <is>
          <t>지배주주 귀속 중간순이익(손실)</t>
        </is>
      </c>
      <c r="C129" s="12" t="n">
        <v>35.908</v>
      </c>
      <c r="D129" s="12" t="n">
        <v>-16.236</v>
      </c>
      <c r="E129" s="12" t="n">
        <v>55.306</v>
      </c>
      <c r="F129" s="12" t="n">
        <v>-77.599</v>
      </c>
      <c r="G129" s="12" t="n">
        <v>-94.386</v>
      </c>
      <c r="H129" s="12" t="n">
        <v>-51.763</v>
      </c>
      <c r="I129" s="12" t="n">
        <v>-399.793</v>
      </c>
      <c r="J129" s="12" t="n">
        <v>-171.135</v>
      </c>
      <c r="K129" s="12" t="n">
        <v>-77.97499999999999</v>
      </c>
      <c r="L129" s="12" t="n">
        <v>100.156</v>
      </c>
      <c r="M129" s="12" t="n">
        <v>196.982</v>
      </c>
      <c r="N129" s="12" t="n">
        <v>113.605</v>
      </c>
      <c r="U129" s="12" t="n">
        <v>-125.558</v>
      </c>
      <c r="V129" s="12" t="n">
        <v>35.908</v>
      </c>
      <c r="W129" s="12" t="n">
        <v>-94.386</v>
      </c>
      <c r="X129" s="12" t="n">
        <v>-77.97499999999999</v>
      </c>
    </row>
    <row r="130">
      <c r="A130" s="45" t="inlineStr">
        <is>
          <t>YoY</t>
        </is>
      </c>
      <c r="B130" s="3" t="inlineStr">
        <is>
          <t>전년 같은 분기·전년 대비</t>
        </is>
      </c>
      <c r="G130" s="17">
        <f>IF(OR(G129="",C129=""),"",IF(C129&lt;=0,"",IFERROR(G129/C129-1,"")))</f>
        <v/>
      </c>
      <c r="H130" s="17">
        <f>IF(OR(H129="",D129=""),"",IF(D129&lt;=0,"",IFERROR(H129/D129-1,"")))</f>
        <v/>
      </c>
      <c r="I130" s="17">
        <f>IF(OR(I129="",E129=""),"",IF(E129&lt;=0,"",IFERROR(I129/E129-1,"")))</f>
        <v/>
      </c>
      <c r="J130" s="17">
        <f>IF(OR(J129="",F129=""),"",IF(F129&lt;=0,"",IFERROR(J129/F129-1,"")))</f>
        <v/>
      </c>
      <c r="K130" s="17">
        <f>IF(OR(K129="",G129=""),"",IF(G129&lt;=0,"",IFERROR(K129/G129-1,"")))</f>
        <v/>
      </c>
      <c r="L130" s="17">
        <f>IF(OR(L129="",H129=""),"",IF(H129&lt;=0,"",IFERROR(L129/H129-1,"")))</f>
        <v/>
      </c>
      <c r="M130" s="17">
        <f>IF(OR(M129="",I129=""),"",IF(I129&lt;=0,"",IFERROR(M129/I129-1,"")))</f>
        <v/>
      </c>
      <c r="N130" s="17">
        <f>IF(OR(N129="",J129=""),"",IF(J129&lt;=0,"",IFERROR(N129/J129-1,"")))</f>
        <v/>
      </c>
      <c r="U130" s="17">
        <f>IF(OR(U129="",T129=""),"",IF(T129&lt;=0,"",IFERROR(U129/T129-1,"")))</f>
        <v/>
      </c>
      <c r="V130" s="17">
        <f>IF(OR(V129="",U129=""),"",IF(U129&lt;=0,"",IFERROR(V129/U129-1,"")))</f>
        <v/>
      </c>
      <c r="W130" s="17">
        <f>IF(OR(W129="",V129=""),"",IF(V129&lt;=0,"",IFERROR(W129/V129-1,"")))</f>
        <v/>
      </c>
      <c r="X130" s="17">
        <f>IF(OR(X129="",W129=""),"",IF(W129&lt;=0,"",IFERROR(X129/W129-1,"")))</f>
        <v/>
      </c>
    </row>
    <row r="132">
      <c r="A132" s="18" t="inlineStr">
        <is>
          <t>포괄손익 · 전 항목</t>
        </is>
      </c>
      <c r="B132" s="44" t="inlineStr">
        <is>
          <t>분기 = 3개월 단독</t>
        </is>
      </c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  <c r="AC132" s="18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2023.4Q</t>
        </is>
      </c>
      <c r="D133" s="5" t="inlineStr">
        <is>
          <t>2024.1Q</t>
        </is>
      </c>
      <c r="E133" s="5" t="inlineStr">
        <is>
          <t>2024.2Q</t>
        </is>
      </c>
      <c r="F133" s="5" t="inlineStr">
        <is>
          <t>2024.3Q</t>
        </is>
      </c>
      <c r="G133" s="5" t="inlineStr">
        <is>
          <t>2024.4Q</t>
        </is>
      </c>
      <c r="H133" s="5" t="inlineStr">
        <is>
          <t>2025.1Q</t>
        </is>
      </c>
      <c r="I133" s="5" t="inlineStr">
        <is>
          <t>2025.2Q</t>
        </is>
      </c>
      <c r="J133" s="5" t="inlineStr">
        <is>
          <t>2025.3Q</t>
        </is>
      </c>
      <c r="K133" s="5" t="inlineStr">
        <is>
          <t>2025.4Q</t>
        </is>
      </c>
      <c r="L133" s="5" t="inlineStr">
        <is>
          <t>2026.1Q</t>
        </is>
      </c>
      <c r="M133" s="5" t="inlineStr">
        <is>
          <t>2026.2Q</t>
        </is>
      </c>
      <c r="N133" s="5" t="inlineStr">
        <is>
          <t>2026.3Q</t>
        </is>
      </c>
      <c r="O133" s="5" t="inlineStr">
        <is>
          <t>2016</t>
        </is>
      </c>
      <c r="P133" s="5" t="inlineStr">
        <is>
          <t>2017</t>
        </is>
      </c>
      <c r="Q133" s="5" t="inlineStr">
        <is>
          <t>2018</t>
        </is>
      </c>
      <c r="R133" s="5" t="inlineStr">
        <is>
          <t>2019</t>
        </is>
      </c>
      <c r="S133" s="5" t="inlineStr">
        <is>
          <t>2020</t>
        </is>
      </c>
      <c r="T133" s="5" t="inlineStr">
        <is>
          <t>2021</t>
        </is>
      </c>
      <c r="U133" s="5" t="inlineStr">
        <is>
          <t>2022</t>
        </is>
      </c>
      <c r="V133" s="5" t="inlineStr">
        <is>
          <t>2023</t>
        </is>
      </c>
      <c r="W133" s="5" t="inlineStr">
        <is>
          <t>2024</t>
        </is>
      </c>
      <c r="X133" s="5" t="inlineStr">
        <is>
          <t>2025</t>
        </is>
      </c>
      <c r="Y133" s="5" t="inlineStr">
        <is>
          <t>2026(MW)</t>
        </is>
      </c>
      <c r="Z133" s="5" t="inlineStr">
        <is>
          <t>2027(MW)</t>
        </is>
      </c>
      <c r="AA133" s="5" t="inlineStr">
        <is>
          <t>2028(MW)</t>
        </is>
      </c>
      <c r="AB133" s="5" t="inlineStr">
        <is>
          <t>2029(MW)</t>
        </is>
      </c>
      <c r="AC133" s="5" t="inlineStr">
        <is>
          <t>2030(MW)</t>
        </is>
      </c>
    </row>
    <row r="134">
      <c r="A134" s="9" t="inlineStr">
        <is>
          <t>중간순이익(손실)</t>
        </is>
      </c>
      <c r="C134" s="12" t="n">
        <v>35.908</v>
      </c>
      <c r="D134" s="12" t="n">
        <v>-16.236</v>
      </c>
      <c r="E134" s="12" t="n">
        <v>88.187</v>
      </c>
      <c r="F134" s="12" t="n">
        <v>-67.389</v>
      </c>
      <c r="G134" s="12" t="n">
        <v>-87.61199999999999</v>
      </c>
      <c r="H134" s="12" t="n">
        <v>-35.698</v>
      </c>
      <c r="I134" s="12" t="n">
        <v>-519.78</v>
      </c>
      <c r="J134" s="12" t="n">
        <v>-175.422</v>
      </c>
      <c r="K134" s="12" t="n">
        <v>-114.552</v>
      </c>
      <c r="L134" s="12" t="n">
        <v>99.22199999999999</v>
      </c>
      <c r="M134" s="12" t="n">
        <v>200.43</v>
      </c>
      <c r="N134" s="12" t="n">
        <v>114.711</v>
      </c>
      <c r="U134" s="12" t="n">
        <v>-143.184</v>
      </c>
      <c r="V134" s="12" t="n">
        <v>35.908</v>
      </c>
      <c r="W134" s="12" t="n">
        <v>-87.61199999999999</v>
      </c>
      <c r="X134" s="12" t="n">
        <v>-114.552</v>
      </c>
    </row>
    <row r="135">
      <c r="A135" s="9" t="inlineStr">
        <is>
          <t>포괄이익</t>
        </is>
      </c>
      <c r="C135" s="12" t="n">
        <v>35.908</v>
      </c>
      <c r="D135" s="12" t="n">
        <v>-16.236</v>
      </c>
      <c r="E135" s="12" t="n">
        <v>88.187</v>
      </c>
      <c r="F135" s="12" t="n">
        <v>-67.389</v>
      </c>
      <c r="G135" s="12" t="n">
        <v>-87.61199999999999</v>
      </c>
      <c r="H135" s="12" t="n">
        <v>-35.698</v>
      </c>
      <c r="I135" s="12" t="n">
        <v>-519.78</v>
      </c>
      <c r="J135" s="12" t="n">
        <v>-175.422</v>
      </c>
      <c r="K135" s="12" t="n">
        <v>-114.552</v>
      </c>
      <c r="L135" s="12" t="n">
        <v>99.22199999999999</v>
      </c>
      <c r="M135" s="12" t="n">
        <v>200.43</v>
      </c>
      <c r="N135" s="12" t="n">
        <v>114.711</v>
      </c>
      <c r="U135" s="12" t="n">
        <v>-143.184</v>
      </c>
      <c r="V135" s="12" t="n">
        <v>35.908</v>
      </c>
      <c r="W135" s="12" t="n">
        <v>-87.61199999999999</v>
      </c>
      <c r="X135" s="12" t="n">
        <v>-114.552</v>
      </c>
    </row>
    <row r="136">
      <c r="A136" s="9" t="inlineStr">
        <is>
          <t>지배주주 포괄이익</t>
        </is>
      </c>
      <c r="C136" s="12" t="n">
        <v>35.908</v>
      </c>
      <c r="D136" s="12" t="n">
        <v>-16.236</v>
      </c>
      <c r="E136" s="12" t="n">
        <v>55.306</v>
      </c>
      <c r="F136" s="12" t="n">
        <v>-77.599</v>
      </c>
      <c r="G136" s="12" t="n">
        <v>-94.386</v>
      </c>
      <c r="H136" s="12" t="n">
        <v>-51.763</v>
      </c>
      <c r="I136" s="12" t="n">
        <v>-399.793</v>
      </c>
      <c r="J136" s="12" t="n">
        <v>-171.135</v>
      </c>
      <c r="K136" s="12" t="n">
        <v>-77.97499999999999</v>
      </c>
      <c r="L136" s="12" t="n">
        <v>100.156</v>
      </c>
      <c r="M136" s="12" t="n">
        <v>196.982</v>
      </c>
      <c r="N136" s="12" t="n">
        <v>113.605</v>
      </c>
      <c r="U136" s="12" t="n">
        <v>-125.558</v>
      </c>
      <c r="V136" s="12" t="n">
        <v>35.908</v>
      </c>
      <c r="W136" s="12" t="n">
        <v>-94.386</v>
      </c>
      <c r="X136" s="12" t="n">
        <v>-77.97499999999999</v>
      </c>
    </row>
    <row r="137">
      <c r="A137" s="9" t="inlineStr">
        <is>
          <t>비지배주주 포괄이익</t>
        </is>
      </c>
      <c r="C137" s="12" t="n">
        <v>0</v>
      </c>
      <c r="D137" s="12" t="n">
        <v>0</v>
      </c>
      <c r="E137" s="12" t="n">
        <v>32.88</v>
      </c>
      <c r="F137" s="12" t="n">
        <v>10.212</v>
      </c>
      <c r="G137" s="12" t="n">
        <v>6.773</v>
      </c>
      <c r="H137" s="12" t="n">
        <v>16.064</v>
      </c>
      <c r="I137" s="12" t="n">
        <v>-119.986</v>
      </c>
      <c r="J137" s="12" t="n">
        <v>-4.287</v>
      </c>
      <c r="K137" s="12" t="n">
        <v>-36.577</v>
      </c>
      <c r="L137" s="12" t="n">
        <v>-0.9340000000000001</v>
      </c>
      <c r="M137" s="12" t="n">
        <v>3.447</v>
      </c>
      <c r="N137" s="12" t="n">
        <v>1.107</v>
      </c>
      <c r="U137" s="12" t="n">
        <v>-17.626</v>
      </c>
      <c r="V137" s="12" t="n">
        <v>0</v>
      </c>
      <c r="W137" s="12" t="n">
        <v>6.773</v>
      </c>
      <c r="X137" s="12" t="n">
        <v>-36.577</v>
      </c>
    </row>
    <row r="139">
      <c r="A139" s="18" t="inlineStr">
        <is>
          <t>현금흐름표 · 전 항목</t>
        </is>
      </c>
      <c r="B139" s="44" t="inlineStr">
        <is>
          <t>분기 = 결산기 첫날부터 누계(공시 그대로)</t>
        </is>
      </c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  <c r="AC139" s="18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2023.4Q</t>
        </is>
      </c>
      <c r="D140" s="5" t="inlineStr">
        <is>
          <t>2024.1Q</t>
        </is>
      </c>
      <c r="E140" s="5" t="inlineStr">
        <is>
          <t>2024.2Q</t>
        </is>
      </c>
      <c r="F140" s="5" t="inlineStr">
        <is>
          <t>2024.3Q</t>
        </is>
      </c>
      <c r="G140" s="5" t="inlineStr">
        <is>
          <t>2024.4Q</t>
        </is>
      </c>
      <c r="H140" s="5" t="inlineStr">
        <is>
          <t>2025.1Q</t>
        </is>
      </c>
      <c r="I140" s="5" t="inlineStr">
        <is>
          <t>2025.2Q</t>
        </is>
      </c>
      <c r="J140" s="5" t="inlineStr">
        <is>
          <t>2025.3Q</t>
        </is>
      </c>
      <c r="K140" s="5" t="inlineStr">
        <is>
          <t>2025.4Q</t>
        </is>
      </c>
      <c r="L140" s="5" t="inlineStr">
        <is>
          <t>2026.1Q</t>
        </is>
      </c>
      <c r="M140" s="5" t="inlineStr">
        <is>
          <t>2026.2Q</t>
        </is>
      </c>
      <c r="N140" s="5" t="inlineStr">
        <is>
          <t>2026.3Q</t>
        </is>
      </c>
      <c r="O140" s="5" t="inlineStr">
        <is>
          <t>2016</t>
        </is>
      </c>
      <c r="P140" s="5" t="inlineStr">
        <is>
          <t>2017</t>
        </is>
      </c>
      <c r="Q140" s="5" t="inlineStr">
        <is>
          <t>2018</t>
        </is>
      </c>
      <c r="R140" s="5" t="inlineStr">
        <is>
          <t>2019</t>
        </is>
      </c>
      <c r="S140" s="5" t="inlineStr">
        <is>
          <t>2020</t>
        </is>
      </c>
      <c r="T140" s="5" t="inlineStr">
        <is>
          <t>2021</t>
        </is>
      </c>
      <c r="U140" s="5" t="inlineStr">
        <is>
          <t>2022</t>
        </is>
      </c>
      <c r="V140" s="5" t="inlineStr">
        <is>
          <t>2023</t>
        </is>
      </c>
      <c r="W140" s="5" t="inlineStr">
        <is>
          <t>2024</t>
        </is>
      </c>
      <c r="X140" s="5" t="inlineStr">
        <is>
          <t>2025</t>
        </is>
      </c>
      <c r="Y140" s="5" t="inlineStr">
        <is>
          <t>2026(MW)</t>
        </is>
      </c>
      <c r="Z140" s="5" t="inlineStr">
        <is>
          <t>2027(MW)</t>
        </is>
      </c>
      <c r="AA140" s="5" t="inlineStr">
        <is>
          <t>2028(MW)</t>
        </is>
      </c>
      <c r="AB140" s="5" t="inlineStr">
        <is>
          <t>2029(MW)</t>
        </is>
      </c>
      <c r="AC140" s="5" t="inlineStr">
        <is>
          <t>2030(MW)</t>
        </is>
      </c>
    </row>
    <row r="141">
      <c r="A141" s="9" t="inlineStr">
        <is>
          <t>법인세차감전 중간순이익(손실)</t>
        </is>
      </c>
      <c r="C141" s="12" t="n">
        <v>-368.889</v>
      </c>
      <c r="E141" s="12" t="n">
        <v>98.56</v>
      </c>
      <c r="G141" s="12" t="n">
        <v>-27.239</v>
      </c>
      <c r="I141" s="12" t="n">
        <v>-668.327</v>
      </c>
      <c r="K141" s="12" t="n">
        <v>-1013.918</v>
      </c>
      <c r="M141" s="12" t="n">
        <v>299.313</v>
      </c>
      <c r="T141" s="12" t="n">
        <v>-715.889</v>
      </c>
      <c r="U141" s="12" t="n">
        <v>-672.359</v>
      </c>
      <c r="V141" s="12" t="n">
        <v>-368.889</v>
      </c>
      <c r="W141" s="12" t="n">
        <v>-27.239</v>
      </c>
      <c r="X141" s="12" t="n">
        <v>-1013.918</v>
      </c>
    </row>
    <row r="142">
      <c r="A142" s="20" t="inlineStr">
        <is>
          <t>감가상각비</t>
        </is>
      </c>
      <c r="C142" s="22" t="n">
        <v>13.595</v>
      </c>
      <c r="E142" s="22" t="n">
        <v>37.285</v>
      </c>
      <c r="G142" s="22" t="n">
        <v>150.588</v>
      </c>
      <c r="I142" s="22" t="n">
        <v>118.254</v>
      </c>
      <c r="K142" s="22" t="n">
        <v>272.035</v>
      </c>
      <c r="M142" s="22" t="n">
        <v>212.709</v>
      </c>
      <c r="T142" s="22" t="n">
        <v>16.78</v>
      </c>
      <c r="U142" s="22" t="n">
        <v>8.317</v>
      </c>
      <c r="V142" s="22" t="n">
        <v>13.595</v>
      </c>
      <c r="W142" s="22" t="n">
        <v>150.588</v>
      </c>
      <c r="X142" s="22" t="n">
        <v>272.035</v>
      </c>
    </row>
    <row r="143">
      <c r="A143" s="20" t="inlineStr">
        <is>
          <t>이자비용</t>
        </is>
      </c>
      <c r="C143" s="22" t="n">
        <v>0.015</v>
      </c>
      <c r="U143" s="22" t="n">
        <v>0</v>
      </c>
      <c r="V143" s="22" t="n">
        <v>0.015</v>
      </c>
    </row>
    <row r="144">
      <c r="A144" s="20" t="inlineStr">
        <is>
          <t>영업권 상각</t>
        </is>
      </c>
      <c r="C144" s="22" t="n">
        <v>0</v>
      </c>
      <c r="E144" s="22" t="n">
        <v>28.26</v>
      </c>
      <c r="G144" s="22" t="n">
        <v>53.72</v>
      </c>
      <c r="I144" s="22" t="n">
        <v>35.813</v>
      </c>
      <c r="K144" s="22" t="n">
        <v>90.152</v>
      </c>
      <c r="M144" s="22" t="n">
        <v>54.338</v>
      </c>
      <c r="V144" s="22" t="n">
        <v>0</v>
      </c>
      <c r="W144" s="22" t="n">
        <v>53.72</v>
      </c>
      <c r="X144" s="22" t="n">
        <v>90.152</v>
      </c>
    </row>
    <row r="145">
      <c r="A145" s="20" t="inlineStr">
        <is>
          <t>이연자산 상각액</t>
        </is>
      </c>
      <c r="C145" s="22" t="n">
        <v>1.655</v>
      </c>
      <c r="E145" s="22" t="n">
        <v>18.176</v>
      </c>
      <c r="G145" s="22" t="n">
        <v>18.176</v>
      </c>
      <c r="I145" s="22" t="n">
        <v>0</v>
      </c>
      <c r="K145" s="22" t="n">
        <v>0</v>
      </c>
      <c r="U145" s="22" t="n">
        <v>0</v>
      </c>
      <c r="V145" s="22" t="n">
        <v>1.655</v>
      </c>
      <c r="W145" s="22" t="n">
        <v>18.176</v>
      </c>
      <c r="X145" s="22" t="n">
        <v>0</v>
      </c>
    </row>
    <row r="146">
      <c r="A146" s="20" t="inlineStr">
        <is>
          <t>주식보상비용</t>
        </is>
      </c>
      <c r="C146" s="22" t="n">
        <v>159.316</v>
      </c>
      <c r="E146" s="22" t="n">
        <v>21.237</v>
      </c>
      <c r="G146" s="22" t="n">
        <v>80.95699999999999</v>
      </c>
      <c r="I146" s="22" t="n">
        <v>68.837</v>
      </c>
      <c r="K146" s="22" t="n">
        <v>123.889</v>
      </c>
      <c r="M146" s="22" t="n">
        <v>58.345</v>
      </c>
      <c r="U146" s="22" t="n">
        <v>0</v>
      </c>
      <c r="V146" s="22" t="n">
        <v>159.316</v>
      </c>
      <c r="W146" s="22" t="n">
        <v>80.95699999999999</v>
      </c>
      <c r="X146" s="22" t="n">
        <v>123.889</v>
      </c>
    </row>
    <row r="147">
      <c r="A147" s="20" t="inlineStr">
        <is>
          <t>손상차손</t>
        </is>
      </c>
      <c r="E147" s="22" t="n">
        <v>0</v>
      </c>
      <c r="G147" s="22" t="n">
        <v>0</v>
      </c>
      <c r="I147" s="22" t="n">
        <v>659.325</v>
      </c>
      <c r="K147" s="22" t="n">
        <v>823.0309999999999</v>
      </c>
      <c r="M147" s="22" t="n">
        <v>0</v>
      </c>
      <c r="T147" s="22" t="n">
        <v>20.862</v>
      </c>
      <c r="U147" s="22" t="n">
        <v>0</v>
      </c>
      <c r="W147" s="22" t="n">
        <v>0</v>
      </c>
      <c r="X147" s="22" t="n">
        <v>823.0309999999999</v>
      </c>
    </row>
    <row r="148">
      <c r="A148" s="20" t="inlineStr">
        <is>
          <t>대손충당금 증감</t>
        </is>
      </c>
      <c r="C148" s="22" t="n">
        <v>14.265</v>
      </c>
      <c r="E148" s="22" t="n">
        <v>0.218</v>
      </c>
      <c r="G148" s="22" t="n">
        <v>0.794</v>
      </c>
      <c r="I148" s="22" t="n">
        <v>-0.576</v>
      </c>
      <c r="K148" s="22" t="n">
        <v>-0.576</v>
      </c>
      <c r="M148" s="22" t="n">
        <v>-7.993</v>
      </c>
      <c r="U148" s="22" t="n">
        <v>0</v>
      </c>
      <c r="V148" s="22" t="n">
        <v>14.265</v>
      </c>
      <c r="W148" s="22" t="n">
        <v>0.794</v>
      </c>
      <c r="X148" s="22" t="n">
        <v>-0.576</v>
      </c>
    </row>
    <row r="149">
      <c r="A149" s="20" t="inlineStr">
        <is>
          <t>상여충당금 증감</t>
        </is>
      </c>
      <c r="C149" s="22" t="n">
        <v>0</v>
      </c>
      <c r="E149" s="22" t="n">
        <v>0</v>
      </c>
      <c r="G149" s="22" t="n">
        <v>8.438000000000001</v>
      </c>
      <c r="I149" s="22" t="n">
        <v>-4.562</v>
      </c>
      <c r="K149" s="22" t="n">
        <v>3.188</v>
      </c>
      <c r="M149" s="22" t="n">
        <v>-11.626</v>
      </c>
      <c r="V149" s="22" t="n">
        <v>0</v>
      </c>
      <c r="W149" s="22" t="n">
        <v>8.438000000000001</v>
      </c>
      <c r="X149" s="22" t="n">
        <v>3.188</v>
      </c>
    </row>
    <row r="150">
      <c r="A150" s="20" t="inlineStr">
        <is>
          <t>이자수익</t>
        </is>
      </c>
      <c r="C150" s="22" t="n">
        <v>-0.018</v>
      </c>
      <c r="E150" s="22" t="n">
        <v>-0.023</v>
      </c>
      <c r="G150" s="22" t="n">
        <v>-0.295</v>
      </c>
      <c r="I150" s="22" t="n">
        <v>-1.305</v>
      </c>
      <c r="K150" s="22" t="n">
        <v>-3.538</v>
      </c>
      <c r="M150" s="22" t="n">
        <v>-3.477</v>
      </c>
      <c r="T150" s="22" t="n">
        <v>-0.026</v>
      </c>
      <c r="U150" s="22" t="n">
        <v>-0.022</v>
      </c>
      <c r="V150" s="22" t="n">
        <v>-0.018</v>
      </c>
      <c r="W150" s="22" t="n">
        <v>-0.295</v>
      </c>
      <c r="X150" s="22" t="n">
        <v>-3.538</v>
      </c>
    </row>
    <row r="151">
      <c r="A151" s="20" t="inlineStr">
        <is>
          <t>보조금 수입</t>
        </is>
      </c>
      <c r="C151" s="22" t="n">
        <v>0</v>
      </c>
      <c r="T151" s="22" t="n">
        <v>0</v>
      </c>
      <c r="U151" s="22" t="n">
        <v>-8.663</v>
      </c>
      <c r="V151" s="22" t="n">
        <v>0</v>
      </c>
    </row>
    <row r="152">
      <c r="A152" s="20" t="inlineStr">
        <is>
          <t>보조금 수입</t>
        </is>
      </c>
      <c r="C152" s="22" t="n">
        <v>0</v>
      </c>
      <c r="T152" s="22" t="n">
        <v>-2.595</v>
      </c>
      <c r="U152" s="22" t="n">
        <v>-0.075</v>
      </c>
      <c r="V152" s="22" t="n">
        <v>0</v>
      </c>
    </row>
    <row r="153">
      <c r="A153" s="20" t="inlineStr">
        <is>
          <t>수취 급부금</t>
        </is>
      </c>
      <c r="C153" s="22" t="n">
        <v>0</v>
      </c>
      <c r="T153" s="22" t="n">
        <v>-11.092</v>
      </c>
      <c r="U153" s="22" t="n">
        <v>-4</v>
      </c>
      <c r="V153" s="22" t="n">
        <v>0</v>
      </c>
    </row>
    <row r="154">
      <c r="A154" s="20" t="inlineStr">
        <is>
          <t>이자비용</t>
        </is>
      </c>
      <c r="C154" s="22" t="n">
        <v>14.061</v>
      </c>
      <c r="E154" s="22" t="n">
        <v>11.856</v>
      </c>
      <c r="G154" s="22" t="n">
        <v>25.659</v>
      </c>
      <c r="I154" s="22" t="n">
        <v>16.325</v>
      </c>
      <c r="K154" s="22" t="n">
        <v>41.955</v>
      </c>
      <c r="M154" s="22" t="n">
        <v>21.406</v>
      </c>
      <c r="T154" s="22" t="n">
        <v>5.033</v>
      </c>
      <c r="U154" s="22" t="n">
        <v>9.749000000000001</v>
      </c>
      <c r="V154" s="22" t="n">
        <v>14.061</v>
      </c>
      <c r="W154" s="22" t="n">
        <v>25.659</v>
      </c>
      <c r="X154" s="22" t="n">
        <v>41.955</v>
      </c>
    </row>
    <row r="155">
      <c r="A155" s="20" t="inlineStr">
        <is>
          <t>지분법손익</t>
        </is>
      </c>
      <c r="C155" s="22" t="n">
        <v>28.788</v>
      </c>
      <c r="E155" s="22" t="n">
        <v>14.779</v>
      </c>
      <c r="G155" s="22" t="n">
        <v>25.62</v>
      </c>
      <c r="I155" s="22" t="n">
        <v>6.433</v>
      </c>
      <c r="K155" s="22" t="n">
        <v>13.153</v>
      </c>
      <c r="M155" s="22" t="n">
        <v>5.775</v>
      </c>
      <c r="T155" s="22" t="n">
        <v>0</v>
      </c>
      <c r="U155" s="22" t="n">
        <v>-4.867</v>
      </c>
      <c r="V155" s="22" t="n">
        <v>28.788</v>
      </c>
      <c r="W155" s="22" t="n">
        <v>25.62</v>
      </c>
      <c r="X155" s="22" t="n">
        <v>13.153</v>
      </c>
    </row>
    <row r="156">
      <c r="A156" s="20" t="inlineStr">
        <is>
          <t>관계회사 주식 평가손실</t>
        </is>
      </c>
      <c r="C156" s="22" t="n">
        <v>6.204</v>
      </c>
      <c r="G156" s="22" t="n">
        <v>0</v>
      </c>
      <c r="T156" s="22" t="n">
        <v>0</v>
      </c>
      <c r="U156" s="22" t="n">
        <v>6.228</v>
      </c>
      <c r="V156" s="22" t="n">
        <v>6.204</v>
      </c>
      <c r="W156" s="22" t="n">
        <v>0</v>
      </c>
    </row>
    <row r="157">
      <c r="A157" s="20" t="inlineStr">
        <is>
          <t>관계회사 사채 양도손</t>
        </is>
      </c>
      <c r="C157" s="22" t="n">
        <v>0</v>
      </c>
      <c r="T157" s="22" t="n">
        <v>0</v>
      </c>
      <c r="U157" s="22" t="n">
        <v>71.414</v>
      </c>
      <c r="V157" s="22" t="n">
        <v>0</v>
      </c>
    </row>
    <row r="158">
      <c r="A158" s="20" t="inlineStr">
        <is>
          <t>관계회사 주식 매각손익</t>
        </is>
      </c>
      <c r="C158" s="22" t="n">
        <v>-0.83</v>
      </c>
      <c r="E158" s="22" t="n">
        <v>-0.05</v>
      </c>
      <c r="G158" s="22" t="n">
        <v>-0.05</v>
      </c>
      <c r="I158" s="22" t="n">
        <v>0</v>
      </c>
      <c r="K158" s="22" t="n">
        <v>0</v>
      </c>
      <c r="U158" s="22" t="n">
        <v>0</v>
      </c>
      <c r="V158" s="22" t="n">
        <v>-0.83</v>
      </c>
      <c r="W158" s="22" t="n">
        <v>-0.05</v>
      </c>
      <c r="X158" s="22" t="n">
        <v>0</v>
      </c>
    </row>
    <row r="159">
      <c r="A159" s="20" t="inlineStr">
        <is>
          <t>유형자산 제각손실</t>
        </is>
      </c>
      <c r="C159" s="22" t="n">
        <v>0.354</v>
      </c>
      <c r="U159" s="22" t="n">
        <v>0</v>
      </c>
      <c r="V159" s="22" t="n">
        <v>0.354</v>
      </c>
    </row>
    <row r="160">
      <c r="A160" s="20" t="inlineStr">
        <is>
          <t>예치금 증감액(△는 증가)</t>
        </is>
      </c>
      <c r="C160" s="22" t="n">
        <v>0.149</v>
      </c>
      <c r="T160" s="22" t="n">
        <v>0</v>
      </c>
      <c r="U160" s="22" t="n">
        <v>-0.149</v>
      </c>
      <c r="V160" s="22" t="n">
        <v>0.149</v>
      </c>
    </row>
    <row r="161">
      <c r="A161" s="20" t="inlineStr">
        <is>
          <t>조건부 대가 수취 이익</t>
        </is>
      </c>
      <c r="G161" s="22" t="n">
        <v>0</v>
      </c>
      <c r="K161" s="22" t="n">
        <v>-116.503</v>
      </c>
      <c r="W161" s="22" t="n">
        <v>0</v>
      </c>
      <c r="X161" s="22" t="n">
        <v>-116.503</v>
      </c>
    </row>
    <row r="162">
      <c r="A162" s="20" t="inlineStr">
        <is>
          <t>매출채권 증감</t>
        </is>
      </c>
      <c r="C162" s="22" t="n">
        <v>-204.548</v>
      </c>
      <c r="E162" s="22" t="n">
        <v>96.259</v>
      </c>
      <c r="G162" s="22" t="n">
        <v>46.078</v>
      </c>
      <c r="I162" s="22" t="n">
        <v>-220.028</v>
      </c>
      <c r="K162" s="22" t="n">
        <v>120.145</v>
      </c>
      <c r="M162" s="22" t="n">
        <v>-126.386</v>
      </c>
      <c r="T162" s="22" t="n">
        <v>-78.95999999999999</v>
      </c>
      <c r="U162" s="22" t="n">
        <v>27.926</v>
      </c>
      <c r="V162" s="22" t="n">
        <v>-204.548</v>
      </c>
      <c r="W162" s="22" t="n">
        <v>46.078</v>
      </c>
      <c r="X162" s="22" t="n">
        <v>120.145</v>
      </c>
    </row>
    <row r="163">
      <c r="A163" s="20" t="inlineStr">
        <is>
          <t>재고자산 증감</t>
        </is>
      </c>
      <c r="C163" s="22" t="n">
        <v>2.428</v>
      </c>
      <c r="E163" s="22" t="n">
        <v>-14.135</v>
      </c>
      <c r="G163" s="22" t="n">
        <v>-2.604</v>
      </c>
      <c r="I163" s="22" t="n">
        <v>3.384</v>
      </c>
      <c r="K163" s="22" t="n">
        <v>3.393</v>
      </c>
      <c r="M163" s="22" t="n">
        <v>0.012</v>
      </c>
      <c r="T163" s="22" t="n">
        <v>-5.732</v>
      </c>
      <c r="U163" s="22" t="n">
        <v>0.723</v>
      </c>
      <c r="V163" s="22" t="n">
        <v>2.428</v>
      </c>
      <c r="W163" s="22" t="n">
        <v>-2.604</v>
      </c>
      <c r="X163" s="22" t="n">
        <v>3.393</v>
      </c>
    </row>
    <row r="164">
      <c r="A164" s="20" t="inlineStr">
        <is>
          <t>미수금 증감</t>
        </is>
      </c>
      <c r="C164" s="22" t="n">
        <v>-4.531</v>
      </c>
      <c r="T164" s="22" t="n">
        <v>3.125</v>
      </c>
      <c r="U164" s="22" t="n">
        <v>-3.368</v>
      </c>
      <c r="V164" s="22" t="n">
        <v>-4.531</v>
      </c>
    </row>
    <row r="165">
      <c r="A165" s="20" t="inlineStr">
        <is>
          <t>선급비용 증감</t>
        </is>
      </c>
      <c r="C165" s="22" t="n">
        <v>0.899</v>
      </c>
      <c r="G165" s="22" t="n">
        <v>6.887</v>
      </c>
      <c r="I165" s="22" t="n">
        <v>-18.216</v>
      </c>
      <c r="K165" s="22" t="n">
        <v>-229.435</v>
      </c>
      <c r="M165" s="22" t="n">
        <v>201.118</v>
      </c>
      <c r="T165" s="22" t="n">
        <v>6.126</v>
      </c>
      <c r="U165" s="22" t="n">
        <v>5.6</v>
      </c>
      <c r="V165" s="22" t="n">
        <v>0.899</v>
      </c>
      <c r="W165" s="22" t="n">
        <v>6.887</v>
      </c>
      <c r="X165" s="22" t="n">
        <v>-229.435</v>
      </c>
    </row>
    <row r="166">
      <c r="A166" s="20" t="inlineStr">
        <is>
          <t>선급금 증감</t>
        </is>
      </c>
      <c r="C166" s="22" t="n">
        <v>14.735</v>
      </c>
      <c r="T166" s="22" t="n">
        <v>1.789</v>
      </c>
      <c r="U166" s="22" t="n">
        <v>-17.581</v>
      </c>
      <c r="V166" s="22" t="n">
        <v>14.735</v>
      </c>
    </row>
    <row r="167">
      <c r="A167" s="20" t="inlineStr">
        <is>
          <t>미수 소비세 증감</t>
        </is>
      </c>
      <c r="C167" s="22" t="n">
        <v>2.993</v>
      </c>
      <c r="T167" s="22" t="n">
        <v>7.124</v>
      </c>
      <c r="U167" s="22" t="n">
        <v>4.952</v>
      </c>
      <c r="V167" s="22" t="n">
        <v>2.993</v>
      </c>
    </row>
    <row r="168">
      <c r="A168" s="20" t="inlineStr">
        <is>
          <t>매입채무 증감</t>
        </is>
      </c>
      <c r="C168" s="22" t="n">
        <v>0.657</v>
      </c>
      <c r="E168" s="22" t="n">
        <v>12.161</v>
      </c>
      <c r="G168" s="22" t="n">
        <v>-9.525</v>
      </c>
      <c r="I168" s="22" t="n">
        <v>177.572</v>
      </c>
      <c r="K168" s="22" t="n">
        <v>25.637</v>
      </c>
      <c r="M168" s="22" t="n">
        <v>-21.482</v>
      </c>
      <c r="T168" s="22" t="n">
        <v>7.603</v>
      </c>
      <c r="U168" s="22" t="n">
        <v>-15.423</v>
      </c>
      <c r="V168" s="22" t="n">
        <v>0.657</v>
      </c>
      <c r="W168" s="22" t="n">
        <v>-9.525</v>
      </c>
      <c r="X168" s="22" t="n">
        <v>25.637</v>
      </c>
    </row>
    <row r="169">
      <c r="A169" s="20" t="inlineStr">
        <is>
          <t>미지급금 증감</t>
        </is>
      </c>
      <c r="C169" s="22" t="n">
        <v>13.888</v>
      </c>
      <c r="E169" s="22" t="n">
        <v>2.35</v>
      </c>
      <c r="G169" s="22" t="n">
        <v>53.856</v>
      </c>
      <c r="I169" s="22" t="n">
        <v>46.281</v>
      </c>
      <c r="K169" s="22" t="n">
        <v>-598.049</v>
      </c>
      <c r="M169" s="22" t="n">
        <v>-51.791</v>
      </c>
      <c r="T169" s="22" t="n">
        <v>-14.66</v>
      </c>
      <c r="U169" s="22" t="n">
        <v>25.204</v>
      </c>
      <c r="V169" s="22" t="n">
        <v>13.888</v>
      </c>
      <c r="W169" s="22" t="n">
        <v>53.856</v>
      </c>
      <c r="X169" s="22" t="n">
        <v>-598.049</v>
      </c>
    </row>
    <row r="170">
      <c r="A170" s="20" t="inlineStr">
        <is>
          <t>선수금 증감</t>
        </is>
      </c>
      <c r="C170" s="22" t="n">
        <v>-16.521</v>
      </c>
      <c r="T170" s="22" t="n">
        <v>-9.538</v>
      </c>
      <c r="U170" s="22" t="n">
        <v>-2.199</v>
      </c>
      <c r="V170" s="22" t="n">
        <v>-16.521</v>
      </c>
    </row>
    <row r="171">
      <c r="A171" s="20" t="inlineStr">
        <is>
          <t>예수금 증감</t>
        </is>
      </c>
      <c r="C171" s="22" t="n">
        <v>2.498</v>
      </c>
      <c r="T171" s="22" t="n">
        <v>0.157</v>
      </c>
      <c r="U171" s="22" t="n">
        <v>1.496</v>
      </c>
      <c r="V171" s="22" t="n">
        <v>2.498</v>
      </c>
    </row>
    <row r="172">
      <c r="A172" s="20" t="inlineStr">
        <is>
          <t>미지급 소비세 증감</t>
        </is>
      </c>
      <c r="C172" s="22" t="n">
        <v>-0.214</v>
      </c>
      <c r="T172" s="22" t="n">
        <v>11.217</v>
      </c>
      <c r="U172" s="22" t="n">
        <v>4.96</v>
      </c>
      <c r="V172" s="22" t="n">
        <v>-0.214</v>
      </c>
    </row>
    <row r="173">
      <c r="A173" s="20" t="inlineStr">
        <is>
          <t>포인트 충당금 증감</t>
        </is>
      </c>
      <c r="T173" s="22" t="n">
        <v>-1.67</v>
      </c>
      <c r="U173" s="22" t="n">
        <v>0</v>
      </c>
    </row>
    <row r="174">
      <c r="A174" s="20" t="inlineStr">
        <is>
          <t>기타</t>
        </is>
      </c>
      <c r="C174" s="22" t="n">
        <v>-1.378</v>
      </c>
      <c r="E174" s="22" t="n">
        <v>-34.431</v>
      </c>
      <c r="G174" s="22" t="n">
        <v>-54.986</v>
      </c>
      <c r="I174" s="22" t="n">
        <v>38.131</v>
      </c>
      <c r="K174" s="22" t="n">
        <v>33.089</v>
      </c>
      <c r="M174" s="22" t="n">
        <v>-84.462</v>
      </c>
      <c r="T174" s="22" t="n">
        <v>-2.7</v>
      </c>
      <c r="U174" s="22" t="n">
        <v>-3.082</v>
      </c>
      <c r="V174" s="22" t="n">
        <v>-1.378</v>
      </c>
      <c r="W174" s="22" t="n">
        <v>-54.986</v>
      </c>
      <c r="X174" s="22" t="n">
        <v>33.089</v>
      </c>
    </row>
    <row r="175">
      <c r="A175" s="20" t="inlineStr">
        <is>
          <t>소계</t>
        </is>
      </c>
      <c r="C175" s="22" t="n">
        <v>-320.803</v>
      </c>
      <c r="E175" s="22" t="n">
        <v>292.503</v>
      </c>
      <c r="G175" s="22" t="n">
        <v>376.077</v>
      </c>
      <c r="I175" s="22" t="n">
        <v>257.343</v>
      </c>
      <c r="K175" s="22" t="n">
        <v>-412.349</v>
      </c>
      <c r="M175" s="22" t="n">
        <v>545.799</v>
      </c>
      <c r="T175" s="22" t="n">
        <v>-763.045</v>
      </c>
      <c r="U175" s="22" t="n">
        <v>-565.2190000000001</v>
      </c>
      <c r="V175" s="22" t="n">
        <v>-320.803</v>
      </c>
      <c r="W175" s="22" t="n">
        <v>376.077</v>
      </c>
      <c r="X175" s="22" t="n">
        <v>-412.349</v>
      </c>
    </row>
    <row r="176">
      <c r="A176" s="20" t="inlineStr">
        <is>
          <t>이자·배당금 수취</t>
        </is>
      </c>
      <c r="C176" s="22" t="n">
        <v>0.018</v>
      </c>
      <c r="E176" s="22" t="n">
        <v>0.023</v>
      </c>
      <c r="G176" s="22" t="n">
        <v>0.295</v>
      </c>
      <c r="I176" s="22" t="n">
        <v>1.305</v>
      </c>
      <c r="K176" s="22" t="n">
        <v>3.538</v>
      </c>
      <c r="M176" s="22" t="n">
        <v>3.477</v>
      </c>
      <c r="T176" s="22" t="n">
        <v>0.026</v>
      </c>
      <c r="U176" s="22" t="n">
        <v>0.022</v>
      </c>
      <c r="V176" s="22" t="n">
        <v>0.018</v>
      </c>
      <c r="W176" s="22" t="n">
        <v>0.295</v>
      </c>
      <c r="X176" s="22" t="n">
        <v>3.538</v>
      </c>
    </row>
    <row r="177">
      <c r="A177" s="20" t="inlineStr">
        <is>
          <t>이자 지급</t>
        </is>
      </c>
      <c r="C177" s="22" t="n">
        <v>-18.977</v>
      </c>
      <c r="E177" s="22" t="n">
        <v>-13.735</v>
      </c>
      <c r="G177" s="22" t="n">
        <v>-25.659</v>
      </c>
      <c r="I177" s="22" t="n">
        <v>-18.283</v>
      </c>
      <c r="K177" s="22" t="n">
        <v>-42.328</v>
      </c>
      <c r="M177" s="22" t="n">
        <v>-21.783</v>
      </c>
      <c r="T177" s="22" t="n">
        <v>-6.958</v>
      </c>
      <c r="U177" s="22" t="n">
        <v>-12.661</v>
      </c>
      <c r="V177" s="22" t="n">
        <v>-18.977</v>
      </c>
      <c r="W177" s="22" t="n">
        <v>-25.659</v>
      </c>
      <c r="X177" s="22" t="n">
        <v>-42.328</v>
      </c>
    </row>
    <row r="178">
      <c r="A178" s="20" t="inlineStr">
        <is>
          <t>보조금 수취</t>
        </is>
      </c>
      <c r="C178" s="22" t="n">
        <v>0</v>
      </c>
      <c r="T178" s="22" t="n">
        <v>2.595</v>
      </c>
      <c r="U178" s="22" t="n">
        <v>0.075</v>
      </c>
      <c r="V178" s="22" t="n">
        <v>0</v>
      </c>
    </row>
    <row r="179">
      <c r="A179" s="20" t="inlineStr">
        <is>
          <t>보조금 수취</t>
        </is>
      </c>
      <c r="C179" s="22" t="n">
        <v>0</v>
      </c>
      <c r="T179" s="22" t="n">
        <v>0</v>
      </c>
      <c r="U179" s="22" t="n">
        <v>8.663</v>
      </c>
      <c r="V179" s="22" t="n">
        <v>0</v>
      </c>
    </row>
    <row r="180">
      <c r="A180" s="20" t="inlineStr">
        <is>
          <t>수취 급부금 수령</t>
        </is>
      </c>
      <c r="C180" s="22" t="n">
        <v>0</v>
      </c>
      <c r="T180" s="22" t="n">
        <v>11.092</v>
      </c>
      <c r="U180" s="22" t="n">
        <v>4</v>
      </c>
      <c r="V180" s="22" t="n">
        <v>0</v>
      </c>
    </row>
    <row r="181">
      <c r="A181" s="20" t="inlineStr">
        <is>
          <t>법인세 납부</t>
        </is>
      </c>
      <c r="C181" s="22" t="n">
        <v>-1.599</v>
      </c>
      <c r="E181" s="22" t="n">
        <v>-80.581</v>
      </c>
      <c r="G181" s="22" t="n">
        <v>-127.98</v>
      </c>
      <c r="I181" s="22" t="n">
        <v>-38.53</v>
      </c>
      <c r="K181" s="22" t="n">
        <v>-46.604</v>
      </c>
      <c r="M181" s="22" t="n">
        <v>-0.25</v>
      </c>
      <c r="T181" s="22" t="n">
        <v>-1.888</v>
      </c>
      <c r="U181" s="22" t="n">
        <v>-1.89</v>
      </c>
      <c r="V181" s="22" t="n">
        <v>-1.599</v>
      </c>
      <c r="W181" s="22" t="n">
        <v>-127.98</v>
      </c>
      <c r="X181" s="22" t="n">
        <v>-46.604</v>
      </c>
    </row>
    <row r="182">
      <c r="A182" s="20" t="inlineStr">
        <is>
          <t>법인세 환급</t>
        </is>
      </c>
      <c r="C182" s="22" t="n">
        <v>0</v>
      </c>
      <c r="E182" s="22" t="n">
        <v>0.002</v>
      </c>
      <c r="T182" s="22" t="n">
        <v>0.409</v>
      </c>
      <c r="U182" s="22" t="n">
        <v>0</v>
      </c>
      <c r="V182" s="22" t="n">
        <v>0</v>
      </c>
    </row>
    <row r="183">
      <c r="A183" s="9" t="inlineStr">
        <is>
          <t>영업활동 현금흐름</t>
        </is>
      </c>
      <c r="C183" s="12" t="n">
        <v>-341.361</v>
      </c>
      <c r="E183" s="12" t="n">
        <v>198.21</v>
      </c>
      <c r="G183" s="12" t="n">
        <v>222.732</v>
      </c>
      <c r="I183" s="12" t="n">
        <v>201.834</v>
      </c>
      <c r="K183" s="12" t="n">
        <v>-497.744</v>
      </c>
      <c r="M183" s="12" t="n">
        <v>527.2430000000001</v>
      </c>
      <c r="T183" s="12" t="n">
        <v>-757.769</v>
      </c>
      <c r="U183" s="12" t="n">
        <v>-567.009</v>
      </c>
      <c r="V183" s="12" t="n">
        <v>-341.361</v>
      </c>
      <c r="W183" s="12" t="n">
        <v>222.732</v>
      </c>
      <c r="X183" s="12" t="n">
        <v>-497.744</v>
      </c>
    </row>
    <row r="184">
      <c r="A184" s="20" t="inlineStr">
        <is>
          <t>유형자산 취득(설비투자)</t>
        </is>
      </c>
      <c r="C184" s="22" t="n">
        <v>-43.311</v>
      </c>
      <c r="E184" s="22" t="n">
        <v>-234.051</v>
      </c>
      <c r="G184" s="22" t="n">
        <v>-238.616</v>
      </c>
      <c r="I184" s="22" t="n">
        <v>-163.605</v>
      </c>
      <c r="K184" s="22" t="n">
        <v>-183.487</v>
      </c>
      <c r="M184" s="22" t="n">
        <v>-250.868</v>
      </c>
      <c r="T184" s="22" t="n">
        <v>-12.888</v>
      </c>
      <c r="U184" s="22" t="n">
        <v>-10.569</v>
      </c>
      <c r="V184" s="22" t="n">
        <v>-43.311</v>
      </c>
      <c r="W184" s="22" t="n">
        <v>-238.616</v>
      </c>
      <c r="X184" s="22" t="n">
        <v>-183.487</v>
      </c>
    </row>
    <row r="185">
      <c r="A185" s="20" t="inlineStr">
        <is>
          <t>유형자산 매각</t>
        </is>
      </c>
      <c r="C185" s="22" t="n">
        <v>0.574</v>
      </c>
      <c r="G185" s="22" t="n">
        <v>0</v>
      </c>
      <c r="U185" s="22" t="n">
        <v>0</v>
      </c>
      <c r="V185" s="22" t="n">
        <v>0.574</v>
      </c>
      <c r="W185" s="22" t="n">
        <v>0</v>
      </c>
    </row>
    <row r="186">
      <c r="A186" s="20" t="inlineStr">
        <is>
          <t>무형자산 취득</t>
        </is>
      </c>
      <c r="C186" s="22" t="n">
        <v>-120.813</v>
      </c>
      <c r="E186" s="22" t="n">
        <v>-189.299</v>
      </c>
      <c r="G186" s="22" t="n">
        <v>-298.36</v>
      </c>
      <c r="I186" s="22" t="n">
        <v>-245.36</v>
      </c>
      <c r="K186" s="22" t="n">
        <v>-772.147</v>
      </c>
      <c r="M186" s="22" t="n">
        <v>-515.943</v>
      </c>
      <c r="U186" s="22" t="n">
        <v>0</v>
      </c>
      <c r="V186" s="22" t="n">
        <v>-120.813</v>
      </c>
      <c r="W186" s="22" t="n">
        <v>-298.36</v>
      </c>
      <c r="X186" s="22" t="n">
        <v>-772.147</v>
      </c>
    </row>
    <row r="187">
      <c r="A187" s="20" t="inlineStr">
        <is>
          <t>단기대여 지출</t>
        </is>
      </c>
      <c r="C187" s="22" t="n">
        <v>-1.5</v>
      </c>
      <c r="E187" s="22" t="n">
        <v>0</v>
      </c>
      <c r="U187" s="22" t="n">
        <v>0</v>
      </c>
      <c r="V187" s="22" t="n">
        <v>-1.5</v>
      </c>
    </row>
    <row r="188">
      <c r="A188" s="20" t="inlineStr">
        <is>
          <t>단기대여금 회수 수입</t>
        </is>
      </c>
      <c r="C188" s="22" t="n">
        <v>1.5</v>
      </c>
      <c r="E188" s="22" t="n">
        <v>0</v>
      </c>
      <c r="U188" s="22" t="n">
        <v>0</v>
      </c>
      <c r="V188" s="22" t="n">
        <v>1.5</v>
      </c>
    </row>
    <row r="189">
      <c r="A189" s="20" t="inlineStr">
        <is>
          <t>정기예금 예입</t>
        </is>
      </c>
      <c r="C189" s="22" t="n">
        <v>-50</v>
      </c>
      <c r="E189" s="22" t="n">
        <v>-150</v>
      </c>
      <c r="G189" s="22" t="n">
        <v>-150</v>
      </c>
      <c r="I189" s="22" t="n">
        <v>0</v>
      </c>
      <c r="K189" s="22" t="n">
        <v>0</v>
      </c>
      <c r="V189" s="22" t="n">
        <v>-50</v>
      </c>
      <c r="W189" s="22" t="n">
        <v>-150</v>
      </c>
      <c r="X189" s="22" t="n">
        <v>0</v>
      </c>
    </row>
    <row r="190">
      <c r="A190" s="20" t="inlineStr">
        <is>
          <t>임차보증금·보증금 납입</t>
        </is>
      </c>
      <c r="C190" s="22" t="n">
        <v>-28.8</v>
      </c>
      <c r="E190" s="22" t="n">
        <v>-6.292</v>
      </c>
      <c r="T190" s="22" t="n">
        <v>-0.8</v>
      </c>
      <c r="U190" s="22" t="n">
        <v>0</v>
      </c>
      <c r="V190" s="22" t="n">
        <v>-28.8</v>
      </c>
    </row>
    <row r="191">
      <c r="A191" s="20" t="inlineStr">
        <is>
          <t>임차보증금·보증금 회수</t>
        </is>
      </c>
      <c r="C191" s="22" t="n">
        <v>10.301</v>
      </c>
      <c r="E191" s="22" t="n">
        <v>27.21</v>
      </c>
      <c r="T191" s="22" t="n">
        <v>0.576</v>
      </c>
      <c r="U191" s="22" t="n">
        <v>0</v>
      </c>
      <c r="V191" s="22" t="n">
        <v>10.301</v>
      </c>
    </row>
    <row r="192">
      <c r="A192" s="20" t="inlineStr">
        <is>
          <t>정기예금 인출</t>
        </is>
      </c>
      <c r="C192" s="22" t="n">
        <v>0</v>
      </c>
      <c r="G192" s="22" t="n">
        <v>200</v>
      </c>
      <c r="K192" s="22" t="n">
        <v>0</v>
      </c>
      <c r="V192" s="22" t="n">
        <v>0</v>
      </c>
      <c r="W192" s="22" t="n">
        <v>200</v>
      </c>
      <c r="X192" s="22" t="n">
        <v>0</v>
      </c>
    </row>
    <row r="193">
      <c r="A193" s="20" t="inlineStr">
        <is>
          <t>연결범위 변경 자회사 주식 취득</t>
        </is>
      </c>
      <c r="C193" s="22" t="n">
        <v>0</v>
      </c>
      <c r="E193" s="22" t="n">
        <v>-362.221</v>
      </c>
      <c r="G193" s="22" t="n">
        <v>-362.221</v>
      </c>
      <c r="I193" s="22" t="n">
        <v>-1038.106</v>
      </c>
      <c r="K193" s="22" t="n">
        <v>-1039.106</v>
      </c>
      <c r="M193" s="22" t="n">
        <v>0</v>
      </c>
      <c r="V193" s="22" t="n">
        <v>0</v>
      </c>
      <c r="W193" s="22" t="n">
        <v>-362.221</v>
      </c>
      <c r="X193" s="22" t="n">
        <v>-1039.106</v>
      </c>
    </row>
    <row r="194">
      <c r="A194" s="20" t="inlineStr">
        <is>
          <t>연결범위 변경 자회사 주식 매각(지출)</t>
        </is>
      </c>
      <c r="C194" s="22" t="n">
        <v>-452.031</v>
      </c>
      <c r="G194" s="22" t="n">
        <v>0</v>
      </c>
      <c r="U194" s="22" t="n">
        <v>0</v>
      </c>
      <c r="V194" s="22" t="n">
        <v>-452.031</v>
      </c>
      <c r="W194" s="22" t="n">
        <v>0</v>
      </c>
    </row>
    <row r="195">
      <c r="A195" s="20" t="inlineStr">
        <is>
          <t>조건부 대가 결제 수입</t>
        </is>
      </c>
      <c r="G195" s="22" t="n">
        <v>0</v>
      </c>
      <c r="K195" s="22" t="n">
        <v>116.503</v>
      </c>
      <c r="W195" s="22" t="n">
        <v>0</v>
      </c>
      <c r="X195" s="22" t="n">
        <v>116.503</v>
      </c>
    </row>
    <row r="196">
      <c r="A196" s="20" t="inlineStr">
        <is>
          <t>기타</t>
        </is>
      </c>
      <c r="C196" s="22" t="n">
        <v>-18.492</v>
      </c>
      <c r="E196" s="22" t="n">
        <v>14.502</v>
      </c>
      <c r="G196" s="22" t="n">
        <v>11.418</v>
      </c>
      <c r="I196" s="22" t="n">
        <v>0.8070000000000001</v>
      </c>
      <c r="K196" s="22" t="n">
        <v>-22.655</v>
      </c>
      <c r="M196" s="22" t="n">
        <v>-4.424</v>
      </c>
      <c r="T196" s="22" t="n">
        <v>0</v>
      </c>
      <c r="U196" s="22" t="n">
        <v>0.01</v>
      </c>
      <c r="V196" s="22" t="n">
        <v>-18.492</v>
      </c>
      <c r="W196" s="22" t="n">
        <v>11.418</v>
      </c>
      <c r="X196" s="22" t="n">
        <v>-22.655</v>
      </c>
    </row>
    <row r="197">
      <c r="A197" s="9" t="inlineStr">
        <is>
          <t>투자활동 현금흐름</t>
        </is>
      </c>
      <c r="C197" s="12" t="n">
        <v>-684.074</v>
      </c>
      <c r="E197" s="12" t="n">
        <v>-921.0700000000001</v>
      </c>
      <c r="G197" s="12" t="n">
        <v>-837.78</v>
      </c>
      <c r="I197" s="12" t="n">
        <v>-1446.264</v>
      </c>
      <c r="K197" s="12" t="n">
        <v>-1900.893</v>
      </c>
      <c r="M197" s="12" t="n">
        <v>-771.236</v>
      </c>
      <c r="T197" s="12" t="n">
        <v>-13.112</v>
      </c>
      <c r="U197" s="12" t="n">
        <v>-10.559</v>
      </c>
      <c r="V197" s="12" t="n">
        <v>-684.074</v>
      </c>
      <c r="W197" s="12" t="n">
        <v>-837.78</v>
      </c>
      <c r="X197" s="12" t="n">
        <v>-1900.893</v>
      </c>
    </row>
    <row r="198">
      <c r="A198" s="20" t="inlineStr">
        <is>
          <t>단기차입금 순증감</t>
        </is>
      </c>
      <c r="C198" s="22" t="n">
        <v>15</v>
      </c>
      <c r="G198" s="22" t="n">
        <v>-499.468</v>
      </c>
      <c r="K198" s="22" t="n">
        <v>409.384</v>
      </c>
      <c r="V198" s="22" t="n">
        <v>15</v>
      </c>
      <c r="W198" s="22" t="n">
        <v>-499.468</v>
      </c>
      <c r="X198" s="22" t="n">
        <v>409.384</v>
      </c>
    </row>
    <row r="199">
      <c r="A199" s="20" t="inlineStr">
        <is>
          <t>장기차입</t>
        </is>
      </c>
      <c r="C199" s="22" t="n">
        <v>0</v>
      </c>
      <c r="E199" s="22" t="n">
        <v>200</v>
      </c>
      <c r="G199" s="22" t="n">
        <v>575</v>
      </c>
      <c r="I199" s="22" t="n">
        <v>0</v>
      </c>
      <c r="K199" s="22" t="n">
        <v>870</v>
      </c>
      <c r="T199" s="22" t="n">
        <v>300</v>
      </c>
      <c r="U199" s="22" t="n">
        <v>170</v>
      </c>
      <c r="V199" s="22" t="n">
        <v>0</v>
      </c>
      <c r="W199" s="22" t="n">
        <v>575</v>
      </c>
      <c r="X199" s="22" t="n">
        <v>870</v>
      </c>
    </row>
    <row r="200">
      <c r="A200" s="20" t="inlineStr">
        <is>
          <t>단기차입</t>
        </is>
      </c>
      <c r="C200" s="22" t="n">
        <v>15</v>
      </c>
      <c r="E200" s="22" t="n">
        <v>560</v>
      </c>
      <c r="I200" s="22" t="n">
        <v>500</v>
      </c>
      <c r="M200" s="22" t="n">
        <v>0</v>
      </c>
      <c r="T200" s="22" t="n">
        <v>191</v>
      </c>
      <c r="U200" s="22" t="n">
        <v>284</v>
      </c>
      <c r="V200" s="22" t="n">
        <v>15</v>
      </c>
    </row>
    <row r="201">
      <c r="A201" s="20" t="inlineStr">
        <is>
          <t>단기차입금 상환</t>
        </is>
      </c>
      <c r="E201" s="22" t="n">
        <v>-682.8</v>
      </c>
      <c r="I201" s="22" t="n">
        <v>-25.002</v>
      </c>
      <c r="M201" s="22" t="n">
        <v>-158.899</v>
      </c>
    </row>
    <row r="202">
      <c r="A202" s="20" t="inlineStr">
        <is>
          <t>장기차입금 상환</t>
        </is>
      </c>
      <c r="C202" s="22" t="n">
        <v>-2.88</v>
      </c>
      <c r="E202" s="22" t="n">
        <v>-26.521</v>
      </c>
      <c r="G202" s="22" t="n">
        <v>-64.021</v>
      </c>
      <c r="I202" s="22" t="n">
        <v>-37.5</v>
      </c>
      <c r="K202" s="22" t="n">
        <v>-87.83499999999999</v>
      </c>
      <c r="M202" s="22" t="n">
        <v>-427.344</v>
      </c>
      <c r="T202" s="22" t="n">
        <v>-11.36</v>
      </c>
      <c r="U202" s="22" t="n">
        <v>-83.13800000000001</v>
      </c>
      <c r="V202" s="22" t="n">
        <v>-2.88</v>
      </c>
      <c r="W202" s="22" t="n">
        <v>-64.021</v>
      </c>
      <c r="X202" s="22" t="n">
        <v>-87.83499999999999</v>
      </c>
    </row>
    <row r="203">
      <c r="A203" s="20" t="inlineStr">
        <is>
          <t>사채 발행</t>
        </is>
      </c>
      <c r="C203" s="22" t="n">
        <v>936</v>
      </c>
      <c r="G203" s="22" t="n">
        <v>0</v>
      </c>
      <c r="U203" s="22" t="n">
        <v>0</v>
      </c>
      <c r="V203" s="22" t="n">
        <v>936</v>
      </c>
      <c r="W203" s="22" t="n">
        <v>0</v>
      </c>
    </row>
    <row r="204">
      <c r="A204" s="20" t="inlineStr">
        <is>
          <t>주식 발행</t>
        </is>
      </c>
      <c r="C204" s="22" t="n">
        <v>614.226</v>
      </c>
      <c r="E204" s="22" t="n">
        <v>0</v>
      </c>
      <c r="G204" s="22" t="n">
        <v>0</v>
      </c>
      <c r="K204" s="22" t="n">
        <v>1713.72</v>
      </c>
      <c r="U204" s="22" t="n">
        <v>0</v>
      </c>
      <c r="V204" s="22" t="n">
        <v>614.226</v>
      </c>
      <c r="W204" s="22" t="n">
        <v>0</v>
      </c>
      <c r="X204" s="22" t="n">
        <v>1713.72</v>
      </c>
    </row>
    <row r="205">
      <c r="A205" s="20" t="inlineStr">
        <is>
          <t>비지배주주 환급</t>
        </is>
      </c>
      <c r="I205" s="22" t="n">
        <v>0</v>
      </c>
      <c r="M205" s="22" t="n">
        <v>-92.23399999999999</v>
      </c>
    </row>
    <row r="206">
      <c r="A206" s="20" t="inlineStr">
        <is>
          <t>리스부채 상환</t>
        </is>
      </c>
      <c r="C206" s="22" t="n">
        <v>0</v>
      </c>
      <c r="E206" s="22" t="n">
        <v>-10.951</v>
      </c>
      <c r="G206" s="22" t="n">
        <v>-33.558</v>
      </c>
      <c r="I206" s="22" t="n">
        <v>-73.235</v>
      </c>
      <c r="K206" s="22" t="n">
        <v>-112.309</v>
      </c>
      <c r="M206" s="22" t="n">
        <v>-40.169</v>
      </c>
      <c r="V206" s="22" t="n">
        <v>0</v>
      </c>
      <c r="W206" s="22" t="n">
        <v>-33.558</v>
      </c>
      <c r="X206" s="22" t="n">
        <v>-112.309</v>
      </c>
    </row>
    <row r="207">
      <c r="A207" s="20" t="inlineStr">
        <is>
          <t>세일앤리스백 수입</t>
        </is>
      </c>
      <c r="C207" s="22" t="n">
        <v>0</v>
      </c>
      <c r="E207" s="22" t="n">
        <v>251.505</v>
      </c>
      <c r="G207" s="22" t="n">
        <v>251.505</v>
      </c>
      <c r="I207" s="22" t="n">
        <v>173.517</v>
      </c>
      <c r="K207" s="22" t="n">
        <v>173.517</v>
      </c>
      <c r="M207" s="22" t="n">
        <v>0</v>
      </c>
      <c r="V207" s="22" t="n">
        <v>0</v>
      </c>
      <c r="W207" s="22" t="n">
        <v>251.505</v>
      </c>
      <c r="X207" s="22" t="n">
        <v>173.517</v>
      </c>
    </row>
    <row r="208">
      <c r="A208" s="20" t="inlineStr">
        <is>
          <t>연결범위 변경 없는 자회사 주식 취득</t>
        </is>
      </c>
      <c r="G208" s="22" t="n">
        <v>0</v>
      </c>
      <c r="K208" s="22" t="n">
        <v>-62.378</v>
      </c>
      <c r="W208" s="22" t="n">
        <v>0</v>
      </c>
      <c r="X208" s="22" t="n">
        <v>-62.378</v>
      </c>
    </row>
    <row r="209">
      <c r="A209" s="20" t="inlineStr">
        <is>
          <t>신주예약권 발행</t>
        </is>
      </c>
      <c r="C209" s="22" t="n">
        <v>8.292999999999999</v>
      </c>
      <c r="E209" s="22" t="n">
        <v>8.1</v>
      </c>
      <c r="G209" s="22" t="n">
        <v>8.933</v>
      </c>
      <c r="I209" s="22" t="n">
        <v>0</v>
      </c>
      <c r="K209" s="22" t="n">
        <v>0</v>
      </c>
      <c r="T209" s="22" t="n">
        <v>0.266</v>
      </c>
      <c r="U209" s="22" t="n">
        <v>0</v>
      </c>
      <c r="V209" s="22" t="n">
        <v>8.292999999999999</v>
      </c>
      <c r="W209" s="22" t="n">
        <v>8.933</v>
      </c>
      <c r="X209" s="22" t="n">
        <v>0</v>
      </c>
    </row>
    <row r="210">
      <c r="A210" s="20" t="inlineStr">
        <is>
          <t>비지배주주 납입</t>
        </is>
      </c>
      <c r="C210" s="22" t="n">
        <v>97</v>
      </c>
      <c r="E210" s="22" t="n">
        <v>0</v>
      </c>
      <c r="G210" s="22" t="n">
        <v>0</v>
      </c>
      <c r="I210" s="22" t="n">
        <v>0</v>
      </c>
      <c r="M210" s="22" t="n">
        <v>100</v>
      </c>
      <c r="U210" s="22" t="n">
        <v>0</v>
      </c>
      <c r="V210" s="22" t="n">
        <v>97</v>
      </c>
      <c r="W210" s="22" t="n">
        <v>0</v>
      </c>
    </row>
    <row r="211">
      <c r="A211" s="20" t="inlineStr">
        <is>
          <t>신주예약권 행사에 따른 주식 발행</t>
        </is>
      </c>
      <c r="C211" s="22" t="n">
        <v>36.752</v>
      </c>
      <c r="E211" s="22" t="n">
        <v>20.505</v>
      </c>
      <c r="G211" s="22" t="n">
        <v>381.048</v>
      </c>
      <c r="I211" s="22" t="n">
        <v>17.39</v>
      </c>
      <c r="K211" s="22" t="n">
        <v>22.602</v>
      </c>
      <c r="M211" s="22" t="n">
        <v>20.758</v>
      </c>
      <c r="U211" s="22" t="n">
        <v>0</v>
      </c>
      <c r="V211" s="22" t="n">
        <v>36.752</v>
      </c>
      <c r="W211" s="22" t="n">
        <v>381.048</v>
      </c>
      <c r="X211" s="22" t="n">
        <v>22.602</v>
      </c>
    </row>
    <row r="212">
      <c r="A212" s="9" t="inlineStr">
        <is>
          <t>재무활동 현금흐름</t>
        </is>
      </c>
      <c r="C212" s="12" t="n">
        <v>1704.392</v>
      </c>
      <c r="E212" s="12" t="n">
        <v>319.837</v>
      </c>
      <c r="G212" s="12" t="n">
        <v>619.439</v>
      </c>
      <c r="I212" s="12" t="n">
        <v>555.169</v>
      </c>
      <c r="K212" s="12" t="n">
        <v>2926.7</v>
      </c>
      <c r="M212" s="12" t="n">
        <v>-597.89</v>
      </c>
      <c r="T212" s="12" t="n">
        <v>479.906</v>
      </c>
      <c r="U212" s="12" t="n">
        <v>370.862</v>
      </c>
      <c r="V212" s="12" t="n">
        <v>1704.392</v>
      </c>
      <c r="W212" s="12" t="n">
        <v>619.439</v>
      </c>
      <c r="X212" s="12" t="n">
        <v>2926.7</v>
      </c>
    </row>
    <row r="213">
      <c r="A213" s="20" t="inlineStr">
        <is>
          <t>현금성자산 환산차이</t>
        </is>
      </c>
      <c r="E213" s="22" t="n">
        <v>0</v>
      </c>
      <c r="I213" s="22" t="n">
        <v>0</v>
      </c>
    </row>
    <row r="214">
      <c r="A214" s="20" t="inlineStr">
        <is>
          <t>현금성자산 증감</t>
        </is>
      </c>
      <c r="C214" s="22" t="n">
        <v>678.956</v>
      </c>
      <c r="E214" s="22" t="n">
        <v>-403.021</v>
      </c>
      <c r="G214" s="22" t="n">
        <v>4.391</v>
      </c>
      <c r="I214" s="22" t="n">
        <v>-689.259</v>
      </c>
      <c r="K214" s="22" t="n">
        <v>528.062</v>
      </c>
      <c r="M214" s="22" t="n">
        <v>-841.883</v>
      </c>
      <c r="T214" s="22" t="n">
        <v>-290.975</v>
      </c>
      <c r="U214" s="22" t="n">
        <v>-206.707</v>
      </c>
      <c r="V214" s="22" t="n">
        <v>678.956</v>
      </c>
      <c r="W214" s="22" t="n">
        <v>4.391</v>
      </c>
      <c r="X214" s="22" t="n">
        <v>528.062</v>
      </c>
    </row>
    <row r="215">
      <c r="A215" s="20" t="inlineStr">
        <is>
          <t>신규 연결 현금성자산 증가</t>
        </is>
      </c>
      <c r="G215" s="22" t="n">
        <v>0</v>
      </c>
      <c r="K215" s="22" t="n">
        <v>1</v>
      </c>
      <c r="W215" s="22" t="n">
        <v>0</v>
      </c>
      <c r="X215" s="22" t="n">
        <v>1</v>
      </c>
    </row>
    <row r="216">
      <c r="A216" s="20" t="inlineStr">
        <is>
          <t>연결범위 변경에 따른 현금성자산 증감</t>
        </is>
      </c>
      <c r="C216" s="22" t="n">
        <v>0</v>
      </c>
      <c r="I216" s="22" t="n">
        <v>0</v>
      </c>
      <c r="M216" s="22" t="n">
        <v>-101.073</v>
      </c>
      <c r="T216" s="22" t="n">
        <v>0</v>
      </c>
      <c r="U216" s="22" t="n">
        <v>-34.82</v>
      </c>
      <c r="V216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ELEMENTS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3545.732</v>
      </c>
      <c r="D5" s="12" t="n">
        <v>4495.523</v>
      </c>
      <c r="E5" s="12" t="n">
        <v>3753.027</v>
      </c>
      <c r="F5" s="12" t="n">
        <v>3523.985</v>
      </c>
      <c r="G5" s="12" t="n">
        <v>3629.249</v>
      </c>
      <c r="H5" s="11" t="n">
        <v>2557.434</v>
      </c>
      <c r="I5" s="12" t="n">
        <v>2296.396</v>
      </c>
      <c r="J5" s="12" t="n">
        <v>3196.98</v>
      </c>
      <c r="K5" s="12" t="n">
        <v>3207.262</v>
      </c>
      <c r="L5" s="12" t="n">
        <v>4495.523</v>
      </c>
    </row>
    <row r="6">
      <c r="A6" s="20" t="inlineStr">
        <is>
          <t>현금및현금성자산</t>
        </is>
      </c>
      <c r="B6" s="10" t="n"/>
      <c r="C6" s="21" t="n">
        <v>2701.349</v>
      </c>
      <c r="D6" s="22" t="n">
        <v>3275.338</v>
      </c>
      <c r="E6" s="22" t="n">
        <v>2652.708</v>
      </c>
      <c r="F6" s="22" t="n">
        <v>2332.381</v>
      </c>
      <c r="G6" s="22" t="n">
        <v>2425.119</v>
      </c>
      <c r="H6" s="21" t="n">
        <v>2304.455</v>
      </c>
      <c r="I6" s="22" t="n">
        <v>2062.928</v>
      </c>
      <c r="J6" s="22" t="n">
        <v>2791.884</v>
      </c>
      <c r="K6" s="22" t="n">
        <v>2746.276</v>
      </c>
      <c r="L6" s="22" t="n">
        <v>3275.338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677.399</v>
      </c>
      <c r="D8" s="22" t="n">
        <v>757.489</v>
      </c>
      <c r="E8" s="22" t="n">
        <v>743.877</v>
      </c>
      <c r="F8" s="22" t="n">
        <v>883.876</v>
      </c>
      <c r="G8" s="22" t="n">
        <v>969.395</v>
      </c>
      <c r="H8" s="21" t="n">
        <v>201.954</v>
      </c>
      <c r="I8" s="22" t="n">
        <v>169.982</v>
      </c>
      <c r="J8" s="22" t="n">
        <v>373.925</v>
      </c>
      <c r="K8" s="22" t="n">
        <v>391.581</v>
      </c>
      <c r="L8" s="22" t="n">
        <v>757.489</v>
      </c>
    </row>
    <row r="9">
      <c r="A9" s="20" t="inlineStr">
        <is>
          <t>재고자산</t>
        </is>
      </c>
      <c r="B9" s="10" t="n"/>
      <c r="C9" s="21" t="n">
        <v>1.993</v>
      </c>
      <c r="D9" s="22" t="n">
        <v>0.08699999999999999</v>
      </c>
      <c r="E9" s="22" t="n">
        <v>0.095</v>
      </c>
      <c r="F9" s="22" t="n">
        <v>0.075</v>
      </c>
      <c r="G9" s="22" t="n">
        <v>29.175</v>
      </c>
      <c r="H9" s="21" t="n">
        <v>11.186</v>
      </c>
      <c r="I9" s="22" t="n">
        <v>3.304</v>
      </c>
      <c r="J9" s="22" t="n">
        <v>0.876</v>
      </c>
      <c r="K9" s="22" t="n">
        <v>3.481</v>
      </c>
      <c r="L9" s="22" t="n">
        <v>0.08699999999999999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2755.96</v>
      </c>
      <c r="D11" s="12" t="n">
        <v>2744.431</v>
      </c>
      <c r="E11" s="12" t="n">
        <v>3204.831</v>
      </c>
      <c r="F11" s="12" t="n">
        <v>3242.252</v>
      </c>
      <c r="G11" s="12" t="n">
        <v>3345.561</v>
      </c>
      <c r="H11" s="11" t="n">
        <v>57.422</v>
      </c>
      <c r="I11" s="12" t="n">
        <v>55.035</v>
      </c>
      <c r="J11" s="12" t="n">
        <v>413.946</v>
      </c>
      <c r="K11" s="12" t="n">
        <v>1709.605</v>
      </c>
      <c r="L11" s="12" t="n">
        <v>2744.431</v>
      </c>
    </row>
    <row r="12">
      <c r="A12" s="20" t="inlineStr">
        <is>
          <t>유형자산</t>
        </is>
      </c>
      <c r="B12" s="10" t="n"/>
      <c r="C12" s="21" t="n">
        <v>341.879</v>
      </c>
      <c r="D12" s="22" t="n">
        <v>322.41</v>
      </c>
      <c r="E12" s="22" t="n">
        <v>541.955</v>
      </c>
      <c r="F12" s="22" t="n">
        <v>513.67</v>
      </c>
      <c r="G12" s="22" t="n">
        <v>603.157</v>
      </c>
      <c r="H12" s="21" t="n">
        <v>15.738</v>
      </c>
      <c r="I12" s="22" t="n">
        <v>16.672</v>
      </c>
      <c r="J12" s="22" t="n">
        <v>50.11</v>
      </c>
      <c r="K12" s="22" t="n">
        <v>244.898</v>
      </c>
      <c r="L12" s="22" t="n">
        <v>322.41</v>
      </c>
    </row>
    <row r="13">
      <c r="A13" s="20" t="inlineStr">
        <is>
          <t>무형자산</t>
        </is>
      </c>
      <c r="B13" s="10" t="n"/>
      <c r="C13" s="21" t="n">
        <v>2183.706</v>
      </c>
      <c r="D13" s="22" t="n">
        <v>2200.622</v>
      </c>
      <c r="E13" s="22" t="n">
        <v>2441.21</v>
      </c>
      <c r="F13" s="22" t="n">
        <v>2508.823</v>
      </c>
      <c r="G13" s="22" t="n">
        <v>2542.474</v>
      </c>
      <c r="H13" s="21" t="n">
        <v>3.681</v>
      </c>
      <c r="I13" s="22" t="n">
        <v>1.732</v>
      </c>
      <c r="J13" s="22" t="n">
        <v>117.465</v>
      </c>
      <c r="K13" s="22" t="n">
        <v>1252.127</v>
      </c>
      <c r="L13" s="22" t="n">
        <v>2200.622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6301.693</v>
      </c>
      <c r="D16" s="12" t="n">
        <v>7239.954</v>
      </c>
      <c r="E16" s="12" t="n">
        <v>6957.858</v>
      </c>
      <c r="F16" s="12" t="n">
        <v>6766.237</v>
      </c>
      <c r="G16" s="12" t="n">
        <v>6974.811</v>
      </c>
      <c r="H16" s="11" t="n">
        <v>2614.856</v>
      </c>
      <c r="I16" s="12" t="n">
        <v>2351.432</v>
      </c>
      <c r="J16" s="12" t="n">
        <v>3629.103</v>
      </c>
      <c r="K16" s="12" t="n">
        <v>4916.868</v>
      </c>
      <c r="L16" s="12" t="n">
        <v>7239.954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1991.516</v>
      </c>
      <c r="D18" s="12" t="n">
        <v>1845.244</v>
      </c>
      <c r="E18" s="12" t="n">
        <v>1450.806</v>
      </c>
      <c r="F18" s="12" t="n">
        <v>1150.538</v>
      </c>
      <c r="G18" s="12" t="n">
        <v>1230.468</v>
      </c>
      <c r="H18" s="11" t="n">
        <v>844.4059999999999</v>
      </c>
      <c r="I18" s="12" t="n">
        <v>875.263</v>
      </c>
      <c r="J18" s="12" t="n">
        <v>876.1</v>
      </c>
      <c r="K18" s="12" t="n">
        <v>707.122</v>
      </c>
      <c r="L18" s="12" t="n">
        <v>1845.244</v>
      </c>
    </row>
    <row r="19">
      <c r="A19" s="20" t="inlineStr">
        <is>
          <t>매입채무</t>
        </is>
      </c>
      <c r="B19" s="10" t="n"/>
      <c r="C19" s="21" t="n">
        <v>125.688</v>
      </c>
      <c r="D19" s="22" t="n">
        <v>107.711</v>
      </c>
      <c r="E19" s="22" t="n">
        <v>89.917</v>
      </c>
      <c r="F19" s="22" t="n">
        <v>86.22799999999999</v>
      </c>
      <c r="G19" s="22" t="n">
        <v>86.47199999999999</v>
      </c>
      <c r="H19" s="21" t="n">
        <v>38.503</v>
      </c>
      <c r="I19" s="22" t="n">
        <v>23.08</v>
      </c>
      <c r="J19" s="22" t="n">
        <v>23.737</v>
      </c>
      <c r="K19" s="22" t="n">
        <v>43.911</v>
      </c>
      <c r="L19" s="22" t="n">
        <v>107.711</v>
      </c>
    </row>
    <row r="20">
      <c r="A20" s="20" t="inlineStr">
        <is>
          <t>단기차입금</t>
        </is>
      </c>
      <c r="B20" s="10" t="n"/>
      <c r="C20" s="21" t="n">
        <v>1117.995</v>
      </c>
      <c r="D20" s="22" t="n">
        <v>642.716</v>
      </c>
      <c r="E20" s="22" t="n">
        <v>613.266</v>
      </c>
      <c r="F20" s="22" t="n">
        <v>483.816</v>
      </c>
      <c r="G20" s="22" t="n">
        <v>454.366</v>
      </c>
      <c r="H20" s="21" t="n">
        <v>353.8</v>
      </c>
      <c r="I20" s="22" t="n">
        <v>637.8</v>
      </c>
      <c r="J20" s="22" t="n">
        <v>652.8</v>
      </c>
      <c r="K20" s="22" t="n">
        <v>233.332</v>
      </c>
      <c r="L20" s="22" t="n">
        <v>642.716</v>
      </c>
    </row>
    <row r="21">
      <c r="A21" s="20" t="inlineStr">
        <is>
          <t>유동성장기부채</t>
        </is>
      </c>
      <c r="B21" s="10" t="n"/>
      <c r="C21" s="21" t="n">
        <v>104.097</v>
      </c>
      <c r="D21" s="22" t="n">
        <v>472.848</v>
      </c>
      <c r="E21" s="22" t="n">
        <v>81.753</v>
      </c>
      <c r="F21" s="22" t="n">
        <v>68.661</v>
      </c>
      <c r="G21" s="22" t="n">
        <v>70.7</v>
      </c>
      <c r="H21" s="21" t="n">
        <v>246.18</v>
      </c>
      <c r="I21" s="22" t="n">
        <v>2.88</v>
      </c>
      <c r="J21" s="22" t="n">
        <v>1.52</v>
      </c>
      <c r="K21" s="22" t="n">
        <v>81</v>
      </c>
      <c r="L21" s="22" t="n">
        <v>472.848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2284.1</v>
      </c>
      <c r="D23" s="12" t="n">
        <v>1809.504</v>
      </c>
      <c r="E23" s="12" t="n">
        <v>1776.267</v>
      </c>
      <c r="F23" s="12" t="n">
        <v>1743.892</v>
      </c>
      <c r="G23" s="12" t="n">
        <v>1727.578</v>
      </c>
      <c r="H23" s="11" t="n">
        <v>500.62</v>
      </c>
      <c r="I23" s="12" t="n">
        <v>791.52</v>
      </c>
      <c r="J23" s="12" t="n">
        <v>1734.051</v>
      </c>
      <c r="K23" s="12" t="n">
        <v>1600.711</v>
      </c>
      <c r="L23" s="12" t="n">
        <v>1809.504</v>
      </c>
    </row>
    <row r="24">
      <c r="A24" s="20" t="inlineStr">
        <is>
          <t>장기차입금</t>
        </is>
      </c>
      <c r="B24" s="10" t="n"/>
      <c r="C24" s="21" t="n">
        <v>2008.818</v>
      </c>
      <c r="D24" s="22" t="n">
        <v>1611.816</v>
      </c>
      <c r="E24" s="22" t="n">
        <v>1599.66</v>
      </c>
      <c r="F24" s="22" t="n">
        <v>1588.659</v>
      </c>
      <c r="G24" s="22" t="n">
        <v>1563.118</v>
      </c>
      <c r="H24" s="21" t="n">
        <v>500.62</v>
      </c>
      <c r="I24" s="22" t="n">
        <v>791.52</v>
      </c>
      <c r="J24" s="22" t="n">
        <v>790</v>
      </c>
      <c r="K24" s="22" t="n">
        <v>1221.499</v>
      </c>
      <c r="L24" s="22" t="n">
        <v>1611.816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4275.617</v>
      </c>
      <c r="D27" s="12" t="n">
        <v>3654.749</v>
      </c>
      <c r="E27" s="12" t="n">
        <v>3227.074</v>
      </c>
      <c r="F27" s="12" t="n">
        <v>2894.431</v>
      </c>
      <c r="G27" s="12" t="n">
        <v>2958.046</v>
      </c>
      <c r="H27" s="11" t="n">
        <v>1345.026</v>
      </c>
      <c r="I27" s="12" t="n">
        <v>1666.783</v>
      </c>
      <c r="J27" s="12" t="n">
        <v>2610.151</v>
      </c>
      <c r="K27" s="12" t="n">
        <v>2307.834</v>
      </c>
      <c r="L27" s="12" t="n">
        <v>3654.749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1536.753</v>
      </c>
      <c r="D31" s="12" t="n">
        <v>3201.068</v>
      </c>
      <c r="E31" s="12" t="n">
        <v>3318.034</v>
      </c>
      <c r="F31" s="12" t="n">
        <v>3520.516</v>
      </c>
      <c r="G31" s="12" t="n">
        <v>3637.119</v>
      </c>
      <c r="H31" s="11" t="n">
        <v>996.769</v>
      </c>
      <c r="I31" s="12" t="n">
        <v>423.571</v>
      </c>
      <c r="J31" s="12" t="n">
        <v>884.287</v>
      </c>
      <c r="K31" s="12" t="n">
        <v>2105.999</v>
      </c>
      <c r="L31" s="12" t="n">
        <v>3201.068</v>
      </c>
    </row>
    <row r="32">
      <c r="A32" s="20" t="inlineStr">
        <is>
          <t>자본금</t>
        </is>
      </c>
      <c r="B32" s="10" t="n"/>
      <c r="C32" s="21" t="n">
        <v>36.722</v>
      </c>
      <c r="D32" s="22" t="n">
        <v>10</v>
      </c>
      <c r="E32" s="22" t="n">
        <v>18.404</v>
      </c>
      <c r="F32" s="22" t="n">
        <v>21.154</v>
      </c>
      <c r="G32" s="22" t="n">
        <v>22.654</v>
      </c>
      <c r="H32" s="21" t="n">
        <v>100</v>
      </c>
      <c r="I32" s="22" t="n">
        <v>100</v>
      </c>
      <c r="J32" s="22" t="n">
        <v>10.1</v>
      </c>
      <c r="K32" s="22" t="n">
        <v>10</v>
      </c>
      <c r="L32" s="22" t="n">
        <v>10</v>
      </c>
    </row>
    <row r="33">
      <c r="A33" s="20" t="inlineStr">
        <is>
          <t>이익잉여금</t>
        </is>
      </c>
      <c r="B33" s="10" t="n"/>
      <c r="C33" s="21" t="n">
        <v>-1701.965</v>
      </c>
      <c r="D33" s="22" t="n">
        <v>-1779.939</v>
      </c>
      <c r="E33" s="22" t="n">
        <v>-1679.782</v>
      </c>
      <c r="F33" s="22" t="n">
        <v>-1482.801</v>
      </c>
      <c r="G33" s="22" t="n">
        <v>-1369.196</v>
      </c>
      <c r="H33" s="21" t="n">
        <v>-3556.161</v>
      </c>
      <c r="I33" s="22" t="n">
        <v>-4117.73</v>
      </c>
      <c r="J33" s="22" t="n">
        <v>-4456.442</v>
      </c>
      <c r="K33" s="22" t="n">
        <v>-1079.273</v>
      </c>
      <c r="L33" s="22" t="n">
        <v>-1779.939</v>
      </c>
    </row>
    <row r="34">
      <c r="A34" s="20" t="inlineStr">
        <is>
          <t>비지배지분</t>
        </is>
      </c>
      <c r="B34" s="10" t="n"/>
      <c r="C34" s="21" t="n">
        <v>231.641</v>
      </c>
      <c r="D34" s="22" t="n">
        <v>112.892</v>
      </c>
      <c r="E34" s="22" t="n">
        <v>111.957</v>
      </c>
      <c r="F34" s="22" t="n">
        <v>23.251</v>
      </c>
      <c r="G34" s="22" t="n">
        <v>24.358</v>
      </c>
      <c r="H34" s="21" t="n">
        <v>272.288</v>
      </c>
      <c r="I34" s="22" t="n">
        <v>260.406</v>
      </c>
      <c r="J34" s="22" t="n">
        <v>0</v>
      </c>
      <c r="K34" s="22" t="n">
        <v>316.059</v>
      </c>
      <c r="L34" s="22" t="n">
        <v>112.892</v>
      </c>
    </row>
    <row r="35">
      <c r="A35" s="9" t="inlineStr">
        <is>
          <t>자본총계</t>
        </is>
      </c>
      <c r="B35" s="10" t="n"/>
      <c r="C35" s="11" t="n">
        <v>2026.076</v>
      </c>
      <c r="D35" s="12" t="n">
        <v>3585.205</v>
      </c>
      <c r="E35" s="12" t="n">
        <v>3730.783</v>
      </c>
      <c r="F35" s="12" t="n">
        <v>3871.806</v>
      </c>
      <c r="G35" s="12" t="n">
        <v>4016.764</v>
      </c>
      <c r="H35" s="11" t="n">
        <v>1269.829</v>
      </c>
      <c r="I35" s="12" t="n">
        <v>684.649</v>
      </c>
      <c r="J35" s="12" t="n">
        <v>1018.951</v>
      </c>
      <c r="K35" s="12" t="n">
        <v>2609.033</v>
      </c>
      <c r="L35" s="12" t="n">
        <v>3585.205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-497.744</v>
      </c>
      <c r="E37" s="12" t="n"/>
      <c r="F37" s="12" t="n">
        <v>-172.335</v>
      </c>
      <c r="G37" s="12" t="n"/>
      <c r="H37" s="11" t="n">
        <v>-757.769</v>
      </c>
      <c r="I37" s="12" t="n">
        <v>-567.009</v>
      </c>
      <c r="J37" s="12" t="n">
        <v>-341.361</v>
      </c>
      <c r="K37" s="12" t="n">
        <v>222.732</v>
      </c>
      <c r="L37" s="12" t="n">
        <v>-497.744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955.634</v>
      </c>
      <c r="E38" s="22" t="n"/>
      <c r="F38" s="22" t="n">
        <v>1313.48</v>
      </c>
      <c r="G38" s="22" t="n"/>
      <c r="H38" s="21" t="n">
        <v>12.888</v>
      </c>
      <c r="I38" s="22" t="n">
        <v>10.569</v>
      </c>
      <c r="J38" s="22" t="n">
        <v>164.124</v>
      </c>
      <c r="K38" s="22" t="n">
        <v>536.976</v>
      </c>
      <c r="L38" s="22" t="n">
        <v>955.634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2701.349</v>
      </c>
      <c r="D71" s="22" t="n">
        <v>3275.338</v>
      </c>
      <c r="E71" s="22" t="n">
        <v>2652.708</v>
      </c>
      <c r="F71" s="22" t="n">
        <v>2332.381</v>
      </c>
      <c r="G71" s="22" t="n">
        <v>2425.119</v>
      </c>
      <c r="H71" s="22" t="n">
        <v>2304.455</v>
      </c>
      <c r="I71" s="22" t="n">
        <v>2062.928</v>
      </c>
      <c r="J71" s="22" t="n">
        <v>2791.884</v>
      </c>
      <c r="K71" s="22" t="n">
        <v>2746.276</v>
      </c>
      <c r="L71" s="22" t="n">
        <v>3275.338</v>
      </c>
    </row>
    <row r="72">
      <c r="A72" s="20" t="inlineStr">
        <is>
          <t>매출채권</t>
        </is>
      </c>
      <c r="C72" s="22" t="n">
        <v>677.399</v>
      </c>
      <c r="D72" s="22" t="n">
        <v>757.489</v>
      </c>
      <c r="E72" s="22" t="n">
        <v>743.877</v>
      </c>
      <c r="F72" s="22" t="n">
        <v>883.876</v>
      </c>
      <c r="G72" s="22" t="n">
        <v>969.395</v>
      </c>
      <c r="H72" s="22" t="n">
        <v>201.954</v>
      </c>
      <c r="I72" s="22" t="n">
        <v>169.982</v>
      </c>
      <c r="J72" s="22" t="n">
        <v>373.925</v>
      </c>
      <c r="K72" s="22" t="n">
        <v>391.581</v>
      </c>
      <c r="L72" s="22" t="n">
        <v>757.489</v>
      </c>
    </row>
    <row r="73">
      <c r="A73" s="20" t="inlineStr">
        <is>
          <t>상품·제품</t>
        </is>
      </c>
      <c r="I73" s="22" t="n">
        <v>3.236</v>
      </c>
    </row>
    <row r="74">
      <c r="A74" s="20" t="inlineStr">
        <is>
          <t>원재료·저장품</t>
        </is>
      </c>
      <c r="I74" s="22" t="n">
        <v>0.068</v>
      </c>
    </row>
    <row r="75">
      <c r="A75" s="20" t="inlineStr">
        <is>
          <t>상품</t>
        </is>
      </c>
      <c r="K75" s="22" t="n">
        <v>3.44</v>
      </c>
    </row>
    <row r="76">
      <c r="A76" s="20" t="inlineStr">
        <is>
          <t>재공품</t>
        </is>
      </c>
      <c r="K76" s="22" t="n">
        <v>0</v>
      </c>
    </row>
    <row r="77">
      <c r="A77" s="20" t="inlineStr">
        <is>
          <t>저장품</t>
        </is>
      </c>
      <c r="K77" s="22" t="n">
        <v>0.041</v>
      </c>
    </row>
    <row r="78">
      <c r="A78" s="20" t="inlineStr">
        <is>
          <t>재고자산</t>
        </is>
      </c>
      <c r="C78" s="22" t="n">
        <v>1.993</v>
      </c>
      <c r="D78" s="22" t="n">
        <v>0.08699999999999999</v>
      </c>
      <c r="E78" s="22" t="n">
        <v>0.095</v>
      </c>
      <c r="F78" s="22" t="n">
        <v>0.075</v>
      </c>
      <c r="G78" s="22" t="n">
        <v>29.175</v>
      </c>
      <c r="H78" s="22" t="n">
        <v>11.186</v>
      </c>
      <c r="I78" s="22" t="n">
        <v>3.304</v>
      </c>
      <c r="J78" s="22" t="n">
        <v>0.876</v>
      </c>
      <c r="K78" s="22" t="n">
        <v>3.481</v>
      </c>
      <c r="L78" s="22" t="n">
        <v>0.08699999999999999</v>
      </c>
    </row>
    <row r="79">
      <c r="A79" s="20" t="inlineStr">
        <is>
          <t>선급비용</t>
        </is>
      </c>
      <c r="D79" s="22" t="n">
        <v>443.343</v>
      </c>
      <c r="K79" s="22" t="n">
        <v>17.467</v>
      </c>
      <c r="L79" s="22" t="n">
        <v>443.343</v>
      </c>
    </row>
    <row r="80">
      <c r="A80" s="20" t="inlineStr">
        <is>
          <t>기타</t>
        </is>
      </c>
      <c r="C80" s="22" t="n">
        <v>187.779</v>
      </c>
      <c r="D80" s="22" t="n">
        <v>485.395</v>
      </c>
      <c r="E80" s="22" t="n">
        <v>370.829</v>
      </c>
      <c r="F80" s="22" t="n">
        <v>322.448</v>
      </c>
      <c r="G80" s="22" t="n">
        <v>220.354</v>
      </c>
      <c r="H80" s="22" t="n">
        <v>39.837</v>
      </c>
      <c r="I80" s="22" t="n">
        <v>60.181</v>
      </c>
      <c r="J80" s="22" t="n">
        <v>44.56</v>
      </c>
      <c r="K80" s="22" t="n">
        <v>63.516</v>
      </c>
      <c r="L80" s="22" t="n">
        <v>485.395</v>
      </c>
    </row>
    <row r="81">
      <c r="A81" s="20" t="inlineStr">
        <is>
          <t>대손충당금</t>
        </is>
      </c>
      <c r="C81" s="22" t="n">
        <v>-22.788</v>
      </c>
      <c r="D81" s="22" t="n">
        <v>-22.788</v>
      </c>
      <c r="E81" s="22" t="n">
        <v>-14.483</v>
      </c>
      <c r="F81" s="22" t="n">
        <v>-14.795</v>
      </c>
      <c r="G81" s="22" t="n">
        <v>-14.795</v>
      </c>
      <c r="I81" s="22" t="n">
        <v>0</v>
      </c>
      <c r="J81" s="22" t="n">
        <v>-14.265</v>
      </c>
      <c r="K81" s="22" t="n">
        <v>-15.06</v>
      </c>
      <c r="L81" s="22" t="n">
        <v>-22.788</v>
      </c>
    </row>
    <row r="82">
      <c r="A82" s="9" t="inlineStr">
        <is>
          <t>유동자산 합계</t>
        </is>
      </c>
      <c r="C82" s="12" t="n">
        <v>3545.732</v>
      </c>
      <c r="D82" s="12" t="n">
        <v>4495.523</v>
      </c>
      <c r="E82" s="12" t="n">
        <v>3753.027</v>
      </c>
      <c r="F82" s="12" t="n">
        <v>3523.985</v>
      </c>
      <c r="G82" s="12" t="n">
        <v>3629.249</v>
      </c>
      <c r="H82" s="12" t="n">
        <v>2557.434</v>
      </c>
      <c r="I82" s="12" t="n">
        <v>2296.396</v>
      </c>
      <c r="J82" s="12" t="n">
        <v>3196.98</v>
      </c>
      <c r="K82" s="12" t="n">
        <v>3207.262</v>
      </c>
      <c r="L82" s="12" t="n">
        <v>4495.523</v>
      </c>
    </row>
    <row r="83">
      <c r="A83" s="20" t="inlineStr">
        <is>
          <t>건물(순액)</t>
        </is>
      </c>
      <c r="H83" s="22" t="n">
        <v>0.654</v>
      </c>
      <c r="I83" s="22" t="n">
        <v>0.49</v>
      </c>
      <c r="J83" s="22" t="n">
        <v>0</v>
      </c>
    </row>
    <row r="84">
      <c r="A84" s="20" t="inlineStr">
        <is>
          <t>리스자산</t>
        </is>
      </c>
      <c r="J84" s="22" t="n">
        <v>0</v>
      </c>
    </row>
    <row r="85">
      <c r="A85" s="20" t="inlineStr">
        <is>
          <t>기타</t>
        </is>
      </c>
      <c r="J85" s="22" t="n">
        <v>50.11</v>
      </c>
    </row>
    <row r="86">
      <c r="A86" s="20" t="inlineStr">
        <is>
          <t>건물부속설비(순액)</t>
        </is>
      </c>
      <c r="D86" s="22" t="n">
        <v>8.970000000000001</v>
      </c>
      <c r="I86" s="22" t="n">
        <v>0</v>
      </c>
      <c r="J86" s="22" t="n">
        <v>28.605</v>
      </c>
      <c r="K86" s="22" t="n">
        <v>25.056</v>
      </c>
      <c r="L86" s="22" t="n">
        <v>8.970000000000001</v>
      </c>
    </row>
    <row r="87">
      <c r="A87" s="20" t="inlineStr">
        <is>
          <t>차량운반구(순액)</t>
        </is>
      </c>
      <c r="D87" s="22" t="n">
        <v>4.807</v>
      </c>
      <c r="H87" s="22" t="n">
        <v>0.221</v>
      </c>
      <c r="I87" s="22" t="n">
        <v>0</v>
      </c>
      <c r="J87" s="22" t="n">
        <v>0</v>
      </c>
      <c r="K87" s="22" t="n">
        <v>7.207</v>
      </c>
      <c r="L87" s="22" t="n">
        <v>4.807</v>
      </c>
    </row>
    <row r="88">
      <c r="A88" s="20" t="inlineStr">
        <is>
          <t>공구·기구·비품(순액)</t>
        </is>
      </c>
      <c r="D88" s="22" t="n">
        <v>30.283</v>
      </c>
      <c r="H88" s="22" t="n">
        <v>14.862</v>
      </c>
      <c r="I88" s="22" t="n">
        <v>16.182</v>
      </c>
      <c r="J88" s="22" t="n">
        <v>21.504</v>
      </c>
      <c r="K88" s="22" t="n">
        <v>18.15</v>
      </c>
      <c r="L88" s="22" t="n">
        <v>30.283</v>
      </c>
    </row>
    <row r="89">
      <c r="A89" s="20" t="inlineStr">
        <is>
          <t>건설중인자산</t>
        </is>
      </c>
      <c r="I89" s="22" t="n">
        <v>0</v>
      </c>
    </row>
    <row r="90">
      <c r="A90" s="20" t="inlineStr">
        <is>
          <t>리스자산(순액)</t>
        </is>
      </c>
      <c r="D90" s="22" t="n">
        <v>278.349</v>
      </c>
      <c r="J90" s="22" t="n">
        <v>0</v>
      </c>
      <c r="K90" s="22" t="n">
        <v>194.484</v>
      </c>
      <c r="L90" s="22" t="n">
        <v>278.349</v>
      </c>
    </row>
    <row r="91">
      <c r="A91" s="20" t="inlineStr">
        <is>
          <t>유형자산</t>
        </is>
      </c>
      <c r="C91" s="22" t="n">
        <v>341.879</v>
      </c>
      <c r="D91" s="22" t="n">
        <v>322.41</v>
      </c>
      <c r="E91" s="22" t="n">
        <v>541.955</v>
      </c>
      <c r="F91" s="22" t="n">
        <v>513.67</v>
      </c>
      <c r="G91" s="22" t="n">
        <v>603.157</v>
      </c>
      <c r="H91" s="22" t="n">
        <v>15.738</v>
      </c>
      <c r="I91" s="22" t="n">
        <v>16.672</v>
      </c>
      <c r="J91" s="22" t="n">
        <v>50.11</v>
      </c>
      <c r="K91" s="22" t="n">
        <v>244.898</v>
      </c>
      <c r="L91" s="22" t="n">
        <v>322.41</v>
      </c>
    </row>
    <row r="92">
      <c r="A92" s="20" t="inlineStr">
        <is>
          <t>소프트웨어</t>
        </is>
      </c>
      <c r="C92" s="22" t="n">
        <v>778.326</v>
      </c>
      <c r="D92" s="22" t="n">
        <v>999.075</v>
      </c>
      <c r="E92" s="22" t="n">
        <v>1294.355</v>
      </c>
      <c r="F92" s="22" t="n">
        <v>1418.886</v>
      </c>
      <c r="G92" s="22" t="n">
        <v>1489.595</v>
      </c>
      <c r="H92" s="22" t="n">
        <v>3.273</v>
      </c>
      <c r="I92" s="22" t="n">
        <v>1.398</v>
      </c>
      <c r="J92" s="22" t="n">
        <v>80.002</v>
      </c>
      <c r="K92" s="22" t="n">
        <v>325.149</v>
      </c>
      <c r="L92" s="22" t="n">
        <v>999.075</v>
      </c>
    </row>
    <row r="93">
      <c r="A93" s="20" t="inlineStr">
        <is>
          <t>개발 중 소프트웨어</t>
        </is>
      </c>
      <c r="D93" s="22" t="n">
        <v>168.857</v>
      </c>
      <c r="I93" s="22" t="n">
        <v>0</v>
      </c>
      <c r="J93" s="22" t="n">
        <v>37.462</v>
      </c>
      <c r="K93" s="22" t="n">
        <v>38.09</v>
      </c>
      <c r="L93" s="22" t="n">
        <v>168.857</v>
      </c>
    </row>
    <row r="94">
      <c r="A94" s="20" t="inlineStr">
        <is>
          <t>특허권</t>
        </is>
      </c>
      <c r="H94" s="22" t="n">
        <v>0.407</v>
      </c>
      <c r="I94" s="22" t="n">
        <v>0.333</v>
      </c>
      <c r="J94" s="22" t="n">
        <v>0</v>
      </c>
    </row>
    <row r="95">
      <c r="A95" s="20" t="inlineStr">
        <is>
          <t>영업권</t>
        </is>
      </c>
      <c r="C95" s="22" t="n">
        <v>1059.599</v>
      </c>
      <c r="D95" s="22" t="n">
        <v>1032.43</v>
      </c>
      <c r="E95" s="22" t="n">
        <v>1005.261</v>
      </c>
      <c r="F95" s="22" t="n">
        <v>978.092</v>
      </c>
      <c r="G95" s="22" t="n">
        <v>950.922</v>
      </c>
      <c r="J95" s="22" t="n">
        <v>0</v>
      </c>
      <c r="K95" s="22" t="n">
        <v>304.418</v>
      </c>
      <c r="L95" s="22" t="n">
        <v>1032.43</v>
      </c>
    </row>
    <row r="96">
      <c r="A96" s="20" t="inlineStr">
        <is>
          <t>고객관계자산</t>
        </is>
      </c>
      <c r="C96" s="22" t="n">
        <v>157.522</v>
      </c>
      <c r="D96" s="22" t="n">
        <v>0</v>
      </c>
      <c r="J96" s="22" t="n">
        <v>0</v>
      </c>
      <c r="K96" s="22" t="n">
        <v>584.4690000000001</v>
      </c>
      <c r="L96" s="22" t="n">
        <v>0</v>
      </c>
    </row>
    <row r="97">
      <c r="A97" s="20" t="inlineStr">
        <is>
          <t>기타</t>
        </is>
      </c>
      <c r="C97" s="22" t="n">
        <v>188.257</v>
      </c>
      <c r="D97" s="22" t="n">
        <v>169.116</v>
      </c>
      <c r="E97" s="22" t="n">
        <v>141.592</v>
      </c>
      <c r="F97" s="22" t="n">
        <v>111.843</v>
      </c>
      <c r="G97" s="22" t="n">
        <v>101.956</v>
      </c>
      <c r="K97" s="22" t="n">
        <v>0</v>
      </c>
      <c r="L97" s="22" t="n">
        <v>169.116</v>
      </c>
    </row>
    <row r="98">
      <c r="A98" s="20" t="inlineStr">
        <is>
          <t>무형자산 합계</t>
        </is>
      </c>
      <c r="C98" s="22" t="n">
        <v>2183.706</v>
      </c>
      <c r="D98" s="22" t="n">
        <v>2200.622</v>
      </c>
      <c r="E98" s="22" t="n">
        <v>2441.21</v>
      </c>
      <c r="F98" s="22" t="n">
        <v>2508.823</v>
      </c>
      <c r="G98" s="22" t="n">
        <v>2542.474</v>
      </c>
      <c r="H98" s="22" t="n">
        <v>3.681</v>
      </c>
      <c r="I98" s="22" t="n">
        <v>1.732</v>
      </c>
      <c r="J98" s="22" t="n">
        <v>117.465</v>
      </c>
      <c r="K98" s="22" t="n">
        <v>1252.127</v>
      </c>
      <c r="L98" s="22" t="n">
        <v>2200.622</v>
      </c>
    </row>
    <row r="99">
      <c r="A99" s="20" t="inlineStr">
        <is>
          <t>투자유가증권</t>
        </is>
      </c>
      <c r="D99" s="22" t="n">
        <v>163.546</v>
      </c>
      <c r="H99" s="22" t="n">
        <v>13.433</v>
      </c>
      <c r="I99" s="22" t="n">
        <v>12.072</v>
      </c>
      <c r="J99" s="22" t="n">
        <v>203.32</v>
      </c>
      <c r="K99" s="22" t="n">
        <v>176.699</v>
      </c>
      <c r="L99" s="22" t="n">
        <v>163.546</v>
      </c>
    </row>
    <row r="100">
      <c r="A100" s="20" t="inlineStr">
        <is>
          <t>보증금</t>
        </is>
      </c>
      <c r="H100" s="22" t="n">
        <v>24.541</v>
      </c>
      <c r="I100" s="22" t="n">
        <v>24.541</v>
      </c>
      <c r="J100" s="22" t="n">
        <v>43.04</v>
      </c>
    </row>
    <row r="101">
      <c r="A101" s="20" t="inlineStr">
        <is>
          <t>이연법인세자산</t>
        </is>
      </c>
      <c r="D101" s="22" t="n">
        <v>0</v>
      </c>
      <c r="J101" s="22" t="n">
        <v>0</v>
      </c>
      <c r="K101" s="22" t="n">
        <v>5.339</v>
      </c>
      <c r="L101" s="22" t="n">
        <v>0</v>
      </c>
    </row>
    <row r="102">
      <c r="A102" s="20" t="inlineStr">
        <is>
          <t>기타</t>
        </is>
      </c>
      <c r="D102" s="22" t="n">
        <v>57.852</v>
      </c>
      <c r="H102" s="22" t="n">
        <v>0.026</v>
      </c>
      <c r="I102" s="22" t="n">
        <v>0.016</v>
      </c>
      <c r="J102" s="22" t="n">
        <v>43.05</v>
      </c>
      <c r="K102" s="22" t="n">
        <v>30.539</v>
      </c>
      <c r="L102" s="22" t="n">
        <v>57.852</v>
      </c>
    </row>
    <row r="103">
      <c r="A103" s="20" t="inlineStr">
        <is>
          <t>투자 및 기타자산</t>
        </is>
      </c>
      <c r="C103" s="22" t="n">
        <v>230.374</v>
      </c>
      <c r="D103" s="22" t="n">
        <v>221.398</v>
      </c>
      <c r="E103" s="22" t="n">
        <v>221.666</v>
      </c>
      <c r="F103" s="22" t="n">
        <v>219.758</v>
      </c>
      <c r="G103" s="22" t="n">
        <v>199.93</v>
      </c>
      <c r="H103" s="22" t="n">
        <v>38.001</v>
      </c>
      <c r="I103" s="22" t="n">
        <v>36.63</v>
      </c>
      <c r="J103" s="22" t="n">
        <v>246.37</v>
      </c>
      <c r="K103" s="22" t="n">
        <v>212.579</v>
      </c>
      <c r="L103" s="22" t="n">
        <v>221.398</v>
      </c>
    </row>
    <row r="104">
      <c r="A104" s="9" t="inlineStr">
        <is>
          <t>비유동자산 합계</t>
        </is>
      </c>
      <c r="C104" s="12" t="n">
        <v>2755.96</v>
      </c>
      <c r="D104" s="12" t="n">
        <v>2744.431</v>
      </c>
      <c r="E104" s="12" t="n">
        <v>3204.831</v>
      </c>
      <c r="F104" s="12" t="n">
        <v>3242.252</v>
      </c>
      <c r="G104" s="12" t="n">
        <v>3345.561</v>
      </c>
      <c r="H104" s="12" t="n">
        <v>57.422</v>
      </c>
      <c r="I104" s="12" t="n">
        <v>55.035</v>
      </c>
      <c r="J104" s="12" t="n">
        <v>413.946</v>
      </c>
      <c r="K104" s="12" t="n">
        <v>1709.605</v>
      </c>
      <c r="L104" s="12" t="n">
        <v>2744.431</v>
      </c>
    </row>
    <row r="105">
      <c r="A105" s="20" t="inlineStr">
        <is>
          <t>주식교부비</t>
        </is>
      </c>
      <c r="I105" s="22" t="n">
        <v>0</v>
      </c>
      <c r="J105" s="22" t="n">
        <v>18.176</v>
      </c>
      <c r="K105" s="22" t="n">
        <v>0</v>
      </c>
    </row>
    <row r="106">
      <c r="A106" s="20" t="inlineStr">
        <is>
          <t>이연자산 합계</t>
        </is>
      </c>
      <c r="I106" s="22" t="n">
        <v>0</v>
      </c>
      <c r="J106" s="22" t="n">
        <v>18.176</v>
      </c>
      <c r="K106" s="22" t="n">
        <v>0</v>
      </c>
    </row>
    <row r="107">
      <c r="A107" s="9" t="inlineStr">
        <is>
          <t>자산 합계</t>
        </is>
      </c>
      <c r="C107" s="12" t="n">
        <v>6301.693</v>
      </c>
      <c r="D107" s="12" t="n">
        <v>7239.954</v>
      </c>
      <c r="E107" s="12" t="n">
        <v>6957.858</v>
      </c>
      <c r="F107" s="12" t="n">
        <v>6766.237</v>
      </c>
      <c r="G107" s="12" t="n">
        <v>6974.811</v>
      </c>
      <c r="H107" s="12" t="n">
        <v>2614.856</v>
      </c>
      <c r="I107" s="12" t="n">
        <v>2351.432</v>
      </c>
      <c r="J107" s="12" t="n">
        <v>3629.103</v>
      </c>
      <c r="K107" s="12" t="n">
        <v>4916.868</v>
      </c>
      <c r="L107" s="12" t="n">
        <v>7239.954</v>
      </c>
    </row>
    <row r="108">
      <c r="A108" s="20" t="inlineStr">
        <is>
          <t>매입채무</t>
        </is>
      </c>
      <c r="C108" s="22" t="n">
        <v>125.688</v>
      </c>
      <c r="D108" s="22" t="n">
        <v>107.711</v>
      </c>
      <c r="E108" s="22" t="n">
        <v>89.917</v>
      </c>
      <c r="F108" s="22" t="n">
        <v>86.22799999999999</v>
      </c>
      <c r="G108" s="22" t="n">
        <v>86.47199999999999</v>
      </c>
      <c r="H108" s="22" t="n">
        <v>38.503</v>
      </c>
      <c r="I108" s="22" t="n">
        <v>23.08</v>
      </c>
      <c r="J108" s="22" t="n">
        <v>23.737</v>
      </c>
      <c r="K108" s="22" t="n">
        <v>43.911</v>
      </c>
      <c r="L108" s="22" t="n">
        <v>107.711</v>
      </c>
    </row>
    <row r="109">
      <c r="A109" s="20" t="inlineStr">
        <is>
          <t>단기차입금</t>
        </is>
      </c>
      <c r="C109" s="22" t="n">
        <v>1117.995</v>
      </c>
      <c r="D109" s="22" t="n">
        <v>642.716</v>
      </c>
      <c r="E109" s="22" t="n">
        <v>613.266</v>
      </c>
      <c r="F109" s="22" t="n">
        <v>483.816</v>
      </c>
      <c r="G109" s="22" t="n">
        <v>454.366</v>
      </c>
      <c r="H109" s="22" t="n">
        <v>353.8</v>
      </c>
      <c r="I109" s="22" t="n">
        <v>637.8</v>
      </c>
      <c r="J109" s="22" t="n">
        <v>652.8</v>
      </c>
      <c r="K109" s="22" t="n">
        <v>233.332</v>
      </c>
      <c r="L109" s="22" t="n">
        <v>642.716</v>
      </c>
    </row>
    <row r="110">
      <c r="A110" s="20" t="inlineStr">
        <is>
          <t>1년 내 상환 장기차입금</t>
        </is>
      </c>
      <c r="C110" s="22" t="n">
        <v>104.097</v>
      </c>
      <c r="D110" s="22" t="n">
        <v>472.848</v>
      </c>
      <c r="E110" s="22" t="n">
        <v>81.753</v>
      </c>
      <c r="F110" s="22" t="n">
        <v>68.661</v>
      </c>
      <c r="G110" s="22" t="n">
        <v>70.7</v>
      </c>
      <c r="H110" s="22" t="n">
        <v>246.18</v>
      </c>
      <c r="I110" s="22" t="n">
        <v>2.88</v>
      </c>
      <c r="J110" s="22" t="n">
        <v>1.52</v>
      </c>
      <c r="K110" s="22" t="n">
        <v>81</v>
      </c>
      <c r="L110" s="22" t="n">
        <v>472.848</v>
      </c>
    </row>
    <row r="111">
      <c r="A111" s="20" t="inlineStr">
        <is>
          <t>미지급금</t>
        </is>
      </c>
      <c r="C111" s="22" t="n">
        <v>377.178</v>
      </c>
      <c r="D111" s="22" t="n">
        <v>367.996</v>
      </c>
      <c r="E111" s="22" t="n">
        <v>451.505</v>
      </c>
      <c r="F111" s="22" t="n">
        <v>309.6</v>
      </c>
      <c r="G111" s="22" t="n">
        <v>336.704</v>
      </c>
      <c r="H111" s="22" t="n">
        <v>157.99</v>
      </c>
      <c r="I111" s="22" t="n">
        <v>165.215</v>
      </c>
      <c r="J111" s="22" t="n">
        <v>167.901</v>
      </c>
      <c r="K111" s="22" t="n">
        <v>228.919</v>
      </c>
      <c r="L111" s="22" t="n">
        <v>367.996</v>
      </c>
    </row>
    <row r="112">
      <c r="A112" s="20" t="inlineStr">
        <is>
          <t>미지급법인세</t>
        </is>
      </c>
      <c r="C112" s="22" t="n">
        <v>10.368</v>
      </c>
      <c r="D112" s="22" t="n">
        <v>3.203</v>
      </c>
      <c r="E112" s="22" t="n">
        <v>1.963</v>
      </c>
      <c r="F112" s="22" t="n">
        <v>2.275</v>
      </c>
      <c r="G112" s="22" t="n">
        <v>2.225</v>
      </c>
      <c r="H112" s="22" t="n">
        <v>1.89</v>
      </c>
      <c r="I112" s="22" t="n">
        <v>1.6</v>
      </c>
      <c r="J112" s="22" t="n">
        <v>1.503</v>
      </c>
      <c r="K112" s="22" t="n">
        <v>20.121</v>
      </c>
      <c r="L112" s="22" t="n">
        <v>3.203</v>
      </c>
    </row>
    <row r="113">
      <c r="A113" s="20" t="inlineStr">
        <is>
          <t>미지급 소비세</t>
        </is>
      </c>
      <c r="H113" s="22" t="n">
        <v>11.586</v>
      </c>
      <c r="I113" s="22" t="n">
        <v>16.329</v>
      </c>
      <c r="J113" s="22" t="n">
        <v>16.114</v>
      </c>
    </row>
    <row r="114">
      <c r="A114" s="20" t="inlineStr">
        <is>
          <t>리스부채</t>
        </is>
      </c>
      <c r="D114" s="22" t="n">
        <v>81.46599999999999</v>
      </c>
      <c r="J114" s="22" t="n">
        <v>0</v>
      </c>
      <c r="K114" s="22" t="n">
        <v>47.009</v>
      </c>
      <c r="L114" s="22" t="n">
        <v>81.46599999999999</v>
      </c>
    </row>
    <row r="115">
      <c r="A115" s="20" t="inlineStr">
        <is>
          <t>상여충당금</t>
        </is>
      </c>
      <c r="C115" s="22" t="n">
        <v>7.751</v>
      </c>
      <c r="D115" s="22" t="n">
        <v>11.626</v>
      </c>
      <c r="E115" s="22" t="n">
        <v>0</v>
      </c>
      <c r="F115" s="22" t="n">
        <v>0</v>
      </c>
      <c r="G115" s="22" t="n">
        <v>0</v>
      </c>
      <c r="J115" s="22" t="n">
        <v>0</v>
      </c>
      <c r="K115" s="22" t="n">
        <v>8.438000000000001</v>
      </c>
      <c r="L115" s="22" t="n">
        <v>11.626</v>
      </c>
    </row>
    <row r="116">
      <c r="A116" s="20" t="inlineStr">
        <is>
          <t>기타</t>
        </is>
      </c>
      <c r="C116" s="22" t="n">
        <v>248.437</v>
      </c>
      <c r="D116" s="22" t="n">
        <v>239.142</v>
      </c>
      <c r="E116" s="22" t="n">
        <v>212.399</v>
      </c>
      <c r="F116" s="22" t="n">
        <v>199.957</v>
      </c>
      <c r="G116" s="22" t="n">
        <v>280</v>
      </c>
      <c r="H116" s="22" t="n">
        <v>34.455</v>
      </c>
      <c r="I116" s="22" t="n">
        <v>28.358</v>
      </c>
      <c r="J116" s="22" t="n">
        <v>28.638</v>
      </c>
      <c r="K116" s="22" t="n">
        <v>44.389</v>
      </c>
      <c r="L116" s="22" t="n">
        <v>239.142</v>
      </c>
    </row>
    <row r="117">
      <c r="A117" s="9" t="inlineStr">
        <is>
          <t>유동부채 합계</t>
        </is>
      </c>
      <c r="C117" s="12" t="n">
        <v>1991.516</v>
      </c>
      <c r="D117" s="12" t="n">
        <v>1845.244</v>
      </c>
      <c r="E117" s="12" t="n">
        <v>1450.806</v>
      </c>
      <c r="F117" s="12" t="n">
        <v>1150.538</v>
      </c>
      <c r="G117" s="12" t="n">
        <v>1230.468</v>
      </c>
      <c r="H117" s="12" t="n">
        <v>844.4059999999999</v>
      </c>
      <c r="I117" s="12" t="n">
        <v>875.263</v>
      </c>
      <c r="J117" s="12" t="n">
        <v>876.1</v>
      </c>
      <c r="K117" s="12" t="n">
        <v>707.122</v>
      </c>
      <c r="L117" s="12" t="n">
        <v>1845.244</v>
      </c>
    </row>
    <row r="118">
      <c r="A118" s="20" t="inlineStr">
        <is>
          <t>전환사채형 신주예약권부 사채</t>
        </is>
      </c>
      <c r="I118" s="22" t="n">
        <v>0</v>
      </c>
      <c r="J118" s="22" t="n">
        <v>936</v>
      </c>
      <c r="K118" s="22" t="n">
        <v>0</v>
      </c>
    </row>
    <row r="119">
      <c r="A119" s="20" t="inlineStr">
        <is>
          <t>장기차입금</t>
        </is>
      </c>
      <c r="C119" s="22" t="n">
        <v>2008.818</v>
      </c>
      <c r="D119" s="22" t="n">
        <v>1611.816</v>
      </c>
      <c r="E119" s="22" t="n">
        <v>1599.66</v>
      </c>
      <c r="F119" s="22" t="n">
        <v>1588.659</v>
      </c>
      <c r="G119" s="22" t="n">
        <v>1563.118</v>
      </c>
      <c r="H119" s="22" t="n">
        <v>500.62</v>
      </c>
      <c r="I119" s="22" t="n">
        <v>791.52</v>
      </c>
      <c r="J119" s="22" t="n">
        <v>790</v>
      </c>
      <c r="K119" s="22" t="n">
        <v>1221.499</v>
      </c>
      <c r="L119" s="22" t="n">
        <v>1611.816</v>
      </c>
    </row>
    <row r="120">
      <c r="A120" s="20" t="inlineStr">
        <is>
          <t>리스부채</t>
        </is>
      </c>
      <c r="D120" s="22" t="n">
        <v>197.688</v>
      </c>
      <c r="J120" s="22" t="n">
        <v>0</v>
      </c>
      <c r="K120" s="22" t="n">
        <v>170.937</v>
      </c>
      <c r="L120" s="22" t="n">
        <v>197.688</v>
      </c>
    </row>
    <row r="121">
      <c r="A121" s="20" t="inlineStr">
        <is>
          <t>자산복구부채</t>
        </is>
      </c>
      <c r="C121" s="22" t="n">
        <v>0</v>
      </c>
      <c r="D121" s="22" t="n">
        <v>0</v>
      </c>
      <c r="I121" s="22" t="n">
        <v>0</v>
      </c>
      <c r="J121" s="22" t="n">
        <v>6.043</v>
      </c>
      <c r="K121" s="22" t="n">
        <v>6.106</v>
      </c>
      <c r="L121" s="22" t="n">
        <v>0</v>
      </c>
    </row>
    <row r="122">
      <c r="A122" s="20" t="inlineStr">
        <is>
          <t>이연법인세부채</t>
        </is>
      </c>
      <c r="D122" s="22" t="n">
        <v>0</v>
      </c>
      <c r="I122" s="22" t="n">
        <v>0</v>
      </c>
      <c r="J122" s="22" t="n">
        <v>2.007</v>
      </c>
      <c r="K122" s="22" t="n">
        <v>202.168</v>
      </c>
      <c r="L122" s="22" t="n">
        <v>0</v>
      </c>
    </row>
    <row r="123">
      <c r="A123" s="20" t="inlineStr">
        <is>
          <t>기타</t>
        </is>
      </c>
      <c r="C123" s="22" t="n">
        <v>275.282</v>
      </c>
      <c r="D123" s="22" t="n">
        <v>197.688</v>
      </c>
      <c r="E123" s="22" t="n">
        <v>176.607</v>
      </c>
      <c r="F123" s="22" t="n">
        <v>155.233</v>
      </c>
      <c r="G123" s="22" t="n">
        <v>164.46</v>
      </c>
      <c r="K123" s="22" t="n">
        <v>373.105</v>
      </c>
      <c r="L123" s="22" t="n">
        <v>197.688</v>
      </c>
    </row>
    <row r="124">
      <c r="A124" s="9" t="inlineStr">
        <is>
          <t>비유동부채 합계</t>
        </is>
      </c>
      <c r="C124" s="12" t="n">
        <v>2284.1</v>
      </c>
      <c r="D124" s="12" t="n">
        <v>1809.504</v>
      </c>
      <c r="E124" s="12" t="n">
        <v>1776.267</v>
      </c>
      <c r="F124" s="12" t="n">
        <v>1743.892</v>
      </c>
      <c r="G124" s="12" t="n">
        <v>1727.578</v>
      </c>
      <c r="H124" s="12" t="n">
        <v>500.62</v>
      </c>
      <c r="I124" s="12" t="n">
        <v>791.52</v>
      </c>
      <c r="J124" s="12" t="n">
        <v>1734.051</v>
      </c>
      <c r="K124" s="12" t="n">
        <v>1600.711</v>
      </c>
      <c r="L124" s="12" t="n">
        <v>1809.504</v>
      </c>
    </row>
    <row r="125">
      <c r="A125" s="9" t="inlineStr">
        <is>
          <t>부채 합계</t>
        </is>
      </c>
      <c r="C125" s="12" t="n">
        <v>4275.617</v>
      </c>
      <c r="D125" s="12" t="n">
        <v>3654.749</v>
      </c>
      <c r="E125" s="12" t="n">
        <v>3227.074</v>
      </c>
      <c r="F125" s="12" t="n">
        <v>2894.431</v>
      </c>
      <c r="G125" s="12" t="n">
        <v>2958.046</v>
      </c>
      <c r="H125" s="12" t="n">
        <v>1345.026</v>
      </c>
      <c r="I125" s="12" t="n">
        <v>1666.783</v>
      </c>
      <c r="J125" s="12" t="n">
        <v>2610.151</v>
      </c>
      <c r="K125" s="12" t="n">
        <v>2307.834</v>
      </c>
      <c r="L125" s="12" t="n">
        <v>3654.749</v>
      </c>
    </row>
    <row r="126">
      <c r="A126" s="20" t="inlineStr">
        <is>
          <t>자본금</t>
        </is>
      </c>
      <c r="C126" s="22" t="n">
        <v>36.722</v>
      </c>
      <c r="D126" s="22" t="n">
        <v>10</v>
      </c>
      <c r="E126" s="22" t="n">
        <v>18.404</v>
      </c>
      <c r="F126" s="22" t="n">
        <v>21.154</v>
      </c>
      <c r="G126" s="22" t="n">
        <v>22.654</v>
      </c>
      <c r="H126" s="22" t="n">
        <v>100</v>
      </c>
      <c r="I126" s="22" t="n">
        <v>100</v>
      </c>
      <c r="J126" s="22" t="n">
        <v>10.1</v>
      </c>
      <c r="K126" s="22" t="n">
        <v>10</v>
      </c>
      <c r="L126" s="22" t="n">
        <v>10</v>
      </c>
    </row>
    <row r="127">
      <c r="A127" s="20" t="inlineStr">
        <is>
          <t>자본잉여금</t>
        </is>
      </c>
      <c r="C127" s="22" t="n">
        <v>3201.995</v>
      </c>
      <c r="D127" s="22" t="n">
        <v>4971.006</v>
      </c>
      <c r="E127" s="22" t="n">
        <v>4979.411</v>
      </c>
      <c r="F127" s="22" t="n">
        <v>4982.161</v>
      </c>
      <c r="G127" s="22" t="n">
        <v>4983.661</v>
      </c>
      <c r="H127" s="22" t="n">
        <v>4452.93</v>
      </c>
      <c r="I127" s="22" t="n">
        <v>4441.301</v>
      </c>
      <c r="J127" s="22" t="n">
        <v>5330.63</v>
      </c>
      <c r="K127" s="22" t="n">
        <v>3175.272</v>
      </c>
      <c r="L127" s="22" t="n">
        <v>4971.006</v>
      </c>
    </row>
    <row r="128">
      <c r="A128" s="20" t="inlineStr">
        <is>
          <t>이익잉여금</t>
        </is>
      </c>
      <c r="C128" s="22" t="n">
        <v>-1701.965</v>
      </c>
      <c r="D128" s="22" t="n">
        <v>-1779.939</v>
      </c>
      <c r="E128" s="22" t="n">
        <v>-1679.782</v>
      </c>
      <c r="F128" s="22" t="n">
        <v>-1482.801</v>
      </c>
      <c r="G128" s="22" t="n">
        <v>-1369.196</v>
      </c>
      <c r="H128" s="22" t="n">
        <v>-3556.161</v>
      </c>
      <c r="I128" s="22" t="n">
        <v>-4117.73</v>
      </c>
      <c r="J128" s="22" t="n">
        <v>-4456.442</v>
      </c>
      <c r="K128" s="22" t="n">
        <v>-1079.273</v>
      </c>
      <c r="L128" s="22" t="n">
        <v>-1779.939</v>
      </c>
    </row>
    <row r="129">
      <c r="A129" s="9" t="inlineStr">
        <is>
          <t>주주자본 합계</t>
        </is>
      </c>
      <c r="C129" s="12" t="n">
        <v>1536.753</v>
      </c>
      <c r="D129" s="12" t="n">
        <v>3201.066</v>
      </c>
      <c r="E129" s="12" t="n">
        <v>3318.033</v>
      </c>
      <c r="F129" s="12" t="n">
        <v>3520.515</v>
      </c>
      <c r="G129" s="12" t="n">
        <v>3637.119</v>
      </c>
      <c r="H129" s="12" t="n">
        <v>996.769</v>
      </c>
      <c r="I129" s="12" t="n">
        <v>423.57</v>
      </c>
      <c r="J129" s="12" t="n">
        <v>884.287</v>
      </c>
      <c r="K129" s="12" t="n">
        <v>2105.999</v>
      </c>
      <c r="L129" s="12" t="n">
        <v>3201.066</v>
      </c>
    </row>
    <row r="130">
      <c r="A130" s="20" t="inlineStr">
        <is>
          <t>신주예약권</t>
        </is>
      </c>
      <c r="C130" s="22" t="n">
        <v>257.682</v>
      </c>
      <c r="D130" s="22" t="n">
        <v>271.245</v>
      </c>
      <c r="E130" s="22" t="n">
        <v>300.792</v>
      </c>
      <c r="F130" s="22" t="n">
        <v>328.039</v>
      </c>
      <c r="G130" s="22" t="n">
        <v>355.287</v>
      </c>
      <c r="H130" s="22" t="n">
        <v>0.772</v>
      </c>
      <c r="I130" s="22" t="n">
        <v>0.672</v>
      </c>
      <c r="J130" s="22" t="n">
        <v>134.664</v>
      </c>
      <c r="K130" s="22" t="n">
        <v>186.975</v>
      </c>
      <c r="L130" s="22" t="n">
        <v>271.245</v>
      </c>
    </row>
    <row r="131">
      <c r="A131" s="20" t="inlineStr">
        <is>
          <t>비지배지분</t>
        </is>
      </c>
      <c r="C131" s="22" t="n">
        <v>231.641</v>
      </c>
      <c r="D131" s="22" t="n">
        <v>112.892</v>
      </c>
      <c r="E131" s="22" t="n">
        <v>111.957</v>
      </c>
      <c r="F131" s="22" t="n">
        <v>23.251</v>
      </c>
      <c r="G131" s="22" t="n">
        <v>24.358</v>
      </c>
      <c r="H131" s="22" t="n">
        <v>272.288</v>
      </c>
      <c r="I131" s="22" t="n">
        <v>260.406</v>
      </c>
      <c r="J131" s="22" t="n">
        <v>0</v>
      </c>
      <c r="K131" s="22" t="n">
        <v>316.059</v>
      </c>
      <c r="L131" s="22" t="n">
        <v>112.892</v>
      </c>
    </row>
    <row r="132">
      <c r="A132" s="9" t="inlineStr">
        <is>
          <t>순자산 합계</t>
        </is>
      </c>
      <c r="C132" s="12" t="n">
        <v>2026.076</v>
      </c>
      <c r="D132" s="12" t="n">
        <v>3585.205</v>
      </c>
      <c r="E132" s="12" t="n">
        <v>3730.783</v>
      </c>
      <c r="F132" s="12" t="n">
        <v>3871.806</v>
      </c>
      <c r="G132" s="12" t="n">
        <v>4016.764</v>
      </c>
      <c r="H132" s="12" t="n">
        <v>1269.829</v>
      </c>
      <c r="I132" s="12" t="n">
        <v>684.649</v>
      </c>
      <c r="J132" s="12" t="n">
        <v>1018.951</v>
      </c>
      <c r="K132" s="12" t="n">
        <v>2609.033</v>
      </c>
      <c r="L132" s="12" t="n">
        <v>3585.205</v>
      </c>
    </row>
    <row r="133">
      <c r="A133" s="9" t="inlineStr">
        <is>
          <t>부채·순자산 합계</t>
        </is>
      </c>
      <c r="C133" s="12" t="n">
        <v>6301.693</v>
      </c>
      <c r="D133" s="12" t="n">
        <v>7239.954</v>
      </c>
      <c r="E133" s="12" t="n">
        <v>6957.858</v>
      </c>
      <c r="F133" s="12" t="n">
        <v>6766.237</v>
      </c>
      <c r="G133" s="12" t="n">
        <v>6974.811</v>
      </c>
      <c r="H133" s="12" t="n">
        <v>2614.856</v>
      </c>
      <c r="I133" s="12" t="n">
        <v>2351.432</v>
      </c>
      <c r="J133" s="12" t="n">
        <v>3629.103</v>
      </c>
      <c r="K133" s="12" t="n">
        <v>4916.868</v>
      </c>
      <c r="L133" s="12" t="n">
        <v>7239.954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2" t="inlineStr">
        <is>
          <t>ELEMENTS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q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</row>
    <row r="5">
      <c r="A5" s="55" t="inlineStr">
        <is>
          <t>항목</t>
        </is>
      </c>
      <c r="B5" s="55" t="inlineStr">
        <is>
          <t>2023.4Q</t>
        </is>
      </c>
      <c r="C5" s="55" t="inlineStr">
        <is>
          <t>2024.1Q</t>
        </is>
      </c>
      <c r="D5" s="55" t="inlineStr">
        <is>
          <t>2024.2Q</t>
        </is>
      </c>
      <c r="E5" s="55" t="inlineStr">
        <is>
          <t>2024.3Q</t>
        </is>
      </c>
      <c r="F5" s="55" t="inlineStr">
        <is>
          <t>2024.4Q</t>
        </is>
      </c>
      <c r="G5" s="55" t="inlineStr">
        <is>
          <t>2025.1Q</t>
        </is>
      </c>
      <c r="H5" s="55" t="inlineStr">
        <is>
          <t>2025.2Q</t>
        </is>
      </c>
      <c r="I5" s="55" t="inlineStr">
        <is>
          <t>2025.3Q</t>
        </is>
      </c>
      <c r="J5" s="55" t="inlineStr">
        <is>
          <t>2025.4Q</t>
        </is>
      </c>
      <c r="K5" s="55" t="inlineStr">
        <is>
          <t>2026.1Q</t>
        </is>
      </c>
      <c r="L5" s="55" t="inlineStr">
        <is>
          <t>2026.2Q</t>
        </is>
      </c>
      <c r="M5" s="55" t="inlineStr">
        <is>
          <t>2026.3Q</t>
        </is>
      </c>
      <c r="N5" s="55" t="inlineStr">
        <is>
          <t>출처</t>
        </is>
      </c>
    </row>
    <row r="6">
      <c r="A6" s="56" t="inlineStr">
        <is>
          <t>매출</t>
        </is>
      </c>
      <c r="B6" s="57" t="n">
        <v>6.25</v>
      </c>
      <c r="C6" s="57" t="n">
        <v>4.32</v>
      </c>
      <c r="D6" s="57" t="n">
        <v>7.76</v>
      </c>
      <c r="E6" s="57" t="n">
        <v>6.49</v>
      </c>
      <c r="F6" s="57" t="n">
        <v>6.88</v>
      </c>
      <c r="G6" s="57" t="n">
        <v>7.15</v>
      </c>
      <c r="H6" s="57" t="n">
        <v>9.75</v>
      </c>
      <c r="I6" s="57" t="n">
        <v>10.31</v>
      </c>
      <c r="J6" s="57" t="n">
        <v>11.74</v>
      </c>
      <c r="K6" s="57" t="n">
        <v>12.91</v>
      </c>
      <c r="L6" s="57" t="n">
        <v>15.08</v>
      </c>
      <c r="M6" s="57" t="n">
        <v>15.3</v>
      </c>
      <c r="N6" s="58" t="inlineStr">
        <is>
          <t>2단계 보고서 자료(회사 설명회 자료·공시)</t>
        </is>
      </c>
    </row>
    <row r="7">
      <c r="A7" s="56" t="inlineStr">
        <is>
          <t>gp</t>
        </is>
      </c>
      <c r="B7" s="57" t="n">
        <v>4.7</v>
      </c>
      <c r="C7" s="57" t="n">
        <v>3.8</v>
      </c>
      <c r="D7" s="57" t="n">
        <v>6.7</v>
      </c>
      <c r="E7" s="57" t="n">
        <v>5.4</v>
      </c>
      <c r="F7" s="57" t="n">
        <v>5.8</v>
      </c>
      <c r="G7" s="57" t="n">
        <v>6.3</v>
      </c>
      <c r="H7" s="57" t="n">
        <v>7.5</v>
      </c>
      <c r="I7" s="57" t="n">
        <v>7.54</v>
      </c>
      <c r="J7" s="57" t="n">
        <v>8.800000000000001</v>
      </c>
      <c r="K7" s="57" t="n">
        <v>9.800000000000001</v>
      </c>
      <c r="L7" s="57" t="n">
        <v>12</v>
      </c>
      <c r="M7" s="57" t="n">
        <v>11.96</v>
      </c>
    </row>
    <row r="8">
      <c r="A8" s="56" t="inlineStr">
        <is>
          <t>sga</t>
        </is>
      </c>
      <c r="B8" s="57" t="n">
        <v>3.9</v>
      </c>
      <c r="C8" s="57" t="n">
        <v>3.7</v>
      </c>
      <c r="D8" s="57" t="n">
        <v>5.4</v>
      </c>
      <c r="E8" s="57" t="n">
        <v>5.8</v>
      </c>
      <c r="F8" s="57" t="n">
        <v>6.4</v>
      </c>
      <c r="G8" s="57" t="n">
        <v>6.45</v>
      </c>
      <c r="H8" s="57" t="n">
        <v>7.22</v>
      </c>
      <c r="I8" s="57" t="n">
        <v>9.07</v>
      </c>
      <c r="J8" s="57" t="n">
        <v>9.58</v>
      </c>
      <c r="K8" s="57" t="n">
        <v>8.6</v>
      </c>
      <c r="L8" s="57" t="n">
        <v>9.880000000000001</v>
      </c>
      <c r="M8" s="57" t="n">
        <v>10.65</v>
      </c>
    </row>
    <row r="9">
      <c r="A9" s="56" t="inlineStr">
        <is>
          <t>영업이익</t>
        </is>
      </c>
      <c r="B9" s="57" t="n">
        <v>0.78</v>
      </c>
      <c r="C9" s="57" t="n">
        <v>0.16</v>
      </c>
      <c r="D9" s="57" t="n">
        <v>1.31</v>
      </c>
      <c r="E9" s="57" t="n">
        <v>-0.37</v>
      </c>
      <c r="F9" s="57" t="n">
        <v>-0.53</v>
      </c>
      <c r="G9" s="57" t="n">
        <v>-0.13</v>
      </c>
      <c r="H9" s="57" t="n">
        <v>0.3</v>
      </c>
      <c r="I9" s="57" t="n">
        <v>-1.53</v>
      </c>
      <c r="J9" s="57" t="n">
        <v>-0.79</v>
      </c>
      <c r="K9" s="57" t="n">
        <v>1.19</v>
      </c>
      <c r="L9" s="57" t="n">
        <v>2.08</v>
      </c>
      <c r="M9" s="57" t="n">
        <v>1.3</v>
      </c>
    </row>
    <row r="10">
      <c r="A10" s="56" t="inlineStr">
        <is>
          <t>ord</t>
        </is>
      </c>
      <c r="B10" s="57" t="n">
        <v>0.53</v>
      </c>
      <c r="C10" s="57" t="n">
        <v>-0.15</v>
      </c>
      <c r="D10" s="57" t="n">
        <v>1.13</v>
      </c>
      <c r="E10" s="57" t="n">
        <v>-0.53</v>
      </c>
      <c r="F10" s="57" t="n">
        <v>-0.72</v>
      </c>
      <c r="G10" s="57" t="n">
        <v>-0.24</v>
      </c>
      <c r="H10" s="57" t="n">
        <v>0.15</v>
      </c>
      <c r="I10" s="57" t="n">
        <v>-1.7</v>
      </c>
      <c r="J10" s="57" t="n">
        <v>-1.22</v>
      </c>
      <c r="K10" s="57" t="n">
        <v>1.05</v>
      </c>
      <c r="L10" s="57" t="n">
        <v>1.93</v>
      </c>
      <c r="M10" s="57" t="n">
        <v>1.15</v>
      </c>
    </row>
    <row r="11">
      <c r="A11" s="56" t="inlineStr">
        <is>
          <t>pbt</t>
        </is>
      </c>
      <c r="B11" s="57" t="n">
        <v>0.4</v>
      </c>
      <c r="C11" s="57" t="n">
        <v>-0.2</v>
      </c>
      <c r="D11" s="57" t="n">
        <v>1.1</v>
      </c>
      <c r="E11" s="57" t="n">
        <v>-0.5</v>
      </c>
      <c r="F11" s="57" t="n">
        <v>-0.7</v>
      </c>
      <c r="G11" s="57" t="n">
        <v>-0.2</v>
      </c>
      <c r="H11" s="57" t="n">
        <v>-6.4</v>
      </c>
      <c r="I11" s="57" t="n">
        <v>-1.8</v>
      </c>
      <c r="J11" s="57" t="n">
        <v>-1.7</v>
      </c>
      <c r="K11" s="57" t="n">
        <v>1</v>
      </c>
      <c r="L11" s="57" t="n">
        <v>2</v>
      </c>
      <c r="M11" s="57" t="n">
        <v>1.2</v>
      </c>
    </row>
    <row r="12">
      <c r="A12" s="56" t="inlineStr">
        <is>
          <t>순이익</t>
        </is>
      </c>
      <c r="B12" s="57" t="n">
        <v>0.36</v>
      </c>
      <c r="C12" s="57" t="n">
        <v>-0.16</v>
      </c>
      <c r="D12" s="57" t="n">
        <v>0.55</v>
      </c>
      <c r="E12" s="57" t="n">
        <v>-0.77</v>
      </c>
      <c r="F12" s="57" t="n">
        <v>-0.9399999999999999</v>
      </c>
      <c r="G12" s="57" t="n">
        <v>-0.51</v>
      </c>
      <c r="H12" s="57" t="n">
        <v>-4</v>
      </c>
      <c r="I12" s="57" t="n">
        <v>-1.71</v>
      </c>
      <c r="J12" s="57" t="n">
        <v>-0.78</v>
      </c>
      <c r="K12" s="57" t="n">
        <v>1</v>
      </c>
      <c r="L12" s="57" t="n">
        <v>1.97</v>
      </c>
      <c r="M12" s="57" t="n">
        <v>1.13</v>
      </c>
    </row>
    <row r="14">
      <c r="A14" s="54" t="inlineStr">
        <is>
          <t>sga items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</row>
    <row r="15">
      <c r="A15" s="55" t="inlineStr">
        <is>
          <t>항목</t>
        </is>
      </c>
      <c r="B15" s="55" t="inlineStr">
        <is>
          <t>2025.1Q</t>
        </is>
      </c>
      <c r="C15" s="55" t="inlineStr">
        <is>
          <t>2025.2Q</t>
        </is>
      </c>
      <c r="D15" s="55" t="inlineStr">
        <is>
          <t>2025.3Q</t>
        </is>
      </c>
      <c r="E15" s="55" t="inlineStr">
        <is>
          <t>2025.4Q</t>
        </is>
      </c>
      <c r="F15" s="55" t="inlineStr">
        <is>
          <t>2026.1Q</t>
        </is>
      </c>
      <c r="G15" s="55" t="inlineStr">
        <is>
          <t>2026.2Q</t>
        </is>
      </c>
      <c r="H15" s="55" t="inlineStr">
        <is>
          <t>2026.3Q</t>
        </is>
      </c>
      <c r="N15" s="55" t="inlineStr">
        <is>
          <t>출처</t>
        </is>
      </c>
    </row>
    <row r="16">
      <c r="A16" s="56" t="inlineStr">
        <is>
          <t>인건비·연구개발비</t>
        </is>
      </c>
      <c r="B16" s="57" t="n">
        <v>3.52</v>
      </c>
      <c r="C16" s="57" t="n">
        <v>3.54</v>
      </c>
      <c r="D16" s="57" t="n">
        <v>3.75</v>
      </c>
      <c r="E16" s="57" t="n">
        <v>4.45</v>
      </c>
      <c r="F16" s="57" t="n">
        <v>3.79</v>
      </c>
      <c r="G16" s="57" t="n">
        <v>4.15</v>
      </c>
      <c r="H16" s="57" t="n">
        <v>4.36</v>
      </c>
      <c r="N16" s="58" t="inlineStr">
        <is>
          <t>2단계 보고서 자료(회사 설명회 자료·공시)</t>
        </is>
      </c>
    </row>
    <row r="17">
      <c r="A17" s="56" t="inlineStr">
        <is>
          <t>통신비·지급수수료</t>
        </is>
      </c>
      <c r="B17" s="57" t="n">
        <v>1.25</v>
      </c>
      <c r="C17" s="57" t="n">
        <v>1.23</v>
      </c>
      <c r="D17" s="57" t="n">
        <v>1.19</v>
      </c>
      <c r="E17" s="57" t="n">
        <v>1.37</v>
      </c>
      <c r="F17" s="57" t="n">
        <v>1.44</v>
      </c>
      <c r="G17" s="57" t="n">
        <v>1.96</v>
      </c>
      <c r="H17" s="57" t="n">
        <v>2.18</v>
      </c>
    </row>
    <row r="18">
      <c r="A18" s="56" t="inlineStr">
        <is>
          <t>감가상각·영업권 상각·주식보상</t>
        </is>
      </c>
      <c r="B18" s="57" t="n">
        <v>1.05</v>
      </c>
      <c r="C18" s="57" t="n">
        <v>1.17</v>
      </c>
      <c r="D18" s="57" t="n">
        <v>0.92</v>
      </c>
      <c r="E18" s="57" t="n">
        <v>0.78</v>
      </c>
      <c r="F18" s="57" t="n">
        <v>0.9</v>
      </c>
      <c r="G18" s="57" t="n">
        <v>1.09</v>
      </c>
      <c r="H18" s="57" t="n">
        <v>1.41</v>
      </c>
    </row>
    <row r="19">
      <c r="A19" s="56" t="inlineStr">
        <is>
          <t>기타</t>
        </is>
      </c>
      <c r="B19" s="57" t="n">
        <v>0.63</v>
      </c>
      <c r="C19" s="57" t="n">
        <v>0.55</v>
      </c>
      <c r="D19" s="57" t="n">
        <v>0.53</v>
      </c>
      <c r="E19" s="57" t="n">
        <v>0.62</v>
      </c>
      <c r="F19" s="57" t="n">
        <v>0.44</v>
      </c>
      <c r="G19" s="57" t="n">
        <v>0.71</v>
      </c>
      <c r="H19" s="57" t="n">
        <v>0.67</v>
      </c>
    </row>
    <row r="20">
      <c r="A20" s="56" t="inlineStr">
        <is>
          <t>폴라리파이 인수 관련 비용</t>
        </is>
      </c>
      <c r="B20" s="59" t="n"/>
      <c r="C20" s="57" t="n">
        <v>0.73</v>
      </c>
      <c r="D20" s="57" t="n">
        <v>0.53</v>
      </c>
      <c r="E20" s="57" t="n">
        <v>0.38</v>
      </c>
      <c r="F20" s="57" t="n">
        <v>0.27</v>
      </c>
      <c r="G20" s="57" t="n">
        <v>0.27</v>
      </c>
      <c r="H20" s="57" t="n">
        <v>0.27</v>
      </c>
    </row>
    <row r="21">
      <c r="A21" s="56" t="inlineStr">
        <is>
          <t>폴라리파이 판관비</t>
        </is>
      </c>
      <c r="B21" s="59" t="n"/>
      <c r="C21" s="59" t="n"/>
      <c r="D21" s="57" t="n">
        <v>2.15</v>
      </c>
      <c r="E21" s="57" t="n">
        <v>1.98</v>
      </c>
      <c r="F21" s="57" t="n">
        <v>1.76</v>
      </c>
      <c r="G21" s="57" t="n">
        <v>1.7</v>
      </c>
      <c r="H21" s="57" t="n">
        <v>1.76</v>
      </c>
    </row>
    <row r="23">
      <c r="A23" s="54" t="inlineStr">
        <is>
          <t>guide fy2026</t>
        </is>
      </c>
      <c r="B23" s="54" t="n"/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</row>
    <row r="24">
      <c r="A24" s="55" t="inlineStr">
        <is>
          <t>항목</t>
        </is>
      </c>
      <c r="B24" s="55" t="inlineStr">
        <is>
          <t>값</t>
        </is>
      </c>
      <c r="N24" s="55" t="inlineStr">
        <is>
          <t>출처</t>
        </is>
      </c>
    </row>
    <row r="25">
      <c r="A25" s="56" t="inlineStr">
        <is>
          <t>매출</t>
        </is>
      </c>
      <c r="B25" s="57" t="n">
        <v>57</v>
      </c>
      <c r="N25" s="58" t="inlineStr">
        <is>
          <t>2단계 보고서 자료(회사 설명회 자료·공시)</t>
        </is>
      </c>
    </row>
    <row r="26">
      <c r="A26" s="56" t="inlineStr">
        <is>
          <t>gp</t>
        </is>
      </c>
      <c r="B26" s="57" t="n">
        <v>44.5</v>
      </c>
    </row>
    <row r="27">
      <c r="A27" s="56" t="inlineStr">
        <is>
          <t>sga</t>
        </is>
      </c>
      <c r="B27" s="57" t="n">
        <v>40.5</v>
      </c>
    </row>
    <row r="28">
      <c r="A28" s="56" t="inlineStr">
        <is>
          <t>ebitda</t>
        </is>
      </c>
      <c r="B28" s="57" t="n">
        <v>12</v>
      </c>
    </row>
    <row r="29">
      <c r="A29" s="56" t="inlineStr">
        <is>
          <t>영업이익</t>
        </is>
      </c>
      <c r="B29" s="57" t="n">
        <v>4</v>
      </c>
    </row>
    <row r="30">
      <c r="A30" s="56" t="inlineStr">
        <is>
          <t>ord</t>
        </is>
      </c>
      <c r="B30" s="57" t="n">
        <v>3</v>
      </c>
    </row>
    <row r="31">
      <c r="A31" s="56" t="inlineStr">
        <is>
          <t>순이익</t>
        </is>
      </c>
      <c r="B31" s="57" t="n">
        <v>3</v>
      </c>
    </row>
    <row r="32">
      <c r="A32" s="56" t="inlineStr">
        <is>
          <t>EPS</t>
        </is>
      </c>
      <c r="B32" s="57" t="n">
        <v>11.03</v>
      </c>
    </row>
    <row r="34">
      <c r="A34" s="54" t="inlineStr">
        <is>
          <t>guide fy2026 · ytd 3Q</t>
        </is>
      </c>
      <c r="B34" s="54" t="n"/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  <c r="L34" s="54" t="n"/>
      <c r="M34" s="54" t="n"/>
      <c r="N34" s="54" t="n"/>
    </row>
    <row r="35">
      <c r="A35" s="55" t="inlineStr">
        <is>
          <t>항목</t>
        </is>
      </c>
      <c r="B35" s="55" t="inlineStr">
        <is>
          <t>값</t>
        </is>
      </c>
      <c r="N35" s="55" t="inlineStr">
        <is>
          <t>출처</t>
        </is>
      </c>
    </row>
    <row r="36">
      <c r="A36" s="56" t="inlineStr">
        <is>
          <t>매출</t>
        </is>
      </c>
      <c r="B36" s="57" t="n">
        <v>43.29</v>
      </c>
      <c r="N36" s="58" t="inlineStr">
        <is>
          <t>2단계 보고서 자료(회사 설명회 자료·공시)</t>
        </is>
      </c>
    </row>
    <row r="37">
      <c r="A37" s="56" t="inlineStr">
        <is>
          <t>gp</t>
        </is>
      </c>
      <c r="B37" s="57" t="n">
        <v>33.73</v>
      </c>
    </row>
    <row r="38">
      <c r="A38" s="56" t="inlineStr">
        <is>
          <t>sga</t>
        </is>
      </c>
      <c r="B38" s="57" t="n">
        <v>29.15</v>
      </c>
    </row>
    <row r="39">
      <c r="A39" s="56" t="inlineStr">
        <is>
          <t>ebitda</t>
        </is>
      </c>
      <c r="B39" s="57" t="n">
        <v>9.949999999999999</v>
      </c>
    </row>
    <row r="40">
      <c r="A40" s="56" t="inlineStr">
        <is>
          <t>영업이익</t>
        </is>
      </c>
      <c r="B40" s="57" t="n">
        <v>4.58</v>
      </c>
    </row>
    <row r="41">
      <c r="A41" s="56" t="inlineStr">
        <is>
          <t>ord</t>
        </is>
      </c>
      <c r="B41" s="57" t="n">
        <v>4.14</v>
      </c>
    </row>
    <row r="42">
      <c r="A42" s="56" t="inlineStr">
        <is>
          <t>순이익</t>
        </is>
      </c>
      <c r="B42" s="57" t="n">
        <v>4.11</v>
      </c>
    </row>
    <row r="43">
      <c r="A43" s="56" t="inlineStr">
        <is>
          <t>EPS</t>
        </is>
      </c>
      <c r="B43" s="57" t="n">
        <v>15.1</v>
      </c>
    </row>
    <row r="45">
      <c r="A45" s="54" t="inlineStr">
        <is>
          <t>bs 3Q26</t>
        </is>
      </c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</row>
    <row r="46">
      <c r="A46" s="55" t="inlineStr">
        <is>
          <t>항목</t>
        </is>
      </c>
      <c r="B46" s="55" t="inlineStr">
        <is>
          <t>값</t>
        </is>
      </c>
      <c r="N46" s="55" t="inlineStr">
        <is>
          <t>출처</t>
        </is>
      </c>
    </row>
    <row r="47">
      <c r="A47" s="56" t="inlineStr">
        <is>
          <t>cash</t>
        </is>
      </c>
      <c r="B47" s="57" t="n">
        <v>24.25</v>
      </c>
      <c r="N47" s="58" t="inlineStr">
        <is>
          <t>2단계 보고서 자료(회사 설명회 자료·공시)</t>
        </is>
      </c>
    </row>
    <row r="48">
      <c r="A48" s="56" t="inlineStr">
        <is>
          <t>short debt</t>
        </is>
      </c>
      <c r="B48" s="57" t="n">
        <v>4.54</v>
      </c>
    </row>
    <row r="49">
      <c r="A49" s="56" t="inlineStr">
        <is>
          <t>ltd current</t>
        </is>
      </c>
      <c r="B49" s="57" t="n">
        <v>0.71</v>
      </c>
    </row>
    <row r="50">
      <c r="A50" s="56" t="inlineStr">
        <is>
          <t>ltd</t>
        </is>
      </c>
      <c r="B50" s="57" t="n">
        <v>15.63</v>
      </c>
    </row>
    <row r="51">
      <c r="A51" s="56" t="inlineStr">
        <is>
          <t>equity owner</t>
        </is>
      </c>
      <c r="B51" s="57" t="n">
        <v>36.37</v>
      </c>
    </row>
    <row r="52">
      <c r="A52" s="56" t="inlineStr">
        <is>
          <t>equity ratio</t>
        </is>
      </c>
      <c r="B52" s="57" t="n">
        <v>52.1</v>
      </c>
    </row>
    <row r="53">
      <c r="A53" s="56" t="inlineStr">
        <is>
          <t>goodwill</t>
        </is>
      </c>
      <c r="B53" s="57" t="n">
        <v>9.51</v>
      </c>
    </row>
    <row r="54">
      <c r="A54" s="56" t="inlineStr">
        <is>
          <t>software</t>
        </is>
      </c>
      <c r="B54" s="57" t="n">
        <v>14.9</v>
      </c>
    </row>
    <row r="56">
      <c r="A56" s="54" t="inlineStr">
        <is>
          <t>reactions</t>
        </is>
      </c>
      <c r="B56" s="54" t="n"/>
      <c r="C56" s="54" t="n"/>
      <c r="D56" s="54" t="n"/>
      <c r="E56" s="54" t="n"/>
      <c r="F56" s="54" t="n"/>
      <c r="G56" s="54" t="n"/>
      <c r="H56" s="54" t="n"/>
      <c r="I56" s="54" t="n"/>
      <c r="J56" s="54" t="n"/>
      <c r="K56" s="54" t="n"/>
      <c r="L56" s="54" t="n"/>
      <c r="M56" s="54" t="n"/>
      <c r="N56" s="54" t="n"/>
    </row>
    <row r="57">
      <c r="A57" s="55" t="inlineStr">
        <is>
          <t>항목</t>
        </is>
      </c>
      <c r="B57" s="55" t="inlineStr">
        <is>
          <t>기준일</t>
        </is>
      </c>
      <c r="C57" s="55" t="inlineStr">
        <is>
          <t>다음날</t>
        </is>
      </c>
      <c r="D57" s="55" t="inlineStr">
        <is>
          <t>등락%</t>
        </is>
      </c>
      <c r="N57" s="55" t="inlineStr">
        <is>
          <t>출처</t>
        </is>
      </c>
    </row>
    <row r="58">
      <c r="A58" s="56" t="inlineStr">
        <is>
          <t>2025-01-14</t>
        </is>
      </c>
      <c r="B58" s="59" t="inlineStr">
        <is>
          <t>2025-01-14</t>
        </is>
      </c>
      <c r="C58" s="59" t="inlineStr">
        <is>
          <t>2025-01-15</t>
        </is>
      </c>
      <c r="D58" s="57" t="n">
        <v>16.8</v>
      </c>
      <c r="N58" s="58" t="inlineStr">
        <is>
          <t>2단계 보고서 자료(회사 설명회 자료·공시)</t>
        </is>
      </c>
    </row>
    <row r="59">
      <c r="A59" s="56" t="inlineStr">
        <is>
          <t>2025-04-14</t>
        </is>
      </c>
      <c r="B59" s="59" t="inlineStr">
        <is>
          <t>2025-04-14</t>
        </is>
      </c>
      <c r="C59" s="59" t="inlineStr">
        <is>
          <t>2025-04-15</t>
        </is>
      </c>
      <c r="D59" s="57" t="n">
        <v>-0.4</v>
      </c>
    </row>
    <row r="60">
      <c r="A60" s="56" t="inlineStr">
        <is>
          <t>2025-07-14</t>
        </is>
      </c>
      <c r="B60" s="59" t="inlineStr">
        <is>
          <t>2025-07-14</t>
        </is>
      </c>
      <c r="C60" s="59" t="inlineStr">
        <is>
          <t>2025-07-15</t>
        </is>
      </c>
      <c r="D60" s="57" t="n">
        <v>-21</v>
      </c>
    </row>
    <row r="61">
      <c r="A61" s="56" t="inlineStr">
        <is>
          <t>2025-10-14</t>
        </is>
      </c>
      <c r="B61" s="59" t="inlineStr">
        <is>
          <t>2025-10-14</t>
        </is>
      </c>
      <c r="C61" s="59" t="inlineStr">
        <is>
          <t>2025-10-15</t>
        </is>
      </c>
      <c r="D61" s="57" t="n">
        <v>-13.2</v>
      </c>
    </row>
    <row r="62">
      <c r="A62" s="56" t="inlineStr">
        <is>
          <t>2026-01-13</t>
        </is>
      </c>
      <c r="B62" s="59" t="inlineStr">
        <is>
          <t>2026-01-13</t>
        </is>
      </c>
      <c r="C62" s="59" t="inlineStr">
        <is>
          <t>2026-01-14</t>
        </is>
      </c>
      <c r="D62" s="57" t="n">
        <v>-2.5</v>
      </c>
    </row>
    <row r="63">
      <c r="A63" s="56" t="inlineStr">
        <is>
          <t>2026-04-13</t>
        </is>
      </c>
      <c r="B63" s="59" t="inlineStr">
        <is>
          <t>2026-04-13</t>
        </is>
      </c>
      <c r="C63" s="59" t="inlineStr">
        <is>
          <t>2026-04-14</t>
        </is>
      </c>
      <c r="D63" s="57" t="n">
        <v>15.8</v>
      </c>
    </row>
    <row r="64">
      <c r="A64" s="56" t="inlineStr">
        <is>
          <t>2026-07-14</t>
        </is>
      </c>
      <c r="B64" s="59" t="inlineStr">
        <is>
          <t>2026-07-14</t>
        </is>
      </c>
      <c r="C64" s="59" t="inlineStr">
        <is>
          <t>2026-07-15</t>
        </is>
      </c>
      <c r="D64" s="57" t="n">
        <v>8.800000000000001</v>
      </c>
    </row>
    <row r="65">
      <c r="A65" s="56" t="inlineStr">
        <is>
          <t>2026-10-14</t>
        </is>
      </c>
      <c r="B65" s="59" t="inlineStr">
        <is>
          <t>2026-10-14</t>
        </is>
      </c>
      <c r="C65" s="59" t="inlineStr">
        <is>
          <t>2026-10-15</t>
        </is>
      </c>
      <c r="D65" s="57" t="n">
        <v>8.6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2026-10-14</t>
        </is>
      </c>
      <c r="B4" t="inlineStr">
        <is>
          <t>2026년 11월 결산기 ３분기 결산단신</t>
        </is>
      </c>
      <c r="C4" t="inlineStr">
        <is>
          <t>https://www2.jpx.co.jp/disc/52460/140120261008547827.pdf</t>
        </is>
      </c>
    </row>
    <row r="5">
      <c r="A5" t="inlineStr">
        <is>
          <t>2026-07-14</t>
        </is>
      </c>
      <c r="B5" t="inlineStr">
        <is>
          <t>2026년 11월 결산기 ２분기 결산단신</t>
        </is>
      </c>
      <c r="C5" t="inlineStr">
        <is>
          <t>https://www2.jpx.co.jp/disc/52460/140120260713592617.pdf</t>
        </is>
      </c>
    </row>
    <row r="6">
      <c r="A6" t="inlineStr">
        <is>
          <t>2026-04-13</t>
        </is>
      </c>
      <c r="B6" t="inlineStr">
        <is>
          <t>2026년 11월 결산기 １분기 결산단신</t>
        </is>
      </c>
      <c r="C6" t="inlineStr">
        <is>
          <t>https://www2.jpx.co.jp/disc/52460/140120260413502434.pdf</t>
        </is>
      </c>
    </row>
    <row r="7">
      <c r="A7" t="inlineStr">
        <is>
          <t>2026-01-13</t>
        </is>
      </c>
      <c r="B7" t="inlineStr">
        <is>
          <t>2025년 11월 결산기 연간 결산단신</t>
        </is>
      </c>
      <c r="C7" t="inlineStr">
        <is>
          <t>https://www2.jpx.co.jp/disc/52460/140120260107530068.pdf</t>
        </is>
      </c>
    </row>
    <row r="8">
      <c r="A8" t="inlineStr">
        <is>
          <t>2025-10-14</t>
        </is>
      </c>
      <c r="B8" t="inlineStr">
        <is>
          <t>2025년 11월 결산기 ３분기 결산단신</t>
        </is>
      </c>
      <c r="C8" t="inlineStr">
        <is>
          <t>https://www2.jpx.co.jp/disc/52460/140120251009570925.pdf</t>
        </is>
      </c>
    </row>
    <row r="9">
      <c r="A9" t="inlineStr">
        <is>
          <t>2025-07-14</t>
        </is>
      </c>
      <c r="B9" t="inlineStr">
        <is>
          <t>2025년 11월 결산기 ２분기 결산단신</t>
        </is>
      </c>
      <c r="C9" t="inlineStr">
        <is>
          <t>https://www2.jpx.co.jp/disc/52460/140120250710511156.pdf</t>
        </is>
      </c>
    </row>
    <row r="10">
      <c r="A10" t="inlineStr">
        <is>
          <t>2025-04-14</t>
        </is>
      </c>
      <c r="B10" t="inlineStr">
        <is>
          <t>2025년 11월 결산기 １분기 결산단신</t>
        </is>
      </c>
      <c r="C10" t="inlineStr">
        <is>
          <t>https://www2.jpx.co.jp/disc/52460/140120250411514159.pdf</t>
        </is>
      </c>
    </row>
    <row r="11">
      <c r="A11" t="inlineStr">
        <is>
          <t>2025-01-14</t>
        </is>
      </c>
      <c r="B11" t="inlineStr">
        <is>
          <t>2024년 11월 결산기 연간 결산단신</t>
        </is>
      </c>
      <c r="C11" t="inlineStr">
        <is>
          <t>https://www2.jpx.co.jp/disc/52460/140120250110549478.pdf</t>
        </is>
      </c>
    </row>
    <row r="12">
      <c r="A12" t="inlineStr">
        <is>
          <t>2024-10-11</t>
        </is>
      </c>
      <c r="B12" t="inlineStr">
        <is>
          <t>2024년 11월 결산기 ３분기 결산단신</t>
        </is>
      </c>
      <c r="C12" t="inlineStr">
        <is>
          <t>https://www2.jpx.co.jp/disc/52460/140120241010596557.pdf</t>
        </is>
      </c>
    </row>
    <row r="13">
      <c r="A13" t="inlineStr">
        <is>
          <t>2024-07-12</t>
        </is>
      </c>
      <c r="B13" t="inlineStr">
        <is>
          <t>2024년 11월 결산기 ２분기 결산단신</t>
        </is>
      </c>
      <c r="C13" t="inlineStr">
        <is>
          <t>https://www2.jpx.co.jp/disc/52460/140120240711547922.pdf</t>
        </is>
      </c>
    </row>
    <row r="14">
      <c r="A14" t="inlineStr">
        <is>
          <t>2024-04-12</t>
        </is>
      </c>
      <c r="B14" t="inlineStr">
        <is>
          <t>2024년 11월 결산기 １분기 결산단신</t>
        </is>
      </c>
      <c r="C14" t="inlineStr">
        <is>
          <t>https://www2.jpx.co.jp/disc/52460/140120240410568676.pdf</t>
        </is>
      </c>
    </row>
    <row r="15">
      <c r="A15" t="inlineStr">
        <is>
          <t>2024-01-15</t>
        </is>
      </c>
      <c r="B15" t="inlineStr">
        <is>
          <t>2023년 11월 결산기 연간 결산단신</t>
        </is>
      </c>
      <c r="C15" t="inlineStr">
        <is>
          <t>https://www2.jpx.co.jp/disc/52460/140120240115515252.pdf</t>
        </is>
      </c>
    </row>
    <row r="16">
      <c r="A16" t="inlineStr">
        <is>
          <t>2023-10-12</t>
        </is>
      </c>
      <c r="B16" t="inlineStr">
        <is>
          <t>2023년 11월 결산기 3분기 결산단신</t>
        </is>
      </c>
      <c r="C16" t="inlineStr">
        <is>
          <t>https://www2.jpx.co.jp/disc/52460/140120231012565777.pdf</t>
        </is>
      </c>
    </row>
    <row r="17">
      <c r="A17" t="inlineStr">
        <is>
          <t>2023-07-13</t>
        </is>
      </c>
      <c r="B17" t="inlineStr">
        <is>
          <t>2023년 11월 결산기 2분기 결산단신</t>
        </is>
      </c>
      <c r="C17" t="inlineStr">
        <is>
          <t>https://www2.jpx.co.jp/disc/52460/140120230713521793.pdf</t>
        </is>
      </c>
    </row>
    <row r="18">
      <c r="A18" t="inlineStr">
        <is>
          <t>2023-04-12</t>
        </is>
      </c>
      <c r="B18" t="inlineStr">
        <is>
          <t>2023년 11월 결산기 1분기 결산단신</t>
        </is>
      </c>
      <c r="C18" t="inlineStr">
        <is>
          <t>https://www2.jpx.co.jp/disc/52460/140120230412545767.pdf</t>
        </is>
      </c>
    </row>
    <row r="19">
      <c r="A19" t="inlineStr">
        <is>
          <t>2023-01-16</t>
        </is>
      </c>
      <c r="B19" t="inlineStr">
        <is>
          <t>2022년 11월 결산기 연간 결산단신</t>
        </is>
      </c>
      <c r="C19" t="inlineStr">
        <is>
          <t>https://www2.jpx.co.jp/disc/52460/140120230113589379.pdf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2026-10-28T07:03:37Z</dcterms:created>
  <dcterms:modified xmlns:dcterms="http://purl.org/dc/terms/" xmlns:xsi="http://www.w3.org/2001/XMLSchema-instance" xsi:type="dcterms:W3CDTF">2026-10-28T07:03:37Z</dcterms:modified>
</cp:coreProperties>
</file>