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손익계산서" sheetId="1" state="visible" r:id="rId1"/>
    <sheet xmlns:r="http://schemas.openxmlformats.org/officeDocument/2006/relationships" name="포괄손익" sheetId="2" state="visible" r:id="rId2"/>
    <sheet xmlns:r="http://schemas.openxmlformats.org/officeDocument/2006/relationships" name="재무상태표" sheetId="3" state="visible" r:id="rId3"/>
    <sheet xmlns:r="http://schemas.openxmlformats.org/officeDocument/2006/relationships" name="현금흐름표" sheetId="4" state="visible" r:id="rId4"/>
    <sheet xmlns:r="http://schemas.openxmlformats.org/officeDocument/2006/relationships" name="부문" sheetId="5" state="visible" r:id="rId5"/>
    <sheet xmlns:r="http://schemas.openxmlformats.org/officeDocument/2006/relationships" name="섹터 데이터" sheetId="6" state="visible" r:id="rId6"/>
    <sheet xmlns:r="http://schemas.openxmlformats.org/officeDocument/2006/relationships" name="출처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;\(#,##0.0\);&quot;-&quot;"/>
    <numFmt numFmtId="165" formatCode="0.0%;\-0.0%;&quot;-&quot;"/>
  </numFmts>
  <fonts count="9">
    <font>
      <name val="Calibri"/>
      <family val="2"/>
      <color theme="1"/>
      <sz val="11"/>
      <scheme val="minor"/>
    </font>
    <font>
      <name val="맑은 고딕"/>
      <b val="1"/>
      <sz val="20"/>
    </font>
    <font>
      <name val="맑은 고딕"/>
      <color rgb="FFFF0000"/>
      <sz val="9"/>
    </font>
    <font>
      <name val="맑은 고딕"/>
      <color rgb="FF808080"/>
      <sz val="9"/>
    </font>
    <font>
      <name val="맑은 고딕"/>
      <b val="1"/>
      <sz val="10"/>
    </font>
    <font>
      <name val="맑은 고딕"/>
      <b val="1"/>
      <sz val="11"/>
    </font>
    <font>
      <name val="맑은 고딕"/>
      <color rgb="FF808080"/>
      <sz val="11"/>
    </font>
    <font>
      <name val="맑은 고딕"/>
      <sz val="11"/>
    </font>
    <font>
      <name val="맑은 고딕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D9D9D9"/>
      </patternFill>
    </fill>
    <fill>
      <patternFill patternType="solid">
        <fgColor rgb="FF808080"/>
      </patternFill>
    </fill>
  </fills>
  <borders count="2">
    <border>
      <left/>
      <right/>
      <top/>
      <bottom/>
      <diagonal/>
    </border>
    <border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164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7" fillId="0" borderId="0" pivotButton="0" quotePrefix="0" xfId="0"/>
    <xf numFmtId="3" fontId="7" fillId="0" borderId="0" applyAlignment="1" pivotButton="0" quotePrefix="0" xfId="0">
      <alignment horizontal="center" vertical="center"/>
    </xf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58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40" customWidth="1" min="32" max="32"/>
  </cols>
  <sheetData>
    <row r="1">
      <c r="A1" s="1" t="inlineStr">
        <is>
          <t>SHIFT 손익계산서</t>
        </is>
      </c>
    </row>
    <row r="2">
      <c r="A2" s="2" t="inlineStr">
        <is>
          <t>결산기 기준(27.2Q = 2027년 결산기 2분기) · 8월 결산 · 연결 · 분기 단독(누계 차분) · 오른쪽 FY = 연간</t>
        </is>
      </c>
      <c r="B2" s="3" t="inlineStr">
        <is>
          <t>(단위: 억엔)</t>
        </is>
      </c>
    </row>
    <row r="3">
      <c r="A3" s="4" t="inlineStr">
        <is>
          <t>항목</t>
        </is>
      </c>
      <c r="B3" s="4" t="inlineStr">
        <is>
          <t>참고</t>
        </is>
      </c>
      <c r="C3" s="4" t="inlineStr">
        <is>
          <t>22.1Q</t>
        </is>
      </c>
      <c r="D3" s="4" t="inlineStr">
        <is>
          <t>22.2Q</t>
        </is>
      </c>
      <c r="E3" s="4" t="inlineStr">
        <is>
          <t>22.3Q</t>
        </is>
      </c>
      <c r="F3" s="4" t="inlineStr">
        <is>
          <t>22.4Q</t>
        </is>
      </c>
      <c r="G3" s="4" t="inlineStr">
        <is>
          <t>23.1Q</t>
        </is>
      </c>
      <c r="H3" s="4" t="inlineStr">
        <is>
          <t>23.2Q</t>
        </is>
      </c>
      <c r="I3" s="4" t="inlineStr">
        <is>
          <t>23.3Q</t>
        </is>
      </c>
      <c r="J3" s="4" t="inlineStr">
        <is>
          <t>23.4Q</t>
        </is>
      </c>
      <c r="K3" s="4" t="inlineStr">
        <is>
          <t>24.1Q</t>
        </is>
      </c>
      <c r="L3" s="4" t="inlineStr">
        <is>
          <t>24.2Q</t>
        </is>
      </c>
      <c r="M3" s="4" t="inlineStr">
        <is>
          <t>24.3Q</t>
        </is>
      </c>
      <c r="N3" s="4" t="inlineStr">
        <is>
          <t>24.4Q</t>
        </is>
      </c>
      <c r="O3" s="4" t="inlineStr">
        <is>
          <t>25.1Q</t>
        </is>
      </c>
      <c r="P3" s="4" t="inlineStr">
        <is>
          <t>25.2Q</t>
        </is>
      </c>
      <c r="Q3" s="4" t="inlineStr">
        <is>
          <t>25.3Q</t>
        </is>
      </c>
      <c r="R3" s="4" t="inlineStr">
        <is>
          <t>25.4Q</t>
        </is>
      </c>
      <c r="S3" s="4" t="inlineStr">
        <is>
          <t>26.1Q</t>
        </is>
      </c>
      <c r="T3" s="4" t="inlineStr">
        <is>
          <t>26.2Q</t>
        </is>
      </c>
      <c r="U3" s="4" t="inlineStr">
        <is>
          <t>26.3Q</t>
        </is>
      </c>
      <c r="V3" s="4" t="inlineStr">
        <is>
          <t>26.4Q</t>
        </is>
      </c>
      <c r="W3" s="4" t="inlineStr">
        <is>
          <t>FY18</t>
        </is>
      </c>
      <c r="X3" s="4" t="inlineStr">
        <is>
          <t>FY19</t>
        </is>
      </c>
      <c r="Y3" s="4" t="inlineStr">
        <is>
          <t>FY20</t>
        </is>
      </c>
      <c r="Z3" s="4" t="inlineStr">
        <is>
          <t>FY21</t>
        </is>
      </c>
      <c r="AA3" s="4" t="inlineStr">
        <is>
          <t>FY22</t>
        </is>
      </c>
      <c r="AB3" s="4" t="inlineStr">
        <is>
          <t>FY23</t>
        </is>
      </c>
      <c r="AC3" s="4" t="inlineStr">
        <is>
          <t>FY24</t>
        </is>
      </c>
      <c r="AD3" s="4" t="inlineStr">
        <is>
          <t>FY25</t>
        </is>
      </c>
      <c r="AE3" s="4" t="inlineStr">
        <is>
          <t>FY26</t>
        </is>
      </c>
      <c r="AF3" s="4" t="inlineStr">
        <is>
          <t>출처</t>
        </is>
      </c>
    </row>
    <row r="4">
      <c r="A4" s="5" t="inlineStr">
        <is>
          <t>매출액</t>
        </is>
      </c>
      <c r="C4" s="6" t="n">
        <v>142.7</v>
      </c>
      <c r="D4" s="6" t="n">
        <v>155.88</v>
      </c>
      <c r="E4" s="6" t="n">
        <v>171.46</v>
      </c>
      <c r="F4" s="6" t="n">
        <v>178.69</v>
      </c>
      <c r="G4" s="6" t="n">
        <v>193.54</v>
      </c>
      <c r="H4" s="6" t="n">
        <v>209.89</v>
      </c>
      <c r="I4" s="6" t="n">
        <v>230.12</v>
      </c>
      <c r="J4" s="6" t="n">
        <v>246.75</v>
      </c>
      <c r="K4" s="6" t="n">
        <v>250.73</v>
      </c>
      <c r="L4" s="6" t="n">
        <v>272.32</v>
      </c>
      <c r="M4" s="6" t="n">
        <v>288.38</v>
      </c>
      <c r="N4" s="6" t="n">
        <v>294.84</v>
      </c>
      <c r="O4" s="6" t="n">
        <v>301.74</v>
      </c>
      <c r="P4" s="6" t="n">
        <v>315.14</v>
      </c>
      <c r="Q4" s="6" t="n">
        <v>337.24</v>
      </c>
      <c r="R4" s="6" t="n">
        <v>344.07</v>
      </c>
      <c r="S4" s="6" t="n">
        <v>348.45</v>
      </c>
      <c r="T4" s="6" t="n">
        <v>371.9</v>
      </c>
      <c r="U4" s="6" t="n">
        <v>438.13</v>
      </c>
      <c r="V4" s="6" t="n">
        <v>457.52</v>
      </c>
      <c r="W4" s="6" t="n">
        <v>127.9268</v>
      </c>
      <c r="X4" s="6" t="n">
        <v>195.3196</v>
      </c>
      <c r="Y4" s="6" t="n">
        <v>287.1218</v>
      </c>
      <c r="Z4" s="6" t="n">
        <v>460.0457</v>
      </c>
      <c r="AA4" s="6" t="n">
        <v>648.73</v>
      </c>
      <c r="AB4" s="6" t="n">
        <v>880.3</v>
      </c>
      <c r="AC4" s="6" t="n">
        <v>1106.27</v>
      </c>
      <c r="AD4" s="6" t="n">
        <v>1298.19</v>
      </c>
      <c r="AE4" s="6" t="n">
        <v>1616</v>
      </c>
      <c r="AF4" s="7" t="inlineStr">
        <is>
          <t>결산단신 XBRL(거래소 공시, TDnet·JPX 보관소). 쓴 문서: 2026-10-15, 2026-07-15, 2026-04-14, 2026-01-14 외 26건 — '출처' 시트에 전부</t>
        </is>
      </c>
    </row>
    <row r="5">
      <c r="A5" s="8" t="inlineStr">
        <is>
          <t>YoY</t>
        </is>
      </c>
      <c r="G5" s="9">
        <f>IF(OR(G4="",C4=""),"",IFERROR(G4/C4-1,""))</f>
        <v/>
      </c>
      <c r="H5" s="9">
        <f>IF(OR(H4="",D4=""),"",IFERROR(H4/D4-1,""))</f>
        <v/>
      </c>
      <c r="I5" s="9">
        <f>IF(OR(I4="",E4=""),"",IFERROR(I4/E4-1,""))</f>
        <v/>
      </c>
      <c r="J5" s="9">
        <f>IF(OR(J4="",F4=""),"",IFERROR(J4/F4-1,""))</f>
        <v/>
      </c>
      <c r="K5" s="9">
        <f>IF(OR(K4="",G4=""),"",IFERROR(K4/G4-1,""))</f>
        <v/>
      </c>
      <c r="L5" s="9">
        <f>IF(OR(L4="",H4=""),"",IFERROR(L4/H4-1,""))</f>
        <v/>
      </c>
      <c r="M5" s="9">
        <f>IF(OR(M4="",I4=""),"",IFERROR(M4/I4-1,""))</f>
        <v/>
      </c>
      <c r="N5" s="9">
        <f>IF(OR(N4="",J4=""),"",IFERROR(N4/J4-1,""))</f>
        <v/>
      </c>
      <c r="O5" s="9">
        <f>IF(OR(O4="",K4=""),"",IFERROR(O4/K4-1,""))</f>
        <v/>
      </c>
      <c r="P5" s="9">
        <f>IF(OR(P4="",L4=""),"",IFERROR(P4/L4-1,""))</f>
        <v/>
      </c>
      <c r="Q5" s="9">
        <f>IF(OR(Q4="",M4=""),"",IFERROR(Q4/M4-1,""))</f>
        <v/>
      </c>
      <c r="R5" s="9">
        <f>IF(OR(R4="",N4=""),"",IFERROR(R4/N4-1,""))</f>
        <v/>
      </c>
      <c r="S5" s="9">
        <f>IF(OR(S4="",O4=""),"",IFERROR(S4/O4-1,""))</f>
        <v/>
      </c>
      <c r="T5" s="9">
        <f>IF(OR(T4="",P4=""),"",IFERROR(T4/P4-1,""))</f>
        <v/>
      </c>
      <c r="U5" s="9">
        <f>IF(OR(U4="",Q4=""),"",IFERROR(U4/Q4-1,""))</f>
        <v/>
      </c>
      <c r="V5" s="9">
        <f>IF(OR(V4="",R4=""),"",IFERROR(V4/R4-1,""))</f>
        <v/>
      </c>
      <c r="X5" s="9">
        <f>IF(OR(X4="",W4=""),"",IFERROR(X4/W4-1,""))</f>
        <v/>
      </c>
      <c r="Y5" s="9">
        <f>IF(OR(Y4="",X4=""),"",IFERROR(Y4/X4-1,""))</f>
        <v/>
      </c>
      <c r="Z5" s="9">
        <f>IF(OR(Z4="",Y4=""),"",IFERROR(Z4/Y4-1,""))</f>
        <v/>
      </c>
      <c r="AA5" s="9">
        <f>IF(OR(AA4="",Z4=""),"",IFERROR(AA4/Z4-1,""))</f>
        <v/>
      </c>
      <c r="AB5" s="9">
        <f>IF(OR(AB4="",AA4=""),"",IFERROR(AB4/AA4-1,""))</f>
        <v/>
      </c>
      <c r="AC5" s="9">
        <f>IF(OR(AC4="",AB4=""),"",IFERROR(AC4/AB4-1,""))</f>
        <v/>
      </c>
      <c r="AD5" s="9">
        <f>IF(OR(AD4="",AC4=""),"",IFERROR(AD4/AC4-1,""))</f>
        <v/>
      </c>
      <c r="AE5" s="9">
        <f>IF(OR(AE4="",AD4=""),"",IFERROR(AE4/AD4-1,""))</f>
        <v/>
      </c>
    </row>
    <row r="6">
      <c r="A6" s="5" t="inlineStr">
        <is>
          <t>매출원가</t>
        </is>
      </c>
      <c r="C6" s="6" t="n">
        <v>95.59999999999999</v>
      </c>
      <c r="D6" s="6" t="n">
        <v>102.75</v>
      </c>
      <c r="E6" s="6" t="n">
        <v>115.24</v>
      </c>
      <c r="F6" s="6" t="n">
        <v>124.14</v>
      </c>
      <c r="G6" s="6" t="n">
        <v>131.09</v>
      </c>
      <c r="H6" s="6" t="n">
        <v>136.74</v>
      </c>
      <c r="I6" s="6" t="n">
        <v>152.03</v>
      </c>
      <c r="J6" s="6" t="n">
        <v>161</v>
      </c>
      <c r="K6" s="6" t="n">
        <v>172.67</v>
      </c>
      <c r="L6" s="6" t="n">
        <v>184.74</v>
      </c>
      <c r="M6" s="6" t="n">
        <v>196.92</v>
      </c>
      <c r="N6" s="6" t="n">
        <v>198.34</v>
      </c>
      <c r="O6" s="6" t="n">
        <v>201.5</v>
      </c>
      <c r="P6" s="6" t="n">
        <v>203.33</v>
      </c>
      <c r="Q6" s="6" t="n">
        <v>218.87</v>
      </c>
      <c r="R6" s="6" t="n">
        <v>224.33</v>
      </c>
      <c r="S6" s="6" t="n">
        <v>235.25</v>
      </c>
      <c r="T6" s="6" t="n">
        <v>244.11</v>
      </c>
      <c r="U6" s="6" t="n">
        <v>295.54</v>
      </c>
      <c r="V6" s="6" t="n">
        <v>299.08</v>
      </c>
      <c r="W6" s="6" t="n">
        <v>89.0094</v>
      </c>
      <c r="X6" s="6" t="n">
        <v>133.159</v>
      </c>
      <c r="Y6" s="6" t="n">
        <v>197.6204</v>
      </c>
      <c r="Z6" s="6" t="n">
        <v>320.916</v>
      </c>
      <c r="AA6" s="6" t="n">
        <v>437.73</v>
      </c>
      <c r="AB6" s="6" t="n">
        <v>580.86</v>
      </c>
      <c r="AC6" s="6" t="n">
        <v>752.67</v>
      </c>
      <c r="AD6" s="6" t="n">
        <v>848.03</v>
      </c>
      <c r="AE6" s="6" t="n">
        <v>1073.98</v>
      </c>
    </row>
    <row r="7">
      <c r="A7" s="5" t="inlineStr">
        <is>
          <t>매출총이익</t>
        </is>
      </c>
      <c r="C7" s="6" t="n">
        <v>47.09</v>
      </c>
      <c r="D7" s="6" t="n">
        <v>53.13</v>
      </c>
      <c r="E7" s="6" t="n">
        <v>56.23</v>
      </c>
      <c r="F7" s="6" t="n">
        <v>54.55</v>
      </c>
      <c r="G7" s="6" t="n">
        <v>62.44</v>
      </c>
      <c r="H7" s="6" t="n">
        <v>73.16</v>
      </c>
      <c r="I7" s="6" t="n">
        <v>78.08</v>
      </c>
      <c r="J7" s="6" t="n">
        <v>85.76000000000001</v>
      </c>
      <c r="K7" s="6" t="n">
        <v>78.06</v>
      </c>
      <c r="L7" s="6" t="n">
        <v>87.56999999999999</v>
      </c>
      <c r="M7" s="6" t="n">
        <v>91.45999999999999</v>
      </c>
      <c r="N7" s="6" t="n">
        <v>96.51000000000001</v>
      </c>
      <c r="O7" s="6" t="n">
        <v>100.24</v>
      </c>
      <c r="P7" s="6" t="n">
        <v>111.81</v>
      </c>
      <c r="Q7" s="6" t="n">
        <v>118.36</v>
      </c>
      <c r="R7" s="6" t="n">
        <v>119.75</v>
      </c>
      <c r="S7" s="6" t="n">
        <v>113.19</v>
      </c>
      <c r="T7" s="6" t="n">
        <v>127.8</v>
      </c>
      <c r="U7" s="6" t="n">
        <v>142.59</v>
      </c>
      <c r="V7" s="6" t="n">
        <v>158.44</v>
      </c>
      <c r="W7" s="6" t="n">
        <v>38.9174</v>
      </c>
      <c r="X7" s="6" t="n">
        <v>62.1606</v>
      </c>
      <c r="Y7" s="6" t="n">
        <v>89.5013</v>
      </c>
      <c r="Z7" s="6" t="n">
        <v>139.1297</v>
      </c>
      <c r="AA7" s="6" t="n">
        <v>211</v>
      </c>
      <c r="AB7" s="6" t="n">
        <v>299.44</v>
      </c>
      <c r="AC7" s="6" t="n">
        <v>353.6</v>
      </c>
      <c r="AD7" s="6" t="n">
        <v>450.16</v>
      </c>
      <c r="AE7" s="6" t="n">
        <v>542.02</v>
      </c>
    </row>
    <row r="8">
      <c r="A8" s="8" t="inlineStr">
        <is>
          <t>매출총이익률</t>
        </is>
      </c>
      <c r="C8" s="9">
        <f>IF(OR(C7="",C4=""),"",IFERROR(C7/C4,""))</f>
        <v/>
      </c>
      <c r="D8" s="9">
        <f>IF(OR(D7="",D4=""),"",IFERROR(D7/D4,""))</f>
        <v/>
      </c>
      <c r="E8" s="9">
        <f>IF(OR(E7="",E4=""),"",IFERROR(E7/E4,""))</f>
        <v/>
      </c>
      <c r="F8" s="9">
        <f>IF(OR(F7="",F4=""),"",IFERROR(F7/F4,""))</f>
        <v/>
      </c>
      <c r="G8" s="9">
        <f>IF(OR(G7="",G4=""),"",IFERROR(G7/G4,""))</f>
        <v/>
      </c>
      <c r="H8" s="9">
        <f>IF(OR(H7="",H4=""),"",IFERROR(H7/H4,""))</f>
        <v/>
      </c>
      <c r="I8" s="9">
        <f>IF(OR(I7="",I4=""),"",IFERROR(I7/I4,""))</f>
        <v/>
      </c>
      <c r="J8" s="9">
        <f>IF(OR(J7="",J4=""),"",IFERROR(J7/J4,""))</f>
        <v/>
      </c>
      <c r="K8" s="9">
        <f>IF(OR(K7="",K4=""),"",IFERROR(K7/K4,""))</f>
        <v/>
      </c>
      <c r="L8" s="9">
        <f>IF(OR(L7="",L4=""),"",IFERROR(L7/L4,""))</f>
        <v/>
      </c>
      <c r="M8" s="9">
        <f>IF(OR(M7="",M4=""),"",IFERROR(M7/M4,""))</f>
        <v/>
      </c>
      <c r="N8" s="9">
        <f>IF(OR(N7="",N4=""),"",IFERROR(N7/N4,""))</f>
        <v/>
      </c>
      <c r="O8" s="9">
        <f>IF(OR(O7="",O4=""),"",IFERROR(O7/O4,""))</f>
        <v/>
      </c>
      <c r="P8" s="9">
        <f>IF(OR(P7="",P4=""),"",IFERROR(P7/P4,""))</f>
        <v/>
      </c>
      <c r="Q8" s="9">
        <f>IF(OR(Q7="",Q4=""),"",IFERROR(Q7/Q4,""))</f>
        <v/>
      </c>
      <c r="R8" s="9">
        <f>IF(OR(R7="",R4=""),"",IFERROR(R7/R4,""))</f>
        <v/>
      </c>
      <c r="S8" s="9">
        <f>IF(OR(S7="",S4=""),"",IFERROR(S7/S4,""))</f>
        <v/>
      </c>
      <c r="T8" s="9">
        <f>IF(OR(T7="",T4=""),"",IFERROR(T7/T4,""))</f>
        <v/>
      </c>
      <c r="U8" s="9">
        <f>IF(OR(U7="",U4=""),"",IFERROR(U7/U4,""))</f>
        <v/>
      </c>
      <c r="V8" s="9">
        <f>IF(OR(V7="",V4=""),"",IFERROR(V7/V4,""))</f>
        <v/>
      </c>
      <c r="W8" s="9">
        <f>IF(OR(W7="",W4=""),"",IFERROR(W7/W4,""))</f>
        <v/>
      </c>
      <c r="X8" s="9">
        <f>IF(OR(X7="",X4=""),"",IFERROR(X7/X4,""))</f>
        <v/>
      </c>
      <c r="Y8" s="9">
        <f>IF(OR(Y7="",Y4=""),"",IFERROR(Y7/Y4,""))</f>
        <v/>
      </c>
      <c r="Z8" s="9">
        <f>IF(OR(Z7="",Z4=""),"",IFERROR(Z7/Z4,""))</f>
        <v/>
      </c>
      <c r="AA8" s="9">
        <f>IF(OR(AA7="",AA4=""),"",IFERROR(AA7/AA4,""))</f>
        <v/>
      </c>
      <c r="AB8" s="9">
        <f>IF(OR(AB7="",AB4=""),"",IFERROR(AB7/AB4,""))</f>
        <v/>
      </c>
      <c r="AC8" s="9">
        <f>IF(OR(AC7="",AC4=""),"",IFERROR(AC7/AC4,""))</f>
        <v/>
      </c>
      <c r="AD8" s="9">
        <f>IF(OR(AD7="",AD4=""),"",IFERROR(AD7/AD4,""))</f>
        <v/>
      </c>
      <c r="AE8" s="9">
        <f>IF(OR(AE7="",AE4=""),"",IFERROR(AE7/AE4,""))</f>
        <v/>
      </c>
    </row>
    <row r="9">
      <c r="A9" s="10" t="inlineStr">
        <is>
          <t>판매비와 관리비</t>
        </is>
      </c>
      <c r="C9" s="11" t="n">
        <v>27.56</v>
      </c>
      <c r="D9" s="11" t="n">
        <v>34.4</v>
      </c>
      <c r="E9" s="11" t="n">
        <v>41.73</v>
      </c>
      <c r="F9" s="11" t="n">
        <v>38.17</v>
      </c>
      <c r="G9" s="11" t="n">
        <v>44.36</v>
      </c>
      <c r="H9" s="11" t="n">
        <v>40.41</v>
      </c>
      <c r="I9" s="11" t="n">
        <v>46.56</v>
      </c>
      <c r="J9" s="11" t="n">
        <v>52.45</v>
      </c>
      <c r="K9" s="11" t="n">
        <v>59.93</v>
      </c>
      <c r="L9" s="11" t="n">
        <v>58.87</v>
      </c>
      <c r="M9" s="11" t="n">
        <v>67.73</v>
      </c>
      <c r="N9" s="11" t="n">
        <v>61.7</v>
      </c>
      <c r="O9" s="11" t="n">
        <v>65.06999999999999</v>
      </c>
      <c r="P9" s="11" t="n">
        <v>66.39</v>
      </c>
      <c r="Q9" s="11" t="n">
        <v>79.95</v>
      </c>
      <c r="R9" s="11" t="n">
        <v>82.45999999999999</v>
      </c>
      <c r="S9" s="11" t="n">
        <v>85.02</v>
      </c>
      <c r="T9" s="11" t="n">
        <v>86.89</v>
      </c>
      <c r="U9" s="11" t="n">
        <v>97.83</v>
      </c>
      <c r="V9" s="11" t="n">
        <v>97.81999999999999</v>
      </c>
      <c r="W9" s="11" t="n">
        <v>26.9084</v>
      </c>
      <c r="X9" s="11" t="n">
        <v>46.7545</v>
      </c>
      <c r="Y9" s="11" t="n">
        <v>65.9676</v>
      </c>
      <c r="Z9" s="11" t="n">
        <v>99.18040000000001</v>
      </c>
      <c r="AA9" s="11" t="n">
        <v>141.86</v>
      </c>
      <c r="AB9" s="11" t="n">
        <v>183.78</v>
      </c>
      <c r="AC9" s="11" t="n">
        <v>248.23</v>
      </c>
      <c r="AD9" s="11" t="n">
        <v>293.87</v>
      </c>
      <c r="AE9" s="11" t="n">
        <v>367.56</v>
      </c>
    </row>
    <row r="10">
      <c r="A10" s="5" t="inlineStr">
        <is>
          <t>영업이익</t>
        </is>
      </c>
      <c r="C10" s="6" t="n">
        <v>19.53</v>
      </c>
      <c r="D10" s="6" t="n">
        <v>18.73</v>
      </c>
      <c r="E10" s="6" t="n">
        <v>14.5</v>
      </c>
      <c r="F10" s="6" t="n">
        <v>16.37</v>
      </c>
      <c r="G10" s="6" t="n">
        <v>18.08</v>
      </c>
      <c r="H10" s="6" t="n">
        <v>32.74</v>
      </c>
      <c r="I10" s="6" t="n">
        <v>31.52</v>
      </c>
      <c r="J10" s="6" t="n">
        <v>33.31</v>
      </c>
      <c r="K10" s="6" t="n">
        <v>18.13</v>
      </c>
      <c r="L10" s="6" t="n">
        <v>28.7</v>
      </c>
      <c r="M10" s="6" t="n">
        <v>23.72</v>
      </c>
      <c r="N10" s="6" t="n">
        <v>34.82</v>
      </c>
      <c r="O10" s="6" t="n">
        <v>35.17</v>
      </c>
      <c r="P10" s="6" t="n">
        <v>45.41</v>
      </c>
      <c r="Q10" s="6" t="n">
        <v>38.41</v>
      </c>
      <c r="R10" s="6" t="n">
        <v>37.29</v>
      </c>
      <c r="S10" s="6" t="n">
        <v>28.17</v>
      </c>
      <c r="T10" s="6" t="n">
        <v>40.9</v>
      </c>
      <c r="U10" s="6" t="n">
        <v>44.76</v>
      </c>
      <c r="V10" s="6" t="n">
        <v>60.62</v>
      </c>
      <c r="W10" s="6" t="n">
        <v>12.009</v>
      </c>
      <c r="X10" s="6" t="n">
        <v>15.4061</v>
      </c>
      <c r="Y10" s="6" t="n">
        <v>23.5338</v>
      </c>
      <c r="Z10" s="6" t="n">
        <v>39.9493</v>
      </c>
      <c r="AA10" s="6" t="n">
        <v>69.13</v>
      </c>
      <c r="AB10" s="6" t="n">
        <v>115.65</v>
      </c>
      <c r="AC10" s="6" t="n">
        <v>105.37</v>
      </c>
      <c r="AD10" s="6" t="n">
        <v>156.28</v>
      </c>
      <c r="AE10" s="6" t="n">
        <v>174.45</v>
      </c>
    </row>
    <row r="11">
      <c r="A11" s="8" t="inlineStr">
        <is>
          <t>영업이익률</t>
        </is>
      </c>
      <c r="C11" s="9">
        <f>IF(OR(C10="",C4=""),"",IFERROR(C10/C4,""))</f>
        <v/>
      </c>
      <c r="D11" s="9">
        <f>IF(OR(D10="",D4=""),"",IFERROR(D10/D4,""))</f>
        <v/>
      </c>
      <c r="E11" s="9">
        <f>IF(OR(E10="",E4=""),"",IFERROR(E10/E4,""))</f>
        <v/>
      </c>
      <c r="F11" s="9">
        <f>IF(OR(F10="",F4=""),"",IFERROR(F10/F4,""))</f>
        <v/>
      </c>
      <c r="G11" s="9">
        <f>IF(OR(G10="",G4=""),"",IFERROR(G10/G4,""))</f>
        <v/>
      </c>
      <c r="H11" s="9">
        <f>IF(OR(H10="",H4=""),"",IFERROR(H10/H4,""))</f>
        <v/>
      </c>
      <c r="I11" s="9">
        <f>IF(OR(I10="",I4=""),"",IFERROR(I10/I4,""))</f>
        <v/>
      </c>
      <c r="J11" s="9">
        <f>IF(OR(J10="",J4=""),"",IFERROR(J10/J4,""))</f>
        <v/>
      </c>
      <c r="K11" s="9">
        <f>IF(OR(K10="",K4=""),"",IFERROR(K10/K4,""))</f>
        <v/>
      </c>
      <c r="L11" s="9">
        <f>IF(OR(L10="",L4=""),"",IFERROR(L10/L4,""))</f>
        <v/>
      </c>
      <c r="M11" s="9">
        <f>IF(OR(M10="",M4=""),"",IFERROR(M10/M4,""))</f>
        <v/>
      </c>
      <c r="N11" s="9">
        <f>IF(OR(N10="",N4=""),"",IFERROR(N10/N4,""))</f>
        <v/>
      </c>
      <c r="O11" s="9">
        <f>IF(OR(O10="",O4=""),"",IFERROR(O10/O4,""))</f>
        <v/>
      </c>
      <c r="P11" s="9">
        <f>IF(OR(P10="",P4=""),"",IFERROR(P10/P4,""))</f>
        <v/>
      </c>
      <c r="Q11" s="9">
        <f>IF(OR(Q10="",Q4=""),"",IFERROR(Q10/Q4,""))</f>
        <v/>
      </c>
      <c r="R11" s="9">
        <f>IF(OR(R10="",R4=""),"",IFERROR(R10/R4,""))</f>
        <v/>
      </c>
      <c r="S11" s="9">
        <f>IF(OR(S10="",S4=""),"",IFERROR(S10/S4,""))</f>
        <v/>
      </c>
      <c r="T11" s="9">
        <f>IF(OR(T10="",T4=""),"",IFERROR(T10/T4,""))</f>
        <v/>
      </c>
      <c r="U11" s="9">
        <f>IF(OR(U10="",U4=""),"",IFERROR(U10/U4,""))</f>
        <v/>
      </c>
      <c r="V11" s="9">
        <f>IF(OR(V10="",V4=""),"",IFERROR(V10/V4,""))</f>
        <v/>
      </c>
      <c r="W11" s="9">
        <f>IF(OR(W10="",W4=""),"",IFERROR(W10/W4,""))</f>
        <v/>
      </c>
      <c r="X11" s="9">
        <f>IF(OR(X10="",X4=""),"",IFERROR(X10/X4,""))</f>
        <v/>
      </c>
      <c r="Y11" s="9">
        <f>IF(OR(Y10="",Y4=""),"",IFERROR(Y10/Y4,""))</f>
        <v/>
      </c>
      <c r="Z11" s="9">
        <f>IF(OR(Z10="",Z4=""),"",IFERROR(Z10/Z4,""))</f>
        <v/>
      </c>
      <c r="AA11" s="9">
        <f>IF(OR(AA10="",AA4=""),"",IFERROR(AA10/AA4,""))</f>
        <v/>
      </c>
      <c r="AB11" s="9">
        <f>IF(OR(AB10="",AB4=""),"",IFERROR(AB10/AB4,""))</f>
        <v/>
      </c>
      <c r="AC11" s="9">
        <f>IF(OR(AC10="",AC4=""),"",IFERROR(AC10/AC4,""))</f>
        <v/>
      </c>
      <c r="AD11" s="9">
        <f>IF(OR(AD10="",AD4=""),"",IFERROR(AD10/AD4,""))</f>
        <v/>
      </c>
      <c r="AE11" s="9">
        <f>IF(OR(AE10="",AE4=""),"",IFERROR(AE10/AE4,""))</f>
        <v/>
      </c>
    </row>
    <row r="12">
      <c r="A12" s="8" t="inlineStr">
        <is>
          <t>YoY</t>
        </is>
      </c>
      <c r="G12" s="9">
        <f>IF(OR(G10="",C10=""),"",IFERROR(G10/C10-1,""))</f>
        <v/>
      </c>
      <c r="H12" s="9">
        <f>IF(OR(H10="",D10=""),"",IFERROR(H10/D10-1,""))</f>
        <v/>
      </c>
      <c r="I12" s="9">
        <f>IF(OR(I10="",E10=""),"",IFERROR(I10/E10-1,""))</f>
        <v/>
      </c>
      <c r="J12" s="9">
        <f>IF(OR(J10="",F10=""),"",IFERROR(J10/F10-1,""))</f>
        <v/>
      </c>
      <c r="K12" s="9">
        <f>IF(OR(K10="",G10=""),"",IFERROR(K10/G10-1,""))</f>
        <v/>
      </c>
      <c r="L12" s="9">
        <f>IF(OR(L10="",H10=""),"",IFERROR(L10/H10-1,""))</f>
        <v/>
      </c>
      <c r="M12" s="9">
        <f>IF(OR(M10="",I10=""),"",IFERROR(M10/I10-1,""))</f>
        <v/>
      </c>
      <c r="N12" s="9">
        <f>IF(OR(N10="",J10=""),"",IFERROR(N10/J10-1,""))</f>
        <v/>
      </c>
      <c r="O12" s="9">
        <f>IF(OR(O10="",K10=""),"",IFERROR(O10/K10-1,""))</f>
        <v/>
      </c>
      <c r="P12" s="9">
        <f>IF(OR(P10="",L10=""),"",IFERROR(P10/L10-1,""))</f>
        <v/>
      </c>
      <c r="Q12" s="9">
        <f>IF(OR(Q10="",M10=""),"",IFERROR(Q10/M10-1,""))</f>
        <v/>
      </c>
      <c r="R12" s="9">
        <f>IF(OR(R10="",N10=""),"",IFERROR(R10/N10-1,""))</f>
        <v/>
      </c>
      <c r="S12" s="9">
        <f>IF(OR(S10="",O10=""),"",IFERROR(S10/O10-1,""))</f>
        <v/>
      </c>
      <c r="T12" s="9">
        <f>IF(OR(T10="",P10=""),"",IFERROR(T10/P10-1,""))</f>
        <v/>
      </c>
      <c r="U12" s="9">
        <f>IF(OR(U10="",Q10=""),"",IFERROR(U10/Q10-1,""))</f>
        <v/>
      </c>
      <c r="V12" s="9">
        <f>IF(OR(V10="",R10=""),"",IFERROR(V10/R10-1,""))</f>
        <v/>
      </c>
      <c r="X12" s="9">
        <f>IF(OR(X10="",W10=""),"",IFERROR(X10/W10-1,""))</f>
        <v/>
      </c>
      <c r="Y12" s="9">
        <f>IF(OR(Y10="",X10=""),"",IFERROR(Y10/X10-1,""))</f>
        <v/>
      </c>
      <c r="Z12" s="9">
        <f>IF(OR(Z10="",Y10=""),"",IFERROR(Z10/Y10-1,""))</f>
        <v/>
      </c>
      <c r="AA12" s="9">
        <f>IF(OR(AA10="",Z10=""),"",IFERROR(AA10/Z10-1,""))</f>
        <v/>
      </c>
      <c r="AB12" s="9">
        <f>IF(OR(AB10="",AA10=""),"",IFERROR(AB10/AA10-1,""))</f>
        <v/>
      </c>
      <c r="AC12" s="9">
        <f>IF(OR(AC10="",AB10=""),"",IFERROR(AC10/AB10-1,""))</f>
        <v/>
      </c>
      <c r="AD12" s="9">
        <f>IF(OR(AD10="",AC10=""),"",IFERROR(AD10/AC10-1,""))</f>
        <v/>
      </c>
      <c r="AE12" s="9">
        <f>IF(OR(AE10="",AD10=""),"",IFERROR(AE10/AD10-1,""))</f>
        <v/>
      </c>
    </row>
    <row r="13">
      <c r="A13" s="10" t="inlineStr">
        <is>
          <t>이자수익</t>
        </is>
      </c>
      <c r="C13" s="11" t="n">
        <v>0</v>
      </c>
      <c r="D13" s="11" t="n">
        <v>0</v>
      </c>
      <c r="E13" s="11" t="n">
        <v>0</v>
      </c>
      <c r="F13" s="11" t="n">
        <v>0</v>
      </c>
      <c r="G13" s="11" t="n">
        <v>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0.02</v>
      </c>
      <c r="O13" s="11" t="n">
        <v>0</v>
      </c>
      <c r="P13" s="11" t="n">
        <v>0.07000000000000001</v>
      </c>
      <c r="Q13" s="11" t="n">
        <v>0.01</v>
      </c>
      <c r="R13" s="11" t="n">
        <v>0.16</v>
      </c>
      <c r="S13" s="11" t="n">
        <v>0.01</v>
      </c>
      <c r="T13" s="11" t="n">
        <v>0.17</v>
      </c>
      <c r="U13" s="11" t="n">
        <v>0.02</v>
      </c>
      <c r="V13" s="11" t="n">
        <v>0.31</v>
      </c>
      <c r="W13" s="11" t="n">
        <v>0.0045</v>
      </c>
      <c r="X13" s="11" t="n">
        <v>0.0062</v>
      </c>
      <c r="Y13" s="11" t="n">
        <v>0.0104</v>
      </c>
      <c r="Z13" s="11" t="n">
        <v>0.002</v>
      </c>
      <c r="AA13" s="11" t="n">
        <v>0</v>
      </c>
      <c r="AB13" s="11" t="n">
        <v>0</v>
      </c>
      <c r="AC13" s="11" t="n">
        <v>0.02</v>
      </c>
      <c r="AD13" s="11" t="n">
        <v>0.24</v>
      </c>
      <c r="AE13" s="11" t="n">
        <v>0.51</v>
      </c>
    </row>
    <row r="14">
      <c r="A14" s="10" t="inlineStr">
        <is>
          <t>배당금수익</t>
        </is>
      </c>
      <c r="C14" s="11" t="n">
        <v>0.3</v>
      </c>
      <c r="D14" s="11" t="n">
        <v>0.28</v>
      </c>
      <c r="E14" s="11" t="n">
        <v>0.3</v>
      </c>
      <c r="F14" s="11" t="n">
        <v>0.17</v>
      </c>
      <c r="G14" s="11" t="n">
        <v>0.3</v>
      </c>
      <c r="H14" s="11" t="n">
        <v>0.33</v>
      </c>
      <c r="I14" s="11" t="n">
        <v>0.31</v>
      </c>
      <c r="J14" s="11" t="n">
        <v>0.19</v>
      </c>
      <c r="K14" s="11" t="n">
        <v>0.41</v>
      </c>
      <c r="L14" s="11" t="n">
        <v>0.25</v>
      </c>
      <c r="M14" s="11" t="n">
        <v>0</v>
      </c>
      <c r="N14" s="11" t="n">
        <v>0.01</v>
      </c>
      <c r="O14" s="11" t="n">
        <v>0</v>
      </c>
      <c r="P14" s="11" t="n">
        <v>0</v>
      </c>
      <c r="Q14" s="11" t="n">
        <v>0</v>
      </c>
      <c r="R14" s="11" t="n">
        <v>0.01</v>
      </c>
      <c r="U14" s="11" t="n">
        <v>0.18</v>
      </c>
      <c r="V14" s="11" t="n">
        <v>0.07000000000000001</v>
      </c>
      <c r="X14" s="11" t="n">
        <v>0.0001</v>
      </c>
      <c r="Y14" s="11" t="n">
        <v>0.9242</v>
      </c>
      <c r="Z14" s="11" t="n">
        <v>0.9039</v>
      </c>
      <c r="AA14" s="11" t="n">
        <v>1.05</v>
      </c>
      <c r="AB14" s="11" t="n">
        <v>1.13</v>
      </c>
      <c r="AC14" s="11" t="n">
        <v>0.67</v>
      </c>
      <c r="AD14" s="11" t="n">
        <v>0.01</v>
      </c>
      <c r="AE14" s="11" t="n">
        <v>0.26</v>
      </c>
    </row>
    <row r="15">
      <c r="A15" s="10" t="inlineStr">
        <is>
          <t>외환차익</t>
        </is>
      </c>
      <c r="W15" s="11" t="n">
        <v>0.0397</v>
      </c>
      <c r="X15" s="11" t="n">
        <v>0</v>
      </c>
    </row>
    <row r="16">
      <c r="A16" s="10" t="inlineStr">
        <is>
          <t>보조금 수입</t>
        </is>
      </c>
      <c r="C16" s="11" t="n">
        <v>1.84</v>
      </c>
      <c r="D16" s="11" t="n">
        <v>1.78</v>
      </c>
      <c r="E16" s="11" t="n">
        <v>0.78</v>
      </c>
      <c r="F16" s="11" t="n">
        <v>1.37</v>
      </c>
      <c r="G16" s="11" t="n">
        <v>1.64</v>
      </c>
      <c r="H16" s="11" t="n">
        <v>0.99</v>
      </c>
      <c r="I16" s="11" t="n">
        <v>0.48</v>
      </c>
      <c r="J16" s="11" t="n">
        <v>0.15</v>
      </c>
      <c r="K16" s="11" t="n">
        <v>0.23</v>
      </c>
      <c r="L16" s="11" t="n">
        <v>0.27</v>
      </c>
      <c r="M16" s="11" t="n">
        <v>0.4</v>
      </c>
      <c r="N16" s="11" t="n">
        <v>0.11</v>
      </c>
      <c r="O16" s="11" t="n">
        <v>0.25</v>
      </c>
      <c r="P16" s="11" t="n">
        <v>0.28</v>
      </c>
      <c r="Q16" s="11" t="n">
        <v>0.67</v>
      </c>
      <c r="R16" s="11" t="n">
        <v>0.18</v>
      </c>
      <c r="S16" s="11" t="n">
        <v>0.33</v>
      </c>
      <c r="T16" s="11" t="n">
        <v>0.53</v>
      </c>
      <c r="U16" s="11" t="n">
        <v>0.2</v>
      </c>
      <c r="V16" s="11" t="n">
        <v>0.37</v>
      </c>
      <c r="W16" s="11" t="n">
        <v>0.3819</v>
      </c>
      <c r="X16" s="11" t="n">
        <v>0.4928</v>
      </c>
      <c r="Y16" s="11" t="n">
        <v>0.9075</v>
      </c>
      <c r="Z16" s="11" t="n">
        <v>7.102</v>
      </c>
      <c r="AA16" s="11" t="n">
        <v>5.77</v>
      </c>
      <c r="AB16" s="11" t="n">
        <v>3.26</v>
      </c>
      <c r="AC16" s="11" t="n">
        <v>1.01</v>
      </c>
      <c r="AD16" s="11" t="n">
        <v>1.38</v>
      </c>
      <c r="AE16" s="11" t="n">
        <v>1.43</v>
      </c>
    </row>
    <row r="17">
      <c r="A17" s="10" t="inlineStr">
        <is>
          <t>보험 해약환급금</t>
        </is>
      </c>
      <c r="AB17" s="11" t="n">
        <v>0</v>
      </c>
      <c r="AC17" s="11" t="n">
        <v>0.34</v>
      </c>
      <c r="AD17" s="11" t="n">
        <v>0</v>
      </c>
    </row>
    <row r="18">
      <c r="A18" s="10" t="inlineStr">
        <is>
          <t>대손충당금 환입</t>
        </is>
      </c>
      <c r="O18" s="11" t="n">
        <v>0</v>
      </c>
      <c r="P18" s="11" t="n">
        <v>0.01</v>
      </c>
      <c r="Q18" s="11" t="n">
        <v>0.01</v>
      </c>
      <c r="R18" s="11" t="n">
        <v>-0.02</v>
      </c>
      <c r="S18" s="11" t="n">
        <v>0.45</v>
      </c>
      <c r="T18" s="11" t="n">
        <v>0.01</v>
      </c>
      <c r="U18" s="11" t="n">
        <v>0.33</v>
      </c>
      <c r="V18" s="11" t="n">
        <v>0.02</v>
      </c>
      <c r="AD18" s="11" t="n">
        <v>0</v>
      </c>
      <c r="AE18" s="11" t="n">
        <v>0.8100000000000001</v>
      </c>
    </row>
    <row r="19">
      <c r="A19" s="10" t="inlineStr">
        <is>
          <t>포인트 소멸이익</t>
        </is>
      </c>
      <c r="AC19" s="11" t="n">
        <v>0.16</v>
      </c>
      <c r="AD19" s="11" t="n">
        <v>0.27</v>
      </c>
      <c r="AE19" s="11" t="n">
        <v>0.28</v>
      </c>
    </row>
    <row r="20">
      <c r="A20" s="10" t="inlineStr">
        <is>
          <t>기타</t>
        </is>
      </c>
      <c r="C20" s="11" t="n">
        <v>0.04</v>
      </c>
      <c r="D20" s="11" t="n">
        <v>0.07000000000000001</v>
      </c>
      <c r="E20" s="11" t="n">
        <v>0.28</v>
      </c>
      <c r="F20" s="11" t="n">
        <v>0.4</v>
      </c>
      <c r="G20" s="11" t="n">
        <v>0.08</v>
      </c>
      <c r="H20" s="11" t="n">
        <v>0.02</v>
      </c>
      <c r="I20" s="11" t="n">
        <v>0.07000000000000001</v>
      </c>
      <c r="J20" s="11" t="n">
        <v>0.19</v>
      </c>
      <c r="K20" s="11" t="n">
        <v>0.15</v>
      </c>
      <c r="L20" s="11" t="n">
        <v>0.44</v>
      </c>
      <c r="M20" s="11" t="n">
        <v>0.37</v>
      </c>
      <c r="N20" s="11" t="n">
        <v>-0.28</v>
      </c>
      <c r="O20" s="11" t="n">
        <v>0.14</v>
      </c>
      <c r="P20" s="11" t="n">
        <v>0.15</v>
      </c>
      <c r="Q20" s="11" t="n">
        <v>0.25</v>
      </c>
      <c r="R20" s="11" t="n">
        <v>0.03</v>
      </c>
      <c r="S20" s="11" t="n">
        <v>0.19</v>
      </c>
      <c r="T20" s="11" t="n">
        <v>0.19</v>
      </c>
      <c r="U20" s="11" t="n">
        <v>0.32</v>
      </c>
      <c r="V20" s="11" t="n">
        <v>0.2</v>
      </c>
      <c r="W20" s="11" t="n">
        <v>0.028</v>
      </c>
      <c r="X20" s="11" t="n">
        <v>0.082</v>
      </c>
      <c r="Y20" s="11" t="n">
        <v>0.1487</v>
      </c>
      <c r="Z20" s="11" t="n">
        <v>0.3402</v>
      </c>
      <c r="AA20" s="11" t="n">
        <v>0.79</v>
      </c>
      <c r="AB20" s="11" t="n">
        <v>0.36</v>
      </c>
      <c r="AC20" s="11" t="n">
        <v>0.68</v>
      </c>
      <c r="AD20" s="11" t="n">
        <v>0.57</v>
      </c>
      <c r="AE20" s="11" t="n">
        <v>0.9</v>
      </c>
    </row>
    <row r="21">
      <c r="A21" s="5" t="inlineStr">
        <is>
          <t>영업외수익 합계</t>
        </is>
      </c>
      <c r="C21" s="6" t="n">
        <v>2.2</v>
      </c>
      <c r="D21" s="6" t="n">
        <v>2.13</v>
      </c>
      <c r="E21" s="6" t="n">
        <v>1.36</v>
      </c>
      <c r="F21" s="6" t="n">
        <v>1.94</v>
      </c>
      <c r="G21" s="6" t="n">
        <v>2.03</v>
      </c>
      <c r="H21" s="6" t="n">
        <v>1.34</v>
      </c>
      <c r="I21" s="6" t="n">
        <v>0.86</v>
      </c>
      <c r="J21" s="6" t="n">
        <v>0.54</v>
      </c>
      <c r="K21" s="6" t="n">
        <v>0.8</v>
      </c>
      <c r="L21" s="6" t="n">
        <v>0.96</v>
      </c>
      <c r="M21" s="6" t="n">
        <v>0.78</v>
      </c>
      <c r="N21" s="6" t="n">
        <v>0.37</v>
      </c>
      <c r="O21" s="6" t="n">
        <v>0.4</v>
      </c>
      <c r="P21" s="6" t="n">
        <v>0.52</v>
      </c>
      <c r="Q21" s="6" t="n">
        <v>0.9399999999999999</v>
      </c>
      <c r="R21" s="6" t="n">
        <v>0.62</v>
      </c>
      <c r="S21" s="6" t="n">
        <v>1</v>
      </c>
      <c r="T21" s="6" t="n">
        <v>0.9</v>
      </c>
      <c r="U21" s="6" t="n">
        <v>1.06</v>
      </c>
      <c r="V21" s="6" t="n">
        <v>1.25</v>
      </c>
      <c r="W21" s="6" t="n">
        <v>0.4541</v>
      </c>
      <c r="X21" s="6" t="n">
        <v>0.581</v>
      </c>
      <c r="Y21" s="6" t="n">
        <v>1.9908</v>
      </c>
      <c r="Z21" s="6" t="n">
        <v>8.348100000000001</v>
      </c>
      <c r="AA21" s="6" t="n">
        <v>7.63</v>
      </c>
      <c r="AB21" s="6" t="n">
        <v>4.77</v>
      </c>
      <c r="AC21" s="6" t="n">
        <v>2.91</v>
      </c>
      <c r="AD21" s="6" t="n">
        <v>2.48</v>
      </c>
      <c r="AE21" s="6" t="n">
        <v>4.21</v>
      </c>
    </row>
    <row r="22">
      <c r="A22" s="10" t="inlineStr">
        <is>
          <t>이자비용</t>
        </is>
      </c>
      <c r="C22" s="11" t="n">
        <v>0.04</v>
      </c>
      <c r="D22" s="11" t="n">
        <v>0.04</v>
      </c>
      <c r="E22" s="11" t="n">
        <v>0.04</v>
      </c>
      <c r="F22" s="11" t="n">
        <v>0.02</v>
      </c>
      <c r="G22" s="11" t="n">
        <v>0.03</v>
      </c>
      <c r="H22" s="11" t="n">
        <v>0.04</v>
      </c>
      <c r="I22" s="11" t="n">
        <v>0.05</v>
      </c>
      <c r="J22" s="11" t="n">
        <v>0.07000000000000001</v>
      </c>
      <c r="K22" s="11" t="n">
        <v>0.04</v>
      </c>
      <c r="L22" s="11" t="n">
        <v>0.12</v>
      </c>
      <c r="M22" s="11" t="n">
        <v>0.21</v>
      </c>
      <c r="N22" s="11" t="n">
        <v>0.2</v>
      </c>
      <c r="O22" s="11" t="n">
        <v>0.15</v>
      </c>
      <c r="P22" s="11" t="n">
        <v>0.25</v>
      </c>
      <c r="Q22" s="11" t="n">
        <v>0.36</v>
      </c>
      <c r="R22" s="11" t="n">
        <v>0.41</v>
      </c>
      <c r="S22" s="11" t="n">
        <v>0.38</v>
      </c>
      <c r="T22" s="11" t="n">
        <v>0.59</v>
      </c>
      <c r="U22" s="11" t="n">
        <v>1.06</v>
      </c>
      <c r="V22" s="11" t="n">
        <v>1.58</v>
      </c>
      <c r="W22" s="11" t="n">
        <v>0.0698</v>
      </c>
      <c r="X22" s="11" t="n">
        <v>0.0735</v>
      </c>
      <c r="Y22" s="11" t="n">
        <v>0.103</v>
      </c>
      <c r="Z22" s="11" t="n">
        <v>0.1443</v>
      </c>
      <c r="AA22" s="11" t="n">
        <v>0.14</v>
      </c>
      <c r="AB22" s="11" t="n">
        <v>0.19</v>
      </c>
      <c r="AC22" s="11" t="n">
        <v>0.57</v>
      </c>
      <c r="AD22" s="11" t="n">
        <v>1.17</v>
      </c>
      <c r="AE22" s="11" t="n">
        <v>3.61</v>
      </c>
    </row>
    <row r="23">
      <c r="A23" s="10" t="inlineStr">
        <is>
          <t>외환차손</t>
        </is>
      </c>
      <c r="E23" s="11" t="n">
        <v>0</v>
      </c>
      <c r="F23" s="11" t="n">
        <v>0</v>
      </c>
      <c r="I23" s="11" t="n">
        <v>0.05</v>
      </c>
      <c r="J23" s="11" t="n">
        <v>0.01</v>
      </c>
      <c r="M23" s="11" t="n">
        <v>0.02</v>
      </c>
      <c r="N23" s="11" t="n">
        <v>-0.04</v>
      </c>
      <c r="Q23" s="11" t="n">
        <v>-0.07000000000000001</v>
      </c>
      <c r="U23" s="11" t="n">
        <v>0.03</v>
      </c>
      <c r="W23" s="11" t="n">
        <v>0</v>
      </c>
      <c r="X23" s="11" t="n">
        <v>0.0403</v>
      </c>
      <c r="Y23" s="11" t="n">
        <v>0.0237</v>
      </c>
      <c r="Z23" s="11" t="n">
        <v>0</v>
      </c>
      <c r="AA23" s="11" t="n">
        <v>0</v>
      </c>
      <c r="AB23" s="11" t="n">
        <v>0.08</v>
      </c>
      <c r="AC23" s="11" t="n">
        <v>0</v>
      </c>
    </row>
    <row r="24">
      <c r="A24" s="10" t="inlineStr">
        <is>
          <t>지급수수료</t>
        </is>
      </c>
      <c r="C24" s="11" t="n">
        <v>0.01</v>
      </c>
      <c r="D24" s="11" t="n">
        <v>0.01</v>
      </c>
      <c r="E24" s="11" t="n">
        <v>0.05</v>
      </c>
      <c r="F24" s="11" t="n">
        <v>0.45</v>
      </c>
      <c r="G24" s="11" t="n">
        <v>0</v>
      </c>
      <c r="H24" s="11" t="n">
        <v>0</v>
      </c>
      <c r="I24" s="11" t="n">
        <v>0.02</v>
      </c>
      <c r="J24" s="11" t="n">
        <v>0.02</v>
      </c>
      <c r="K24" s="11" t="n">
        <v>0</v>
      </c>
      <c r="L24" s="11" t="n">
        <v>0.01</v>
      </c>
      <c r="M24" s="11" t="n">
        <v>0.01</v>
      </c>
      <c r="N24" s="11" t="n">
        <v>0.04</v>
      </c>
      <c r="O24" s="11" t="n">
        <v>0.01</v>
      </c>
      <c r="P24" s="11" t="n">
        <v>0.01</v>
      </c>
      <c r="Q24" s="11" t="n">
        <v>0.02</v>
      </c>
      <c r="R24" s="11" t="n">
        <v>0.04</v>
      </c>
      <c r="S24" s="11" t="n">
        <v>0.01</v>
      </c>
      <c r="T24" s="11" t="n">
        <v>0.08</v>
      </c>
      <c r="U24" s="11" t="n">
        <v>0.1</v>
      </c>
      <c r="V24" s="11" t="n">
        <v>-0.01</v>
      </c>
      <c r="X24" s="11" t="n">
        <v>0</v>
      </c>
      <c r="Y24" s="11" t="n">
        <v>0.0306</v>
      </c>
      <c r="Z24" s="11" t="n">
        <v>0.0333</v>
      </c>
      <c r="AA24" s="11" t="n">
        <v>0.52</v>
      </c>
      <c r="AB24" s="11" t="n">
        <v>0.04</v>
      </c>
      <c r="AC24" s="11" t="n">
        <v>0.06</v>
      </c>
      <c r="AD24" s="11" t="n">
        <v>0.08</v>
      </c>
      <c r="AE24" s="11" t="n">
        <v>0.18</v>
      </c>
    </row>
    <row r="25">
      <c r="A25" s="10" t="inlineStr">
        <is>
          <t>자금조달비용</t>
        </is>
      </c>
      <c r="C25" s="11" t="n">
        <v>0</v>
      </c>
      <c r="D25" s="11" t="n">
        <v>0</v>
      </c>
      <c r="E25" s="11" t="n">
        <v>0</v>
      </c>
      <c r="F25" s="11" t="n">
        <v>0</v>
      </c>
      <c r="W25" s="11" t="n">
        <v>0</v>
      </c>
      <c r="X25" s="11" t="n">
        <v>0.3411</v>
      </c>
      <c r="Y25" s="11" t="n">
        <v>0.0013</v>
      </c>
      <c r="Z25" s="11" t="n">
        <v>0.6188</v>
      </c>
      <c r="AA25" s="11" t="n">
        <v>0</v>
      </c>
    </row>
    <row r="26">
      <c r="A26" s="10" t="inlineStr">
        <is>
          <t>고정자산 매각손실</t>
        </is>
      </c>
      <c r="Y26" s="11" t="n">
        <v>0</v>
      </c>
      <c r="Z26" s="11" t="n">
        <v>0.113</v>
      </c>
      <c r="AA26" s="11" t="n">
        <v>0</v>
      </c>
    </row>
    <row r="27">
      <c r="A27" s="10" t="inlineStr">
        <is>
          <t>지분법손실</t>
        </is>
      </c>
      <c r="O27" s="11" t="n">
        <v>0</v>
      </c>
      <c r="P27" s="11" t="n">
        <v>0</v>
      </c>
      <c r="Q27" s="11" t="n">
        <v>0</v>
      </c>
      <c r="R27" s="11" t="n">
        <v>0.75</v>
      </c>
      <c r="S27" s="11" t="n">
        <v>0.64</v>
      </c>
      <c r="T27" s="11" t="n">
        <v>0.58</v>
      </c>
      <c r="U27" s="11" t="n">
        <v>37.5</v>
      </c>
      <c r="V27" s="11" t="n">
        <v>-0.11</v>
      </c>
      <c r="W27" s="11" t="n">
        <v>0</v>
      </c>
      <c r="X27" s="11" t="n">
        <v>0.0703</v>
      </c>
      <c r="Y27" s="11" t="n">
        <v>0</v>
      </c>
      <c r="AC27" s="11" t="n">
        <v>0</v>
      </c>
      <c r="AD27" s="11" t="n">
        <v>0.75</v>
      </c>
      <c r="AE27" s="11" t="n">
        <v>38.61</v>
      </c>
    </row>
    <row r="28">
      <c r="A28" s="10" t="inlineStr">
        <is>
          <t>대손충당금 전입</t>
        </is>
      </c>
      <c r="Z28" s="11" t="n">
        <v>0</v>
      </c>
      <c r="AA28" s="11" t="n">
        <v>0.47</v>
      </c>
      <c r="AB28" s="11" t="n">
        <v>0</v>
      </c>
      <c r="AC28" s="11" t="n">
        <v>0</v>
      </c>
      <c r="AD28" s="11" t="n">
        <v>0.77</v>
      </c>
    </row>
    <row r="29">
      <c r="A29" s="10" t="inlineStr">
        <is>
          <t>출자금 운용손실</t>
        </is>
      </c>
      <c r="K29" s="11" t="n">
        <v>0</v>
      </c>
      <c r="L29" s="11" t="n">
        <v>0</v>
      </c>
      <c r="M29" s="11" t="n">
        <v>0</v>
      </c>
      <c r="N29" s="11" t="n">
        <v>0</v>
      </c>
      <c r="O29" s="11" t="n">
        <v>2.24</v>
      </c>
      <c r="P29" s="11" t="n">
        <v>0.03</v>
      </c>
      <c r="Q29" s="11" t="n">
        <v>1.42</v>
      </c>
      <c r="R29" s="11" t="n">
        <v>0.21</v>
      </c>
      <c r="S29" s="11" t="n">
        <v>0.2</v>
      </c>
      <c r="T29" s="11" t="n">
        <v>2.21</v>
      </c>
      <c r="U29" s="11" t="n">
        <v>-0.07000000000000001</v>
      </c>
      <c r="V29" s="11" t="n">
        <v>0.05</v>
      </c>
      <c r="AC29" s="11" t="n">
        <v>0</v>
      </c>
      <c r="AD29" s="11" t="n">
        <v>3.9</v>
      </c>
      <c r="AE29" s="11" t="n">
        <v>2.39</v>
      </c>
    </row>
    <row r="30">
      <c r="A30" s="10" t="inlineStr">
        <is>
          <t>사무소 이전비용</t>
        </is>
      </c>
      <c r="G30" s="11" t="n">
        <v>0</v>
      </c>
      <c r="H30" s="11" t="n">
        <v>0</v>
      </c>
      <c r="I30" s="11" t="n">
        <v>0</v>
      </c>
      <c r="J30" s="11" t="n">
        <v>0.06</v>
      </c>
      <c r="K30" s="11" t="n">
        <v>0.05</v>
      </c>
      <c r="L30" s="11" t="n">
        <v>0</v>
      </c>
      <c r="M30" s="11" t="n">
        <v>0</v>
      </c>
      <c r="N30" s="11" t="n">
        <v>0</v>
      </c>
      <c r="O30" s="11" t="n">
        <v>0</v>
      </c>
      <c r="P30" s="11" t="n">
        <v>0</v>
      </c>
      <c r="Q30" s="11" t="n">
        <v>0</v>
      </c>
      <c r="R30" s="11" t="n">
        <v>0</v>
      </c>
      <c r="AA30" s="11" t="n">
        <v>0</v>
      </c>
      <c r="AB30" s="11" t="n">
        <v>0.06</v>
      </c>
      <c r="AC30" s="11" t="n">
        <v>0.05</v>
      </c>
      <c r="AD30" s="11" t="n">
        <v>0</v>
      </c>
    </row>
    <row r="31">
      <c r="A31" s="10" t="inlineStr">
        <is>
          <t>기타</t>
        </is>
      </c>
      <c r="C31" s="11" t="n">
        <v>0</v>
      </c>
      <c r="D31" s="11" t="n">
        <v>0</v>
      </c>
      <c r="E31" s="11" t="n">
        <v>0.03</v>
      </c>
      <c r="F31" s="11" t="n">
        <v>0.06</v>
      </c>
      <c r="G31" s="11" t="n">
        <v>0</v>
      </c>
      <c r="H31" s="11" t="n">
        <v>0</v>
      </c>
      <c r="I31" s="11" t="n">
        <v>0.01</v>
      </c>
      <c r="J31" s="11" t="n">
        <v>0.01</v>
      </c>
      <c r="K31" s="11" t="n">
        <v>0.01</v>
      </c>
      <c r="L31" s="11" t="n">
        <v>0.01</v>
      </c>
      <c r="M31" s="11" t="n">
        <v>0.03</v>
      </c>
      <c r="N31" s="11" t="n">
        <v>0.01</v>
      </c>
      <c r="O31" s="11" t="n">
        <v>0.02</v>
      </c>
      <c r="P31" s="11" t="n">
        <v>0.02</v>
      </c>
      <c r="Q31" s="11" t="n">
        <v>0.02</v>
      </c>
      <c r="R31" s="11" t="n">
        <v>0.97</v>
      </c>
      <c r="S31" s="11" t="n">
        <v>0.14</v>
      </c>
      <c r="T31" s="11" t="n">
        <v>-0.12</v>
      </c>
      <c r="U31" s="11" t="n">
        <v>0.17</v>
      </c>
      <c r="V31" s="11" t="n">
        <v>0.45</v>
      </c>
      <c r="W31" s="11" t="n">
        <v>0.0081</v>
      </c>
      <c r="X31" s="11" t="n">
        <v>0.0132</v>
      </c>
      <c r="Y31" s="11" t="n">
        <v>0.0146</v>
      </c>
      <c r="Z31" s="11" t="n">
        <v>0.0209</v>
      </c>
      <c r="AA31" s="11" t="n">
        <v>0.09</v>
      </c>
      <c r="AB31" s="11" t="n">
        <v>0.02</v>
      </c>
      <c r="AC31" s="11" t="n">
        <v>0.06</v>
      </c>
      <c r="AD31" s="11" t="n">
        <v>1.03</v>
      </c>
      <c r="AE31" s="11" t="n">
        <v>0.64</v>
      </c>
    </row>
    <row r="32">
      <c r="A32" s="10" t="inlineStr">
        <is>
          <t>영업외비용 합계</t>
        </is>
      </c>
      <c r="C32" s="11" t="n">
        <v>0.05</v>
      </c>
      <c r="D32" s="11" t="n">
        <v>0.05</v>
      </c>
      <c r="E32" s="11" t="n">
        <v>0.13</v>
      </c>
      <c r="F32" s="11" t="n">
        <v>1.01</v>
      </c>
      <c r="G32" s="11" t="n">
        <v>0.03</v>
      </c>
      <c r="H32" s="11" t="n">
        <v>0.08</v>
      </c>
      <c r="I32" s="11" t="n">
        <v>0.12</v>
      </c>
      <c r="J32" s="11" t="n">
        <v>0.18</v>
      </c>
      <c r="K32" s="11" t="n">
        <v>0.11</v>
      </c>
      <c r="L32" s="11" t="n">
        <v>0.17</v>
      </c>
      <c r="M32" s="11" t="n">
        <v>0.26</v>
      </c>
      <c r="N32" s="11" t="n">
        <v>0.21</v>
      </c>
      <c r="O32" s="11" t="n">
        <v>2.43</v>
      </c>
      <c r="P32" s="11" t="n">
        <v>0.39</v>
      </c>
      <c r="Q32" s="11" t="n">
        <v>1.75</v>
      </c>
      <c r="R32" s="11" t="n">
        <v>2.38</v>
      </c>
      <c r="S32" s="11" t="n">
        <v>1.39</v>
      </c>
      <c r="T32" s="11" t="n">
        <v>3.49</v>
      </c>
      <c r="U32" s="11" t="n">
        <v>38.8</v>
      </c>
      <c r="V32" s="11" t="n">
        <v>1.77</v>
      </c>
      <c r="W32" s="11" t="n">
        <v>0.078</v>
      </c>
      <c r="X32" s="11" t="n">
        <v>0.5385</v>
      </c>
      <c r="Y32" s="11" t="n">
        <v>0.1732</v>
      </c>
      <c r="Z32" s="11" t="n">
        <v>0.9303</v>
      </c>
      <c r="AA32" s="11" t="n">
        <v>1.24</v>
      </c>
      <c r="AB32" s="11" t="n">
        <v>0.41</v>
      </c>
      <c r="AC32" s="11" t="n">
        <v>0.75</v>
      </c>
      <c r="AD32" s="11" t="n">
        <v>6.95</v>
      </c>
      <c r="AE32" s="11" t="n">
        <v>45.45</v>
      </c>
    </row>
    <row r="33">
      <c r="A33" s="5" t="inlineStr">
        <is>
          <t>경상이익</t>
        </is>
      </c>
      <c r="C33" s="6" t="n">
        <v>21.68</v>
      </c>
      <c r="D33" s="6" t="n">
        <v>20.81</v>
      </c>
      <c r="E33" s="6" t="n">
        <v>15.72</v>
      </c>
      <c r="F33" s="6" t="n">
        <v>17.31</v>
      </c>
      <c r="G33" s="6" t="n">
        <v>20.08</v>
      </c>
      <c r="H33" s="6" t="n">
        <v>34</v>
      </c>
      <c r="I33" s="6" t="n">
        <v>32.27</v>
      </c>
      <c r="J33" s="6" t="n">
        <v>33.65</v>
      </c>
      <c r="K33" s="6" t="n">
        <v>18.82</v>
      </c>
      <c r="L33" s="6" t="n">
        <v>29.49</v>
      </c>
      <c r="M33" s="6" t="n">
        <v>24.24</v>
      </c>
      <c r="N33" s="6" t="n">
        <v>34.98</v>
      </c>
      <c r="O33" s="6" t="n">
        <v>33.13</v>
      </c>
      <c r="P33" s="6" t="n">
        <v>45.55</v>
      </c>
      <c r="Q33" s="6" t="n">
        <v>37.61</v>
      </c>
      <c r="R33" s="6" t="n">
        <v>35.52</v>
      </c>
      <c r="S33" s="6" t="n">
        <v>27.78</v>
      </c>
      <c r="T33" s="6" t="n">
        <v>38.31</v>
      </c>
      <c r="U33" s="6" t="n">
        <v>7.03</v>
      </c>
      <c r="V33" s="6" t="n">
        <v>60.08</v>
      </c>
      <c r="W33" s="6" t="n">
        <v>12.3851</v>
      </c>
      <c r="X33" s="6" t="n">
        <v>15.4487</v>
      </c>
      <c r="Y33" s="6" t="n">
        <v>25.3513</v>
      </c>
      <c r="Z33" s="6" t="n">
        <v>47.367</v>
      </c>
      <c r="AA33" s="6" t="n">
        <v>75.52</v>
      </c>
      <c r="AB33" s="6" t="n">
        <v>120</v>
      </c>
      <c r="AC33" s="6" t="n">
        <v>107.53</v>
      </c>
      <c r="AD33" s="6" t="n">
        <v>151.81</v>
      </c>
      <c r="AE33" s="6" t="n">
        <v>133.2</v>
      </c>
    </row>
    <row r="34">
      <c r="A34" s="8" t="inlineStr">
        <is>
          <t>경상이익률</t>
        </is>
      </c>
      <c r="C34" s="9">
        <f>IF(OR(C33="",C4=""),"",IFERROR(C33/C4,""))</f>
        <v/>
      </c>
      <c r="D34" s="9">
        <f>IF(OR(D33="",D4=""),"",IFERROR(D33/D4,""))</f>
        <v/>
      </c>
      <c r="E34" s="9">
        <f>IF(OR(E33="",E4=""),"",IFERROR(E33/E4,""))</f>
        <v/>
      </c>
      <c r="F34" s="9">
        <f>IF(OR(F33="",F4=""),"",IFERROR(F33/F4,""))</f>
        <v/>
      </c>
      <c r="G34" s="9">
        <f>IF(OR(G33="",G4=""),"",IFERROR(G33/G4,""))</f>
        <v/>
      </c>
      <c r="H34" s="9">
        <f>IF(OR(H33="",H4=""),"",IFERROR(H33/H4,""))</f>
        <v/>
      </c>
      <c r="I34" s="9">
        <f>IF(OR(I33="",I4=""),"",IFERROR(I33/I4,""))</f>
        <v/>
      </c>
      <c r="J34" s="9">
        <f>IF(OR(J33="",J4=""),"",IFERROR(J33/J4,""))</f>
        <v/>
      </c>
      <c r="K34" s="9">
        <f>IF(OR(K33="",K4=""),"",IFERROR(K33/K4,""))</f>
        <v/>
      </c>
      <c r="L34" s="9">
        <f>IF(OR(L33="",L4=""),"",IFERROR(L33/L4,""))</f>
        <v/>
      </c>
      <c r="M34" s="9">
        <f>IF(OR(M33="",M4=""),"",IFERROR(M33/M4,""))</f>
        <v/>
      </c>
      <c r="N34" s="9">
        <f>IF(OR(N33="",N4=""),"",IFERROR(N33/N4,""))</f>
        <v/>
      </c>
      <c r="O34" s="9">
        <f>IF(OR(O33="",O4=""),"",IFERROR(O33/O4,""))</f>
        <v/>
      </c>
      <c r="P34" s="9">
        <f>IF(OR(P33="",P4=""),"",IFERROR(P33/P4,""))</f>
        <v/>
      </c>
      <c r="Q34" s="9">
        <f>IF(OR(Q33="",Q4=""),"",IFERROR(Q33/Q4,""))</f>
        <v/>
      </c>
      <c r="R34" s="9">
        <f>IF(OR(R33="",R4=""),"",IFERROR(R33/R4,""))</f>
        <v/>
      </c>
      <c r="S34" s="9">
        <f>IF(OR(S33="",S4=""),"",IFERROR(S33/S4,""))</f>
        <v/>
      </c>
      <c r="T34" s="9">
        <f>IF(OR(T33="",T4=""),"",IFERROR(T33/T4,""))</f>
        <v/>
      </c>
      <c r="U34" s="9">
        <f>IF(OR(U33="",U4=""),"",IFERROR(U33/U4,""))</f>
        <v/>
      </c>
      <c r="V34" s="9">
        <f>IF(OR(V33="",V4=""),"",IFERROR(V33/V4,""))</f>
        <v/>
      </c>
      <c r="W34" s="9">
        <f>IF(OR(W33="",W4=""),"",IFERROR(W33/W4,""))</f>
        <v/>
      </c>
      <c r="X34" s="9">
        <f>IF(OR(X33="",X4=""),"",IFERROR(X33/X4,""))</f>
        <v/>
      </c>
      <c r="Y34" s="9">
        <f>IF(OR(Y33="",Y4=""),"",IFERROR(Y33/Y4,""))</f>
        <v/>
      </c>
      <c r="Z34" s="9">
        <f>IF(OR(Z33="",Z4=""),"",IFERROR(Z33/Z4,""))</f>
        <v/>
      </c>
      <c r="AA34" s="9">
        <f>IF(OR(AA33="",AA4=""),"",IFERROR(AA33/AA4,""))</f>
        <v/>
      </c>
      <c r="AB34" s="9">
        <f>IF(OR(AB33="",AB4=""),"",IFERROR(AB33/AB4,""))</f>
        <v/>
      </c>
      <c r="AC34" s="9">
        <f>IF(OR(AC33="",AC4=""),"",IFERROR(AC33/AC4,""))</f>
        <v/>
      </c>
      <c r="AD34" s="9">
        <f>IF(OR(AD33="",AD4=""),"",IFERROR(AD33/AD4,""))</f>
        <v/>
      </c>
      <c r="AE34" s="9">
        <f>IF(OR(AE33="",AE4=""),"",IFERROR(AE33/AE4,""))</f>
        <v/>
      </c>
    </row>
    <row r="35">
      <c r="A35" s="10" t="inlineStr">
        <is>
          <t>관계회사 주식 매각이익</t>
        </is>
      </c>
      <c r="W35" s="11" t="n">
        <v>0</v>
      </c>
      <c r="X35" s="11" t="n">
        <v>0.0395</v>
      </c>
      <c r="Y35" s="11" t="n">
        <v>0</v>
      </c>
    </row>
    <row r="36">
      <c r="A36" s="10" t="inlineStr">
        <is>
          <t>지분변동이익</t>
        </is>
      </c>
      <c r="O36" s="11" t="n">
        <v>0</v>
      </c>
      <c r="P36" s="11" t="n">
        <v>0</v>
      </c>
      <c r="Q36" s="11" t="n">
        <v>0</v>
      </c>
      <c r="R36" s="11" t="n">
        <v>0.04</v>
      </c>
      <c r="S36" s="11" t="n">
        <v>0</v>
      </c>
      <c r="T36" s="11" t="n">
        <v>0.1</v>
      </c>
      <c r="U36" s="11" t="n">
        <v>0.08</v>
      </c>
      <c r="V36" s="11" t="n">
        <v>-0.01</v>
      </c>
      <c r="AC36" s="11" t="n">
        <v>0</v>
      </c>
      <c r="AD36" s="11" t="n">
        <v>0.04</v>
      </c>
      <c r="AE36" s="11" t="n">
        <v>0.17</v>
      </c>
    </row>
    <row r="37">
      <c r="A37" s="10" t="inlineStr">
        <is>
          <t>투자유가증권 매각이익</t>
        </is>
      </c>
      <c r="M37" s="11" t="n">
        <v>0</v>
      </c>
      <c r="N37" s="11" t="n">
        <v>3.33</v>
      </c>
      <c r="Q37" s="11" t="n">
        <v>0</v>
      </c>
      <c r="R37" s="11" t="n">
        <v>0</v>
      </c>
      <c r="U37" s="11" t="n">
        <v>2.8</v>
      </c>
      <c r="V37" s="11" t="n">
        <v>1.32</v>
      </c>
      <c r="W37" s="11" t="n">
        <v>0</v>
      </c>
      <c r="X37" s="11" t="n">
        <v>0.003</v>
      </c>
      <c r="Y37" s="11" t="n">
        <v>0</v>
      </c>
      <c r="AA37" s="11" t="n">
        <v>0</v>
      </c>
      <c r="AB37" s="11" t="n">
        <v>4.16</v>
      </c>
      <c r="AC37" s="11" t="n">
        <v>3.33</v>
      </c>
      <c r="AD37" s="11" t="n">
        <v>0.54</v>
      </c>
      <c r="AE37" s="11" t="n">
        <v>4.12</v>
      </c>
    </row>
    <row r="38">
      <c r="A38" s="10" t="inlineStr">
        <is>
          <t>단계적 취득 차익</t>
        </is>
      </c>
      <c r="W38" s="11" t="n">
        <v>0</v>
      </c>
      <c r="X38" s="11" t="n">
        <v>0.0857</v>
      </c>
      <c r="Y38" s="11" t="n">
        <v>0</v>
      </c>
    </row>
    <row r="39">
      <c r="A39" s="10" t="inlineStr">
        <is>
          <t>자회사 주식 매각이익</t>
        </is>
      </c>
      <c r="Z39" s="11" t="n">
        <v>0</v>
      </c>
      <c r="AA39" s="11" t="n">
        <v>0.44</v>
      </c>
      <c r="AB39" s="11" t="n">
        <v>0</v>
      </c>
    </row>
    <row r="40">
      <c r="A40" s="10" t="inlineStr">
        <is>
          <t>부의 영업권 발생이익</t>
        </is>
      </c>
      <c r="N40" s="11" t="n">
        <v>0</v>
      </c>
      <c r="R40" s="11" t="n">
        <v>0</v>
      </c>
      <c r="V40" s="11" t="n">
        <v>0</v>
      </c>
      <c r="AC40" s="11" t="n">
        <v>0</v>
      </c>
      <c r="AD40" s="11" t="n">
        <v>0.01</v>
      </c>
      <c r="AE40" s="11" t="n">
        <v>0</v>
      </c>
    </row>
    <row r="41">
      <c r="A41" s="10" t="inlineStr">
        <is>
          <t>보조금 수입</t>
        </is>
      </c>
      <c r="N41" s="11" t="n">
        <v>0</v>
      </c>
      <c r="R41" s="11" t="n">
        <v>0</v>
      </c>
      <c r="V41" s="11" t="n">
        <v>0</v>
      </c>
      <c r="AC41" s="11" t="n">
        <v>0</v>
      </c>
      <c r="AD41" s="11" t="n">
        <v>0.55</v>
      </c>
      <c r="AE41" s="11" t="n">
        <v>0</v>
      </c>
    </row>
    <row r="42">
      <c r="A42" s="10" t="inlineStr">
        <is>
          <t>특별이익 합계</t>
        </is>
      </c>
      <c r="M42" s="11" t="n">
        <v>0</v>
      </c>
      <c r="N42" s="11" t="n">
        <v>3.33</v>
      </c>
      <c r="O42" s="11" t="n">
        <v>0</v>
      </c>
      <c r="P42" s="11" t="n">
        <v>0.54</v>
      </c>
      <c r="Q42" s="11" t="n">
        <v>0.58</v>
      </c>
      <c r="R42" s="11" t="n">
        <v>0.04</v>
      </c>
      <c r="S42" s="11" t="n">
        <v>0</v>
      </c>
      <c r="T42" s="11" t="n">
        <v>0.1</v>
      </c>
      <c r="U42" s="11" t="n">
        <v>2.88</v>
      </c>
      <c r="V42" s="11" t="n">
        <v>1.32</v>
      </c>
      <c r="W42" s="11" t="n">
        <v>0</v>
      </c>
      <c r="X42" s="11" t="n">
        <v>0.1282</v>
      </c>
      <c r="Y42" s="11" t="n">
        <v>0</v>
      </c>
      <c r="Z42" s="11" t="n">
        <v>0</v>
      </c>
      <c r="AA42" s="11" t="n">
        <v>0.44</v>
      </c>
      <c r="AB42" s="11" t="n">
        <v>4.16</v>
      </c>
      <c r="AC42" s="11" t="n">
        <v>3.33</v>
      </c>
      <c r="AD42" s="11" t="n">
        <v>1.16</v>
      </c>
      <c r="AE42" s="11" t="n">
        <v>4.3</v>
      </c>
    </row>
    <row r="43">
      <c r="A43" s="10" t="inlineStr">
        <is>
          <t>투자유가증권 매각손실</t>
        </is>
      </c>
      <c r="AA43" s="11" t="n">
        <v>0</v>
      </c>
      <c r="AB43" s="11" t="n">
        <v>5.62</v>
      </c>
      <c r="AC43" s="11" t="n">
        <v>0</v>
      </c>
    </row>
    <row r="44">
      <c r="A44" s="10" t="inlineStr">
        <is>
          <t>손상차손</t>
        </is>
      </c>
      <c r="M44" s="11" t="n">
        <v>0</v>
      </c>
      <c r="N44" s="11" t="n">
        <v>6.05</v>
      </c>
      <c r="Q44" s="11" t="n">
        <v>4.04</v>
      </c>
      <c r="R44" s="11" t="n">
        <v>0</v>
      </c>
      <c r="U44" s="11" t="n">
        <v>0</v>
      </c>
      <c r="V44" s="11" t="n">
        <v>0.55</v>
      </c>
      <c r="Y44" s="11" t="n">
        <v>0</v>
      </c>
      <c r="Z44" s="11" t="n">
        <v>2.1095</v>
      </c>
      <c r="AA44" s="11" t="n">
        <v>0</v>
      </c>
      <c r="AC44" s="11" t="n">
        <v>6.05</v>
      </c>
      <c r="AD44" s="11" t="n">
        <v>9.77</v>
      </c>
      <c r="AE44" s="11" t="n">
        <v>5.56</v>
      </c>
    </row>
    <row r="45">
      <c r="A45" s="10" t="inlineStr">
        <is>
          <t>고정자산 압축손실</t>
        </is>
      </c>
      <c r="N45" s="11" t="n">
        <v>0</v>
      </c>
      <c r="R45" s="11" t="n">
        <v>0</v>
      </c>
      <c r="V45" s="11" t="n">
        <v>0</v>
      </c>
      <c r="AC45" s="11" t="n">
        <v>0</v>
      </c>
      <c r="AD45" s="11" t="n">
        <v>0.55</v>
      </c>
      <c r="AE45" s="11" t="n">
        <v>0</v>
      </c>
    </row>
    <row r="46">
      <c r="A46" s="10" t="inlineStr">
        <is>
          <t>투자유가증권 평가손실</t>
        </is>
      </c>
      <c r="E46" s="11" t="n">
        <v>0</v>
      </c>
      <c r="F46" s="11" t="n">
        <v>1.36</v>
      </c>
      <c r="I46" s="11" t="n">
        <v>1.28</v>
      </c>
      <c r="J46" s="11" t="n">
        <v>0</v>
      </c>
      <c r="K46" s="11" t="n">
        <v>0</v>
      </c>
      <c r="L46" s="11" t="n">
        <v>0</v>
      </c>
      <c r="M46" s="11" t="n">
        <v>14.37</v>
      </c>
      <c r="N46" s="11" t="n">
        <v>0</v>
      </c>
      <c r="O46" s="11" t="n">
        <v>1.63</v>
      </c>
      <c r="P46" s="11" t="n">
        <v>0</v>
      </c>
      <c r="Q46" s="11" t="n">
        <v>4.27</v>
      </c>
      <c r="R46" s="11" t="n">
        <v>0</v>
      </c>
      <c r="S46" s="11" t="n">
        <v>0</v>
      </c>
      <c r="T46" s="11" t="n">
        <v>0</v>
      </c>
      <c r="U46" s="11" t="n">
        <v>3.02</v>
      </c>
      <c r="V46" s="11" t="n">
        <v>0</v>
      </c>
      <c r="W46" s="11" t="n">
        <v>4.0361</v>
      </c>
      <c r="X46" s="11" t="n">
        <v>0</v>
      </c>
      <c r="Z46" s="11" t="n">
        <v>0</v>
      </c>
      <c r="AA46" s="11" t="n">
        <v>1.36</v>
      </c>
      <c r="AB46" s="11" t="n">
        <v>17.01</v>
      </c>
      <c r="AC46" s="11" t="n">
        <v>14.37</v>
      </c>
      <c r="AD46" s="11" t="n">
        <v>5.9</v>
      </c>
      <c r="AE46" s="11" t="n">
        <v>3.02</v>
      </c>
    </row>
    <row r="47">
      <c r="A47" s="10" t="inlineStr">
        <is>
          <t>기타</t>
        </is>
      </c>
      <c r="AB47" s="11" t="n">
        <v>0</v>
      </c>
      <c r="AC47" s="11" t="n">
        <v>0.29</v>
      </c>
    </row>
    <row r="48">
      <c r="A48" s="10" t="inlineStr">
        <is>
          <t>퇴직급여제도 종료손실</t>
        </is>
      </c>
      <c r="AC48" s="11" t="n">
        <v>0.1</v>
      </c>
      <c r="AD48" s="11" t="n">
        <v>0</v>
      </c>
    </row>
    <row r="49">
      <c r="A49" s="10" t="inlineStr">
        <is>
          <t>특별손실 합계</t>
        </is>
      </c>
      <c r="E49" s="11" t="n">
        <v>0</v>
      </c>
      <c r="F49" s="11" t="n">
        <v>1.36</v>
      </c>
      <c r="I49" s="11" t="n">
        <v>1.28</v>
      </c>
      <c r="J49" s="11" t="n">
        <v>5.62</v>
      </c>
      <c r="K49" s="11" t="n">
        <v>0</v>
      </c>
      <c r="L49" s="11" t="n">
        <v>0</v>
      </c>
      <c r="M49" s="11" t="n">
        <v>14.37</v>
      </c>
      <c r="N49" s="11" t="n">
        <v>6.16</v>
      </c>
      <c r="O49" s="11" t="n">
        <v>1.63</v>
      </c>
      <c r="P49" s="11" t="n">
        <v>5.73</v>
      </c>
      <c r="Q49" s="11" t="n">
        <v>8.880000000000001</v>
      </c>
      <c r="R49" s="11" t="n">
        <v>0</v>
      </c>
      <c r="S49" s="11" t="n">
        <v>0</v>
      </c>
      <c r="T49" s="11" t="n">
        <v>5.01</v>
      </c>
      <c r="U49" s="11" t="n">
        <v>3.02</v>
      </c>
      <c r="V49" s="11" t="n">
        <v>0.5600000000000001</v>
      </c>
      <c r="W49" s="11" t="n">
        <v>4.0361</v>
      </c>
      <c r="X49" s="11" t="n">
        <v>0</v>
      </c>
      <c r="Y49" s="11" t="n">
        <v>0</v>
      </c>
      <c r="Z49" s="11" t="n">
        <v>2.1095</v>
      </c>
      <c r="AA49" s="11" t="n">
        <v>1.36</v>
      </c>
      <c r="AB49" s="11" t="n">
        <v>22.63</v>
      </c>
      <c r="AC49" s="11" t="n">
        <v>20.53</v>
      </c>
      <c r="AD49" s="11" t="n">
        <v>16.24</v>
      </c>
      <c r="AE49" s="11" t="n">
        <v>8.59</v>
      </c>
    </row>
    <row r="50">
      <c r="A50" s="10" t="inlineStr">
        <is>
          <t>법인세차감전 순이익</t>
        </is>
      </c>
      <c r="C50" s="11" t="n">
        <v>21.68</v>
      </c>
      <c r="D50" s="11" t="n">
        <v>20.81</v>
      </c>
      <c r="E50" s="11" t="n">
        <v>15.72</v>
      </c>
      <c r="F50" s="11" t="n">
        <v>16.39</v>
      </c>
      <c r="G50" s="11" t="n">
        <v>20.08</v>
      </c>
      <c r="H50" s="11" t="n">
        <v>18.26</v>
      </c>
      <c r="I50" s="11" t="n">
        <v>30.99</v>
      </c>
      <c r="J50" s="11" t="n">
        <v>32.2</v>
      </c>
      <c r="K50" s="11" t="n">
        <v>18.82</v>
      </c>
      <c r="L50" s="11" t="n">
        <v>29.49</v>
      </c>
      <c r="M50" s="11" t="n">
        <v>9.859999999999999</v>
      </c>
      <c r="N50" s="11" t="n">
        <v>32.15</v>
      </c>
      <c r="O50" s="11" t="n">
        <v>31.5</v>
      </c>
      <c r="P50" s="11" t="n">
        <v>40.35</v>
      </c>
      <c r="Q50" s="11" t="n">
        <v>29.32</v>
      </c>
      <c r="R50" s="11" t="n">
        <v>35.57</v>
      </c>
      <c r="S50" s="11" t="n">
        <v>27.78</v>
      </c>
      <c r="T50" s="11" t="n">
        <v>33.4</v>
      </c>
      <c r="U50" s="11" t="n">
        <v>6.88</v>
      </c>
      <c r="V50" s="11" t="n">
        <v>60.85</v>
      </c>
      <c r="W50" s="11" t="n">
        <v>8.349</v>
      </c>
      <c r="X50" s="11" t="n">
        <v>15.5769</v>
      </c>
      <c r="Y50" s="11" t="n">
        <v>25.3513</v>
      </c>
      <c r="Z50" s="11" t="n">
        <v>45.2575</v>
      </c>
      <c r="AA50" s="11" t="n">
        <v>74.59999999999999</v>
      </c>
      <c r="AB50" s="11" t="n">
        <v>101.53</v>
      </c>
      <c r="AC50" s="11" t="n">
        <v>90.31999999999999</v>
      </c>
      <c r="AD50" s="11" t="n">
        <v>136.74</v>
      </c>
      <c r="AE50" s="11" t="n">
        <v>128.91</v>
      </c>
    </row>
    <row r="51">
      <c r="A51" s="10" t="inlineStr">
        <is>
          <t>법인세·주민세·사업세</t>
        </is>
      </c>
      <c r="W51" s="11" t="n">
        <v>4.0803</v>
      </c>
      <c r="X51" s="11" t="n">
        <v>6.2458</v>
      </c>
      <c r="Y51" s="11" t="n">
        <v>9.2994</v>
      </c>
      <c r="Z51" s="11" t="n">
        <v>17.8217</v>
      </c>
      <c r="AA51" s="11" t="n">
        <v>25.51</v>
      </c>
      <c r="AB51" s="11" t="n">
        <v>40</v>
      </c>
      <c r="AC51" s="11" t="n">
        <v>39</v>
      </c>
      <c r="AD51" s="11" t="n">
        <v>50.69</v>
      </c>
      <c r="AE51" s="11" t="n">
        <v>62.29</v>
      </c>
    </row>
    <row r="52">
      <c r="A52" s="10" t="inlineStr">
        <is>
          <t>법인세 조정액</t>
        </is>
      </c>
      <c r="W52" s="11" t="n">
        <v>-0.1051</v>
      </c>
      <c r="X52" s="11" t="n">
        <v>-1.2871</v>
      </c>
      <c r="Y52" s="11" t="n">
        <v>-1.5367</v>
      </c>
      <c r="Z52" s="11" t="n">
        <v>-0.7367</v>
      </c>
      <c r="AA52" s="11" t="n">
        <v>-1.96</v>
      </c>
      <c r="AB52" s="11" t="n">
        <v>-3.32</v>
      </c>
      <c r="AC52" s="11" t="n">
        <v>-1.14</v>
      </c>
      <c r="AD52" s="11" t="n">
        <v>-3.99</v>
      </c>
      <c r="AE52" s="11" t="n">
        <v>-7.28</v>
      </c>
    </row>
    <row r="53">
      <c r="A53" s="10" t="inlineStr">
        <is>
          <t>법인세 등 합계</t>
        </is>
      </c>
      <c r="C53" s="11" t="n">
        <v>7.75</v>
      </c>
      <c r="D53" s="11" t="n">
        <v>7.64</v>
      </c>
      <c r="E53" s="11" t="n">
        <v>4.82</v>
      </c>
      <c r="F53" s="11" t="n">
        <v>3.34</v>
      </c>
      <c r="G53" s="11" t="n">
        <v>7.09</v>
      </c>
      <c r="H53" s="11" t="n">
        <v>7.81</v>
      </c>
      <c r="I53" s="11" t="n">
        <v>12.56</v>
      </c>
      <c r="J53" s="11" t="n">
        <v>9.210000000000001</v>
      </c>
      <c r="K53" s="11" t="n">
        <v>7.66</v>
      </c>
      <c r="L53" s="11" t="n">
        <v>10.15</v>
      </c>
      <c r="M53" s="11" t="n">
        <v>6.34</v>
      </c>
      <c r="N53" s="11" t="n">
        <v>13.71</v>
      </c>
      <c r="O53" s="11" t="n">
        <v>11.34</v>
      </c>
      <c r="P53" s="11" t="n">
        <v>14.88</v>
      </c>
      <c r="Q53" s="11" t="n">
        <v>11.49</v>
      </c>
      <c r="R53" s="11" t="n">
        <v>8.98</v>
      </c>
      <c r="S53" s="11" t="n">
        <v>9.83</v>
      </c>
      <c r="T53" s="11" t="n">
        <v>11.23</v>
      </c>
      <c r="U53" s="11" t="n">
        <v>7.3</v>
      </c>
      <c r="V53" s="11" t="n">
        <v>26.65</v>
      </c>
      <c r="W53" s="11" t="n">
        <v>3.9752</v>
      </c>
      <c r="X53" s="11" t="n">
        <v>4.9587</v>
      </c>
      <c r="Y53" s="11" t="n">
        <v>7.7626</v>
      </c>
      <c r="Z53" s="11" t="n">
        <v>17.085</v>
      </c>
      <c r="AA53" s="11" t="n">
        <v>23.55</v>
      </c>
      <c r="AB53" s="11" t="n">
        <v>36.67</v>
      </c>
      <c r="AC53" s="11" t="n">
        <v>37.86</v>
      </c>
      <c r="AD53" s="11" t="n">
        <v>46.69</v>
      </c>
      <c r="AE53" s="11" t="n">
        <v>55.01</v>
      </c>
    </row>
    <row r="54">
      <c r="A54" s="5" t="inlineStr">
        <is>
          <t>순이익</t>
        </is>
      </c>
      <c r="C54" s="6" t="n">
        <v>13.92</v>
      </c>
      <c r="D54" s="6" t="n">
        <v>13.17</v>
      </c>
      <c r="E54" s="6" t="n">
        <v>10.91</v>
      </c>
      <c r="F54" s="6" t="n">
        <v>13.05</v>
      </c>
      <c r="G54" s="6" t="n">
        <v>12.98</v>
      </c>
      <c r="H54" s="6" t="n">
        <v>10.46</v>
      </c>
      <c r="I54" s="6" t="n">
        <v>18.43</v>
      </c>
      <c r="J54" s="6" t="n">
        <v>22.98</v>
      </c>
      <c r="K54" s="6" t="n">
        <v>11.15</v>
      </c>
      <c r="L54" s="6" t="n">
        <v>19.34</v>
      </c>
      <c r="M54" s="6" t="n">
        <v>3.53</v>
      </c>
      <c r="N54" s="6" t="n">
        <v>18.44</v>
      </c>
      <c r="O54" s="6" t="n">
        <v>20.16</v>
      </c>
      <c r="P54" s="6" t="n">
        <v>25.47</v>
      </c>
      <c r="Q54" s="6" t="n">
        <v>17.83</v>
      </c>
      <c r="R54" s="6" t="n">
        <v>26.58</v>
      </c>
      <c r="S54" s="6" t="n">
        <v>17.95</v>
      </c>
      <c r="T54" s="6" t="n">
        <v>22.16</v>
      </c>
      <c r="U54" s="6" t="n">
        <v>-0.41</v>
      </c>
      <c r="V54" s="6" t="n">
        <v>34.2</v>
      </c>
      <c r="W54" s="6" t="n">
        <v>4.3737</v>
      </c>
      <c r="X54" s="6" t="n">
        <v>10.6182</v>
      </c>
      <c r="Y54" s="6" t="n">
        <v>17.5887</v>
      </c>
      <c r="Z54" s="6" t="n">
        <v>28.1725</v>
      </c>
      <c r="AA54" s="6" t="n">
        <v>51.05</v>
      </c>
      <c r="AB54" s="6" t="n">
        <v>64.84999999999999</v>
      </c>
      <c r="AC54" s="6" t="n">
        <v>52.46</v>
      </c>
      <c r="AD54" s="6" t="n">
        <v>90.04000000000001</v>
      </c>
      <c r="AE54" s="6" t="n">
        <v>73.90000000000001</v>
      </c>
    </row>
    <row r="55">
      <c r="A55" s="5" t="inlineStr">
        <is>
          <t>비지배주주 순손익</t>
        </is>
      </c>
      <c r="C55" s="6" t="n">
        <v>0.12</v>
      </c>
      <c r="D55" s="6" t="n">
        <v>0.35</v>
      </c>
      <c r="E55" s="6" t="n">
        <v>0.38</v>
      </c>
      <c r="F55" s="6" t="n">
        <v>0.46</v>
      </c>
      <c r="G55" s="6" t="n">
        <v>0.65</v>
      </c>
      <c r="H55" s="6" t="n">
        <v>0.9399999999999999</v>
      </c>
      <c r="I55" s="6" t="n">
        <v>0.49</v>
      </c>
      <c r="J55" s="6" t="n">
        <v>0.31</v>
      </c>
      <c r="K55" s="6" t="n">
        <v>0.21</v>
      </c>
      <c r="L55" s="6" t="n">
        <v>0.45</v>
      </c>
      <c r="M55" s="6" t="n">
        <v>0.21</v>
      </c>
      <c r="N55" s="6" t="n">
        <v>0.31</v>
      </c>
      <c r="O55" s="6" t="n">
        <v>0.39</v>
      </c>
      <c r="P55" s="6" t="n">
        <v>0.3</v>
      </c>
      <c r="Q55" s="6" t="n">
        <v>0</v>
      </c>
      <c r="R55" s="6" t="n">
        <v>0</v>
      </c>
      <c r="S55" s="6" t="n">
        <v>0</v>
      </c>
      <c r="T55" s="6" t="n">
        <v>0</v>
      </c>
      <c r="U55" s="6" t="n">
        <v>-0.08</v>
      </c>
      <c r="V55" s="6" t="n">
        <v>-0.31</v>
      </c>
      <c r="W55" s="6" t="n">
        <v>0.6913</v>
      </c>
      <c r="X55" s="6" t="n">
        <v>0.9133</v>
      </c>
      <c r="Y55" s="6" t="n">
        <v>1.1017</v>
      </c>
      <c r="Z55" s="6" t="n">
        <v>-0.0136</v>
      </c>
      <c r="AA55" s="6" t="n">
        <v>1.31</v>
      </c>
      <c r="AB55" s="6" t="n">
        <v>2.39</v>
      </c>
      <c r="AC55" s="6" t="n">
        <v>1.18</v>
      </c>
      <c r="AD55" s="6" t="n">
        <v>0.6899999999999999</v>
      </c>
      <c r="AE55" s="6" t="n">
        <v>-0.39</v>
      </c>
    </row>
    <row r="56">
      <c r="A56" s="5" t="inlineStr">
        <is>
          <t>지배주주 순이익</t>
        </is>
      </c>
      <c r="C56" s="6" t="n">
        <v>13.8</v>
      </c>
      <c r="D56" s="6" t="n">
        <v>12.82</v>
      </c>
      <c r="E56" s="6" t="n">
        <v>10.53</v>
      </c>
      <c r="F56" s="6" t="n">
        <v>12.59</v>
      </c>
      <c r="G56" s="6" t="n">
        <v>12.33</v>
      </c>
      <c r="H56" s="6" t="n">
        <v>9.52</v>
      </c>
      <c r="I56" s="6" t="n">
        <v>17.94</v>
      </c>
      <c r="J56" s="6" t="n">
        <v>22.66</v>
      </c>
      <c r="K56" s="6" t="n">
        <v>10.93</v>
      </c>
      <c r="L56" s="6" t="n">
        <v>18.89</v>
      </c>
      <c r="M56" s="6" t="n">
        <v>3.33</v>
      </c>
      <c r="N56" s="6" t="n">
        <v>18.12</v>
      </c>
      <c r="O56" s="6" t="n">
        <v>19.76</v>
      </c>
      <c r="P56" s="6" t="n">
        <v>25.17</v>
      </c>
      <c r="Q56" s="6" t="n">
        <v>17.84</v>
      </c>
      <c r="R56" s="6" t="n">
        <v>26.58</v>
      </c>
      <c r="S56" s="6" t="n">
        <v>17.95</v>
      </c>
      <c r="T56" s="6" t="n">
        <v>22.16</v>
      </c>
      <c r="U56" s="6" t="n">
        <v>-0.32</v>
      </c>
      <c r="V56" s="6" t="n">
        <v>34.51</v>
      </c>
      <c r="W56" s="6" t="n">
        <v>3.6824</v>
      </c>
      <c r="X56" s="6" t="n">
        <v>9.7049</v>
      </c>
      <c r="Y56" s="6" t="n">
        <v>16.4869</v>
      </c>
      <c r="Z56" s="6" t="n">
        <v>28.1861</v>
      </c>
      <c r="AA56" s="6" t="n">
        <v>49.74</v>
      </c>
      <c r="AB56" s="6" t="n">
        <v>62.45</v>
      </c>
      <c r="AC56" s="6" t="n">
        <v>51.27</v>
      </c>
      <c r="AD56" s="6" t="n">
        <v>89.34999999999999</v>
      </c>
      <c r="AE56" s="6" t="n">
        <v>74.3</v>
      </c>
    </row>
    <row r="57">
      <c r="A57" s="8" t="inlineStr">
        <is>
          <t>순이익률</t>
        </is>
      </c>
      <c r="C57" s="9">
        <f>IF(OR(C56="",C4=""),"",IFERROR(C56/C4,""))</f>
        <v/>
      </c>
      <c r="D57" s="9">
        <f>IF(OR(D56="",D4=""),"",IFERROR(D56/D4,""))</f>
        <v/>
      </c>
      <c r="E57" s="9">
        <f>IF(OR(E56="",E4=""),"",IFERROR(E56/E4,""))</f>
        <v/>
      </c>
      <c r="F57" s="9">
        <f>IF(OR(F56="",F4=""),"",IFERROR(F56/F4,""))</f>
        <v/>
      </c>
      <c r="G57" s="9">
        <f>IF(OR(G56="",G4=""),"",IFERROR(G56/G4,""))</f>
        <v/>
      </c>
      <c r="H57" s="9">
        <f>IF(OR(H56="",H4=""),"",IFERROR(H56/H4,""))</f>
        <v/>
      </c>
      <c r="I57" s="9">
        <f>IF(OR(I56="",I4=""),"",IFERROR(I56/I4,""))</f>
        <v/>
      </c>
      <c r="J57" s="9">
        <f>IF(OR(J56="",J4=""),"",IFERROR(J56/J4,""))</f>
        <v/>
      </c>
      <c r="K57" s="9">
        <f>IF(OR(K56="",K4=""),"",IFERROR(K56/K4,""))</f>
        <v/>
      </c>
      <c r="L57" s="9">
        <f>IF(OR(L56="",L4=""),"",IFERROR(L56/L4,""))</f>
        <v/>
      </c>
      <c r="M57" s="9">
        <f>IF(OR(M56="",M4=""),"",IFERROR(M56/M4,""))</f>
        <v/>
      </c>
      <c r="N57" s="9">
        <f>IF(OR(N56="",N4=""),"",IFERROR(N56/N4,""))</f>
        <v/>
      </c>
      <c r="O57" s="9">
        <f>IF(OR(O56="",O4=""),"",IFERROR(O56/O4,""))</f>
        <v/>
      </c>
      <c r="P57" s="9">
        <f>IF(OR(P56="",P4=""),"",IFERROR(P56/P4,""))</f>
        <v/>
      </c>
      <c r="Q57" s="9">
        <f>IF(OR(Q56="",Q4=""),"",IFERROR(Q56/Q4,""))</f>
        <v/>
      </c>
      <c r="R57" s="9">
        <f>IF(OR(R56="",R4=""),"",IFERROR(R56/R4,""))</f>
        <v/>
      </c>
      <c r="S57" s="9">
        <f>IF(OR(S56="",S4=""),"",IFERROR(S56/S4,""))</f>
        <v/>
      </c>
      <c r="T57" s="9">
        <f>IF(OR(T56="",T4=""),"",IFERROR(T56/T4,""))</f>
        <v/>
      </c>
      <c r="U57" s="9">
        <f>IF(OR(U56="",U4=""),"",IFERROR(U56/U4,""))</f>
        <v/>
      </c>
      <c r="V57" s="9">
        <f>IF(OR(V56="",V4=""),"",IFERROR(V56/V4,""))</f>
        <v/>
      </c>
      <c r="W57" s="9">
        <f>IF(OR(W56="",W4=""),"",IFERROR(W56/W4,""))</f>
        <v/>
      </c>
      <c r="X57" s="9">
        <f>IF(OR(X56="",X4=""),"",IFERROR(X56/X4,""))</f>
        <v/>
      </c>
      <c r="Y57" s="9">
        <f>IF(OR(Y56="",Y4=""),"",IFERROR(Y56/Y4,""))</f>
        <v/>
      </c>
      <c r="Z57" s="9">
        <f>IF(OR(Z56="",Z4=""),"",IFERROR(Z56/Z4,""))</f>
        <v/>
      </c>
      <c r="AA57" s="9">
        <f>IF(OR(AA56="",AA4=""),"",IFERROR(AA56/AA4,""))</f>
        <v/>
      </c>
      <c r="AB57" s="9">
        <f>IF(OR(AB56="",AB4=""),"",IFERROR(AB56/AB4,""))</f>
        <v/>
      </c>
      <c r="AC57" s="9">
        <f>IF(OR(AC56="",AC4=""),"",IFERROR(AC56/AC4,""))</f>
        <v/>
      </c>
      <c r="AD57" s="9">
        <f>IF(OR(AD56="",AD4=""),"",IFERROR(AD56/AD4,""))</f>
        <v/>
      </c>
      <c r="AE57" s="9">
        <f>IF(OR(AE56="",AE4=""),"",IFERROR(AE56/AE4,""))</f>
        <v/>
      </c>
    </row>
    <row r="58">
      <c r="A58" s="8" t="inlineStr">
        <is>
          <t>YoY</t>
        </is>
      </c>
      <c r="G58" s="9">
        <f>IF(OR(G56="",C56=""),"",IFERROR(G56/C56-1,""))</f>
        <v/>
      </c>
      <c r="H58" s="9">
        <f>IF(OR(H56="",D56=""),"",IFERROR(H56/D56-1,""))</f>
        <v/>
      </c>
      <c r="I58" s="9">
        <f>IF(OR(I56="",E56=""),"",IFERROR(I56/E56-1,""))</f>
        <v/>
      </c>
      <c r="J58" s="9">
        <f>IF(OR(J56="",F56=""),"",IFERROR(J56/F56-1,""))</f>
        <v/>
      </c>
      <c r="K58" s="9">
        <f>IF(OR(K56="",G56=""),"",IFERROR(K56/G56-1,""))</f>
        <v/>
      </c>
      <c r="L58" s="9">
        <f>IF(OR(L56="",H56=""),"",IFERROR(L56/H56-1,""))</f>
        <v/>
      </c>
      <c r="M58" s="9">
        <f>IF(OR(M56="",I56=""),"",IFERROR(M56/I56-1,""))</f>
        <v/>
      </c>
      <c r="N58" s="9">
        <f>IF(OR(N56="",J56=""),"",IFERROR(N56/J56-1,""))</f>
        <v/>
      </c>
      <c r="O58" s="9">
        <f>IF(OR(O56="",K56=""),"",IFERROR(O56/K56-1,""))</f>
        <v/>
      </c>
      <c r="P58" s="9">
        <f>IF(OR(P56="",L56=""),"",IFERROR(P56/L56-1,""))</f>
        <v/>
      </c>
      <c r="Q58" s="9">
        <f>IF(OR(Q56="",M56=""),"",IFERROR(Q56/M56-1,""))</f>
        <v/>
      </c>
      <c r="R58" s="9">
        <f>IF(OR(R56="",N56=""),"",IFERROR(R56/N56-1,""))</f>
        <v/>
      </c>
      <c r="S58" s="9">
        <f>IF(OR(S56="",O56=""),"",IFERROR(S56/O56-1,""))</f>
        <v/>
      </c>
      <c r="T58" s="9">
        <f>IF(OR(T56="",P56=""),"",IFERROR(T56/P56-1,""))</f>
        <v/>
      </c>
      <c r="U58" s="9">
        <f>IF(OR(U56="",Q56=""),"",IFERROR(U56/Q56-1,""))</f>
        <v/>
      </c>
      <c r="V58" s="9">
        <f>IF(OR(V56="",R56=""),"",IFERROR(V56/R56-1,""))</f>
        <v/>
      </c>
      <c r="X58" s="9">
        <f>IF(OR(X56="",W56=""),"",IFERROR(X56/W56-1,""))</f>
        <v/>
      </c>
      <c r="Y58" s="9">
        <f>IF(OR(Y56="",X56=""),"",IFERROR(Y56/X56-1,""))</f>
        <v/>
      </c>
      <c r="Z58" s="9">
        <f>IF(OR(Z56="",Y56=""),"",IFERROR(Z56/Y56-1,""))</f>
        <v/>
      </c>
      <c r="AA58" s="9">
        <f>IF(OR(AA56="",Z56=""),"",IFERROR(AA56/Z56-1,""))</f>
        <v/>
      </c>
      <c r="AB58" s="9">
        <f>IF(OR(AB56="",AA56=""),"",IFERROR(AB56/AA56-1,""))</f>
        <v/>
      </c>
      <c r="AC58" s="9">
        <f>IF(OR(AC56="",AB56=""),"",IFERROR(AC56/AB56-1,""))</f>
        <v/>
      </c>
      <c r="AD58" s="9">
        <f>IF(OR(AD56="",AC56=""),"",IFERROR(AD56/AC56-1,""))</f>
        <v/>
      </c>
      <c r="AE58" s="9">
        <f>IF(OR(AE56="",AD56=""),"",IFERROR(AE56/AD56-1,""))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11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40" customWidth="1" min="32" max="32"/>
  </cols>
  <sheetData>
    <row r="1">
      <c r="A1" s="1" t="inlineStr">
        <is>
          <t>SHIFT 포괄손익</t>
        </is>
      </c>
    </row>
    <row r="2">
      <c r="A2" s="2" t="inlineStr">
        <is>
          <t>결산기 기준(27.2Q = 2027년 결산기 2분기) · 8월 결산 · 연결 · 분기 단독(누계 차분) · 오른쪽 FY = 연간</t>
        </is>
      </c>
      <c r="B2" s="3" t="inlineStr">
        <is>
          <t>(단위: 억엔)</t>
        </is>
      </c>
    </row>
    <row r="3">
      <c r="A3" s="4" t="inlineStr">
        <is>
          <t>항목</t>
        </is>
      </c>
      <c r="B3" s="4" t="inlineStr">
        <is>
          <t>참고</t>
        </is>
      </c>
      <c r="C3" s="4" t="inlineStr">
        <is>
          <t>22.1Q</t>
        </is>
      </c>
      <c r="D3" s="4" t="inlineStr">
        <is>
          <t>22.2Q</t>
        </is>
      </c>
      <c r="E3" s="4" t="inlineStr">
        <is>
          <t>22.3Q</t>
        </is>
      </c>
      <c r="F3" s="4" t="inlineStr">
        <is>
          <t>22.4Q</t>
        </is>
      </c>
      <c r="G3" s="4" t="inlineStr">
        <is>
          <t>23.1Q</t>
        </is>
      </c>
      <c r="H3" s="4" t="inlineStr">
        <is>
          <t>23.2Q</t>
        </is>
      </c>
      <c r="I3" s="4" t="inlineStr">
        <is>
          <t>23.3Q</t>
        </is>
      </c>
      <c r="J3" s="4" t="inlineStr">
        <is>
          <t>23.4Q</t>
        </is>
      </c>
      <c r="K3" s="4" t="inlineStr">
        <is>
          <t>24.1Q</t>
        </is>
      </c>
      <c r="L3" s="4" t="inlineStr">
        <is>
          <t>24.2Q</t>
        </is>
      </c>
      <c r="M3" s="4" t="inlineStr">
        <is>
          <t>24.3Q</t>
        </is>
      </c>
      <c r="N3" s="4" t="inlineStr">
        <is>
          <t>24.4Q</t>
        </is>
      </c>
      <c r="O3" s="4" t="inlineStr">
        <is>
          <t>25.1Q</t>
        </is>
      </c>
      <c r="P3" s="4" t="inlineStr">
        <is>
          <t>25.2Q</t>
        </is>
      </c>
      <c r="Q3" s="4" t="inlineStr">
        <is>
          <t>25.3Q</t>
        </is>
      </c>
      <c r="R3" s="4" t="inlineStr">
        <is>
          <t>25.4Q</t>
        </is>
      </c>
      <c r="S3" s="4" t="inlineStr">
        <is>
          <t>26.1Q</t>
        </is>
      </c>
      <c r="T3" s="4" t="inlineStr">
        <is>
          <t>26.2Q</t>
        </is>
      </c>
      <c r="U3" s="4" t="inlineStr">
        <is>
          <t>26.3Q</t>
        </is>
      </c>
      <c r="V3" s="4" t="inlineStr">
        <is>
          <t>26.4Q</t>
        </is>
      </c>
      <c r="W3" s="4" t="inlineStr">
        <is>
          <t>FY18</t>
        </is>
      </c>
      <c r="X3" s="4" t="inlineStr">
        <is>
          <t>FY19</t>
        </is>
      </c>
      <c r="Y3" s="4" t="inlineStr">
        <is>
          <t>FY20</t>
        </is>
      </c>
      <c r="Z3" s="4" t="inlineStr">
        <is>
          <t>FY21</t>
        </is>
      </c>
      <c r="AA3" s="4" t="inlineStr">
        <is>
          <t>FY22</t>
        </is>
      </c>
      <c r="AB3" s="4" t="inlineStr">
        <is>
          <t>FY23</t>
        </is>
      </c>
      <c r="AC3" s="4" t="inlineStr">
        <is>
          <t>FY24</t>
        </is>
      </c>
      <c r="AD3" s="4" t="inlineStr">
        <is>
          <t>FY25</t>
        </is>
      </c>
      <c r="AE3" s="4" t="inlineStr">
        <is>
          <t>FY26</t>
        </is>
      </c>
      <c r="AF3" s="4" t="inlineStr">
        <is>
          <t>출처</t>
        </is>
      </c>
    </row>
    <row r="4">
      <c r="A4" s="5" t="inlineStr">
        <is>
          <t>순이익</t>
        </is>
      </c>
      <c r="C4" s="6" t="n">
        <v>13.92</v>
      </c>
      <c r="D4" s="6" t="n">
        <v>13.17</v>
      </c>
      <c r="E4" s="6" t="n">
        <v>10.91</v>
      </c>
      <c r="F4" s="6" t="n">
        <v>13.05</v>
      </c>
      <c r="G4" s="6" t="n">
        <v>12.98</v>
      </c>
      <c r="H4" s="6" t="n">
        <v>10.46</v>
      </c>
      <c r="I4" s="6" t="n">
        <v>18.43</v>
      </c>
      <c r="J4" s="6" t="n">
        <v>22.98</v>
      </c>
      <c r="K4" s="6" t="n">
        <v>11.15</v>
      </c>
      <c r="L4" s="6" t="n">
        <v>19.34</v>
      </c>
      <c r="M4" s="6" t="n">
        <v>3.53</v>
      </c>
      <c r="N4" s="6" t="n">
        <v>18.44</v>
      </c>
      <c r="O4" s="6" t="n">
        <v>20.16</v>
      </c>
      <c r="P4" s="6" t="n">
        <v>25.47</v>
      </c>
      <c r="Q4" s="6" t="n">
        <v>17.83</v>
      </c>
      <c r="R4" s="6" t="n">
        <v>26.58</v>
      </c>
      <c r="S4" s="6" t="n">
        <v>17.95</v>
      </c>
      <c r="T4" s="6" t="n">
        <v>22.16</v>
      </c>
      <c r="U4" s="6" t="n">
        <v>-0.41</v>
      </c>
      <c r="V4" s="6" t="n">
        <v>34.2</v>
      </c>
      <c r="W4" s="6" t="n">
        <v>4.3737</v>
      </c>
      <c r="X4" s="6" t="n">
        <v>10.6182</v>
      </c>
      <c r="Y4" s="6" t="n">
        <v>17.5887</v>
      </c>
      <c r="Z4" s="6" t="n">
        <v>28.1725</v>
      </c>
      <c r="AA4" s="6" t="n">
        <v>51.05</v>
      </c>
      <c r="AB4" s="6" t="n">
        <v>64.84999999999999</v>
      </c>
      <c r="AC4" s="6" t="n">
        <v>52.46</v>
      </c>
      <c r="AD4" s="6" t="n">
        <v>90.04000000000001</v>
      </c>
      <c r="AE4" s="6" t="n">
        <v>73.90000000000001</v>
      </c>
      <c r="AF4" s="7" t="inlineStr">
        <is>
          <t>결산단신 XBRL(거래소 공시, TDnet·JPX 보관소). 쓴 문서: 2026-10-15, 2026-07-15, 2026-04-14, 2026-01-14 외 26건 — '출처' 시트에 전부</t>
        </is>
      </c>
    </row>
    <row r="5">
      <c r="A5" s="10" t="inlineStr">
        <is>
          <t>기타유가증권 평가차액</t>
        </is>
      </c>
      <c r="C5" s="11" t="n">
        <v>-3.57</v>
      </c>
      <c r="D5" s="11" t="n">
        <v>-0.06</v>
      </c>
      <c r="E5" s="11" t="n">
        <v>0</v>
      </c>
      <c r="F5" s="11" t="n">
        <v>2.42</v>
      </c>
      <c r="G5" s="11" t="n">
        <v>-0.34</v>
      </c>
      <c r="H5" s="11" t="n">
        <v>0.5</v>
      </c>
      <c r="I5" s="11" t="n">
        <v>-1.47</v>
      </c>
      <c r="J5" s="11" t="n">
        <v>0.68</v>
      </c>
      <c r="K5" s="11" t="n">
        <v>-0.6</v>
      </c>
      <c r="L5" s="11" t="n">
        <v>-1.25</v>
      </c>
      <c r="M5" s="11" t="n">
        <v>-0.19</v>
      </c>
      <c r="N5" s="11" t="n">
        <v>-2.19</v>
      </c>
      <c r="O5" s="11" t="n">
        <v>0.12</v>
      </c>
      <c r="P5" s="11" t="n">
        <v>0.1</v>
      </c>
      <c r="Q5" s="11" t="n">
        <v>3.42</v>
      </c>
      <c r="R5" s="11" t="n">
        <v>0.11</v>
      </c>
      <c r="S5" s="11" t="n">
        <v>-0.62</v>
      </c>
      <c r="T5" s="11" t="n">
        <v>-1.08</v>
      </c>
      <c r="U5" s="11" t="n">
        <v>-1.34</v>
      </c>
      <c r="V5" s="11" t="n">
        <v>0.37</v>
      </c>
      <c r="X5" s="11" t="n">
        <v>0</v>
      </c>
      <c r="Y5" s="11" t="n">
        <v>1.3384</v>
      </c>
      <c r="Z5" s="11" t="n">
        <v>1.7007</v>
      </c>
      <c r="AA5" s="11" t="n">
        <v>-1.21</v>
      </c>
      <c r="AB5" s="11" t="n">
        <v>-0.63</v>
      </c>
      <c r="AC5" s="11" t="n">
        <v>-4.23</v>
      </c>
      <c r="AD5" s="11" t="n">
        <v>3.75</v>
      </c>
      <c r="AE5" s="11" t="n">
        <v>-2.67</v>
      </c>
    </row>
    <row r="6">
      <c r="A6" s="10" t="inlineStr">
        <is>
          <t>해외사업환산조정</t>
        </is>
      </c>
      <c r="C6" s="11" t="n">
        <v>0.06</v>
      </c>
      <c r="D6" s="11" t="n">
        <v>0.01</v>
      </c>
      <c r="E6" s="11" t="n">
        <v>0.15</v>
      </c>
      <c r="F6" s="11" t="n">
        <v>0.11</v>
      </c>
      <c r="G6" s="11" t="n">
        <v>-0.11</v>
      </c>
      <c r="H6" s="11" t="n">
        <v>0.04</v>
      </c>
      <c r="I6" s="11" t="n">
        <v>0.05</v>
      </c>
      <c r="J6" s="11" t="n">
        <v>0</v>
      </c>
      <c r="K6" s="11" t="n">
        <v>0</v>
      </c>
      <c r="L6" s="11" t="n">
        <v>-0</v>
      </c>
      <c r="M6" s="11" t="n">
        <v>0</v>
      </c>
      <c r="N6" s="11" t="n">
        <v>-0.05</v>
      </c>
      <c r="O6" s="11" t="n">
        <v>0</v>
      </c>
      <c r="P6" s="11" t="n">
        <v>0</v>
      </c>
      <c r="Q6" s="11" t="n">
        <v>-0.13</v>
      </c>
      <c r="R6" s="11" t="n">
        <v>0</v>
      </c>
      <c r="S6" s="11" t="n">
        <v>0.11</v>
      </c>
      <c r="T6" s="11" t="n">
        <v>0</v>
      </c>
      <c r="U6" s="11" t="n">
        <v>-0.05</v>
      </c>
      <c r="V6" s="11" t="n">
        <v>0.08</v>
      </c>
      <c r="W6" s="11" t="n">
        <v>-0.0287</v>
      </c>
      <c r="X6" s="11" t="n">
        <v>-0.0371</v>
      </c>
      <c r="Y6" s="11" t="n">
        <v>0.0019</v>
      </c>
      <c r="Z6" s="11" t="n">
        <v>0.083</v>
      </c>
      <c r="AA6" s="11" t="n">
        <v>0.33</v>
      </c>
      <c r="AB6" s="11" t="n">
        <v>-0.02</v>
      </c>
      <c r="AC6" s="11" t="n">
        <v>-0.05</v>
      </c>
      <c r="AD6" s="11" t="n">
        <v>-0.13</v>
      </c>
      <c r="AE6" s="11" t="n">
        <v>0.14</v>
      </c>
    </row>
    <row r="7">
      <c r="A7" s="10" t="inlineStr">
        <is>
          <t>퇴직급여 조정액</t>
        </is>
      </c>
      <c r="AD7" s="11" t="n">
        <v>0</v>
      </c>
      <c r="AE7" s="11" t="n">
        <v>0.13</v>
      </c>
    </row>
    <row r="8">
      <c r="A8" s="10" t="inlineStr">
        <is>
          <t>기타포괄손익 합계</t>
        </is>
      </c>
      <c r="C8" s="11" t="n">
        <v>-3.51</v>
      </c>
      <c r="D8" s="11" t="n">
        <v>-0.05</v>
      </c>
      <c r="E8" s="11" t="n">
        <v>0.16</v>
      </c>
      <c r="F8" s="11" t="n">
        <v>2.52</v>
      </c>
      <c r="G8" s="11" t="n">
        <v>-0.46</v>
      </c>
      <c r="H8" s="11" t="n">
        <v>0.55</v>
      </c>
      <c r="I8" s="11" t="n">
        <v>-1.43</v>
      </c>
      <c r="J8" s="11" t="n">
        <v>0.6899999999999999</v>
      </c>
      <c r="K8" s="11" t="n">
        <v>-0.59</v>
      </c>
      <c r="L8" s="11" t="n">
        <v>-1.27</v>
      </c>
      <c r="M8" s="11" t="n">
        <v>-0.18</v>
      </c>
      <c r="N8" s="11" t="n">
        <v>-2.25</v>
      </c>
      <c r="O8" s="11" t="n">
        <v>0.12</v>
      </c>
      <c r="P8" s="11" t="n">
        <v>0.11</v>
      </c>
      <c r="Q8" s="11" t="n">
        <v>3.28</v>
      </c>
      <c r="R8" s="11" t="n">
        <v>0.1</v>
      </c>
      <c r="S8" s="11" t="n">
        <v>-0.51</v>
      </c>
      <c r="T8" s="11" t="n">
        <v>-1.07</v>
      </c>
      <c r="U8" s="11" t="n">
        <v>-1.4</v>
      </c>
      <c r="V8" s="11" t="n">
        <v>0.6</v>
      </c>
      <c r="W8" s="11" t="n">
        <v>-0.0287</v>
      </c>
      <c r="X8" s="11" t="n">
        <v>-0.0371</v>
      </c>
      <c r="Y8" s="11" t="n">
        <v>1.3403</v>
      </c>
      <c r="Z8" s="11" t="n">
        <v>1.7837</v>
      </c>
      <c r="AA8" s="11" t="n">
        <v>-0.88</v>
      </c>
      <c r="AB8" s="11" t="n">
        <v>-0.65</v>
      </c>
      <c r="AC8" s="11" t="n">
        <v>-4.29</v>
      </c>
      <c r="AD8" s="11" t="n">
        <v>3.61</v>
      </c>
      <c r="AE8" s="11" t="n">
        <v>-2.38</v>
      </c>
    </row>
    <row r="9">
      <c r="A9" s="10" t="inlineStr">
        <is>
          <t>포괄이익</t>
        </is>
      </c>
      <c r="C9" s="11" t="n">
        <v>10.41</v>
      </c>
      <c r="D9" s="11" t="n">
        <v>13.12</v>
      </c>
      <c r="E9" s="11" t="n">
        <v>11.06</v>
      </c>
      <c r="F9" s="11" t="n">
        <v>15.57</v>
      </c>
      <c r="G9" s="11" t="n">
        <v>12.51</v>
      </c>
      <c r="H9" s="11" t="n">
        <v>11.02</v>
      </c>
      <c r="I9" s="11" t="n">
        <v>17</v>
      </c>
      <c r="J9" s="11" t="n">
        <v>23.67</v>
      </c>
      <c r="K9" s="11" t="n">
        <v>10.55</v>
      </c>
      <c r="L9" s="11" t="n">
        <v>18.07</v>
      </c>
      <c r="M9" s="11" t="n">
        <v>3.35</v>
      </c>
      <c r="N9" s="11" t="n">
        <v>16.2</v>
      </c>
      <c r="O9" s="11" t="n">
        <v>20.29</v>
      </c>
      <c r="P9" s="11" t="n">
        <v>25.57</v>
      </c>
      <c r="Q9" s="11" t="n">
        <v>21.11</v>
      </c>
      <c r="R9" s="11" t="n">
        <v>26.68</v>
      </c>
      <c r="S9" s="11" t="n">
        <v>17.43</v>
      </c>
      <c r="T9" s="11" t="n">
        <v>21.1</v>
      </c>
      <c r="U9" s="11" t="n">
        <v>-1.82</v>
      </c>
      <c r="V9" s="11" t="n">
        <v>34.8</v>
      </c>
      <c r="W9" s="11" t="n">
        <v>4.345</v>
      </c>
      <c r="X9" s="11" t="n">
        <v>10.5811</v>
      </c>
      <c r="Y9" s="11" t="n">
        <v>18.9289</v>
      </c>
      <c r="Z9" s="11" t="n">
        <v>29.9562</v>
      </c>
      <c r="AA9" s="11" t="n">
        <v>50.16</v>
      </c>
      <c r="AB9" s="11" t="n">
        <v>64.2</v>
      </c>
      <c r="AC9" s="11" t="n">
        <v>48.17</v>
      </c>
      <c r="AD9" s="11" t="n">
        <v>93.65000000000001</v>
      </c>
      <c r="AE9" s="11" t="n">
        <v>71.51000000000001</v>
      </c>
    </row>
    <row r="10">
      <c r="A10" s="10" t="inlineStr">
        <is>
          <t>지배주주 포괄이익</t>
        </is>
      </c>
      <c r="C10" s="11" t="n">
        <v>10.29</v>
      </c>
      <c r="D10" s="11" t="n">
        <v>12.77</v>
      </c>
      <c r="E10" s="11" t="n">
        <v>10.73</v>
      </c>
      <c r="F10" s="11" t="n">
        <v>14.98</v>
      </c>
      <c r="G10" s="11" t="n">
        <v>11.85</v>
      </c>
      <c r="H10" s="11" t="n">
        <v>10.09</v>
      </c>
      <c r="I10" s="11" t="n">
        <v>16.6</v>
      </c>
      <c r="J10" s="11" t="n">
        <v>23.34</v>
      </c>
      <c r="K10" s="11" t="n">
        <v>10.33</v>
      </c>
      <c r="L10" s="11" t="n">
        <v>17.62</v>
      </c>
      <c r="M10" s="11" t="n">
        <v>3.16</v>
      </c>
      <c r="N10" s="11" t="n">
        <v>15.88</v>
      </c>
      <c r="O10" s="11" t="n">
        <v>19.89</v>
      </c>
      <c r="P10" s="11" t="n">
        <v>25.27</v>
      </c>
      <c r="Q10" s="11" t="n">
        <v>21.12</v>
      </c>
      <c r="R10" s="11" t="n">
        <v>26.68</v>
      </c>
      <c r="S10" s="11" t="n">
        <v>17.43</v>
      </c>
      <c r="T10" s="11" t="n">
        <v>21.1</v>
      </c>
      <c r="U10" s="11" t="n">
        <v>-1.73</v>
      </c>
      <c r="V10" s="11" t="n">
        <v>35.11</v>
      </c>
      <c r="W10" s="11" t="n">
        <v>3.6537</v>
      </c>
      <c r="X10" s="11" t="n">
        <v>9.6678</v>
      </c>
      <c r="Y10" s="11" t="n">
        <v>17.8272</v>
      </c>
      <c r="Z10" s="11" t="n">
        <v>29.9698</v>
      </c>
      <c r="AA10" s="11" t="n">
        <v>48.77</v>
      </c>
      <c r="AB10" s="11" t="n">
        <v>61.88</v>
      </c>
      <c r="AC10" s="11" t="n">
        <v>46.99</v>
      </c>
      <c r="AD10" s="11" t="n">
        <v>92.95999999999999</v>
      </c>
      <c r="AE10" s="11" t="n">
        <v>71.91</v>
      </c>
    </row>
    <row r="11">
      <c r="A11" s="10" t="inlineStr">
        <is>
          <t>비지배주주 포괄이익</t>
        </is>
      </c>
      <c r="C11" s="11" t="n">
        <v>0.12</v>
      </c>
      <c r="D11" s="11" t="n">
        <v>0.35</v>
      </c>
      <c r="E11" s="11" t="n">
        <v>0.33</v>
      </c>
      <c r="F11" s="11" t="n">
        <v>0.59</v>
      </c>
      <c r="G11" s="11" t="n">
        <v>0.65</v>
      </c>
      <c r="H11" s="11" t="n">
        <v>0.93</v>
      </c>
      <c r="I11" s="11" t="n">
        <v>0.41</v>
      </c>
      <c r="J11" s="11" t="n">
        <v>0.32</v>
      </c>
      <c r="K11" s="11" t="n">
        <v>0.21</v>
      </c>
      <c r="L11" s="11" t="n">
        <v>0.45</v>
      </c>
      <c r="M11" s="11" t="n">
        <v>0.2</v>
      </c>
      <c r="N11" s="11" t="n">
        <v>0.32</v>
      </c>
      <c r="O11" s="11" t="n">
        <v>0.39</v>
      </c>
      <c r="P11" s="11" t="n">
        <v>0.3</v>
      </c>
      <c r="Q11" s="11" t="n">
        <v>0</v>
      </c>
      <c r="R11" s="11" t="n">
        <v>0</v>
      </c>
      <c r="S11" s="11" t="n">
        <v>0</v>
      </c>
      <c r="T11" s="11" t="n">
        <v>0</v>
      </c>
      <c r="U11" s="11" t="n">
        <v>-0.08</v>
      </c>
      <c r="V11" s="11" t="n">
        <v>-0.31</v>
      </c>
      <c r="W11" s="11" t="n">
        <v>0.6913</v>
      </c>
      <c r="X11" s="11" t="n">
        <v>0.9133</v>
      </c>
      <c r="Y11" s="11" t="n">
        <v>1.1017</v>
      </c>
      <c r="Z11" s="11" t="n">
        <v>-0.0136</v>
      </c>
      <c r="AA11" s="11" t="n">
        <v>1.39</v>
      </c>
      <c r="AB11" s="11" t="n">
        <v>2.31</v>
      </c>
      <c r="AC11" s="11" t="n">
        <v>1.18</v>
      </c>
      <c r="AD11" s="11" t="n">
        <v>0.6899999999999999</v>
      </c>
      <c r="AE11" s="11" t="n">
        <v>-0.39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71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40" customWidth="1" min="32" max="32"/>
  </cols>
  <sheetData>
    <row r="1">
      <c r="A1" s="1" t="inlineStr">
        <is>
          <t>SHIFT 재무상태표</t>
        </is>
      </c>
    </row>
    <row r="2">
      <c r="A2" s="2" t="inlineStr">
        <is>
          <t>결산기 기준(27.2Q = 2027년 결산기 2분기) · 8월 결산 · 연결 · 분기 말 잔액 · 오른쪽 FY = 연간</t>
        </is>
      </c>
      <c r="B2" s="3" t="inlineStr">
        <is>
          <t>(단위: 억엔)</t>
        </is>
      </c>
    </row>
    <row r="3">
      <c r="A3" s="4" t="inlineStr">
        <is>
          <t>항목</t>
        </is>
      </c>
      <c r="B3" s="4" t="inlineStr">
        <is>
          <t>참고</t>
        </is>
      </c>
      <c r="C3" s="4" t="inlineStr">
        <is>
          <t>22.1Q</t>
        </is>
      </c>
      <c r="D3" s="4" t="inlineStr">
        <is>
          <t>22.2Q</t>
        </is>
      </c>
      <c r="E3" s="4" t="inlineStr">
        <is>
          <t>22.3Q</t>
        </is>
      </c>
      <c r="F3" s="4" t="inlineStr">
        <is>
          <t>22.4Q</t>
        </is>
      </c>
      <c r="G3" s="4" t="inlineStr">
        <is>
          <t>23.1Q</t>
        </is>
      </c>
      <c r="H3" s="4" t="inlineStr">
        <is>
          <t>23.2Q</t>
        </is>
      </c>
      <c r="I3" s="4" t="inlineStr">
        <is>
          <t>23.3Q</t>
        </is>
      </c>
      <c r="J3" s="4" t="inlineStr">
        <is>
          <t>23.4Q</t>
        </is>
      </c>
      <c r="K3" s="4" t="inlineStr">
        <is>
          <t>24.1Q</t>
        </is>
      </c>
      <c r="L3" s="4" t="inlineStr">
        <is>
          <t>24.2Q</t>
        </is>
      </c>
      <c r="M3" s="4" t="inlineStr">
        <is>
          <t>24.3Q</t>
        </is>
      </c>
      <c r="N3" s="4" t="inlineStr">
        <is>
          <t>24.4Q</t>
        </is>
      </c>
      <c r="O3" s="4" t="inlineStr">
        <is>
          <t>25.1Q</t>
        </is>
      </c>
      <c r="P3" s="4" t="inlineStr">
        <is>
          <t>25.2Q</t>
        </is>
      </c>
      <c r="Q3" s="4" t="inlineStr">
        <is>
          <t>25.3Q</t>
        </is>
      </c>
      <c r="R3" s="4" t="inlineStr">
        <is>
          <t>25.4Q</t>
        </is>
      </c>
      <c r="S3" s="4" t="inlineStr">
        <is>
          <t>26.1Q</t>
        </is>
      </c>
      <c r="T3" s="4" t="inlineStr">
        <is>
          <t>26.2Q</t>
        </is>
      </c>
      <c r="U3" s="4" t="inlineStr">
        <is>
          <t>26.3Q</t>
        </is>
      </c>
      <c r="V3" s="4" t="inlineStr">
        <is>
          <t>26.4Q</t>
        </is>
      </c>
      <c r="W3" s="4" t="inlineStr">
        <is>
          <t>FY18</t>
        </is>
      </c>
      <c r="X3" s="4" t="inlineStr">
        <is>
          <t>FY19</t>
        </is>
      </c>
      <c r="Y3" s="4" t="inlineStr">
        <is>
          <t>FY20</t>
        </is>
      </c>
      <c r="Z3" s="4" t="inlineStr">
        <is>
          <t>FY21</t>
        </is>
      </c>
      <c r="AA3" s="4" t="inlineStr">
        <is>
          <t>FY22</t>
        </is>
      </c>
      <c r="AB3" s="4" t="inlineStr">
        <is>
          <t>FY23</t>
        </is>
      </c>
      <c r="AC3" s="4" t="inlineStr">
        <is>
          <t>FY24</t>
        </is>
      </c>
      <c r="AD3" s="4" t="inlineStr">
        <is>
          <t>FY25</t>
        </is>
      </c>
      <c r="AE3" s="4" t="inlineStr">
        <is>
          <t>FY26</t>
        </is>
      </c>
      <c r="AF3" s="4" t="inlineStr">
        <is>
          <t>출처</t>
        </is>
      </c>
    </row>
    <row r="4">
      <c r="A4" s="10" t="inlineStr">
        <is>
          <t>현금 및 예금</t>
        </is>
      </c>
      <c r="C4" s="11" t="n">
        <v>101.4745</v>
      </c>
      <c r="D4" s="11" t="n">
        <v>118.848</v>
      </c>
      <c r="E4" s="11" t="n">
        <v>124.4766</v>
      </c>
      <c r="F4" s="11" t="n">
        <v>129.21</v>
      </c>
      <c r="G4" s="11" t="n">
        <v>141.55</v>
      </c>
      <c r="H4" s="11" t="n">
        <v>165.57</v>
      </c>
      <c r="I4" s="11" t="n">
        <v>163.69</v>
      </c>
      <c r="J4" s="11" t="n">
        <v>175.91</v>
      </c>
      <c r="K4" s="11" t="n">
        <v>197.24</v>
      </c>
      <c r="L4" s="11" t="n">
        <v>193.51</v>
      </c>
      <c r="M4" s="11" t="n">
        <v>211.66</v>
      </c>
      <c r="N4" s="11" t="n">
        <v>208.69</v>
      </c>
      <c r="O4" s="11" t="n">
        <v>244.03</v>
      </c>
      <c r="P4" s="11" t="n">
        <v>250.29</v>
      </c>
      <c r="Q4" s="11" t="n">
        <v>274.69</v>
      </c>
      <c r="R4" s="11" t="n">
        <v>237.26</v>
      </c>
      <c r="S4" s="11" t="n">
        <v>253.18</v>
      </c>
      <c r="T4" s="11" t="n">
        <v>244.4</v>
      </c>
      <c r="U4" s="11" t="n">
        <v>337.51</v>
      </c>
      <c r="V4" s="11" t="n">
        <v>310.97</v>
      </c>
      <c r="W4" s="11" t="n">
        <v>24.744</v>
      </c>
      <c r="X4" s="11" t="n">
        <v>86.9122</v>
      </c>
      <c r="Y4" s="11" t="n">
        <v>65.23999999999999</v>
      </c>
      <c r="Z4" s="11" t="n">
        <v>142.4747</v>
      </c>
      <c r="AA4" s="11" t="n">
        <v>129.21</v>
      </c>
      <c r="AB4" s="11" t="n">
        <v>175.91</v>
      </c>
      <c r="AC4" s="11" t="n">
        <v>208.69</v>
      </c>
      <c r="AD4" s="11" t="n">
        <v>237.26</v>
      </c>
      <c r="AE4" s="11" t="n">
        <v>310.97</v>
      </c>
      <c r="AF4" s="7" t="inlineStr">
        <is>
          <t>결산단신 XBRL(거래소 공시, TDnet·JPX 보관소). 쓴 문서: 2026-10-15, 2026-07-15, 2026-04-14, 2026-01-14 외 26건 — '출처' 시트에 전부</t>
        </is>
      </c>
    </row>
    <row r="5">
      <c r="A5" s="10" t="inlineStr">
        <is>
          <t>매출채권</t>
        </is>
      </c>
      <c r="C5" s="11" t="n">
        <v>0</v>
      </c>
      <c r="D5" s="11" t="n">
        <v>0</v>
      </c>
      <c r="E5" s="11" t="n">
        <v>0</v>
      </c>
      <c r="F5" s="11" t="n">
        <v>0</v>
      </c>
      <c r="W5" s="11" t="n">
        <v>18.0292</v>
      </c>
      <c r="X5" s="11" t="n">
        <v>29.092</v>
      </c>
      <c r="Y5" s="11" t="n">
        <v>38.3759</v>
      </c>
      <c r="Z5" s="11" t="n">
        <v>59.6761</v>
      </c>
      <c r="AA5" s="11" t="n">
        <v>0</v>
      </c>
    </row>
    <row r="6">
      <c r="A6" s="10" t="inlineStr">
        <is>
          <t>매출채권·계약자산</t>
        </is>
      </c>
      <c r="F6" s="11" t="n">
        <v>79.813</v>
      </c>
      <c r="Z6" s="11" t="n">
        <v>0</v>
      </c>
      <c r="AA6" s="11" t="n">
        <v>79.813</v>
      </c>
    </row>
    <row r="7">
      <c r="A7" s="10" t="inlineStr">
        <is>
          <t>매출채권·계약자산</t>
        </is>
      </c>
      <c r="C7" s="11" t="n">
        <v>64.3402</v>
      </c>
      <c r="F7" s="11" t="n">
        <v>79.81</v>
      </c>
      <c r="G7" s="11" t="n">
        <v>84.88</v>
      </c>
      <c r="Z7" s="11" t="n">
        <v>0</v>
      </c>
      <c r="AA7" s="11" t="n">
        <v>79.81</v>
      </c>
    </row>
    <row r="8">
      <c r="A8" s="10" t="inlineStr">
        <is>
          <t>매출채권·계약자산</t>
        </is>
      </c>
      <c r="D8" s="11" t="n">
        <v>68.3248</v>
      </c>
      <c r="F8" s="11" t="n">
        <v>79.81</v>
      </c>
      <c r="H8" s="11" t="n">
        <v>93.06999999999999</v>
      </c>
      <c r="Z8" s="11" t="n">
        <v>0</v>
      </c>
      <c r="AA8" s="11" t="n">
        <v>79.81</v>
      </c>
    </row>
    <row r="9">
      <c r="A9" s="10" t="inlineStr">
        <is>
          <t>매출채권·계약자산</t>
        </is>
      </c>
      <c r="E9" s="11" t="n">
        <v>70.804</v>
      </c>
      <c r="F9" s="11" t="n">
        <v>79.81</v>
      </c>
      <c r="I9" s="11" t="n">
        <v>96.88</v>
      </c>
      <c r="Z9" s="11" t="n">
        <v>0</v>
      </c>
      <c r="AA9" s="11" t="n">
        <v>79.81</v>
      </c>
    </row>
    <row r="10">
      <c r="A10" s="10" t="inlineStr">
        <is>
          <t>받을어음·매출채권·계약자산</t>
        </is>
      </c>
      <c r="F10" s="11" t="n">
        <v>79.81</v>
      </c>
      <c r="J10" s="11" t="n">
        <v>110.48</v>
      </c>
      <c r="K10" s="11" t="n">
        <v>110.78</v>
      </c>
      <c r="L10" s="11" t="n">
        <v>126.67</v>
      </c>
      <c r="M10" s="11" t="n">
        <v>119.07</v>
      </c>
      <c r="N10" s="11" t="n">
        <v>138.05</v>
      </c>
      <c r="O10" s="11" t="n">
        <v>135.09</v>
      </c>
      <c r="P10" s="11" t="n">
        <v>143.1</v>
      </c>
      <c r="Q10" s="11" t="n">
        <v>139.7</v>
      </c>
      <c r="R10" s="11" t="n">
        <v>154</v>
      </c>
      <c r="S10" s="11" t="n">
        <v>152.3</v>
      </c>
      <c r="T10" s="11" t="n">
        <v>172.66</v>
      </c>
      <c r="U10" s="11" t="n">
        <v>204.79</v>
      </c>
      <c r="V10" s="11" t="n">
        <v>245.27</v>
      </c>
      <c r="AA10" s="11" t="n">
        <v>79.81</v>
      </c>
      <c r="AB10" s="11" t="n">
        <v>110.48</v>
      </c>
      <c r="AC10" s="11" t="n">
        <v>138.05</v>
      </c>
      <c r="AD10" s="11" t="n">
        <v>154</v>
      </c>
      <c r="AE10" s="11" t="n">
        <v>245.27</v>
      </c>
    </row>
    <row r="11">
      <c r="A11" s="10" t="inlineStr">
        <is>
          <t>재고자산</t>
        </is>
      </c>
      <c r="C11" s="11" t="n">
        <v>6.2494</v>
      </c>
      <c r="D11" s="11" t="n">
        <v>7.5993</v>
      </c>
      <c r="E11" s="11" t="n">
        <v>6.7657</v>
      </c>
      <c r="F11" s="11" t="n">
        <v>7.99</v>
      </c>
      <c r="G11" s="11" t="n">
        <v>8.59</v>
      </c>
      <c r="H11" s="11" t="n">
        <v>8.279999999999999</v>
      </c>
      <c r="I11" s="11" t="n">
        <v>6.82</v>
      </c>
      <c r="J11" s="11" t="n">
        <v>7.33</v>
      </c>
      <c r="K11" s="11" t="n">
        <v>11.4</v>
      </c>
      <c r="L11" s="11" t="n">
        <v>11.19</v>
      </c>
      <c r="M11" s="11" t="n">
        <v>9.93</v>
      </c>
      <c r="N11" s="11" t="n">
        <v>9.77</v>
      </c>
      <c r="O11" s="11" t="n">
        <v>13.67</v>
      </c>
      <c r="P11" s="11" t="n">
        <v>16.67</v>
      </c>
      <c r="Q11" s="11" t="n">
        <v>12.91</v>
      </c>
      <c r="R11" s="11" t="n">
        <v>16.26</v>
      </c>
      <c r="S11" s="11" t="n">
        <v>21.45</v>
      </c>
      <c r="T11" s="11" t="n">
        <v>27.33</v>
      </c>
      <c r="U11" s="11" t="n">
        <v>19.71</v>
      </c>
      <c r="V11" s="11" t="n">
        <v>18.32</v>
      </c>
      <c r="W11" s="11" t="n">
        <v>0.374</v>
      </c>
      <c r="X11" s="11" t="n">
        <v>1.8667</v>
      </c>
      <c r="Y11" s="11" t="n">
        <v>3.834</v>
      </c>
      <c r="Z11" s="11" t="n">
        <v>6.0391</v>
      </c>
      <c r="AA11" s="11" t="n">
        <v>7.99</v>
      </c>
      <c r="AB11" s="11" t="n">
        <v>7.33</v>
      </c>
      <c r="AC11" s="11" t="n">
        <v>9.77</v>
      </c>
      <c r="AD11" s="11" t="n">
        <v>16.26</v>
      </c>
      <c r="AE11" s="11" t="n">
        <v>18.32</v>
      </c>
    </row>
    <row r="12">
      <c r="A12" s="10" t="inlineStr">
        <is>
          <t>기타</t>
        </is>
      </c>
      <c r="C12" s="11" t="n">
        <v>7.3122</v>
      </c>
      <c r="D12" s="11" t="n">
        <v>8.0322</v>
      </c>
      <c r="E12" s="11" t="n">
        <v>8.6534</v>
      </c>
      <c r="F12" s="11" t="n">
        <v>7.23</v>
      </c>
      <c r="G12" s="11" t="n">
        <v>8.48</v>
      </c>
      <c r="H12" s="11" t="n">
        <v>9.029999999999999</v>
      </c>
      <c r="I12" s="11" t="n">
        <v>9.81</v>
      </c>
      <c r="J12" s="11" t="n">
        <v>11.49</v>
      </c>
      <c r="K12" s="11" t="n">
        <v>12.56</v>
      </c>
      <c r="L12" s="11" t="n">
        <v>15.61</v>
      </c>
      <c r="M12" s="11" t="n">
        <v>15.08</v>
      </c>
      <c r="N12" s="11" t="n">
        <v>13.82</v>
      </c>
      <c r="O12" s="11" t="n">
        <v>15.96</v>
      </c>
      <c r="P12" s="11" t="n">
        <v>18.62</v>
      </c>
      <c r="Q12" s="11" t="n">
        <v>19.32</v>
      </c>
      <c r="R12" s="11" t="n">
        <v>23.9</v>
      </c>
      <c r="S12" s="11" t="n">
        <v>24.55</v>
      </c>
      <c r="T12" s="11" t="n">
        <v>26.11</v>
      </c>
      <c r="U12" s="11" t="n">
        <v>42.53</v>
      </c>
      <c r="V12" s="11" t="n">
        <v>38.68</v>
      </c>
      <c r="W12" s="11" t="n">
        <v>1.1277</v>
      </c>
      <c r="X12" s="11" t="n">
        <v>2.4568</v>
      </c>
      <c r="Y12" s="11" t="n">
        <v>4.5171</v>
      </c>
      <c r="Z12" s="11" t="n">
        <v>5.1555</v>
      </c>
      <c r="AA12" s="11" t="n">
        <v>7.23</v>
      </c>
      <c r="AB12" s="11" t="n">
        <v>11.49</v>
      </c>
      <c r="AC12" s="11" t="n">
        <v>13.82</v>
      </c>
      <c r="AD12" s="11" t="n">
        <v>23.9</v>
      </c>
      <c r="AE12" s="11" t="n">
        <v>38.68</v>
      </c>
    </row>
    <row r="13">
      <c r="A13" s="10" t="inlineStr">
        <is>
          <t>대손충당금</t>
        </is>
      </c>
      <c r="C13" s="11" t="n">
        <v>-0.3085</v>
      </c>
      <c r="D13" s="11" t="n">
        <v>-0.0759</v>
      </c>
      <c r="E13" s="11" t="n">
        <v>-0.3321</v>
      </c>
      <c r="F13" s="11" t="n">
        <v>-0.02</v>
      </c>
      <c r="G13" s="11" t="n">
        <v>-0.04</v>
      </c>
      <c r="H13" s="11" t="n">
        <v>-0.11</v>
      </c>
      <c r="I13" s="11" t="n">
        <v>-0.11</v>
      </c>
      <c r="J13" s="11" t="n">
        <v>-0.09</v>
      </c>
      <c r="K13" s="11" t="n">
        <v>-0.14</v>
      </c>
      <c r="L13" s="11" t="n">
        <v>-0.14</v>
      </c>
      <c r="M13" s="11" t="n">
        <v>-0.15</v>
      </c>
      <c r="N13" s="11" t="n">
        <v>-0.13</v>
      </c>
      <c r="O13" s="11" t="n">
        <v>-0.13</v>
      </c>
      <c r="P13" s="11" t="n">
        <v>-0.14</v>
      </c>
      <c r="Q13" s="11" t="n">
        <v>-0.17</v>
      </c>
      <c r="R13" s="11" t="n">
        <v>-0.2</v>
      </c>
      <c r="S13" s="11" t="n">
        <v>-0.55</v>
      </c>
      <c r="T13" s="11" t="n">
        <v>-0.58</v>
      </c>
      <c r="U13" s="11" t="n">
        <v>-0.32</v>
      </c>
      <c r="V13" s="11" t="n">
        <v>-0.25</v>
      </c>
      <c r="W13" s="11" t="n">
        <v>-0.1097</v>
      </c>
      <c r="X13" s="11" t="n">
        <v>-0.1793</v>
      </c>
      <c r="Y13" s="11" t="n">
        <v>-0.2115</v>
      </c>
      <c r="Z13" s="11" t="n">
        <v>-0.2957</v>
      </c>
      <c r="AA13" s="11" t="n">
        <v>-0.02</v>
      </c>
      <c r="AB13" s="11" t="n">
        <v>-0.09</v>
      </c>
      <c r="AC13" s="11" t="n">
        <v>-0.13</v>
      </c>
      <c r="AD13" s="11" t="n">
        <v>-0.2</v>
      </c>
      <c r="AE13" s="11" t="n">
        <v>-0.25</v>
      </c>
    </row>
    <row r="14">
      <c r="A14" s="10" t="inlineStr">
        <is>
          <t>유동자산 합계</t>
        </is>
      </c>
      <c r="C14" s="11" t="n">
        <v>179.0679</v>
      </c>
      <c r="D14" s="11" t="n">
        <v>202.7284</v>
      </c>
      <c r="E14" s="11" t="n">
        <v>210.3676</v>
      </c>
      <c r="F14" s="11" t="n">
        <v>224.23</v>
      </c>
      <c r="G14" s="11" t="n">
        <v>243.47</v>
      </c>
      <c r="H14" s="11" t="n">
        <v>275.86</v>
      </c>
      <c r="I14" s="11" t="n">
        <v>277.1</v>
      </c>
      <c r="J14" s="11" t="n">
        <v>305.13</v>
      </c>
      <c r="K14" s="11" t="n">
        <v>331.86</v>
      </c>
      <c r="L14" s="11" t="n">
        <v>346.84</v>
      </c>
      <c r="M14" s="11" t="n">
        <v>355.6</v>
      </c>
      <c r="N14" s="11" t="n">
        <v>370.22</v>
      </c>
      <c r="O14" s="11" t="n">
        <v>408.62</v>
      </c>
      <c r="P14" s="11" t="n">
        <v>428.54</v>
      </c>
      <c r="Q14" s="11" t="n">
        <v>446.46</v>
      </c>
      <c r="R14" s="11" t="n">
        <v>431.23</v>
      </c>
      <c r="S14" s="11" t="n">
        <v>450.92</v>
      </c>
      <c r="T14" s="11" t="n">
        <v>469.93</v>
      </c>
      <c r="U14" s="11" t="n">
        <v>604.24</v>
      </c>
      <c r="V14" s="11" t="n">
        <v>613</v>
      </c>
      <c r="W14" s="11" t="n">
        <v>44.1652</v>
      </c>
      <c r="X14" s="11" t="n">
        <v>120.1485</v>
      </c>
      <c r="Y14" s="11" t="n">
        <v>111.7554</v>
      </c>
      <c r="Z14" s="11" t="n">
        <v>213.0498</v>
      </c>
      <c r="AA14" s="11" t="n">
        <v>224.23</v>
      </c>
      <c r="AB14" s="11" t="n">
        <v>305.13</v>
      </c>
      <c r="AC14" s="11" t="n">
        <v>370.22</v>
      </c>
      <c r="AD14" s="11" t="n">
        <v>431.23</v>
      </c>
      <c r="AE14" s="11" t="n">
        <v>613</v>
      </c>
    </row>
    <row r="15">
      <c r="A15" s="10" t="inlineStr">
        <is>
          <t>건물(순액)</t>
        </is>
      </c>
      <c r="F15" s="11" t="n">
        <v>3.2</v>
      </c>
      <c r="J15" s="11" t="n">
        <v>6.25</v>
      </c>
      <c r="N15" s="11" t="n">
        <v>39.69</v>
      </c>
      <c r="W15" s="11" t="n">
        <v>2.3072</v>
      </c>
      <c r="X15" s="11" t="n">
        <v>2.8799</v>
      </c>
      <c r="Y15" s="11" t="n">
        <v>3.112</v>
      </c>
      <c r="Z15" s="11" t="n">
        <v>3.2226</v>
      </c>
      <c r="AA15" s="11" t="n">
        <v>3.2</v>
      </c>
      <c r="AB15" s="11" t="n">
        <v>6.25</v>
      </c>
      <c r="AC15" s="11" t="n">
        <v>39.69</v>
      </c>
    </row>
    <row r="16">
      <c r="A16" s="10" t="inlineStr">
        <is>
          <t>건물·구축물(순액)</t>
        </is>
      </c>
      <c r="N16" s="11" t="n">
        <v>39.69</v>
      </c>
      <c r="R16" s="11" t="n">
        <v>40.96</v>
      </c>
      <c r="V16" s="11" t="n">
        <v>45.06</v>
      </c>
      <c r="AC16" s="11" t="n">
        <v>39.69</v>
      </c>
      <c r="AD16" s="11" t="n">
        <v>40.96</v>
      </c>
      <c r="AE16" s="11" t="n">
        <v>45.06</v>
      </c>
    </row>
    <row r="17">
      <c r="A17" s="10" t="inlineStr">
        <is>
          <t>공구·기구·비품(순액)</t>
        </is>
      </c>
      <c r="F17" s="11" t="n">
        <v>6.98</v>
      </c>
      <c r="J17" s="11" t="n">
        <v>10.51</v>
      </c>
      <c r="N17" s="11" t="n">
        <v>27.6</v>
      </c>
      <c r="R17" s="11" t="n">
        <v>26.05</v>
      </c>
      <c r="V17" s="11" t="n">
        <v>22.28</v>
      </c>
      <c r="X17" s="11" t="n">
        <v>1.7626</v>
      </c>
      <c r="Y17" s="11" t="n">
        <v>3.4417</v>
      </c>
      <c r="Z17" s="11" t="n">
        <v>4.4931</v>
      </c>
      <c r="AA17" s="11" t="n">
        <v>6.98</v>
      </c>
      <c r="AB17" s="11" t="n">
        <v>10.51</v>
      </c>
      <c r="AC17" s="11" t="n">
        <v>27.6</v>
      </c>
      <c r="AD17" s="11" t="n">
        <v>26.05</v>
      </c>
      <c r="AE17" s="11" t="n">
        <v>22.28</v>
      </c>
    </row>
    <row r="18">
      <c r="A18" s="10" t="inlineStr">
        <is>
          <t>토지</t>
        </is>
      </c>
      <c r="N18" s="11" t="n">
        <v>0.34</v>
      </c>
      <c r="R18" s="11" t="n">
        <v>9.31</v>
      </c>
      <c r="V18" s="11" t="n">
        <v>9.31</v>
      </c>
      <c r="AC18" s="11" t="n">
        <v>0.34</v>
      </c>
      <c r="AD18" s="11" t="n">
        <v>9.31</v>
      </c>
      <c r="AE18" s="11" t="n">
        <v>9.31</v>
      </c>
    </row>
    <row r="19">
      <c r="A19" s="10" t="inlineStr">
        <is>
          <t>리스자산(순액)</t>
        </is>
      </c>
      <c r="F19" s="11" t="n">
        <v>0.17</v>
      </c>
      <c r="J19" s="11" t="n">
        <v>0.11</v>
      </c>
      <c r="N19" s="11" t="n">
        <v>0.05</v>
      </c>
      <c r="R19" s="11" t="n">
        <v>2.4</v>
      </c>
      <c r="V19" s="11" t="n">
        <v>7.82</v>
      </c>
      <c r="W19" s="11" t="n">
        <v>0.7772</v>
      </c>
      <c r="X19" s="11" t="n">
        <v>0.4774</v>
      </c>
      <c r="Y19" s="11" t="n">
        <v>0.3289</v>
      </c>
      <c r="Z19" s="11" t="n">
        <v>0.2302</v>
      </c>
      <c r="AA19" s="11" t="n">
        <v>0.17</v>
      </c>
      <c r="AB19" s="11" t="n">
        <v>0.11</v>
      </c>
      <c r="AC19" s="11" t="n">
        <v>0.05</v>
      </c>
      <c r="AD19" s="11" t="n">
        <v>2.4</v>
      </c>
      <c r="AE19" s="11" t="n">
        <v>7.82</v>
      </c>
    </row>
    <row r="20">
      <c r="A20" s="10" t="inlineStr">
        <is>
          <t>기타(순액)</t>
        </is>
      </c>
      <c r="F20" s="11" t="n">
        <v>1.57</v>
      </c>
      <c r="J20" s="11" t="n">
        <v>2.73</v>
      </c>
      <c r="N20" s="11" t="n">
        <v>0.48</v>
      </c>
      <c r="R20" s="11" t="n">
        <v>0.48</v>
      </c>
      <c r="V20" s="11" t="n">
        <v>0.36</v>
      </c>
      <c r="W20" s="11" t="n">
        <v>1.1288</v>
      </c>
      <c r="X20" s="11" t="n">
        <v>0.0853</v>
      </c>
      <c r="Y20" s="11" t="n">
        <v>0.1666</v>
      </c>
      <c r="Z20" s="11" t="n">
        <v>0.1033</v>
      </c>
      <c r="AA20" s="11" t="n">
        <v>1.57</v>
      </c>
      <c r="AB20" s="11" t="n">
        <v>2.73</v>
      </c>
      <c r="AC20" s="11" t="n">
        <v>0.48</v>
      </c>
      <c r="AD20" s="11" t="n">
        <v>0.48</v>
      </c>
      <c r="AE20" s="11" t="n">
        <v>0.36</v>
      </c>
    </row>
    <row r="21">
      <c r="A21" s="10" t="inlineStr">
        <is>
          <t>유형자산 합계</t>
        </is>
      </c>
      <c r="C21" s="11" t="n">
        <v>8.4704</v>
      </c>
      <c r="D21" s="11" t="n">
        <v>8.6043</v>
      </c>
      <c r="E21" s="11" t="n">
        <v>10.4012</v>
      </c>
      <c r="F21" s="11" t="n">
        <v>11.94</v>
      </c>
      <c r="G21" s="11" t="n">
        <v>12.95</v>
      </c>
      <c r="H21" s="11" t="n">
        <v>14.4</v>
      </c>
      <c r="I21" s="11" t="n">
        <v>15.2</v>
      </c>
      <c r="J21" s="11" t="n">
        <v>19.61</v>
      </c>
      <c r="K21" s="11" t="n">
        <v>31.66</v>
      </c>
      <c r="L21" s="11" t="n">
        <v>65.5</v>
      </c>
      <c r="M21" s="11" t="n">
        <v>64.29000000000001</v>
      </c>
      <c r="N21" s="11" t="n">
        <v>68.18000000000001</v>
      </c>
      <c r="O21" s="11" t="n">
        <v>66.73</v>
      </c>
      <c r="P21" s="11" t="n">
        <v>67.29000000000001</v>
      </c>
      <c r="Q21" s="11" t="n">
        <v>78.56</v>
      </c>
      <c r="R21" s="11" t="n">
        <v>79.23</v>
      </c>
      <c r="S21" s="11" t="n">
        <v>81.73</v>
      </c>
      <c r="T21" s="11" t="n">
        <v>81.91</v>
      </c>
      <c r="U21" s="11" t="n">
        <v>86.28</v>
      </c>
      <c r="V21" s="11" t="n">
        <v>84.86</v>
      </c>
      <c r="W21" s="11" t="n">
        <v>4.2132</v>
      </c>
      <c r="X21" s="11" t="n">
        <v>5.2053</v>
      </c>
      <c r="Y21" s="11" t="n">
        <v>7.0492</v>
      </c>
      <c r="Z21" s="11" t="n">
        <v>8.049200000000001</v>
      </c>
      <c r="AA21" s="11" t="n">
        <v>11.94</v>
      </c>
      <c r="AB21" s="11" t="n">
        <v>19.61</v>
      </c>
      <c r="AC21" s="11" t="n">
        <v>68.18000000000001</v>
      </c>
      <c r="AD21" s="11" t="n">
        <v>79.23</v>
      </c>
      <c r="AE21" s="11" t="n">
        <v>84.86</v>
      </c>
    </row>
    <row r="22">
      <c r="A22" s="10" t="inlineStr">
        <is>
          <t>영업권</t>
        </is>
      </c>
      <c r="C22" s="11" t="n">
        <v>63.266</v>
      </c>
      <c r="D22" s="11" t="n">
        <v>66.7916</v>
      </c>
      <c r="E22" s="11" t="n">
        <v>64.65649999999999</v>
      </c>
      <c r="F22" s="11" t="n">
        <v>64.88</v>
      </c>
      <c r="G22" s="11" t="n">
        <v>63.57</v>
      </c>
      <c r="H22" s="11" t="n">
        <v>61.34</v>
      </c>
      <c r="I22" s="11" t="n">
        <v>77.26000000000001</v>
      </c>
      <c r="J22" s="11" t="n">
        <v>89.97</v>
      </c>
      <c r="K22" s="11" t="n">
        <v>92.87</v>
      </c>
      <c r="L22" s="11" t="n">
        <v>127.89</v>
      </c>
      <c r="M22" s="11" t="n">
        <v>123.58</v>
      </c>
      <c r="N22" s="11" t="n">
        <v>92.62</v>
      </c>
      <c r="O22" s="11" t="n">
        <v>92.36</v>
      </c>
      <c r="P22" s="11" t="n">
        <v>84.78</v>
      </c>
      <c r="Q22" s="11" t="n">
        <v>80.94</v>
      </c>
      <c r="R22" s="11" t="n">
        <v>78.66</v>
      </c>
      <c r="S22" s="11" t="n">
        <v>76.73999999999999</v>
      </c>
      <c r="T22" s="11" t="n">
        <v>74.58</v>
      </c>
      <c r="U22" s="11" t="n">
        <v>192.96</v>
      </c>
      <c r="V22" s="11" t="n">
        <v>223.44</v>
      </c>
      <c r="W22" s="11" t="n">
        <v>6.4928</v>
      </c>
      <c r="X22" s="11" t="n">
        <v>12.0777</v>
      </c>
      <c r="Y22" s="11" t="n">
        <v>30.2721</v>
      </c>
      <c r="Z22" s="11" t="n">
        <v>64.845</v>
      </c>
      <c r="AA22" s="11" t="n">
        <v>64.88</v>
      </c>
      <c r="AB22" s="11" t="n">
        <v>89.97</v>
      </c>
      <c r="AC22" s="11" t="n">
        <v>92.62</v>
      </c>
      <c r="AD22" s="11" t="n">
        <v>78.66</v>
      </c>
      <c r="AE22" s="11" t="n">
        <v>223.44</v>
      </c>
    </row>
    <row r="23">
      <c r="A23" s="10" t="inlineStr">
        <is>
          <t>고객관계자산</t>
        </is>
      </c>
      <c r="J23" s="11" t="n">
        <v>11.89</v>
      </c>
      <c r="N23" s="11" t="n">
        <v>43.47</v>
      </c>
      <c r="R23" s="11" t="n">
        <v>39.21</v>
      </c>
      <c r="V23" s="11" t="n">
        <v>38.51</v>
      </c>
      <c r="AB23" s="11" t="n">
        <v>11.89</v>
      </c>
      <c r="AC23" s="11" t="n">
        <v>43.47</v>
      </c>
      <c r="AD23" s="11" t="n">
        <v>39.21</v>
      </c>
      <c r="AE23" s="11" t="n">
        <v>38.51</v>
      </c>
    </row>
    <row r="24">
      <c r="A24" s="10" t="inlineStr">
        <is>
          <t>기타</t>
        </is>
      </c>
      <c r="C24" s="11" t="n">
        <v>9.4034</v>
      </c>
      <c r="D24" s="11" t="n">
        <v>9.3117</v>
      </c>
      <c r="E24" s="11" t="n">
        <v>9.039199999999999</v>
      </c>
      <c r="F24" s="11" t="n">
        <v>9.720000000000001</v>
      </c>
      <c r="G24" s="11" t="n">
        <v>9.640000000000001</v>
      </c>
      <c r="H24" s="11" t="n">
        <v>9.76</v>
      </c>
      <c r="I24" s="11" t="n">
        <v>9.31</v>
      </c>
      <c r="J24" s="11" t="n">
        <v>2.42</v>
      </c>
      <c r="K24" s="11" t="n">
        <v>14.55</v>
      </c>
      <c r="L24" s="11" t="n">
        <v>14.64</v>
      </c>
      <c r="M24" s="11" t="n">
        <v>14.11</v>
      </c>
      <c r="N24" s="11" t="n">
        <v>2.68</v>
      </c>
      <c r="O24" s="11" t="n">
        <v>46.79</v>
      </c>
      <c r="P24" s="11" t="n">
        <v>44.25</v>
      </c>
      <c r="Q24" s="11" t="n">
        <v>43.37</v>
      </c>
      <c r="R24" s="11" t="n">
        <v>4</v>
      </c>
      <c r="S24" s="11" t="n">
        <v>42.82</v>
      </c>
      <c r="T24" s="11" t="n">
        <v>42.15</v>
      </c>
      <c r="U24" s="11" t="n">
        <v>55.16</v>
      </c>
      <c r="V24" s="11" t="n">
        <v>16.73</v>
      </c>
      <c r="W24" s="11" t="n">
        <v>1.592</v>
      </c>
      <c r="X24" s="11" t="n">
        <v>4.4225</v>
      </c>
      <c r="Y24" s="11" t="n">
        <v>9.3689</v>
      </c>
      <c r="Z24" s="11" t="n">
        <v>9.632300000000001</v>
      </c>
      <c r="AA24" s="11" t="n">
        <v>9.720000000000001</v>
      </c>
      <c r="AB24" s="11" t="n">
        <v>2.42</v>
      </c>
      <c r="AC24" s="11" t="n">
        <v>2.68</v>
      </c>
      <c r="AD24" s="11" t="n">
        <v>4</v>
      </c>
      <c r="AE24" s="11" t="n">
        <v>16.73</v>
      </c>
    </row>
    <row r="25">
      <c r="A25" s="10" t="inlineStr">
        <is>
          <t>무형자산 합계</t>
        </is>
      </c>
      <c r="C25" s="11" t="n">
        <v>72.6694</v>
      </c>
      <c r="D25" s="11" t="n">
        <v>76.1033</v>
      </c>
      <c r="E25" s="11" t="n">
        <v>73.69580000000001</v>
      </c>
      <c r="F25" s="11" t="n">
        <v>74.61</v>
      </c>
      <c r="G25" s="11" t="n">
        <v>73.20999999999999</v>
      </c>
      <c r="H25" s="11" t="n">
        <v>71.09999999999999</v>
      </c>
      <c r="I25" s="11" t="n">
        <v>86.56999999999999</v>
      </c>
      <c r="J25" s="11" t="n">
        <v>104.28</v>
      </c>
      <c r="K25" s="11" t="n">
        <v>107.42</v>
      </c>
      <c r="L25" s="11" t="n">
        <v>142.53</v>
      </c>
      <c r="M25" s="11" t="n">
        <v>137.69</v>
      </c>
      <c r="N25" s="11" t="n">
        <v>138.77</v>
      </c>
      <c r="O25" s="11" t="n">
        <v>139.16</v>
      </c>
      <c r="P25" s="11" t="n">
        <v>129.03</v>
      </c>
      <c r="Q25" s="11" t="n">
        <v>124.31</v>
      </c>
      <c r="R25" s="11" t="n">
        <v>121.88</v>
      </c>
      <c r="S25" s="11" t="n">
        <v>119.56</v>
      </c>
      <c r="T25" s="11" t="n">
        <v>116.73</v>
      </c>
      <c r="U25" s="11" t="n">
        <v>248.13</v>
      </c>
      <c r="V25" s="11" t="n">
        <v>278.68</v>
      </c>
      <c r="W25" s="11" t="n">
        <v>8.0847</v>
      </c>
      <c r="X25" s="11" t="n">
        <v>16.5002</v>
      </c>
      <c r="Y25" s="11" t="n">
        <v>39.6409</v>
      </c>
      <c r="Z25" s="11" t="n">
        <v>74.4774</v>
      </c>
      <c r="AA25" s="11" t="n">
        <v>74.61</v>
      </c>
      <c r="AB25" s="11" t="n">
        <v>104.28</v>
      </c>
      <c r="AC25" s="11" t="n">
        <v>138.77</v>
      </c>
      <c r="AD25" s="11" t="n">
        <v>121.88</v>
      </c>
      <c r="AE25" s="11" t="n">
        <v>278.68</v>
      </c>
    </row>
    <row r="26">
      <c r="A26" s="10" t="inlineStr">
        <is>
          <t>투자유가증권</t>
        </is>
      </c>
      <c r="C26" s="11" t="n">
        <v>70.63379999999999</v>
      </c>
      <c r="D26" s="11" t="n">
        <v>72.2646</v>
      </c>
      <c r="E26" s="11" t="n">
        <v>72.4465</v>
      </c>
      <c r="F26" s="11" t="n">
        <v>74.69</v>
      </c>
      <c r="G26" s="11" t="n">
        <v>74.48999999999999</v>
      </c>
      <c r="H26" s="11" t="n">
        <v>59.43</v>
      </c>
      <c r="I26" s="11" t="n">
        <v>56.1</v>
      </c>
      <c r="J26" s="11" t="n">
        <v>30.81</v>
      </c>
      <c r="K26" s="11" t="n">
        <v>29.7</v>
      </c>
      <c r="L26" s="11" t="n">
        <v>30.82</v>
      </c>
      <c r="M26" s="11" t="n">
        <v>16.26</v>
      </c>
      <c r="N26" s="11" t="n">
        <v>11.45</v>
      </c>
      <c r="O26" s="11" t="n">
        <v>9.93</v>
      </c>
      <c r="P26" s="11" t="n">
        <v>10.41</v>
      </c>
      <c r="Q26" s="11" t="n">
        <v>87.26000000000001</v>
      </c>
      <c r="R26" s="11" t="n">
        <v>95.83</v>
      </c>
      <c r="S26" s="11" t="n">
        <v>95.15000000000001</v>
      </c>
      <c r="T26" s="11" t="n">
        <v>93.52</v>
      </c>
      <c r="U26" s="11" t="n">
        <v>49.99</v>
      </c>
      <c r="V26" s="11" t="n">
        <v>49.61</v>
      </c>
      <c r="W26" s="11" t="n">
        <v>0.333</v>
      </c>
      <c r="X26" s="11" t="n">
        <v>0.333</v>
      </c>
      <c r="Y26" s="11" t="n">
        <v>29.1846</v>
      </c>
      <c r="Z26" s="11" t="n">
        <v>35.9798</v>
      </c>
      <c r="AA26" s="11" t="n">
        <v>74.69</v>
      </c>
      <c r="AB26" s="11" t="n">
        <v>30.81</v>
      </c>
      <c r="AC26" s="11" t="n">
        <v>11.45</v>
      </c>
      <c r="AD26" s="11" t="n">
        <v>95.83</v>
      </c>
      <c r="AE26" s="11" t="n">
        <v>49.61</v>
      </c>
    </row>
    <row r="27">
      <c r="A27" s="10" t="inlineStr">
        <is>
          <t>이연법인세자산</t>
        </is>
      </c>
      <c r="W27" s="11" t="n">
        <v>1.157</v>
      </c>
      <c r="X27" s="11" t="n">
        <v>1.5977</v>
      </c>
    </row>
    <row r="28">
      <c r="A28" s="10" t="inlineStr">
        <is>
          <t>퇴직급여자산</t>
        </is>
      </c>
      <c r="R28" s="11" t="n">
        <v>0</v>
      </c>
      <c r="V28" s="11" t="n">
        <v>2.89</v>
      </c>
      <c r="AD28" s="11" t="n">
        <v>0</v>
      </c>
      <c r="AE28" s="11" t="n">
        <v>2.89</v>
      </c>
    </row>
    <row r="29">
      <c r="A29" s="10" t="inlineStr">
        <is>
          <t>이연법인세자산</t>
        </is>
      </c>
      <c r="F29" s="11" t="n">
        <v>5.21</v>
      </c>
      <c r="J29" s="11" t="n">
        <v>11.65</v>
      </c>
      <c r="N29" s="11" t="n">
        <v>13</v>
      </c>
      <c r="R29" s="11" t="n">
        <v>15.27</v>
      </c>
      <c r="V29" s="11" t="n">
        <v>34.91</v>
      </c>
      <c r="X29" s="11" t="n">
        <v>1.5977</v>
      </c>
      <c r="Y29" s="11" t="n">
        <v>2.5757</v>
      </c>
      <c r="Z29" s="11" t="n">
        <v>3.2655</v>
      </c>
      <c r="AA29" s="11" t="n">
        <v>5.21</v>
      </c>
      <c r="AB29" s="11" t="n">
        <v>11.65</v>
      </c>
      <c r="AC29" s="11" t="n">
        <v>13</v>
      </c>
      <c r="AD29" s="11" t="n">
        <v>15.27</v>
      </c>
      <c r="AE29" s="11" t="n">
        <v>34.91</v>
      </c>
    </row>
    <row r="30">
      <c r="A30" s="10" t="inlineStr">
        <is>
          <t>장기예금</t>
        </is>
      </c>
      <c r="F30" s="11" t="n">
        <v>0</v>
      </c>
      <c r="W30" s="11" t="n">
        <v>1.0864</v>
      </c>
      <c r="X30" s="11" t="n">
        <v>1.0577</v>
      </c>
      <c r="Y30" s="11" t="n">
        <v>1.0286</v>
      </c>
      <c r="Z30" s="11" t="n">
        <v>0.2272</v>
      </c>
      <c r="AA30" s="11" t="n">
        <v>0</v>
      </c>
    </row>
    <row r="31">
      <c r="A31" s="10" t="inlineStr">
        <is>
          <t>임차보증금·보증금</t>
        </is>
      </c>
      <c r="F31" s="11" t="n">
        <v>10.68</v>
      </c>
      <c r="J31" s="11" t="n">
        <v>22.56</v>
      </c>
      <c r="N31" s="11" t="n">
        <v>20.88</v>
      </c>
      <c r="R31" s="11" t="n">
        <v>23.82</v>
      </c>
      <c r="V31" s="11" t="n">
        <v>30.87</v>
      </c>
      <c r="W31" s="11" t="n">
        <v>3.2454</v>
      </c>
      <c r="X31" s="11" t="n">
        <v>4.663</v>
      </c>
      <c r="Y31" s="11" t="n">
        <v>5.9599</v>
      </c>
      <c r="Z31" s="11" t="n">
        <v>6.7111</v>
      </c>
      <c r="AA31" s="11" t="n">
        <v>10.68</v>
      </c>
      <c r="AB31" s="11" t="n">
        <v>22.56</v>
      </c>
      <c r="AC31" s="11" t="n">
        <v>20.88</v>
      </c>
      <c r="AD31" s="11" t="n">
        <v>23.82</v>
      </c>
      <c r="AE31" s="11" t="n">
        <v>30.87</v>
      </c>
    </row>
    <row r="32">
      <c r="A32" s="10" t="inlineStr">
        <is>
          <t>기타</t>
        </is>
      </c>
      <c r="C32" s="11" t="n">
        <v>13.2568</v>
      </c>
      <c r="D32" s="11" t="n">
        <v>13.0847</v>
      </c>
      <c r="E32" s="11" t="n">
        <v>13.4294</v>
      </c>
      <c r="F32" s="11" t="n">
        <v>1.4</v>
      </c>
      <c r="G32" s="11" t="n">
        <v>24.3</v>
      </c>
      <c r="H32" s="11" t="n">
        <v>24.49</v>
      </c>
      <c r="I32" s="11" t="n">
        <v>29.45</v>
      </c>
      <c r="J32" s="11" t="n">
        <v>1.81</v>
      </c>
      <c r="K32" s="11" t="n">
        <v>34.87</v>
      </c>
      <c r="L32" s="11" t="n">
        <v>37.39</v>
      </c>
      <c r="M32" s="11" t="n">
        <v>37.33</v>
      </c>
      <c r="N32" s="11" t="n">
        <v>5.32</v>
      </c>
      <c r="O32" s="11" t="n">
        <v>38.26</v>
      </c>
      <c r="P32" s="11" t="n">
        <v>43.25</v>
      </c>
      <c r="Q32" s="11" t="n">
        <v>42.25</v>
      </c>
      <c r="R32" s="11" t="n">
        <v>4.06</v>
      </c>
      <c r="S32" s="11" t="n">
        <v>44.2</v>
      </c>
      <c r="T32" s="11" t="n">
        <v>42.35</v>
      </c>
      <c r="U32" s="11" t="n">
        <v>64.73</v>
      </c>
      <c r="V32" s="11" t="n">
        <v>2.75</v>
      </c>
      <c r="W32" s="11" t="n">
        <v>0.5639</v>
      </c>
      <c r="X32" s="11" t="n">
        <v>0.2479</v>
      </c>
      <c r="Y32" s="11" t="n">
        <v>1.0167</v>
      </c>
      <c r="Z32" s="11" t="n">
        <v>0.9638</v>
      </c>
      <c r="AA32" s="11" t="n">
        <v>1.4</v>
      </c>
      <c r="AB32" s="11" t="n">
        <v>1.81</v>
      </c>
      <c r="AC32" s="11" t="n">
        <v>5.32</v>
      </c>
      <c r="AD32" s="11" t="n">
        <v>4.06</v>
      </c>
      <c r="AE32" s="11" t="n">
        <v>2.75</v>
      </c>
    </row>
    <row r="33">
      <c r="A33" s="10" t="inlineStr">
        <is>
          <t>대손충당금</t>
        </is>
      </c>
      <c r="C33" s="11" t="n">
        <v>-0.0024</v>
      </c>
      <c r="D33" s="11" t="n">
        <v>-0.0017</v>
      </c>
      <c r="E33" s="11" t="n">
        <v>-0.0017</v>
      </c>
      <c r="F33" s="11" t="n">
        <v>-0.49</v>
      </c>
      <c r="G33" s="11" t="n">
        <v>-0.47</v>
      </c>
      <c r="H33" s="11" t="n">
        <v>-0.47</v>
      </c>
      <c r="I33" s="11" t="n">
        <v>-0.47</v>
      </c>
      <c r="J33" s="11" t="n">
        <v>-0.5600000000000001</v>
      </c>
      <c r="K33" s="11" t="n">
        <v>-0.67</v>
      </c>
      <c r="L33" s="11" t="n">
        <v>-0.68</v>
      </c>
      <c r="M33" s="11" t="n">
        <v>-0.66</v>
      </c>
      <c r="N33" s="11" t="n">
        <v>-0.68</v>
      </c>
      <c r="O33" s="11" t="n">
        <v>-0.59</v>
      </c>
      <c r="P33" s="11" t="n">
        <v>-0.55</v>
      </c>
      <c r="Q33" s="11" t="n">
        <v>-0.57</v>
      </c>
      <c r="R33" s="11" t="n">
        <v>-1.34</v>
      </c>
      <c r="S33" s="11" t="n">
        <v>-0.57</v>
      </c>
      <c r="T33" s="11" t="n">
        <v>-0.5600000000000001</v>
      </c>
      <c r="U33" s="11" t="n">
        <v>-0.59</v>
      </c>
      <c r="V33" s="11" t="n">
        <v>-0.75</v>
      </c>
      <c r="Y33" s="11" t="n">
        <v>0</v>
      </c>
      <c r="Z33" s="11" t="n">
        <v>-0.0024</v>
      </c>
      <c r="AA33" s="11" t="n">
        <v>-0.49</v>
      </c>
      <c r="AB33" s="11" t="n">
        <v>-0.5600000000000001</v>
      </c>
      <c r="AC33" s="11" t="n">
        <v>-0.68</v>
      </c>
      <c r="AD33" s="11" t="n">
        <v>-1.34</v>
      </c>
      <c r="AE33" s="11" t="n">
        <v>-0.75</v>
      </c>
    </row>
    <row r="34">
      <c r="A34" s="10" t="inlineStr">
        <is>
          <t>투자 및 기타자산 합계</t>
        </is>
      </c>
      <c r="C34" s="11" t="n">
        <v>83.8882</v>
      </c>
      <c r="D34" s="11" t="n">
        <v>85.3476</v>
      </c>
      <c r="E34" s="11" t="n">
        <v>85.8741</v>
      </c>
      <c r="F34" s="11" t="n">
        <v>91.5</v>
      </c>
      <c r="G34" s="11" t="n">
        <v>98.33</v>
      </c>
      <c r="H34" s="11" t="n">
        <v>83.45</v>
      </c>
      <c r="I34" s="11" t="n">
        <v>85.09</v>
      </c>
      <c r="J34" s="11" t="n">
        <v>66.27</v>
      </c>
      <c r="K34" s="11" t="n">
        <v>63.9</v>
      </c>
      <c r="L34" s="11" t="n">
        <v>67.52</v>
      </c>
      <c r="M34" s="11" t="n">
        <v>52.93</v>
      </c>
      <c r="N34" s="11" t="n">
        <v>49.98</v>
      </c>
      <c r="O34" s="11" t="n">
        <v>47.6</v>
      </c>
      <c r="P34" s="11" t="n">
        <v>53.11</v>
      </c>
      <c r="Q34" s="11" t="n">
        <v>128.95</v>
      </c>
      <c r="R34" s="11" t="n">
        <v>137.65</v>
      </c>
      <c r="S34" s="11" t="n">
        <v>138.78</v>
      </c>
      <c r="T34" s="11" t="n">
        <v>135.31</v>
      </c>
      <c r="U34" s="11" t="n">
        <v>114.13</v>
      </c>
      <c r="V34" s="11" t="n">
        <v>120.29</v>
      </c>
      <c r="W34" s="11" t="n">
        <v>6.3858</v>
      </c>
      <c r="X34" s="11" t="n">
        <v>7.8994</v>
      </c>
      <c r="Y34" s="11" t="n">
        <v>39.7655</v>
      </c>
      <c r="Z34" s="11" t="n">
        <v>47.1451</v>
      </c>
      <c r="AA34" s="11" t="n">
        <v>91.5</v>
      </c>
      <c r="AB34" s="11" t="n">
        <v>66.27</v>
      </c>
      <c r="AC34" s="11" t="n">
        <v>49.98</v>
      </c>
      <c r="AD34" s="11" t="n">
        <v>137.65</v>
      </c>
      <c r="AE34" s="11" t="n">
        <v>120.29</v>
      </c>
    </row>
    <row r="35">
      <c r="A35" s="10" t="inlineStr">
        <is>
          <t>비유동자산 합계</t>
        </is>
      </c>
      <c r="C35" s="11" t="n">
        <v>165.028</v>
      </c>
      <c r="D35" s="11" t="n">
        <v>170.0552</v>
      </c>
      <c r="E35" s="11" t="n">
        <v>169.9712</v>
      </c>
      <c r="F35" s="11" t="n">
        <v>178.06</v>
      </c>
      <c r="G35" s="11" t="n">
        <v>184.49</v>
      </c>
      <c r="H35" s="11" t="n">
        <v>168.96</v>
      </c>
      <c r="I35" s="11" t="n">
        <v>186.87</v>
      </c>
      <c r="J35" s="11" t="n">
        <v>190.17</v>
      </c>
      <c r="K35" s="11" t="n">
        <v>203</v>
      </c>
      <c r="L35" s="11" t="n">
        <v>275.56</v>
      </c>
      <c r="M35" s="11" t="n">
        <v>254.93</v>
      </c>
      <c r="N35" s="11" t="n">
        <v>256.95</v>
      </c>
      <c r="O35" s="11" t="n">
        <v>253.49</v>
      </c>
      <c r="P35" s="11" t="n">
        <v>249.45</v>
      </c>
      <c r="Q35" s="11" t="n">
        <v>331.83</v>
      </c>
      <c r="R35" s="11" t="n">
        <v>338.77</v>
      </c>
      <c r="S35" s="11" t="n">
        <v>340.09</v>
      </c>
      <c r="T35" s="11" t="n">
        <v>333.96</v>
      </c>
      <c r="U35" s="11" t="n">
        <v>448.54</v>
      </c>
      <c r="V35" s="11" t="n">
        <v>483.84</v>
      </c>
      <c r="W35" s="11" t="n">
        <v>18.6837</v>
      </c>
      <c r="X35" s="11" t="n">
        <v>29.6048</v>
      </c>
      <c r="Y35" s="11" t="n">
        <v>86.4556</v>
      </c>
      <c r="Z35" s="11" t="n">
        <v>129.6717</v>
      </c>
      <c r="AA35" s="11" t="n">
        <v>178.06</v>
      </c>
      <c r="AB35" s="11" t="n">
        <v>190.17</v>
      </c>
      <c r="AC35" s="11" t="n">
        <v>256.95</v>
      </c>
      <c r="AD35" s="11" t="n">
        <v>338.77</v>
      </c>
      <c r="AE35" s="11" t="n">
        <v>483.84</v>
      </c>
    </row>
    <row r="36">
      <c r="A36" s="10" t="inlineStr">
        <is>
          <t>자산 합계</t>
        </is>
      </c>
      <c r="C36" s="11" t="n">
        <v>344.0959</v>
      </c>
      <c r="D36" s="11" t="n">
        <v>372.7836</v>
      </c>
      <c r="E36" s="11" t="n">
        <v>380.3388</v>
      </c>
      <c r="F36" s="11" t="n">
        <v>402.3</v>
      </c>
      <c r="G36" s="11" t="n">
        <v>427.97</v>
      </c>
      <c r="H36" s="11" t="n">
        <v>444.82</v>
      </c>
      <c r="I36" s="11" t="n">
        <v>463.97</v>
      </c>
      <c r="J36" s="11" t="n">
        <v>495.3</v>
      </c>
      <c r="K36" s="11" t="n">
        <v>534.86</v>
      </c>
      <c r="L36" s="11" t="n">
        <v>622.41</v>
      </c>
      <c r="M36" s="11" t="n">
        <v>610.54</v>
      </c>
      <c r="N36" s="11" t="n">
        <v>627.17</v>
      </c>
      <c r="O36" s="11" t="n">
        <v>662.12</v>
      </c>
      <c r="P36" s="11" t="n">
        <v>678</v>
      </c>
      <c r="Q36" s="11" t="n">
        <v>778.3</v>
      </c>
      <c r="R36" s="11" t="n">
        <v>770.01</v>
      </c>
      <c r="S36" s="11" t="n">
        <v>791.02</v>
      </c>
      <c r="T36" s="11" t="n">
        <v>803.89</v>
      </c>
      <c r="U36" s="11" t="n">
        <v>1052.79</v>
      </c>
      <c r="V36" s="11" t="n">
        <v>1096.85</v>
      </c>
      <c r="W36" s="11" t="n">
        <v>62.849</v>
      </c>
      <c r="X36" s="11" t="n">
        <v>149.7533</v>
      </c>
      <c r="Y36" s="11" t="n">
        <v>198.2111</v>
      </c>
      <c r="Z36" s="11" t="n">
        <v>342.7215</v>
      </c>
      <c r="AA36" s="11" t="n">
        <v>402.3</v>
      </c>
      <c r="AB36" s="11" t="n">
        <v>495.3</v>
      </c>
      <c r="AC36" s="11" t="n">
        <v>627.17</v>
      </c>
      <c r="AD36" s="11" t="n">
        <v>770.01</v>
      </c>
      <c r="AE36" s="11" t="n">
        <v>1096.85</v>
      </c>
    </row>
    <row r="37">
      <c r="A37" s="10" t="inlineStr">
        <is>
          <t>매입채무</t>
        </is>
      </c>
      <c r="C37" s="11" t="n">
        <v>14.0434</v>
      </c>
      <c r="D37" s="11" t="n">
        <v>15.3949</v>
      </c>
      <c r="E37" s="11" t="n">
        <v>15.9548</v>
      </c>
      <c r="F37" s="11" t="n">
        <v>15.54</v>
      </c>
      <c r="G37" s="11" t="n">
        <v>14.51</v>
      </c>
      <c r="H37" s="11" t="n">
        <v>15.07</v>
      </c>
      <c r="I37" s="11" t="n">
        <v>14.84</v>
      </c>
      <c r="J37" s="11" t="n">
        <v>15.3</v>
      </c>
      <c r="K37" s="11" t="n">
        <v>15.04</v>
      </c>
      <c r="L37" s="11" t="n">
        <v>16.69</v>
      </c>
      <c r="M37" s="11" t="n">
        <v>15.52</v>
      </c>
      <c r="N37" s="11" t="n">
        <v>15.09</v>
      </c>
      <c r="O37" s="11" t="n">
        <v>17.41</v>
      </c>
      <c r="P37" s="11" t="n">
        <v>16.3</v>
      </c>
      <c r="Q37" s="11" t="n">
        <v>16.75</v>
      </c>
      <c r="R37" s="11" t="n">
        <v>20.54</v>
      </c>
      <c r="S37" s="11" t="n">
        <v>18.23</v>
      </c>
      <c r="T37" s="11" t="n">
        <v>19.7</v>
      </c>
      <c r="U37" s="11" t="n">
        <v>37.45</v>
      </c>
      <c r="V37" s="11" t="n">
        <v>39.62</v>
      </c>
      <c r="W37" s="11" t="n">
        <v>2.9175</v>
      </c>
      <c r="X37" s="11" t="n">
        <v>4.7463</v>
      </c>
      <c r="Y37" s="11" t="n">
        <v>4.2656</v>
      </c>
      <c r="Z37" s="11" t="n">
        <v>12.9169</v>
      </c>
      <c r="AA37" s="11" t="n">
        <v>15.54</v>
      </c>
      <c r="AB37" s="11" t="n">
        <v>15.3</v>
      </c>
      <c r="AC37" s="11" t="n">
        <v>15.09</v>
      </c>
      <c r="AD37" s="11" t="n">
        <v>20.54</v>
      </c>
      <c r="AE37" s="11" t="n">
        <v>39.62</v>
      </c>
    </row>
    <row r="38">
      <c r="A38" s="10" t="inlineStr">
        <is>
          <t>단기차입금</t>
        </is>
      </c>
      <c r="C38" s="11" t="n">
        <v>20.1</v>
      </c>
      <c r="D38" s="11" t="n">
        <v>10.2</v>
      </c>
      <c r="E38" s="11" t="n">
        <v>10.2</v>
      </c>
      <c r="F38" s="11" t="n">
        <v>0.2</v>
      </c>
      <c r="G38" s="11" t="n">
        <v>30.19</v>
      </c>
      <c r="H38" s="11" t="n">
        <v>30.2</v>
      </c>
      <c r="I38" s="11" t="n">
        <v>42.2</v>
      </c>
      <c r="J38" s="11" t="n">
        <v>24.7</v>
      </c>
      <c r="K38" s="11" t="n">
        <v>84.2</v>
      </c>
      <c r="L38" s="11" t="n">
        <v>59.7</v>
      </c>
      <c r="M38" s="11" t="n">
        <v>45.5</v>
      </c>
      <c r="N38" s="11" t="n">
        <v>0.5</v>
      </c>
      <c r="O38" s="11" t="n">
        <v>40.5</v>
      </c>
      <c r="P38" s="11" t="n">
        <v>56.5</v>
      </c>
      <c r="Q38" s="11" t="n">
        <v>107.81</v>
      </c>
      <c r="R38" s="11" t="n">
        <v>0</v>
      </c>
      <c r="S38" s="11" t="n">
        <v>40</v>
      </c>
      <c r="T38" s="11" t="n">
        <v>100</v>
      </c>
      <c r="U38" s="11" t="n">
        <v>187</v>
      </c>
      <c r="Z38" s="11" t="n">
        <v>0.1</v>
      </c>
      <c r="AA38" s="11" t="n">
        <v>0.2</v>
      </c>
      <c r="AB38" s="11" t="n">
        <v>24.7</v>
      </c>
      <c r="AC38" s="11" t="n">
        <v>0.5</v>
      </c>
      <c r="AD38" s="11" t="n">
        <v>0</v>
      </c>
    </row>
    <row r="39">
      <c r="A39" s="10" t="inlineStr">
        <is>
          <t>1년 내 상환 장기차입금</t>
        </is>
      </c>
      <c r="C39" s="11" t="n">
        <v>10.1249</v>
      </c>
      <c r="D39" s="11" t="n">
        <v>12.1196</v>
      </c>
      <c r="E39" s="11" t="n">
        <v>12.1144</v>
      </c>
      <c r="F39" s="11" t="n">
        <v>12.26</v>
      </c>
      <c r="G39" s="11" t="n">
        <v>12.29</v>
      </c>
      <c r="H39" s="11" t="n">
        <v>12.14</v>
      </c>
      <c r="I39" s="11" t="n">
        <v>11.35</v>
      </c>
      <c r="J39" s="11" t="n">
        <v>10.66</v>
      </c>
      <c r="K39" s="11" t="n">
        <v>9.859999999999999</v>
      </c>
      <c r="L39" s="11" t="n">
        <v>20.74</v>
      </c>
      <c r="M39" s="11" t="n">
        <v>29.68</v>
      </c>
      <c r="N39" s="11" t="n">
        <v>28.56</v>
      </c>
      <c r="O39" s="11" t="n">
        <v>28.84</v>
      </c>
      <c r="P39" s="11" t="n">
        <v>26.03</v>
      </c>
      <c r="Q39" s="11" t="n">
        <v>25.53</v>
      </c>
      <c r="R39" s="11" t="n">
        <v>35.32</v>
      </c>
      <c r="S39" s="11" t="n">
        <v>36.71</v>
      </c>
      <c r="T39" s="11" t="n">
        <v>34.05</v>
      </c>
      <c r="U39" s="11" t="n">
        <v>46.72</v>
      </c>
      <c r="V39" s="11" t="n">
        <v>71.75</v>
      </c>
      <c r="W39" s="11" t="n">
        <v>3.5065</v>
      </c>
      <c r="X39" s="11" t="n">
        <v>6.6978</v>
      </c>
      <c r="Y39" s="11" t="n">
        <v>10.1299</v>
      </c>
      <c r="Z39" s="11" t="n">
        <v>15.4413</v>
      </c>
      <c r="AA39" s="11" t="n">
        <v>12.26</v>
      </c>
      <c r="AB39" s="11" t="n">
        <v>10.66</v>
      </c>
      <c r="AC39" s="11" t="n">
        <v>28.56</v>
      </c>
      <c r="AD39" s="11" t="n">
        <v>35.32</v>
      </c>
      <c r="AE39" s="11" t="n">
        <v>71.75</v>
      </c>
    </row>
    <row r="40">
      <c r="A40" s="10" t="inlineStr">
        <is>
          <t>미지급비용</t>
        </is>
      </c>
      <c r="C40" s="11" t="n">
        <v>18.0612</v>
      </c>
      <c r="D40" s="11" t="n">
        <v>18.5055</v>
      </c>
      <c r="E40" s="11" t="n">
        <v>21.6726</v>
      </c>
      <c r="F40" s="11" t="n">
        <v>28.56</v>
      </c>
      <c r="G40" s="11" t="n">
        <v>27.24</v>
      </c>
      <c r="H40" s="11" t="n">
        <v>31.28</v>
      </c>
      <c r="I40" s="11" t="n">
        <v>31.54</v>
      </c>
      <c r="J40" s="11" t="n">
        <v>38.91</v>
      </c>
      <c r="K40" s="11" t="n">
        <v>39.74</v>
      </c>
      <c r="L40" s="11" t="n">
        <v>41.51</v>
      </c>
      <c r="M40" s="11" t="n">
        <v>44.97</v>
      </c>
      <c r="N40" s="11" t="n">
        <v>63.67</v>
      </c>
      <c r="O40" s="11" t="n">
        <v>58.88</v>
      </c>
      <c r="P40" s="11" t="n">
        <v>47.35</v>
      </c>
      <c r="Q40" s="11" t="n">
        <v>61.13</v>
      </c>
      <c r="R40" s="11" t="n">
        <v>73.08</v>
      </c>
      <c r="S40" s="11" t="n">
        <v>69.94</v>
      </c>
      <c r="T40" s="11" t="n">
        <v>73.47</v>
      </c>
      <c r="U40" s="11" t="n">
        <v>78.7</v>
      </c>
      <c r="V40" s="11" t="n">
        <v>71.42</v>
      </c>
      <c r="W40" s="11" t="n">
        <v>6.4158</v>
      </c>
      <c r="X40" s="11" t="n">
        <v>11.271</v>
      </c>
      <c r="Y40" s="11" t="n">
        <v>11.3947</v>
      </c>
      <c r="Z40" s="11" t="n">
        <v>17.0908</v>
      </c>
      <c r="AA40" s="11" t="n">
        <v>28.56</v>
      </c>
      <c r="AB40" s="11" t="n">
        <v>38.91</v>
      </c>
      <c r="AC40" s="11" t="n">
        <v>63.67</v>
      </c>
      <c r="AD40" s="11" t="n">
        <v>73.08</v>
      </c>
      <c r="AE40" s="11" t="n">
        <v>71.42</v>
      </c>
    </row>
    <row r="41">
      <c r="A41" s="10" t="inlineStr">
        <is>
          <t>미지급법인세</t>
        </is>
      </c>
      <c r="C41" s="11" t="n">
        <v>7.2884</v>
      </c>
      <c r="D41" s="11" t="n">
        <v>14.1832</v>
      </c>
      <c r="E41" s="11" t="n">
        <v>10.4418</v>
      </c>
      <c r="F41" s="11" t="n">
        <v>15.23</v>
      </c>
      <c r="G41" s="11" t="n">
        <v>7.23</v>
      </c>
      <c r="H41" s="11" t="n">
        <v>15.11</v>
      </c>
      <c r="I41" s="11" t="n">
        <v>14.98</v>
      </c>
      <c r="J41" s="11" t="n">
        <v>28.07</v>
      </c>
      <c r="K41" s="11" t="n">
        <v>8.279999999999999</v>
      </c>
      <c r="L41" s="11" t="n">
        <v>19.13</v>
      </c>
      <c r="M41" s="11" t="n">
        <v>7.37</v>
      </c>
      <c r="N41" s="11" t="n">
        <v>20.12</v>
      </c>
      <c r="O41" s="11" t="n">
        <v>12.55</v>
      </c>
      <c r="P41" s="11" t="n">
        <v>27.25</v>
      </c>
      <c r="Q41" s="11" t="n">
        <v>20.05</v>
      </c>
      <c r="R41" s="11" t="n">
        <v>31.58</v>
      </c>
      <c r="S41" s="11" t="n">
        <v>10.16</v>
      </c>
      <c r="T41" s="11" t="n">
        <v>21.6</v>
      </c>
      <c r="U41" s="11" t="n">
        <v>9.07</v>
      </c>
      <c r="V41" s="11" t="n">
        <v>38.81</v>
      </c>
      <c r="W41" s="11" t="n">
        <v>3.4177</v>
      </c>
      <c r="X41" s="11" t="n">
        <v>3.8954</v>
      </c>
      <c r="Y41" s="11" t="n">
        <v>4.8252</v>
      </c>
      <c r="Z41" s="11" t="n">
        <v>11.4329</v>
      </c>
      <c r="AA41" s="11" t="n">
        <v>15.23</v>
      </c>
      <c r="AB41" s="11" t="n">
        <v>28.07</v>
      </c>
      <c r="AC41" s="11" t="n">
        <v>20.12</v>
      </c>
      <c r="AD41" s="11" t="n">
        <v>31.58</v>
      </c>
      <c r="AE41" s="11" t="n">
        <v>38.81</v>
      </c>
    </row>
    <row r="42">
      <c r="A42" s="10" t="inlineStr">
        <is>
          <t>미지급 소비세</t>
        </is>
      </c>
      <c r="F42" s="11" t="n">
        <v>18.86</v>
      </c>
      <c r="J42" s="11" t="n">
        <v>27.97</v>
      </c>
      <c r="N42" s="11" t="n">
        <v>22.46</v>
      </c>
      <c r="R42" s="11" t="n">
        <v>32.36</v>
      </c>
      <c r="V42" s="11" t="n">
        <v>33.86</v>
      </c>
      <c r="X42" s="11" t="n">
        <v>4.3936</v>
      </c>
      <c r="Y42" s="11" t="n">
        <v>9.9534</v>
      </c>
      <c r="Z42" s="11" t="n">
        <v>12.0405</v>
      </c>
      <c r="AA42" s="11" t="n">
        <v>18.86</v>
      </c>
      <c r="AB42" s="11" t="n">
        <v>27.97</v>
      </c>
      <c r="AC42" s="11" t="n">
        <v>22.46</v>
      </c>
      <c r="AD42" s="11" t="n">
        <v>32.36</v>
      </c>
      <c r="AE42" s="11" t="n">
        <v>33.86</v>
      </c>
    </row>
    <row r="43">
      <c r="A43" s="10" t="inlineStr">
        <is>
          <t>상여충당금</t>
        </is>
      </c>
      <c r="C43" s="11" t="n">
        <v>4.3062</v>
      </c>
      <c r="D43" s="11" t="n">
        <v>2.9323</v>
      </c>
      <c r="E43" s="11" t="n">
        <v>4.909</v>
      </c>
      <c r="F43" s="11" t="n">
        <v>1.84</v>
      </c>
      <c r="G43" s="11" t="n">
        <v>5.27</v>
      </c>
      <c r="H43" s="11" t="n">
        <v>2.46</v>
      </c>
      <c r="I43" s="11" t="n">
        <v>6.4</v>
      </c>
      <c r="J43" s="11" t="n">
        <v>3.41</v>
      </c>
      <c r="K43" s="11" t="n">
        <v>3.97</v>
      </c>
      <c r="L43" s="11" t="n">
        <v>4.16</v>
      </c>
      <c r="M43" s="11" t="n">
        <v>7.94</v>
      </c>
      <c r="N43" s="11" t="n">
        <v>3.39</v>
      </c>
      <c r="O43" s="11" t="n">
        <v>4.93</v>
      </c>
      <c r="P43" s="11" t="n">
        <v>4.99</v>
      </c>
      <c r="Q43" s="11" t="n">
        <v>9.91</v>
      </c>
      <c r="R43" s="11" t="n">
        <v>4.23</v>
      </c>
      <c r="S43" s="11" t="n">
        <v>6.22</v>
      </c>
      <c r="T43" s="11" t="n">
        <v>5.38</v>
      </c>
      <c r="U43" s="11" t="n">
        <v>21.53</v>
      </c>
      <c r="V43" s="11" t="n">
        <v>13.69</v>
      </c>
      <c r="W43" s="11" t="n">
        <v>0.4299</v>
      </c>
      <c r="X43" s="11" t="n">
        <v>0.9694</v>
      </c>
      <c r="Y43" s="11" t="n">
        <v>1.3154</v>
      </c>
      <c r="Z43" s="11" t="n">
        <v>2.5006</v>
      </c>
      <c r="AA43" s="11" t="n">
        <v>1.84</v>
      </c>
      <c r="AB43" s="11" t="n">
        <v>3.41</v>
      </c>
      <c r="AC43" s="11" t="n">
        <v>3.39</v>
      </c>
      <c r="AD43" s="11" t="n">
        <v>4.23</v>
      </c>
      <c r="AE43" s="11" t="n">
        <v>13.69</v>
      </c>
    </row>
    <row r="44">
      <c r="A44" s="10" t="inlineStr">
        <is>
          <t>수주손실 충당금</t>
        </is>
      </c>
      <c r="F44" s="11" t="n">
        <v>0.34</v>
      </c>
      <c r="G44" s="11" t="n">
        <v>0.6</v>
      </c>
      <c r="H44" s="11" t="n">
        <v>0.07000000000000001</v>
      </c>
      <c r="I44" s="11" t="n">
        <v>0</v>
      </c>
      <c r="J44" s="11" t="n">
        <v>0</v>
      </c>
      <c r="L44" s="11" t="n">
        <v>0.11</v>
      </c>
      <c r="N44" s="11" t="n">
        <v>0</v>
      </c>
      <c r="O44" s="11" t="n">
        <v>0</v>
      </c>
      <c r="Z44" s="11" t="n">
        <v>0</v>
      </c>
      <c r="AA44" s="11" t="n">
        <v>0.34</v>
      </c>
      <c r="AB44" s="11" t="n">
        <v>0</v>
      </c>
      <c r="AC44" s="11" t="n">
        <v>0</v>
      </c>
    </row>
    <row r="45">
      <c r="A45" s="10" t="inlineStr">
        <is>
          <t>주식보상 충당금</t>
        </is>
      </c>
      <c r="N45" s="11" t="n">
        <v>0</v>
      </c>
      <c r="P45" s="11" t="n">
        <v>0.76</v>
      </c>
      <c r="Q45" s="11" t="n">
        <v>0.8</v>
      </c>
      <c r="R45" s="11" t="n">
        <v>0.8</v>
      </c>
      <c r="S45" s="11" t="n">
        <v>0.75</v>
      </c>
      <c r="T45" s="11" t="n">
        <v>0.3</v>
      </c>
      <c r="U45" s="11" t="n">
        <v>0.3</v>
      </c>
      <c r="V45" s="11" t="n">
        <v>0.19</v>
      </c>
      <c r="AC45" s="11" t="n">
        <v>0</v>
      </c>
      <c r="AD45" s="11" t="n">
        <v>0.8</v>
      </c>
      <c r="AE45" s="11" t="n">
        <v>0.19</v>
      </c>
    </row>
    <row r="46">
      <c r="A46" s="10" t="inlineStr">
        <is>
          <t>기타 충당금</t>
        </is>
      </c>
      <c r="N46" s="11" t="n">
        <v>0</v>
      </c>
      <c r="R46" s="11" t="n">
        <v>0.16</v>
      </c>
      <c r="S46" s="11" t="n">
        <v>0.05</v>
      </c>
      <c r="T46" s="11" t="n">
        <v>0</v>
      </c>
      <c r="U46" s="11" t="n">
        <v>0</v>
      </c>
      <c r="V46" s="11" t="n">
        <v>0</v>
      </c>
      <c r="AC46" s="11" t="n">
        <v>0</v>
      </c>
      <c r="AD46" s="11" t="n">
        <v>0.16</v>
      </c>
      <c r="AE46" s="11" t="n">
        <v>0</v>
      </c>
    </row>
    <row r="47">
      <c r="A47" s="10" t="inlineStr">
        <is>
          <t>기타</t>
        </is>
      </c>
      <c r="C47" s="11" t="n">
        <v>24.4768</v>
      </c>
      <c r="D47" s="11" t="n">
        <v>34.5325</v>
      </c>
      <c r="E47" s="11" t="n">
        <v>31.8825</v>
      </c>
      <c r="F47" s="11" t="n">
        <v>24.39</v>
      </c>
      <c r="G47" s="11" t="n">
        <v>36.25</v>
      </c>
      <c r="H47" s="11" t="n">
        <v>35.76</v>
      </c>
      <c r="I47" s="11" t="n">
        <v>44.78</v>
      </c>
      <c r="J47" s="11" t="n">
        <v>34.15</v>
      </c>
      <c r="K47" s="11" t="n">
        <v>51.53</v>
      </c>
      <c r="L47" s="11" t="n">
        <v>77.88</v>
      </c>
      <c r="M47" s="11" t="n">
        <v>54.11</v>
      </c>
      <c r="N47" s="11" t="n">
        <v>42.71</v>
      </c>
      <c r="O47" s="11" t="n">
        <v>64.39</v>
      </c>
      <c r="P47" s="11" t="n">
        <v>62.94</v>
      </c>
      <c r="Q47" s="11" t="n">
        <v>77.73</v>
      </c>
      <c r="R47" s="11" t="n">
        <v>52.17</v>
      </c>
      <c r="S47" s="11" t="n">
        <v>78.68000000000001</v>
      </c>
      <c r="T47" s="11" t="n">
        <v>73.76000000000001</v>
      </c>
      <c r="U47" s="11" t="n">
        <v>113.79</v>
      </c>
      <c r="V47" s="11" t="n">
        <v>69.20999999999999</v>
      </c>
      <c r="W47" s="11" t="n">
        <v>7.0907</v>
      </c>
      <c r="X47" s="11" t="n">
        <v>5.754</v>
      </c>
      <c r="Y47" s="11" t="n">
        <v>9.9976</v>
      </c>
      <c r="Z47" s="11" t="n">
        <v>14.536</v>
      </c>
      <c r="AA47" s="11" t="n">
        <v>24.39</v>
      </c>
      <c r="AB47" s="11" t="n">
        <v>34.15</v>
      </c>
      <c r="AC47" s="11" t="n">
        <v>42.71</v>
      </c>
      <c r="AD47" s="11" t="n">
        <v>52.17</v>
      </c>
      <c r="AE47" s="11" t="n">
        <v>69.20999999999999</v>
      </c>
    </row>
    <row r="48">
      <c r="A48" s="10" t="inlineStr">
        <is>
          <t>유동부채 합계</t>
        </is>
      </c>
      <c r="C48" s="11" t="n">
        <v>98.40089999999999</v>
      </c>
      <c r="D48" s="11" t="n">
        <v>107.8681</v>
      </c>
      <c r="E48" s="11" t="n">
        <v>107.175</v>
      </c>
      <c r="F48" s="11" t="n">
        <v>117.26</v>
      </c>
      <c r="G48" s="11" t="n">
        <v>133.62</v>
      </c>
      <c r="H48" s="11" t="n">
        <v>142.11</v>
      </c>
      <c r="I48" s="11" t="n">
        <v>166.12</v>
      </c>
      <c r="J48" s="11" t="n">
        <v>183.19</v>
      </c>
      <c r="K48" s="11" t="n">
        <v>212.64</v>
      </c>
      <c r="L48" s="11" t="n">
        <v>239.95</v>
      </c>
      <c r="M48" s="11" t="n">
        <v>205.12</v>
      </c>
      <c r="N48" s="11" t="n">
        <v>196.53</v>
      </c>
      <c r="O48" s="11" t="n">
        <v>227.52</v>
      </c>
      <c r="P48" s="11" t="n">
        <v>242.14</v>
      </c>
      <c r="Q48" s="11" t="n">
        <v>319.74</v>
      </c>
      <c r="R48" s="11" t="n">
        <v>250.28</v>
      </c>
      <c r="S48" s="11" t="n">
        <v>260.76</v>
      </c>
      <c r="T48" s="11" t="n">
        <v>328.29</v>
      </c>
      <c r="U48" s="11" t="n">
        <v>494.6</v>
      </c>
      <c r="V48" s="11" t="n">
        <v>338.58</v>
      </c>
      <c r="W48" s="11" t="n">
        <v>23.7782</v>
      </c>
      <c r="X48" s="11" t="n">
        <v>37.7276</v>
      </c>
      <c r="Y48" s="11" t="n">
        <v>51.8818</v>
      </c>
      <c r="Z48" s="11" t="n">
        <v>85.9588</v>
      </c>
      <c r="AA48" s="11" t="n">
        <v>117.26</v>
      </c>
      <c r="AB48" s="11" t="n">
        <v>183.19</v>
      </c>
      <c r="AC48" s="11" t="n">
        <v>196.53</v>
      </c>
      <c r="AD48" s="11" t="n">
        <v>250.28</v>
      </c>
      <c r="AE48" s="11" t="n">
        <v>338.58</v>
      </c>
    </row>
    <row r="49">
      <c r="A49" s="10" t="inlineStr">
        <is>
          <t>장기차입금</t>
        </is>
      </c>
      <c r="C49" s="11" t="n">
        <v>24.0864</v>
      </c>
      <c r="D49" s="11" t="n">
        <v>29.2061</v>
      </c>
      <c r="E49" s="11" t="n">
        <v>26.166</v>
      </c>
      <c r="F49" s="11" t="n">
        <v>23.06</v>
      </c>
      <c r="G49" s="11" t="n">
        <v>19.99</v>
      </c>
      <c r="H49" s="11" t="n">
        <v>17.09</v>
      </c>
      <c r="I49" s="11" t="n">
        <v>14.8</v>
      </c>
      <c r="J49" s="11" t="n">
        <v>13.67</v>
      </c>
      <c r="K49" s="11" t="n">
        <v>11.67</v>
      </c>
      <c r="L49" s="11" t="n">
        <v>54.27</v>
      </c>
      <c r="M49" s="11" t="n">
        <v>73.51000000000001</v>
      </c>
      <c r="N49" s="11" t="n">
        <v>66.70999999999999</v>
      </c>
      <c r="O49" s="11" t="n">
        <v>58.92</v>
      </c>
      <c r="P49" s="11" t="n">
        <v>54.14</v>
      </c>
      <c r="Q49" s="11" t="n">
        <v>52.8</v>
      </c>
      <c r="R49" s="11" t="n">
        <v>85.04000000000001</v>
      </c>
      <c r="S49" s="11" t="n">
        <v>74.68000000000001</v>
      </c>
      <c r="T49" s="11" t="n">
        <v>66.53</v>
      </c>
      <c r="U49" s="11" t="n">
        <v>113.12</v>
      </c>
      <c r="V49" s="11" t="n">
        <v>275.38</v>
      </c>
      <c r="W49" s="11" t="n">
        <v>13.0381</v>
      </c>
      <c r="X49" s="11" t="n">
        <v>21.0363</v>
      </c>
      <c r="Y49" s="11" t="n">
        <v>35.7465</v>
      </c>
      <c r="Z49" s="11" t="n">
        <v>26.7209</v>
      </c>
      <c r="AA49" s="11" t="n">
        <v>23.06</v>
      </c>
      <c r="AB49" s="11" t="n">
        <v>13.67</v>
      </c>
      <c r="AC49" s="11" t="n">
        <v>66.70999999999999</v>
      </c>
      <c r="AD49" s="11" t="n">
        <v>85.04000000000001</v>
      </c>
      <c r="AE49" s="11" t="n">
        <v>275.38</v>
      </c>
    </row>
    <row r="50">
      <c r="A50" s="10" t="inlineStr">
        <is>
          <t>이연법인세부채</t>
        </is>
      </c>
      <c r="J50" s="11" t="n">
        <v>1.35</v>
      </c>
      <c r="N50" s="11" t="n">
        <v>11.77</v>
      </c>
      <c r="R50" s="11" t="n">
        <v>11.94</v>
      </c>
      <c r="V50" s="11" t="n">
        <v>9.15</v>
      </c>
      <c r="AB50" s="11" t="n">
        <v>1.35</v>
      </c>
      <c r="AC50" s="11" t="n">
        <v>11.77</v>
      </c>
      <c r="AD50" s="11" t="n">
        <v>11.94</v>
      </c>
      <c r="AE50" s="11" t="n">
        <v>9.15</v>
      </c>
    </row>
    <row r="51">
      <c r="A51" s="10" t="inlineStr">
        <is>
          <t>퇴직급여부채</t>
        </is>
      </c>
      <c r="F51" s="11" t="n">
        <v>0</v>
      </c>
      <c r="J51" s="11" t="n">
        <v>0.34</v>
      </c>
      <c r="K51" s="11" t="n">
        <v>0.32</v>
      </c>
      <c r="L51" s="11" t="n">
        <v>0.32</v>
      </c>
      <c r="M51" s="11" t="n">
        <v>0.32</v>
      </c>
      <c r="N51" s="11" t="n">
        <v>0.33</v>
      </c>
      <c r="O51" s="11" t="n">
        <v>1.41</v>
      </c>
      <c r="P51" s="11" t="n">
        <v>1.4</v>
      </c>
      <c r="Q51" s="11" t="n">
        <v>1.4</v>
      </c>
      <c r="R51" s="11" t="n">
        <v>1.36</v>
      </c>
      <c r="S51" s="11" t="n">
        <v>1.3</v>
      </c>
      <c r="T51" s="11" t="n">
        <v>1.31</v>
      </c>
      <c r="U51" s="11" t="n">
        <v>33.77</v>
      </c>
      <c r="V51" s="11" t="n">
        <v>34.77</v>
      </c>
      <c r="AA51" s="11" t="n">
        <v>0</v>
      </c>
      <c r="AB51" s="11" t="n">
        <v>0.34</v>
      </c>
      <c r="AC51" s="11" t="n">
        <v>0.33</v>
      </c>
      <c r="AD51" s="11" t="n">
        <v>1.36</v>
      </c>
      <c r="AE51" s="11" t="n">
        <v>34.77</v>
      </c>
    </row>
    <row r="52">
      <c r="A52" s="10" t="inlineStr">
        <is>
          <t>자산복구부채</t>
        </is>
      </c>
      <c r="N52" s="11" t="n">
        <v>6.27</v>
      </c>
      <c r="O52" s="11" t="n">
        <v>6.29</v>
      </c>
      <c r="P52" s="11" t="n">
        <v>6.31</v>
      </c>
      <c r="Q52" s="11" t="n">
        <v>7</v>
      </c>
      <c r="R52" s="11" t="n">
        <v>7.05</v>
      </c>
      <c r="S52" s="11" t="n">
        <v>7.07</v>
      </c>
      <c r="T52" s="11" t="n">
        <v>7.1</v>
      </c>
      <c r="U52" s="11" t="n">
        <v>10.42</v>
      </c>
      <c r="V52" s="11" t="n">
        <v>11.69</v>
      </c>
      <c r="AC52" s="11" t="n">
        <v>6.27</v>
      </c>
      <c r="AD52" s="11" t="n">
        <v>7.05</v>
      </c>
      <c r="AE52" s="11" t="n">
        <v>11.69</v>
      </c>
    </row>
    <row r="53">
      <c r="A53" s="10" t="inlineStr">
        <is>
          <t>기타</t>
        </is>
      </c>
      <c r="C53" s="11" t="n">
        <v>3.1818</v>
      </c>
      <c r="D53" s="11" t="n">
        <v>2.9742</v>
      </c>
      <c r="E53" s="11" t="n">
        <v>2.6164</v>
      </c>
      <c r="F53" s="11" t="n">
        <v>1.89</v>
      </c>
      <c r="G53" s="11" t="n">
        <v>1.6</v>
      </c>
      <c r="H53" s="11" t="n">
        <v>1.36</v>
      </c>
      <c r="I53" s="11" t="n">
        <v>1.49</v>
      </c>
      <c r="J53" s="11" t="n">
        <v>0.95</v>
      </c>
      <c r="K53" s="11" t="n">
        <v>3.5</v>
      </c>
      <c r="L53" s="11" t="n">
        <v>3.42</v>
      </c>
      <c r="M53" s="11" t="n">
        <v>3.32</v>
      </c>
      <c r="N53" s="11" t="n">
        <v>0.31</v>
      </c>
      <c r="O53" s="11" t="n">
        <v>11.9</v>
      </c>
      <c r="P53" s="11" t="n">
        <v>12.72</v>
      </c>
      <c r="Q53" s="11" t="n">
        <v>14.22</v>
      </c>
      <c r="R53" s="11" t="n">
        <v>3.95</v>
      </c>
      <c r="S53" s="11" t="n">
        <v>18.56</v>
      </c>
      <c r="T53" s="11" t="n">
        <v>14.9</v>
      </c>
      <c r="U53" s="11" t="n">
        <v>14.52</v>
      </c>
      <c r="V53" s="11" t="n">
        <v>5.28</v>
      </c>
      <c r="W53" s="11" t="n">
        <v>0.9684</v>
      </c>
      <c r="X53" s="11" t="n">
        <v>1.6089</v>
      </c>
      <c r="Y53" s="11" t="n">
        <v>2.7678</v>
      </c>
      <c r="Z53" s="11" t="n">
        <v>3.2031</v>
      </c>
      <c r="AA53" s="11" t="n">
        <v>1.89</v>
      </c>
      <c r="AB53" s="11" t="n">
        <v>0.95</v>
      </c>
      <c r="AC53" s="11" t="n">
        <v>0.31</v>
      </c>
      <c r="AD53" s="11" t="n">
        <v>3.95</v>
      </c>
      <c r="AE53" s="11" t="n">
        <v>5.28</v>
      </c>
    </row>
    <row r="54">
      <c r="A54" s="10" t="inlineStr">
        <is>
          <t>비유동부채 합계</t>
        </is>
      </c>
      <c r="C54" s="11" t="n">
        <v>27.2682</v>
      </c>
      <c r="D54" s="11" t="n">
        <v>32.1803</v>
      </c>
      <c r="E54" s="11" t="n">
        <v>28.7823</v>
      </c>
      <c r="F54" s="11" t="n">
        <v>24.96</v>
      </c>
      <c r="G54" s="11" t="n">
        <v>21.59</v>
      </c>
      <c r="H54" s="11" t="n">
        <v>18.45</v>
      </c>
      <c r="I54" s="11" t="n">
        <v>16.29</v>
      </c>
      <c r="J54" s="11" t="n">
        <v>16.32</v>
      </c>
      <c r="K54" s="11" t="n">
        <v>15.5</v>
      </c>
      <c r="L54" s="11" t="n">
        <v>58.01</v>
      </c>
      <c r="M54" s="11" t="n">
        <v>77.15000000000001</v>
      </c>
      <c r="N54" s="11" t="n">
        <v>85.42</v>
      </c>
      <c r="O54" s="11" t="n">
        <v>78.53</v>
      </c>
      <c r="P54" s="11" t="n">
        <v>74.58</v>
      </c>
      <c r="Q54" s="11" t="n">
        <v>75.44</v>
      </c>
      <c r="R54" s="11" t="n">
        <v>109.35</v>
      </c>
      <c r="S54" s="11" t="n">
        <v>101.62</v>
      </c>
      <c r="T54" s="11" t="n">
        <v>89.84999999999999</v>
      </c>
      <c r="U54" s="11" t="n">
        <v>171.84</v>
      </c>
      <c r="V54" s="11" t="n">
        <v>336.28</v>
      </c>
      <c r="W54" s="11" t="n">
        <v>14.0065</v>
      </c>
      <c r="X54" s="11" t="n">
        <v>22.6452</v>
      </c>
      <c r="Y54" s="11" t="n">
        <v>38.5144</v>
      </c>
      <c r="Z54" s="11" t="n">
        <v>29.924</v>
      </c>
      <c r="AA54" s="11" t="n">
        <v>24.96</v>
      </c>
      <c r="AB54" s="11" t="n">
        <v>16.32</v>
      </c>
      <c r="AC54" s="11" t="n">
        <v>85.42</v>
      </c>
      <c r="AD54" s="11" t="n">
        <v>109.35</v>
      </c>
      <c r="AE54" s="11" t="n">
        <v>336.28</v>
      </c>
    </row>
    <row r="55">
      <c r="A55" s="10" t="inlineStr">
        <is>
          <t>부채 합계</t>
        </is>
      </c>
      <c r="C55" s="11" t="n">
        <v>125.6691</v>
      </c>
      <c r="D55" s="11" t="n">
        <v>140.0485</v>
      </c>
      <c r="E55" s="11" t="n">
        <v>135.9573</v>
      </c>
      <c r="F55" s="11" t="n">
        <v>142.22</v>
      </c>
      <c r="G55" s="11" t="n">
        <v>155.21</v>
      </c>
      <c r="H55" s="11" t="n">
        <v>160.57</v>
      </c>
      <c r="I55" s="11" t="n">
        <v>182.41</v>
      </c>
      <c r="J55" s="11" t="n">
        <v>199.51</v>
      </c>
      <c r="K55" s="11" t="n">
        <v>228.15</v>
      </c>
      <c r="L55" s="11" t="n">
        <v>297.97</v>
      </c>
      <c r="M55" s="11" t="n">
        <v>282.28</v>
      </c>
      <c r="N55" s="11" t="n">
        <v>281.95</v>
      </c>
      <c r="O55" s="11" t="n">
        <v>306.05</v>
      </c>
      <c r="P55" s="11" t="n">
        <v>316.73</v>
      </c>
      <c r="Q55" s="11" t="n">
        <v>395.18</v>
      </c>
      <c r="R55" s="11" t="n">
        <v>359.63</v>
      </c>
      <c r="S55" s="11" t="n">
        <v>362.39</v>
      </c>
      <c r="T55" s="11" t="n">
        <v>418.15</v>
      </c>
      <c r="U55" s="11" t="n">
        <v>666.4400000000001</v>
      </c>
      <c r="V55" s="11" t="n">
        <v>674.87</v>
      </c>
      <c r="W55" s="11" t="n">
        <v>37.7846</v>
      </c>
      <c r="X55" s="11" t="n">
        <v>60.3728</v>
      </c>
      <c r="Y55" s="11" t="n">
        <v>90.3961</v>
      </c>
      <c r="Z55" s="11" t="n">
        <v>115.8829</v>
      </c>
      <c r="AA55" s="11" t="n">
        <v>142.22</v>
      </c>
      <c r="AB55" s="11" t="n">
        <v>199.51</v>
      </c>
      <c r="AC55" s="11" t="n">
        <v>281.95</v>
      </c>
      <c r="AD55" s="11" t="n">
        <v>359.63</v>
      </c>
      <c r="AE55" s="11" t="n">
        <v>674.87</v>
      </c>
    </row>
    <row r="56">
      <c r="A56" s="10" t="inlineStr">
        <is>
          <t>자본금</t>
        </is>
      </c>
      <c r="C56" s="11" t="n">
        <v>0.6893</v>
      </c>
      <c r="D56" s="11" t="n">
        <v>0.5874</v>
      </c>
      <c r="E56" s="11" t="n">
        <v>0.7754</v>
      </c>
      <c r="F56" s="11" t="n">
        <v>0.77</v>
      </c>
      <c r="G56" s="11" t="n">
        <v>0.77</v>
      </c>
      <c r="H56" s="11" t="n">
        <v>0.1</v>
      </c>
      <c r="I56" s="11" t="n">
        <v>0.1</v>
      </c>
      <c r="J56" s="11" t="n">
        <v>0.11</v>
      </c>
      <c r="K56" s="11" t="n">
        <v>0.11</v>
      </c>
      <c r="L56" s="11" t="n">
        <v>0.15</v>
      </c>
      <c r="M56" s="11" t="n">
        <v>0.2</v>
      </c>
      <c r="N56" s="11" t="n">
        <v>0.21</v>
      </c>
      <c r="O56" s="11" t="n">
        <v>0.21</v>
      </c>
      <c r="P56" s="11" t="n">
        <v>0.21</v>
      </c>
      <c r="Q56" s="11" t="n">
        <v>0.21</v>
      </c>
      <c r="R56" s="11" t="n">
        <v>0.21</v>
      </c>
      <c r="S56" s="11" t="n">
        <v>0.21</v>
      </c>
      <c r="T56" s="11" t="n">
        <v>0.21</v>
      </c>
      <c r="U56" s="11" t="n">
        <v>0.21</v>
      </c>
      <c r="V56" s="11" t="n">
        <v>0.21</v>
      </c>
      <c r="W56" s="11" t="n">
        <v>5.8569</v>
      </c>
      <c r="X56" s="11" t="n">
        <v>32.6804</v>
      </c>
      <c r="Y56" s="11" t="n">
        <v>0.6337</v>
      </c>
      <c r="Z56" s="11" t="n">
        <v>0.116</v>
      </c>
      <c r="AA56" s="11" t="n">
        <v>0.77</v>
      </c>
      <c r="AB56" s="11" t="n">
        <v>0.11</v>
      </c>
      <c r="AC56" s="11" t="n">
        <v>0.21</v>
      </c>
      <c r="AD56" s="11" t="n">
        <v>0.21</v>
      </c>
      <c r="AE56" s="11" t="n">
        <v>0.21</v>
      </c>
    </row>
    <row r="57">
      <c r="A57" s="10" t="inlineStr">
        <is>
          <t>자본잉여금</t>
        </is>
      </c>
      <c r="C57" s="11" t="n">
        <v>164.8967</v>
      </c>
      <c r="D57" s="11" t="n">
        <v>165.9735</v>
      </c>
      <c r="E57" s="11" t="n">
        <v>166.1615</v>
      </c>
      <c r="F57" s="11" t="n">
        <v>166.16</v>
      </c>
      <c r="G57" s="11" t="n">
        <v>166.16</v>
      </c>
      <c r="H57" s="11" t="n">
        <v>166.84</v>
      </c>
      <c r="I57" s="11" t="n">
        <v>166.84</v>
      </c>
      <c r="J57" s="11" t="n">
        <v>158.44</v>
      </c>
      <c r="K57" s="11" t="n">
        <v>158.45</v>
      </c>
      <c r="L57" s="11" t="n">
        <v>158.48</v>
      </c>
      <c r="M57" s="11" t="n">
        <v>158.54</v>
      </c>
      <c r="N57" s="11" t="n">
        <v>158.54</v>
      </c>
      <c r="O57" s="11" t="n">
        <v>158.54</v>
      </c>
      <c r="P57" s="11" t="n">
        <v>143.65</v>
      </c>
      <c r="Q57" s="11" t="n">
        <v>143.65</v>
      </c>
      <c r="R57" s="11" t="n">
        <v>143.65</v>
      </c>
      <c r="S57" s="11" t="n">
        <v>143.65</v>
      </c>
      <c r="T57" s="11" t="n">
        <v>144.66</v>
      </c>
      <c r="U57" s="11" t="n">
        <v>144.66</v>
      </c>
      <c r="V57" s="11" t="n">
        <v>144.66</v>
      </c>
      <c r="W57" s="11" t="n">
        <v>5.4051</v>
      </c>
      <c r="X57" s="11" t="n">
        <v>32.2285</v>
      </c>
      <c r="Y57" s="11" t="n">
        <v>65.01819999999999</v>
      </c>
      <c r="Z57" s="11" t="n">
        <v>163.6567</v>
      </c>
      <c r="AA57" s="11" t="n">
        <v>166.16</v>
      </c>
      <c r="AB57" s="11" t="n">
        <v>158.44</v>
      </c>
      <c r="AC57" s="11" t="n">
        <v>158.54</v>
      </c>
      <c r="AD57" s="11" t="n">
        <v>143.65</v>
      </c>
      <c r="AE57" s="11" t="n">
        <v>144.66</v>
      </c>
    </row>
    <row r="58">
      <c r="A58" s="10" t="inlineStr">
        <is>
          <t>이익잉여금</t>
        </is>
      </c>
      <c r="C58" s="11" t="n">
        <v>80.6217</v>
      </c>
      <c r="D58" s="11" t="n">
        <v>93.44289999999999</v>
      </c>
      <c r="E58" s="11" t="n">
        <v>103.9708</v>
      </c>
      <c r="F58" s="11" t="n">
        <v>116.55</v>
      </c>
      <c r="G58" s="11" t="n">
        <v>128.89</v>
      </c>
      <c r="H58" s="11" t="n">
        <v>138.41</v>
      </c>
      <c r="I58" s="11" t="n">
        <v>156.34</v>
      </c>
      <c r="J58" s="11" t="n">
        <v>179.01</v>
      </c>
      <c r="K58" s="11" t="n">
        <v>189.97</v>
      </c>
      <c r="L58" s="11" t="n">
        <v>208.79</v>
      </c>
      <c r="M58" s="11" t="n">
        <v>211.96</v>
      </c>
      <c r="N58" s="11" t="n">
        <v>230.29</v>
      </c>
      <c r="O58" s="11" t="n">
        <v>250.06</v>
      </c>
      <c r="P58" s="11" t="n">
        <v>275.23</v>
      </c>
      <c r="Q58" s="11" t="n">
        <v>293.12</v>
      </c>
      <c r="R58" s="11" t="n">
        <v>319.64</v>
      </c>
      <c r="S58" s="11" t="n">
        <v>337.59</v>
      </c>
      <c r="T58" s="11" t="n">
        <v>359.76</v>
      </c>
      <c r="U58" s="11" t="n">
        <v>359.43</v>
      </c>
      <c r="V58" s="11" t="n">
        <v>393.94</v>
      </c>
      <c r="W58" s="11" t="n">
        <v>12.4396</v>
      </c>
      <c r="X58" s="11" t="n">
        <v>22.1445</v>
      </c>
      <c r="Y58" s="11" t="n">
        <v>38.6314</v>
      </c>
      <c r="Z58" s="11" t="n">
        <v>66.8175</v>
      </c>
      <c r="AA58" s="11" t="n">
        <v>116.55</v>
      </c>
      <c r="AB58" s="11" t="n">
        <v>179.01</v>
      </c>
      <c r="AC58" s="11" t="n">
        <v>230.29</v>
      </c>
      <c r="AD58" s="11" t="n">
        <v>319.64</v>
      </c>
      <c r="AE58" s="11" t="n">
        <v>393.94</v>
      </c>
    </row>
    <row r="59">
      <c r="A59" s="10" t="inlineStr">
        <is>
          <t>자기주식</t>
        </is>
      </c>
      <c r="C59" s="11" t="n">
        <v>-29.7143</v>
      </c>
      <c r="D59" s="11" t="n">
        <v>-29.63</v>
      </c>
      <c r="E59" s="11" t="n">
        <v>-29.63</v>
      </c>
      <c r="F59" s="11" t="n">
        <v>-29.63</v>
      </c>
      <c r="G59" s="11" t="n">
        <v>-29.63</v>
      </c>
      <c r="H59" s="11" t="n">
        <v>-29.46</v>
      </c>
      <c r="I59" s="11" t="n">
        <v>-49.48</v>
      </c>
      <c r="J59" s="11" t="n">
        <v>-49.48</v>
      </c>
      <c r="K59" s="11" t="n">
        <v>-49.5</v>
      </c>
      <c r="L59" s="11" t="n">
        <v>-49.41</v>
      </c>
      <c r="M59" s="11" t="n">
        <v>-49.4</v>
      </c>
      <c r="N59" s="11" t="n">
        <v>-49.4</v>
      </c>
      <c r="O59" s="11" t="n">
        <v>-59.4</v>
      </c>
      <c r="P59" s="11" t="n">
        <v>-58.38</v>
      </c>
      <c r="Q59" s="11" t="n">
        <v>-58.34</v>
      </c>
      <c r="R59" s="11" t="n">
        <v>-58.34</v>
      </c>
      <c r="S59" s="11" t="n">
        <v>-58.29</v>
      </c>
      <c r="T59" s="11" t="n">
        <v>-121.76</v>
      </c>
      <c r="U59" s="11" t="n">
        <v>-121.76</v>
      </c>
      <c r="V59" s="11" t="n">
        <v>-121.65</v>
      </c>
      <c r="W59" s="11" t="n">
        <v>-0.6018</v>
      </c>
      <c r="X59" s="11" t="n">
        <v>-0.5064</v>
      </c>
      <c r="Y59" s="11" t="n">
        <v>-0.4127</v>
      </c>
      <c r="Z59" s="11" t="n">
        <v>-9.7224</v>
      </c>
      <c r="AA59" s="11" t="n">
        <v>-29.63</v>
      </c>
      <c r="AB59" s="11" t="n">
        <v>-49.48</v>
      </c>
      <c r="AC59" s="11" t="n">
        <v>-49.4</v>
      </c>
      <c r="AD59" s="11" t="n">
        <v>-58.34</v>
      </c>
      <c r="AE59" s="11" t="n">
        <v>-121.65</v>
      </c>
    </row>
    <row r="60">
      <c r="A60" s="10" t="inlineStr">
        <is>
          <t>주주자본 합계</t>
        </is>
      </c>
      <c r="C60" s="11" t="n">
        <v>216.4935</v>
      </c>
      <c r="D60" s="11" t="n">
        <v>230.3738</v>
      </c>
      <c r="E60" s="11" t="n">
        <v>241.2778</v>
      </c>
      <c r="F60" s="11" t="n">
        <v>253.86</v>
      </c>
      <c r="G60" s="11" t="n">
        <v>266.2</v>
      </c>
      <c r="H60" s="11" t="n">
        <v>275.9</v>
      </c>
      <c r="I60" s="11" t="n">
        <v>273.82</v>
      </c>
      <c r="J60" s="11" t="n">
        <v>288.09</v>
      </c>
      <c r="K60" s="11" t="n">
        <v>299.04</v>
      </c>
      <c r="L60" s="11" t="n">
        <v>318.01</v>
      </c>
      <c r="M60" s="11" t="n">
        <v>321.3</v>
      </c>
      <c r="N60" s="11" t="n">
        <v>339.64</v>
      </c>
      <c r="O60" s="11" t="n">
        <v>349.41</v>
      </c>
      <c r="P60" s="11" t="n">
        <v>360.71</v>
      </c>
      <c r="Q60" s="11" t="n">
        <v>378.64</v>
      </c>
      <c r="R60" s="11" t="n">
        <v>405.16</v>
      </c>
      <c r="S60" s="11" t="n">
        <v>423.16</v>
      </c>
      <c r="T60" s="11" t="n">
        <v>382.87</v>
      </c>
      <c r="U60" s="11" t="n">
        <v>382.55</v>
      </c>
      <c r="V60" s="11" t="n">
        <v>417.16</v>
      </c>
      <c r="W60" s="11" t="n">
        <v>23.0998</v>
      </c>
      <c r="X60" s="11" t="n">
        <v>86.547</v>
      </c>
      <c r="Y60" s="11" t="n">
        <v>103.8706</v>
      </c>
      <c r="Z60" s="11" t="n">
        <v>220.8678</v>
      </c>
      <c r="AA60" s="11" t="n">
        <v>253.86</v>
      </c>
      <c r="AB60" s="11" t="n">
        <v>288.09</v>
      </c>
      <c r="AC60" s="11" t="n">
        <v>339.64</v>
      </c>
      <c r="AD60" s="11" t="n">
        <v>405.16</v>
      </c>
      <c r="AE60" s="11" t="n">
        <v>417.16</v>
      </c>
    </row>
    <row r="61">
      <c r="A61" s="10" t="inlineStr">
        <is>
          <t>기타유가증권 평가차액</t>
        </is>
      </c>
      <c r="C61" s="11" t="n">
        <v>-0.5361</v>
      </c>
      <c r="D61" s="11" t="n">
        <v>-0.5964</v>
      </c>
      <c r="E61" s="11" t="n">
        <v>-0.5982</v>
      </c>
      <c r="F61" s="11" t="n">
        <v>1.74</v>
      </c>
      <c r="G61" s="11" t="n">
        <v>1.38</v>
      </c>
      <c r="H61" s="11" t="n">
        <v>1.9</v>
      </c>
      <c r="I61" s="11" t="n">
        <v>0.5</v>
      </c>
      <c r="J61" s="11" t="n">
        <v>1.18</v>
      </c>
      <c r="K61" s="11" t="n">
        <v>0.58</v>
      </c>
      <c r="L61" s="11" t="n">
        <v>-0.67</v>
      </c>
      <c r="M61" s="11" t="n">
        <v>-0.84</v>
      </c>
      <c r="N61" s="11" t="n">
        <v>-3.04</v>
      </c>
      <c r="O61" s="11" t="n">
        <v>-2.91</v>
      </c>
      <c r="P61" s="11" t="n">
        <v>-2.81</v>
      </c>
      <c r="Q61" s="11" t="n">
        <v>0.6</v>
      </c>
      <c r="R61" s="11" t="n">
        <v>0.71</v>
      </c>
      <c r="S61" s="11" t="n">
        <v>0.08</v>
      </c>
      <c r="T61" s="11" t="n">
        <v>-0.99</v>
      </c>
      <c r="U61" s="11" t="n">
        <v>-2.33</v>
      </c>
      <c r="V61" s="11" t="n">
        <v>-1.95</v>
      </c>
      <c r="X61" s="11" t="n">
        <v>0</v>
      </c>
      <c r="Y61" s="11" t="n">
        <v>1.3384</v>
      </c>
      <c r="Z61" s="11" t="n">
        <v>3.0391</v>
      </c>
      <c r="AA61" s="11" t="n">
        <v>1.74</v>
      </c>
      <c r="AB61" s="11" t="n">
        <v>1.18</v>
      </c>
      <c r="AC61" s="11" t="n">
        <v>-3.04</v>
      </c>
      <c r="AD61" s="11" t="n">
        <v>0.71</v>
      </c>
      <c r="AE61" s="11" t="n">
        <v>-1.95</v>
      </c>
    </row>
    <row r="62">
      <c r="A62" s="10" t="inlineStr">
        <is>
          <t>해외사업환산조정</t>
        </is>
      </c>
      <c r="C62" s="11" t="n">
        <v>0.0542</v>
      </c>
      <c r="D62" s="11" t="n">
        <v>0.0623</v>
      </c>
      <c r="E62" s="11" t="n">
        <v>0.2202</v>
      </c>
      <c r="F62" s="11" t="n">
        <v>0.32</v>
      </c>
      <c r="G62" s="11" t="n">
        <v>0.2</v>
      </c>
      <c r="H62" s="11" t="n">
        <v>0.24</v>
      </c>
      <c r="I62" s="11" t="n">
        <v>0.29</v>
      </c>
      <c r="J62" s="11" t="n">
        <v>0.3</v>
      </c>
      <c r="K62" s="11" t="n">
        <v>0.3</v>
      </c>
      <c r="L62" s="11" t="n">
        <v>0.29</v>
      </c>
      <c r="M62" s="11" t="n">
        <v>0.29</v>
      </c>
      <c r="N62" s="11" t="n">
        <v>0.24</v>
      </c>
      <c r="O62" s="11" t="n">
        <v>0.24</v>
      </c>
      <c r="P62" s="11" t="n">
        <v>0.24</v>
      </c>
      <c r="Q62" s="11" t="n">
        <v>0.1</v>
      </c>
      <c r="R62" s="11" t="n">
        <v>0.1</v>
      </c>
      <c r="S62" s="11" t="n">
        <v>0.22</v>
      </c>
      <c r="T62" s="11" t="n">
        <v>0.22</v>
      </c>
      <c r="U62" s="11" t="n">
        <v>0.17</v>
      </c>
      <c r="V62" s="11" t="n">
        <v>0.24</v>
      </c>
      <c r="W62" s="11" t="n">
        <v>-0.0557</v>
      </c>
      <c r="X62" s="11" t="n">
        <v>-0.09279999999999999</v>
      </c>
      <c r="Y62" s="11" t="n">
        <v>-0.091</v>
      </c>
      <c r="Z62" s="11" t="n">
        <v>-0.008</v>
      </c>
      <c r="AA62" s="11" t="n">
        <v>0.32</v>
      </c>
      <c r="AB62" s="11" t="n">
        <v>0.3</v>
      </c>
      <c r="AC62" s="11" t="n">
        <v>0.24</v>
      </c>
      <c r="AD62" s="11" t="n">
        <v>0.1</v>
      </c>
      <c r="AE62" s="11" t="n">
        <v>0.24</v>
      </c>
    </row>
    <row r="63">
      <c r="A63" s="10" t="inlineStr">
        <is>
          <t>퇴직급여 조정누계액</t>
        </is>
      </c>
      <c r="R63" s="11" t="n">
        <v>0</v>
      </c>
      <c r="V63" s="11" t="n">
        <v>0.13</v>
      </c>
      <c r="AD63" s="11" t="n">
        <v>0</v>
      </c>
      <c r="AE63" s="11" t="n">
        <v>0.13</v>
      </c>
    </row>
    <row r="64">
      <c r="A64" s="10" t="inlineStr">
        <is>
          <t>기타포괄손익누계액 합계</t>
        </is>
      </c>
      <c r="C64" s="11" t="n">
        <v>-0.4819</v>
      </c>
      <c r="D64" s="11" t="n">
        <v>-0.5341</v>
      </c>
      <c r="E64" s="11" t="n">
        <v>-0.3779</v>
      </c>
      <c r="F64" s="11" t="n">
        <v>2.06</v>
      </c>
      <c r="G64" s="11" t="n">
        <v>1.58</v>
      </c>
      <c r="H64" s="11" t="n">
        <v>2.15</v>
      </c>
      <c r="I64" s="11" t="n">
        <v>0.8</v>
      </c>
      <c r="J64" s="11" t="n">
        <v>1.48</v>
      </c>
      <c r="K64" s="11" t="n">
        <v>0.89</v>
      </c>
      <c r="L64" s="11" t="n">
        <v>-0.37</v>
      </c>
      <c r="M64" s="11" t="n">
        <v>-0.55</v>
      </c>
      <c r="N64" s="11" t="n">
        <v>-2.79</v>
      </c>
      <c r="O64" s="11" t="n">
        <v>-2.66</v>
      </c>
      <c r="P64" s="11" t="n">
        <v>-2.56</v>
      </c>
      <c r="Q64" s="11" t="n">
        <v>0.71</v>
      </c>
      <c r="R64" s="11" t="n">
        <v>0.8100000000000001</v>
      </c>
      <c r="S64" s="11" t="n">
        <v>0.3</v>
      </c>
      <c r="T64" s="11" t="n">
        <v>-0.77</v>
      </c>
      <c r="U64" s="11" t="n">
        <v>-2.16</v>
      </c>
      <c r="V64" s="11" t="n">
        <v>-1.57</v>
      </c>
      <c r="W64" s="11" t="n">
        <v>-0.0557</v>
      </c>
      <c r="X64" s="11" t="n">
        <v>-0.09279999999999999</v>
      </c>
      <c r="Y64" s="11" t="n">
        <v>1.2474</v>
      </c>
      <c r="Z64" s="11" t="n">
        <v>3.0311</v>
      </c>
      <c r="AA64" s="11" t="n">
        <v>2.06</v>
      </c>
      <c r="AB64" s="11" t="n">
        <v>1.48</v>
      </c>
      <c r="AC64" s="11" t="n">
        <v>-2.79</v>
      </c>
      <c r="AD64" s="11" t="n">
        <v>0.8100000000000001</v>
      </c>
      <c r="AE64" s="11" t="n">
        <v>-1.57</v>
      </c>
    </row>
    <row r="65">
      <c r="A65" s="10" t="inlineStr">
        <is>
          <t>주식인수권</t>
        </is>
      </c>
      <c r="N65" s="11" t="n">
        <v>3.28</v>
      </c>
      <c r="P65" s="11" t="n">
        <v>2.86</v>
      </c>
      <c r="R65" s="11" t="n">
        <v>4.13</v>
      </c>
      <c r="T65" s="11" t="n">
        <v>3.12</v>
      </c>
      <c r="AC65" s="11" t="n">
        <v>3.28</v>
      </c>
      <c r="AD65" s="11" t="n">
        <v>4.13</v>
      </c>
    </row>
    <row r="66">
      <c r="A66" s="10" t="inlineStr">
        <is>
          <t>주식인수권</t>
        </is>
      </c>
      <c r="D66" s="11" t="n">
        <v>0.1056</v>
      </c>
      <c r="E66" s="11" t="n">
        <v>0.2414</v>
      </c>
      <c r="F66" s="11" t="n">
        <v>0.37</v>
      </c>
      <c r="H66" s="11" t="n">
        <v>0.78</v>
      </c>
      <c r="I66" s="11" t="n">
        <v>1.09</v>
      </c>
      <c r="J66" s="11" t="n">
        <v>1.4</v>
      </c>
      <c r="L66" s="11" t="n">
        <v>2.18</v>
      </c>
      <c r="M66" s="11" t="n">
        <v>2.73</v>
      </c>
      <c r="N66" s="11" t="n">
        <v>3.28</v>
      </c>
      <c r="Q66" s="11" t="n">
        <v>3.49</v>
      </c>
      <c r="R66" s="11" t="n">
        <v>4.13</v>
      </c>
      <c r="U66" s="11" t="n">
        <v>3.77</v>
      </c>
      <c r="Z66" s="11" t="n">
        <v>0</v>
      </c>
      <c r="AA66" s="11" t="n">
        <v>0.37</v>
      </c>
      <c r="AB66" s="11" t="n">
        <v>1.4</v>
      </c>
      <c r="AC66" s="11" t="n">
        <v>3.28</v>
      </c>
      <c r="AD66" s="11" t="n">
        <v>4.13</v>
      </c>
    </row>
    <row r="67">
      <c r="A67" s="10" t="inlineStr">
        <is>
          <t>주식인수권</t>
        </is>
      </c>
      <c r="F67" s="11" t="n">
        <v>0.37</v>
      </c>
      <c r="G67" s="11" t="n">
        <v>0.51</v>
      </c>
      <c r="J67" s="11" t="n">
        <v>1.4</v>
      </c>
      <c r="K67" s="11" t="n">
        <v>1.74</v>
      </c>
      <c r="N67" s="11" t="n">
        <v>3.28</v>
      </c>
      <c r="O67" s="11" t="n">
        <v>3.84</v>
      </c>
      <c r="R67" s="11" t="n">
        <v>4.13</v>
      </c>
      <c r="S67" s="11" t="n">
        <v>4.89</v>
      </c>
      <c r="V67" s="11" t="n">
        <v>4.42</v>
      </c>
      <c r="Z67" s="11" t="n">
        <v>0</v>
      </c>
      <c r="AA67" s="11" t="n">
        <v>0.37</v>
      </c>
      <c r="AB67" s="11" t="n">
        <v>1.4</v>
      </c>
      <c r="AC67" s="11" t="n">
        <v>3.28</v>
      </c>
      <c r="AD67" s="11" t="n">
        <v>4.13</v>
      </c>
      <c r="AE67" s="11" t="n">
        <v>4.42</v>
      </c>
    </row>
    <row r="68">
      <c r="A68" s="10" t="inlineStr">
        <is>
          <t>신주예약권</t>
        </is>
      </c>
      <c r="C68" s="11" t="n">
        <v>0.0915</v>
      </c>
      <c r="D68" s="11" t="n">
        <v>0.1176</v>
      </c>
      <c r="E68" s="11" t="n">
        <v>0.1424</v>
      </c>
      <c r="F68" s="11" t="n">
        <v>0.16</v>
      </c>
      <c r="G68" s="11" t="n">
        <v>0.19</v>
      </c>
      <c r="H68" s="11" t="n">
        <v>0.22</v>
      </c>
      <c r="I68" s="11" t="n">
        <v>0.24</v>
      </c>
      <c r="J68" s="11" t="n">
        <v>0.27</v>
      </c>
      <c r="K68" s="11" t="n">
        <v>0.29</v>
      </c>
      <c r="L68" s="11" t="n">
        <v>0.29</v>
      </c>
      <c r="M68" s="11" t="n">
        <v>0.25</v>
      </c>
      <c r="N68" s="11" t="n">
        <v>0.25</v>
      </c>
      <c r="O68" s="11" t="n">
        <v>0.25</v>
      </c>
      <c r="P68" s="11" t="n">
        <v>0.25</v>
      </c>
      <c r="Q68" s="11" t="n">
        <v>0.25</v>
      </c>
      <c r="R68" s="11" t="n">
        <v>0.25</v>
      </c>
      <c r="S68" s="11" t="n">
        <v>0.25</v>
      </c>
      <c r="T68" s="11" t="n">
        <v>0.5</v>
      </c>
      <c r="U68" s="11" t="n">
        <v>0.5</v>
      </c>
      <c r="V68" s="11" t="n">
        <v>0.5</v>
      </c>
      <c r="W68" s="11" t="n">
        <v>0.0256</v>
      </c>
      <c r="X68" s="11" t="n">
        <v>0.0184</v>
      </c>
      <c r="Y68" s="11" t="n">
        <v>0.0076</v>
      </c>
      <c r="Z68" s="11" t="n">
        <v>0.0711</v>
      </c>
      <c r="AA68" s="11" t="n">
        <v>0.16</v>
      </c>
      <c r="AB68" s="11" t="n">
        <v>0.27</v>
      </c>
      <c r="AC68" s="11" t="n">
        <v>0.25</v>
      </c>
      <c r="AD68" s="11" t="n">
        <v>0.25</v>
      </c>
      <c r="AE68" s="11" t="n">
        <v>0.5</v>
      </c>
    </row>
    <row r="69">
      <c r="A69" s="10" t="inlineStr">
        <is>
          <t>비지배지분</t>
        </is>
      </c>
      <c r="C69" s="11" t="n">
        <v>2.3236</v>
      </c>
      <c r="D69" s="11" t="n">
        <v>2.6722</v>
      </c>
      <c r="E69" s="11" t="n">
        <v>3.0978</v>
      </c>
      <c r="F69" s="11" t="n">
        <v>3.59</v>
      </c>
      <c r="G69" s="11" t="n">
        <v>4.25</v>
      </c>
      <c r="H69" s="11" t="n">
        <v>5.18</v>
      </c>
      <c r="I69" s="11" t="n">
        <v>5.59</v>
      </c>
      <c r="J69" s="11" t="n">
        <v>4.51</v>
      </c>
      <c r="K69" s="11" t="n">
        <v>4.73</v>
      </c>
      <c r="L69" s="11" t="n">
        <v>4.31</v>
      </c>
      <c r="M69" s="11" t="n">
        <v>4.51</v>
      </c>
      <c r="N69" s="11" t="n">
        <v>4.82</v>
      </c>
      <c r="O69" s="11" t="n">
        <v>5.22</v>
      </c>
      <c r="P69" s="11" t="n">
        <v>0</v>
      </c>
      <c r="Q69" s="11" t="n">
        <v>0</v>
      </c>
      <c r="R69" s="11" t="n">
        <v>0</v>
      </c>
      <c r="U69" s="11" t="n">
        <v>1.67</v>
      </c>
      <c r="V69" s="11" t="n">
        <v>1.45</v>
      </c>
      <c r="W69" s="11" t="n">
        <v>1.9946</v>
      </c>
      <c r="X69" s="11" t="n">
        <v>2.9079</v>
      </c>
      <c r="Y69" s="11" t="n">
        <v>2.6893</v>
      </c>
      <c r="Z69" s="11" t="n">
        <v>2.8686</v>
      </c>
      <c r="AA69" s="11" t="n">
        <v>3.59</v>
      </c>
      <c r="AB69" s="11" t="n">
        <v>4.51</v>
      </c>
      <c r="AC69" s="11" t="n">
        <v>4.82</v>
      </c>
      <c r="AD69" s="11" t="n">
        <v>0</v>
      </c>
      <c r="AE69" s="11" t="n">
        <v>1.45</v>
      </c>
    </row>
    <row r="70">
      <c r="A70" s="10" t="inlineStr">
        <is>
          <t>순자산 합계</t>
        </is>
      </c>
      <c r="C70" s="11" t="n">
        <v>218.4268</v>
      </c>
      <c r="D70" s="11" t="n">
        <v>232.7352</v>
      </c>
      <c r="E70" s="11" t="n">
        <v>244.3815</v>
      </c>
      <c r="F70" s="11" t="n">
        <v>260.07</v>
      </c>
      <c r="G70" s="11" t="n">
        <v>272.75</v>
      </c>
      <c r="H70" s="11" t="n">
        <v>284.24</v>
      </c>
      <c r="I70" s="11" t="n">
        <v>281.56</v>
      </c>
      <c r="J70" s="11" t="n">
        <v>295.78</v>
      </c>
      <c r="K70" s="11" t="n">
        <v>306.71</v>
      </c>
      <c r="L70" s="11" t="n">
        <v>324.43</v>
      </c>
      <c r="M70" s="11" t="n">
        <v>328.26</v>
      </c>
      <c r="N70" s="11" t="n">
        <v>345.22</v>
      </c>
      <c r="O70" s="11" t="n">
        <v>356.06</v>
      </c>
      <c r="P70" s="11" t="n">
        <v>361.26</v>
      </c>
      <c r="Q70" s="11" t="n">
        <v>383.11</v>
      </c>
      <c r="R70" s="11" t="n">
        <v>410.37</v>
      </c>
      <c r="S70" s="11" t="n">
        <v>428.62</v>
      </c>
      <c r="T70" s="11" t="n">
        <v>385.74</v>
      </c>
      <c r="U70" s="11" t="n">
        <v>386.34</v>
      </c>
      <c r="V70" s="11" t="n">
        <v>421.97</v>
      </c>
      <c r="W70" s="11" t="n">
        <v>25.0643</v>
      </c>
      <c r="X70" s="11" t="n">
        <v>89.3805</v>
      </c>
      <c r="Y70" s="11" t="n">
        <v>107.8149</v>
      </c>
      <c r="Z70" s="11" t="n">
        <v>226.8387</v>
      </c>
      <c r="AA70" s="11" t="n">
        <v>260.07</v>
      </c>
      <c r="AB70" s="11" t="n">
        <v>295.78</v>
      </c>
      <c r="AC70" s="11" t="n">
        <v>345.22</v>
      </c>
      <c r="AD70" s="11" t="n">
        <v>410.37</v>
      </c>
      <c r="AE70" s="11" t="n">
        <v>421.97</v>
      </c>
    </row>
    <row r="71">
      <c r="A71" s="10" t="inlineStr">
        <is>
          <t>부채·순자산 합계</t>
        </is>
      </c>
      <c r="C71" s="11" t="n">
        <v>344.0959</v>
      </c>
      <c r="D71" s="11" t="n">
        <v>372.7836</v>
      </c>
      <c r="E71" s="11" t="n">
        <v>380.3388</v>
      </c>
      <c r="F71" s="11" t="n">
        <v>402.3</v>
      </c>
      <c r="G71" s="11" t="n">
        <v>427.97</v>
      </c>
      <c r="H71" s="11" t="n">
        <v>444.82</v>
      </c>
      <c r="I71" s="11" t="n">
        <v>463.97</v>
      </c>
      <c r="J71" s="11" t="n">
        <v>495.3</v>
      </c>
      <c r="K71" s="11" t="n">
        <v>534.86</v>
      </c>
      <c r="L71" s="11" t="n">
        <v>622.41</v>
      </c>
      <c r="M71" s="11" t="n">
        <v>610.54</v>
      </c>
      <c r="N71" s="11" t="n">
        <v>627.17</v>
      </c>
      <c r="O71" s="11" t="n">
        <v>662.12</v>
      </c>
      <c r="P71" s="11" t="n">
        <v>678</v>
      </c>
      <c r="Q71" s="11" t="n">
        <v>778.3</v>
      </c>
      <c r="R71" s="11" t="n">
        <v>770.01</v>
      </c>
      <c r="S71" s="11" t="n">
        <v>791.02</v>
      </c>
      <c r="T71" s="11" t="n">
        <v>803.89</v>
      </c>
      <c r="U71" s="11" t="n">
        <v>1052.79</v>
      </c>
      <c r="V71" s="11" t="n">
        <v>1096.85</v>
      </c>
      <c r="W71" s="11" t="n">
        <v>62.849</v>
      </c>
      <c r="X71" s="11" t="n">
        <v>149.7533</v>
      </c>
      <c r="Y71" s="11" t="n">
        <v>198.2111</v>
      </c>
      <c r="Z71" s="11" t="n">
        <v>342.7215</v>
      </c>
      <c r="AA71" s="11" t="n">
        <v>402.3</v>
      </c>
      <c r="AB71" s="11" t="n">
        <v>495.3</v>
      </c>
      <c r="AC71" s="11" t="n">
        <v>627.17</v>
      </c>
      <c r="AD71" s="11" t="n">
        <v>770.01</v>
      </c>
      <c r="AE71" s="11" t="n">
        <v>1096.85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76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40" customWidth="1" min="32" max="32"/>
  </cols>
  <sheetData>
    <row r="1">
      <c r="A1" s="1" t="inlineStr">
        <is>
          <t>SHIFT 현금흐름표</t>
        </is>
      </c>
    </row>
    <row r="2">
      <c r="A2" s="2" t="inlineStr">
        <is>
          <t>결산기 기준(27.2Q = 2027년 결산기 2분기) · 8월 결산 · 연결 · 누계(그 분기까지) · 오른쪽 FY = 연간</t>
        </is>
      </c>
      <c r="B2" s="3" t="inlineStr">
        <is>
          <t>(단위: 억엔)</t>
        </is>
      </c>
    </row>
    <row r="3">
      <c r="A3" s="4" t="inlineStr">
        <is>
          <t>항목</t>
        </is>
      </c>
      <c r="B3" s="4" t="inlineStr">
        <is>
          <t>참고</t>
        </is>
      </c>
      <c r="C3" s="4" t="inlineStr">
        <is>
          <t>22.1Q</t>
        </is>
      </c>
      <c r="D3" s="4" t="inlineStr">
        <is>
          <t>22.2Q</t>
        </is>
      </c>
      <c r="E3" s="4" t="inlineStr">
        <is>
          <t>22.3Q</t>
        </is>
      </c>
      <c r="F3" s="4" t="inlineStr">
        <is>
          <t>22.4Q</t>
        </is>
      </c>
      <c r="G3" s="4" t="inlineStr">
        <is>
          <t>23.1Q</t>
        </is>
      </c>
      <c r="H3" s="4" t="inlineStr">
        <is>
          <t>23.2Q</t>
        </is>
      </c>
      <c r="I3" s="4" t="inlineStr">
        <is>
          <t>23.3Q</t>
        </is>
      </c>
      <c r="J3" s="4" t="inlineStr">
        <is>
          <t>23.4Q</t>
        </is>
      </c>
      <c r="K3" s="4" t="inlineStr">
        <is>
          <t>24.1Q</t>
        </is>
      </c>
      <c r="L3" s="4" t="inlineStr">
        <is>
          <t>24.2Q</t>
        </is>
      </c>
      <c r="M3" s="4" t="inlineStr">
        <is>
          <t>24.3Q</t>
        </is>
      </c>
      <c r="N3" s="4" t="inlineStr">
        <is>
          <t>24.4Q</t>
        </is>
      </c>
      <c r="O3" s="4" t="inlineStr">
        <is>
          <t>25.1Q</t>
        </is>
      </c>
      <c r="P3" s="4" t="inlineStr">
        <is>
          <t>25.2Q</t>
        </is>
      </c>
      <c r="Q3" s="4" t="inlineStr">
        <is>
          <t>25.3Q</t>
        </is>
      </c>
      <c r="R3" s="4" t="inlineStr">
        <is>
          <t>25.4Q</t>
        </is>
      </c>
      <c r="S3" s="4" t="inlineStr">
        <is>
          <t>26.1Q</t>
        </is>
      </c>
      <c r="T3" s="4" t="inlineStr">
        <is>
          <t>26.2Q</t>
        </is>
      </c>
      <c r="U3" s="4" t="inlineStr">
        <is>
          <t>26.3Q</t>
        </is>
      </c>
      <c r="V3" s="4" t="inlineStr">
        <is>
          <t>26.4Q</t>
        </is>
      </c>
      <c r="W3" s="4" t="inlineStr">
        <is>
          <t>FY18</t>
        </is>
      </c>
      <c r="X3" s="4" t="inlineStr">
        <is>
          <t>FY19</t>
        </is>
      </c>
      <c r="Y3" s="4" t="inlineStr">
        <is>
          <t>FY20</t>
        </is>
      </c>
      <c r="Z3" s="4" t="inlineStr">
        <is>
          <t>FY21</t>
        </is>
      </c>
      <c r="AA3" s="4" t="inlineStr">
        <is>
          <t>FY22</t>
        </is>
      </c>
      <c r="AB3" s="4" t="inlineStr">
        <is>
          <t>FY23</t>
        </is>
      </c>
      <c r="AC3" s="4" t="inlineStr">
        <is>
          <t>FY24</t>
        </is>
      </c>
      <c r="AD3" s="4" t="inlineStr">
        <is>
          <t>FY25</t>
        </is>
      </c>
      <c r="AE3" s="4" t="inlineStr">
        <is>
          <t>FY26</t>
        </is>
      </c>
      <c r="AF3" s="4" t="inlineStr">
        <is>
          <t>출처</t>
        </is>
      </c>
    </row>
    <row r="4">
      <c r="A4" s="10" t="inlineStr">
        <is>
          <t>법인세차감전 순이익</t>
        </is>
      </c>
      <c r="D4" s="11" t="n">
        <v>42.49</v>
      </c>
      <c r="F4" s="11" t="n">
        <v>74.59999999999999</v>
      </c>
      <c r="H4" s="11" t="n">
        <v>38.34</v>
      </c>
      <c r="J4" s="11" t="n">
        <v>101.53</v>
      </c>
      <c r="L4" s="11" t="n">
        <v>48.31</v>
      </c>
      <c r="N4" s="11" t="n">
        <v>90.31999999999999</v>
      </c>
      <c r="P4" s="11" t="n">
        <v>71.84999999999999</v>
      </c>
      <c r="R4" s="11" t="n">
        <v>136.74</v>
      </c>
      <c r="T4" s="11" t="n">
        <v>61.18</v>
      </c>
      <c r="V4" s="11" t="n">
        <v>128.91</v>
      </c>
      <c r="W4" s="11" t="n">
        <v>8.349</v>
      </c>
      <c r="X4" s="11" t="n">
        <v>15.5769</v>
      </c>
      <c r="Y4" s="11" t="n">
        <v>25.3513</v>
      </c>
      <c r="Z4" s="11" t="n">
        <v>45.2575</v>
      </c>
      <c r="AA4" s="11" t="n">
        <v>74.59999999999999</v>
      </c>
      <c r="AB4" s="11" t="n">
        <v>101.53</v>
      </c>
      <c r="AC4" s="11" t="n">
        <v>90.31999999999999</v>
      </c>
      <c r="AD4" s="11" t="n">
        <v>136.74</v>
      </c>
      <c r="AE4" s="11" t="n">
        <v>128.91</v>
      </c>
      <c r="AF4" s="7" t="inlineStr">
        <is>
          <t>결산단신 XBRL(거래소 공시, TDnet·JPX 보관소). 쓴 문서: 2026-10-15, 2026-07-15, 2026-04-14, 2026-01-14 외 26건 — '출처' 시트에 전부</t>
        </is>
      </c>
    </row>
    <row r="5">
      <c r="A5" s="10" t="inlineStr">
        <is>
          <t>감가상각비</t>
        </is>
      </c>
      <c r="D5" s="11" t="n">
        <v>2.49</v>
      </c>
      <c r="F5" s="11" t="n">
        <v>5.64</v>
      </c>
      <c r="H5" s="11" t="n">
        <v>3.05</v>
      </c>
      <c r="J5" s="11" t="n">
        <v>6.92</v>
      </c>
      <c r="L5" s="11" t="n">
        <v>5.06</v>
      </c>
      <c r="N5" s="11" t="n">
        <v>14.35</v>
      </c>
      <c r="P5" s="11" t="n">
        <v>8.83</v>
      </c>
      <c r="R5" s="11" t="n">
        <v>18.45</v>
      </c>
      <c r="T5" s="11" t="n">
        <v>9.99</v>
      </c>
      <c r="V5" s="11" t="n">
        <v>22.97</v>
      </c>
      <c r="W5" s="11" t="n">
        <v>1.2782</v>
      </c>
      <c r="X5" s="11" t="n">
        <v>1.9955</v>
      </c>
      <c r="Y5" s="11" t="n">
        <v>3.2798</v>
      </c>
      <c r="Z5" s="11" t="n">
        <v>4.431</v>
      </c>
      <c r="AA5" s="11" t="n">
        <v>5.64</v>
      </c>
      <c r="AB5" s="11" t="n">
        <v>6.92</v>
      </c>
      <c r="AC5" s="11" t="n">
        <v>14.35</v>
      </c>
      <c r="AD5" s="11" t="n">
        <v>18.45</v>
      </c>
      <c r="AE5" s="11" t="n">
        <v>22.97</v>
      </c>
    </row>
    <row r="6">
      <c r="A6" s="10" t="inlineStr">
        <is>
          <t>손상차손</t>
        </is>
      </c>
      <c r="F6" s="11" t="n">
        <v>0</v>
      </c>
      <c r="L6" s="11" t="n">
        <v>0</v>
      </c>
      <c r="N6" s="11" t="n">
        <v>6.05</v>
      </c>
      <c r="P6" s="11" t="n">
        <v>5.73</v>
      </c>
      <c r="R6" s="11" t="n">
        <v>9.77</v>
      </c>
      <c r="T6" s="11" t="n">
        <v>5.01</v>
      </c>
      <c r="V6" s="11" t="n">
        <v>5.56</v>
      </c>
      <c r="Y6" s="11" t="n">
        <v>0</v>
      </c>
      <c r="Z6" s="11" t="n">
        <v>2.1095</v>
      </c>
      <c r="AA6" s="11" t="n">
        <v>0</v>
      </c>
      <c r="AC6" s="11" t="n">
        <v>6.05</v>
      </c>
      <c r="AD6" s="11" t="n">
        <v>9.77</v>
      </c>
      <c r="AE6" s="11" t="n">
        <v>5.56</v>
      </c>
    </row>
    <row r="7">
      <c r="A7" s="10" t="inlineStr">
        <is>
          <t>영업권 상각</t>
        </is>
      </c>
      <c r="D7" s="11" t="n">
        <v>4.45</v>
      </c>
      <c r="F7" s="11" t="n">
        <v>8.92</v>
      </c>
      <c r="H7" s="11" t="n">
        <v>4.45</v>
      </c>
      <c r="J7" s="11" t="n">
        <v>10.28</v>
      </c>
      <c r="L7" s="11" t="n">
        <v>6.99</v>
      </c>
      <c r="N7" s="11" t="n">
        <v>14.51</v>
      </c>
      <c r="P7" s="11" t="n">
        <v>7.1</v>
      </c>
      <c r="R7" s="11" t="n">
        <v>13.94</v>
      </c>
      <c r="T7" s="11" t="n">
        <v>6.83</v>
      </c>
      <c r="V7" s="11" t="n">
        <v>18.61</v>
      </c>
      <c r="W7" s="11" t="n">
        <v>0.8374</v>
      </c>
      <c r="X7" s="11" t="n">
        <v>1.2568</v>
      </c>
      <c r="Y7" s="11" t="n">
        <v>2.6474</v>
      </c>
      <c r="Z7" s="11" t="n">
        <v>7.6086</v>
      </c>
      <c r="AA7" s="11" t="n">
        <v>8.92</v>
      </c>
      <c r="AB7" s="11" t="n">
        <v>10.28</v>
      </c>
      <c r="AC7" s="11" t="n">
        <v>14.51</v>
      </c>
      <c r="AD7" s="11" t="n">
        <v>13.94</v>
      </c>
      <c r="AE7" s="11" t="n">
        <v>18.61</v>
      </c>
    </row>
    <row r="8">
      <c r="A8" s="10" t="inlineStr">
        <is>
          <t>대손충당금 증감</t>
        </is>
      </c>
      <c r="D8" s="11" t="n">
        <v>-0.22</v>
      </c>
      <c r="F8" s="11" t="n">
        <v>0.22</v>
      </c>
      <c r="H8" s="11" t="n">
        <v>0.06</v>
      </c>
      <c r="J8" s="11" t="n">
        <v>0.13</v>
      </c>
      <c r="L8" s="11" t="n">
        <v>0.12</v>
      </c>
      <c r="N8" s="11" t="n">
        <v>0.1</v>
      </c>
      <c r="P8" s="11" t="n">
        <v>-0.12</v>
      </c>
      <c r="R8" s="11" t="n">
        <v>0.72</v>
      </c>
      <c r="T8" s="11" t="n">
        <v>-0.4</v>
      </c>
      <c r="V8" s="11" t="n">
        <v>-0.5600000000000001</v>
      </c>
      <c r="W8" s="11" t="n">
        <v>0.0354</v>
      </c>
      <c r="X8" s="11" t="n">
        <v>0.0432</v>
      </c>
      <c r="Y8" s="11" t="n">
        <v>0.0323</v>
      </c>
      <c r="Z8" s="11" t="n">
        <v>0.0629</v>
      </c>
      <c r="AA8" s="11" t="n">
        <v>0.22</v>
      </c>
      <c r="AB8" s="11" t="n">
        <v>0.13</v>
      </c>
      <c r="AC8" s="11" t="n">
        <v>0.1</v>
      </c>
      <c r="AD8" s="11" t="n">
        <v>0.72</v>
      </c>
      <c r="AE8" s="11" t="n">
        <v>-0.5600000000000001</v>
      </c>
    </row>
    <row r="9">
      <c r="A9" s="10" t="inlineStr">
        <is>
          <t>상여충당금 증감</t>
        </is>
      </c>
      <c r="D9" s="11" t="n">
        <v>0.43</v>
      </c>
      <c r="F9" s="11" t="n">
        <v>-0.65</v>
      </c>
      <c r="H9" s="11" t="n">
        <v>0.25</v>
      </c>
      <c r="J9" s="11" t="n">
        <v>-0.03</v>
      </c>
      <c r="L9" s="11" t="n">
        <v>0</v>
      </c>
      <c r="N9" s="11" t="n">
        <v>-0.75</v>
      </c>
      <c r="P9" s="11" t="n">
        <v>0.78</v>
      </c>
      <c r="R9" s="11" t="n">
        <v>-0.16</v>
      </c>
      <c r="T9" s="11" t="n">
        <v>1.1</v>
      </c>
      <c r="V9" s="11" t="n">
        <v>-0.44</v>
      </c>
      <c r="W9" s="11" t="n">
        <v>-0.0217</v>
      </c>
      <c r="X9" s="11" t="n">
        <v>0.136</v>
      </c>
      <c r="Y9" s="11" t="n">
        <v>0.1694</v>
      </c>
      <c r="Z9" s="11" t="n">
        <v>0.4733</v>
      </c>
      <c r="AA9" s="11" t="n">
        <v>-0.65</v>
      </c>
      <c r="AB9" s="11" t="n">
        <v>-0.03</v>
      </c>
      <c r="AC9" s="11" t="n">
        <v>-0.75</v>
      </c>
      <c r="AD9" s="11" t="n">
        <v>-0.16</v>
      </c>
      <c r="AE9" s="11" t="n">
        <v>-0.44</v>
      </c>
    </row>
    <row r="10">
      <c r="A10" s="10" t="inlineStr">
        <is>
          <t>수주손실 충당금 증감</t>
        </is>
      </c>
      <c r="D10" s="11" t="n">
        <v>0</v>
      </c>
      <c r="F10" s="11" t="n">
        <v>0.34</v>
      </c>
      <c r="H10" s="11" t="n">
        <v>-0.27</v>
      </c>
      <c r="J10" s="11" t="n">
        <v>-0.34</v>
      </c>
      <c r="L10" s="11" t="n">
        <v>0.11</v>
      </c>
      <c r="N10" s="11" t="n">
        <v>0</v>
      </c>
      <c r="P10" s="11" t="n">
        <v>0</v>
      </c>
      <c r="Z10" s="11" t="n">
        <v>0</v>
      </c>
      <c r="AA10" s="11" t="n">
        <v>0.34</v>
      </c>
      <c r="AB10" s="11" t="n">
        <v>-0.34</v>
      </c>
      <c r="AC10" s="11" t="n">
        <v>0</v>
      </c>
    </row>
    <row r="11">
      <c r="A11" s="10" t="inlineStr">
        <is>
          <t>이자·배당금 수익</t>
        </is>
      </c>
      <c r="D11" s="11" t="n">
        <v>-0.58</v>
      </c>
      <c r="F11" s="11" t="n">
        <v>-1.06</v>
      </c>
      <c r="H11" s="11" t="n">
        <v>-0.63</v>
      </c>
      <c r="J11" s="11" t="n">
        <v>-1.14</v>
      </c>
      <c r="L11" s="11" t="n">
        <v>-0.66</v>
      </c>
      <c r="N11" s="11" t="n">
        <v>-0.6899999999999999</v>
      </c>
      <c r="P11" s="11" t="n">
        <v>-0.08</v>
      </c>
      <c r="R11" s="11" t="n">
        <v>-0.25</v>
      </c>
      <c r="T11" s="11" t="n">
        <v>-0.19</v>
      </c>
      <c r="V11" s="11" t="n">
        <v>-0.78</v>
      </c>
      <c r="W11" s="11" t="n">
        <v>-0.0057</v>
      </c>
      <c r="X11" s="11" t="n">
        <v>-0.0063</v>
      </c>
      <c r="Y11" s="11" t="n">
        <v>-0.9346</v>
      </c>
      <c r="Z11" s="11" t="n">
        <v>-0.9059</v>
      </c>
      <c r="AA11" s="11" t="n">
        <v>-1.06</v>
      </c>
      <c r="AB11" s="11" t="n">
        <v>-1.14</v>
      </c>
      <c r="AC11" s="11" t="n">
        <v>-0.6899999999999999</v>
      </c>
      <c r="AD11" s="11" t="n">
        <v>-0.25</v>
      </c>
      <c r="AE11" s="11" t="n">
        <v>-0.78</v>
      </c>
    </row>
    <row r="12">
      <c r="A12" s="10" t="inlineStr">
        <is>
          <t>이자비용</t>
        </is>
      </c>
      <c r="D12" s="11" t="n">
        <v>0.08</v>
      </c>
      <c r="F12" s="11" t="n">
        <v>0.14</v>
      </c>
      <c r="H12" s="11" t="n">
        <v>0.07000000000000001</v>
      </c>
      <c r="J12" s="11" t="n">
        <v>0.19</v>
      </c>
      <c r="L12" s="11" t="n">
        <v>0.16</v>
      </c>
      <c r="N12" s="11" t="n">
        <v>0.57</v>
      </c>
      <c r="P12" s="11" t="n">
        <v>0.4</v>
      </c>
      <c r="R12" s="11" t="n">
        <v>1.17</v>
      </c>
      <c r="T12" s="11" t="n">
        <v>0.97</v>
      </c>
      <c r="V12" s="11" t="n">
        <v>3.61</v>
      </c>
      <c r="W12" s="11" t="n">
        <v>0.0698</v>
      </c>
      <c r="X12" s="11" t="n">
        <v>0.0735</v>
      </c>
      <c r="Y12" s="11" t="n">
        <v>0.103</v>
      </c>
      <c r="Z12" s="11" t="n">
        <v>0.1443</v>
      </c>
      <c r="AA12" s="11" t="n">
        <v>0.14</v>
      </c>
      <c r="AB12" s="11" t="n">
        <v>0.19</v>
      </c>
      <c r="AC12" s="11" t="n">
        <v>0.57</v>
      </c>
      <c r="AD12" s="11" t="n">
        <v>1.17</v>
      </c>
      <c r="AE12" s="11" t="n">
        <v>3.61</v>
      </c>
    </row>
    <row r="13">
      <c r="A13" s="10" t="inlineStr">
        <is>
          <t>고정자산 매각손실</t>
        </is>
      </c>
      <c r="Y13" s="11" t="n">
        <v>0</v>
      </c>
      <c r="Z13" s="11" t="n">
        <v>0.113</v>
      </c>
    </row>
    <row r="14">
      <c r="A14" s="10" t="inlineStr">
        <is>
          <t>고정자산 매각손실</t>
        </is>
      </c>
      <c r="F14" s="11" t="n">
        <v>0</v>
      </c>
      <c r="Z14" s="11" t="n">
        <v>0.113</v>
      </c>
      <c r="AA14" s="11" t="n">
        <v>0</v>
      </c>
    </row>
    <row r="15">
      <c r="A15" s="10" t="inlineStr">
        <is>
          <t>보조금 수입</t>
        </is>
      </c>
      <c r="D15" s="11" t="n">
        <v>-3.62</v>
      </c>
      <c r="F15" s="11" t="n">
        <v>-5.77</v>
      </c>
      <c r="H15" s="11" t="n">
        <v>-2.63</v>
      </c>
      <c r="J15" s="11" t="n">
        <v>-3.26</v>
      </c>
      <c r="L15" s="11" t="n">
        <v>-0.5</v>
      </c>
      <c r="N15" s="11" t="n">
        <v>-1.01</v>
      </c>
      <c r="P15" s="11" t="n">
        <v>-0.53</v>
      </c>
      <c r="R15" s="11" t="n">
        <v>-1.38</v>
      </c>
      <c r="T15" s="11" t="n">
        <v>-0.86</v>
      </c>
      <c r="V15" s="11" t="n">
        <v>-1.43</v>
      </c>
      <c r="Y15" s="11" t="n">
        <v>-0.9075</v>
      </c>
      <c r="Z15" s="11" t="n">
        <v>-7.102</v>
      </c>
      <c r="AA15" s="11" t="n">
        <v>-5.77</v>
      </c>
      <c r="AB15" s="11" t="n">
        <v>-3.26</v>
      </c>
      <c r="AC15" s="11" t="n">
        <v>-1.01</v>
      </c>
      <c r="AD15" s="11" t="n">
        <v>-1.38</v>
      </c>
      <c r="AE15" s="11" t="n">
        <v>-1.43</v>
      </c>
    </row>
    <row r="16">
      <c r="A16" s="10" t="inlineStr">
        <is>
          <t>외환차손익</t>
        </is>
      </c>
      <c r="D16" s="11" t="n">
        <v>-0.03</v>
      </c>
      <c r="F16" s="11" t="n">
        <v>-0.16</v>
      </c>
      <c r="H16" s="11" t="n">
        <v>0.02</v>
      </c>
      <c r="J16" s="11" t="n">
        <v>-0.08</v>
      </c>
      <c r="L16" s="11" t="n">
        <v>-0.01</v>
      </c>
      <c r="N16" s="11" t="n">
        <v>0</v>
      </c>
      <c r="P16" s="11" t="n">
        <v>0</v>
      </c>
      <c r="R16" s="11" t="n">
        <v>-0.02</v>
      </c>
      <c r="T16" s="11" t="n">
        <v>-0.19</v>
      </c>
      <c r="V16" s="11" t="n">
        <v>-0.14</v>
      </c>
      <c r="W16" s="11" t="n">
        <v>-0.0496</v>
      </c>
      <c r="X16" s="11" t="n">
        <v>0.0795</v>
      </c>
      <c r="Y16" s="11" t="n">
        <v>0.0232</v>
      </c>
      <c r="Z16" s="11" t="n">
        <v>-0.0484</v>
      </c>
      <c r="AA16" s="11" t="n">
        <v>-0.16</v>
      </c>
      <c r="AB16" s="11" t="n">
        <v>-0.08</v>
      </c>
      <c r="AC16" s="11" t="n">
        <v>0</v>
      </c>
      <c r="AD16" s="11" t="n">
        <v>-0.02</v>
      </c>
      <c r="AE16" s="11" t="n">
        <v>-0.14</v>
      </c>
    </row>
    <row r="17">
      <c r="A17" s="10" t="inlineStr">
        <is>
          <t>자회사 주식 매각손익</t>
        </is>
      </c>
      <c r="F17" s="11" t="n">
        <v>-0.44</v>
      </c>
      <c r="J17" s="11" t="n">
        <v>0</v>
      </c>
      <c r="Z17" s="11" t="n">
        <v>0</v>
      </c>
      <c r="AA17" s="11" t="n">
        <v>-0.44</v>
      </c>
      <c r="AB17" s="11" t="n">
        <v>0</v>
      </c>
    </row>
    <row r="18">
      <c r="A18" s="10" t="inlineStr">
        <is>
          <t>지분법손익</t>
        </is>
      </c>
      <c r="N18" s="11" t="n">
        <v>0</v>
      </c>
      <c r="P18" s="11" t="n">
        <v>0</v>
      </c>
      <c r="R18" s="11" t="n">
        <v>0.75</v>
      </c>
      <c r="T18" s="11" t="n">
        <v>1.22</v>
      </c>
      <c r="V18" s="11" t="n">
        <v>38.61</v>
      </c>
      <c r="W18" s="11" t="n">
        <v>0</v>
      </c>
      <c r="X18" s="11" t="n">
        <v>0.0703</v>
      </c>
      <c r="Y18" s="11" t="n">
        <v>0</v>
      </c>
      <c r="AC18" s="11" t="n">
        <v>0</v>
      </c>
      <c r="AD18" s="11" t="n">
        <v>0.75</v>
      </c>
      <c r="AE18" s="11" t="n">
        <v>38.61</v>
      </c>
    </row>
    <row r="19">
      <c r="A19" s="10" t="inlineStr">
        <is>
          <t>관계회사 주식 매각손익</t>
        </is>
      </c>
      <c r="W19" s="11" t="n">
        <v>0</v>
      </c>
      <c r="X19" s="11" t="n">
        <v>-0.0395</v>
      </c>
      <c r="Y19" s="11" t="n">
        <v>0</v>
      </c>
    </row>
    <row r="20">
      <c r="A20" s="10" t="inlineStr">
        <is>
          <t>투자유가증권 평가손익</t>
        </is>
      </c>
      <c r="D20" s="11" t="n">
        <v>0</v>
      </c>
      <c r="F20" s="11" t="n">
        <v>1.36</v>
      </c>
      <c r="H20" s="11" t="n">
        <v>15.73</v>
      </c>
      <c r="J20" s="11" t="n">
        <v>17.01</v>
      </c>
      <c r="L20" s="11" t="n">
        <v>0</v>
      </c>
      <c r="N20" s="11" t="n">
        <v>14.37</v>
      </c>
      <c r="P20" s="11" t="n">
        <v>1.63</v>
      </c>
      <c r="R20" s="11" t="n">
        <v>5.9</v>
      </c>
      <c r="T20" s="11" t="n">
        <v>0</v>
      </c>
      <c r="V20" s="11" t="n">
        <v>3.02</v>
      </c>
      <c r="W20" s="11" t="n">
        <v>4.0361</v>
      </c>
      <c r="X20" s="11" t="n">
        <v>0</v>
      </c>
      <c r="Z20" s="11" t="n">
        <v>0</v>
      </c>
      <c r="AA20" s="11" t="n">
        <v>1.36</v>
      </c>
      <c r="AB20" s="11" t="n">
        <v>17.01</v>
      </c>
      <c r="AC20" s="11" t="n">
        <v>14.37</v>
      </c>
      <c r="AD20" s="11" t="n">
        <v>5.9</v>
      </c>
      <c r="AE20" s="11" t="n">
        <v>3.02</v>
      </c>
    </row>
    <row r="21">
      <c r="A21" s="10" t="inlineStr">
        <is>
          <t>투자유가증권 매각손익</t>
        </is>
      </c>
      <c r="F21" s="11" t="n">
        <v>0</v>
      </c>
      <c r="J21" s="11" t="n">
        <v>1.46</v>
      </c>
      <c r="L21" s="11" t="n">
        <v>0</v>
      </c>
      <c r="N21" s="11" t="n">
        <v>-3.33</v>
      </c>
      <c r="P21" s="11" t="n">
        <v>-0.54</v>
      </c>
      <c r="R21" s="11" t="n">
        <v>-0.54</v>
      </c>
      <c r="T21" s="11" t="n">
        <v>0</v>
      </c>
      <c r="V21" s="11" t="n">
        <v>-4.12</v>
      </c>
      <c r="W21" s="11" t="n">
        <v>0</v>
      </c>
      <c r="X21" s="11" t="n">
        <v>-0.003</v>
      </c>
      <c r="Y21" s="11" t="n">
        <v>0</v>
      </c>
      <c r="AA21" s="11" t="n">
        <v>0</v>
      </c>
      <c r="AB21" s="11" t="n">
        <v>1.46</v>
      </c>
      <c r="AC21" s="11" t="n">
        <v>-3.33</v>
      </c>
      <c r="AD21" s="11" t="n">
        <v>-0.54</v>
      </c>
      <c r="AE21" s="11" t="n">
        <v>-4.12</v>
      </c>
    </row>
    <row r="22">
      <c r="A22" s="10" t="inlineStr">
        <is>
          <t>단계적 취득 차손익</t>
        </is>
      </c>
      <c r="W22" s="11" t="n">
        <v>0</v>
      </c>
      <c r="X22" s="11" t="n">
        <v>-0.0857</v>
      </c>
      <c r="Y22" s="11" t="n">
        <v>0</v>
      </c>
    </row>
    <row r="23">
      <c r="A23" s="10" t="inlineStr">
        <is>
          <t>출자금 운용손익</t>
        </is>
      </c>
      <c r="L23" s="11" t="n">
        <v>0</v>
      </c>
      <c r="N23" s="11" t="n">
        <v>0</v>
      </c>
      <c r="P23" s="11" t="n">
        <v>2.27</v>
      </c>
      <c r="R23" s="11" t="n">
        <v>3.9</v>
      </c>
      <c r="T23" s="11" t="n">
        <v>2.41</v>
      </c>
      <c r="V23" s="11" t="n">
        <v>2.39</v>
      </c>
      <c r="AC23" s="11" t="n">
        <v>0</v>
      </c>
      <c r="AD23" s="11" t="n">
        <v>3.9</v>
      </c>
      <c r="AE23" s="11" t="n">
        <v>2.39</v>
      </c>
    </row>
    <row r="24">
      <c r="A24" s="10" t="inlineStr">
        <is>
          <t>보험 해약환급금</t>
        </is>
      </c>
      <c r="J24" s="11" t="n">
        <v>0</v>
      </c>
      <c r="N24" s="11" t="n">
        <v>-0.34</v>
      </c>
      <c r="R24" s="11" t="n">
        <v>0</v>
      </c>
      <c r="AB24" s="11" t="n">
        <v>0</v>
      </c>
      <c r="AC24" s="11" t="n">
        <v>-0.34</v>
      </c>
      <c r="AD24" s="11" t="n">
        <v>0</v>
      </c>
    </row>
    <row r="25">
      <c r="A25" s="10" t="inlineStr">
        <is>
          <t>퇴직급여제도 종료손실</t>
        </is>
      </c>
      <c r="N25" s="11" t="n">
        <v>0.1</v>
      </c>
      <c r="R25" s="11" t="n">
        <v>0</v>
      </c>
      <c r="AC25" s="11" t="n">
        <v>0.1</v>
      </c>
      <c r="AD25" s="11" t="n">
        <v>0</v>
      </c>
    </row>
    <row r="26">
      <c r="A26" s="10" t="inlineStr">
        <is>
          <t>매출채권 증감</t>
        </is>
      </c>
      <c r="D26" s="11" t="n">
        <v>-8.640000000000001</v>
      </c>
      <c r="F26" s="11" t="n">
        <v>-19.99</v>
      </c>
      <c r="H26" s="11" t="n">
        <v>-12.83</v>
      </c>
      <c r="J26" s="11" t="n">
        <v>-24.59</v>
      </c>
      <c r="L26" s="11" t="n">
        <v>-9.65</v>
      </c>
      <c r="N26" s="11" t="n">
        <v>-20.21</v>
      </c>
      <c r="P26" s="11" t="n">
        <v>-3.27</v>
      </c>
      <c r="R26" s="11" t="n">
        <v>-12.81</v>
      </c>
      <c r="T26" s="11" t="n">
        <v>-17.97</v>
      </c>
      <c r="V26" s="11" t="n">
        <v>-12.22</v>
      </c>
      <c r="W26" s="11" t="n">
        <v>-5.5293</v>
      </c>
      <c r="X26" s="11" t="n">
        <v>-8.660299999999999</v>
      </c>
      <c r="Y26" s="11" t="n">
        <v>-6.3459</v>
      </c>
      <c r="Z26" s="11" t="n">
        <v>-13.8474</v>
      </c>
      <c r="AA26" s="11" t="n">
        <v>-19.99</v>
      </c>
      <c r="AB26" s="11" t="n">
        <v>-24.59</v>
      </c>
      <c r="AC26" s="11" t="n">
        <v>-20.21</v>
      </c>
      <c r="AD26" s="11" t="n">
        <v>-12.81</v>
      </c>
      <c r="AE26" s="11" t="n">
        <v>-12.22</v>
      </c>
    </row>
    <row r="27">
      <c r="A27" s="10" t="inlineStr">
        <is>
          <t>재고자산 증감</t>
        </is>
      </c>
      <c r="D27" s="11" t="n">
        <v>-1.56</v>
      </c>
      <c r="F27" s="11" t="n">
        <v>-2.37</v>
      </c>
      <c r="H27" s="11" t="n">
        <v>-0.29</v>
      </c>
      <c r="J27" s="11" t="n">
        <v>0.83</v>
      </c>
      <c r="L27" s="11" t="n">
        <v>-3.6</v>
      </c>
      <c r="N27" s="11" t="n">
        <v>-2.01</v>
      </c>
      <c r="P27" s="11" t="n">
        <v>-6.42</v>
      </c>
      <c r="R27" s="11" t="n">
        <v>-5.57</v>
      </c>
      <c r="T27" s="11" t="n">
        <v>-10.44</v>
      </c>
      <c r="V27" s="11" t="n">
        <v>2.24</v>
      </c>
      <c r="W27" s="11" t="n">
        <v>-0.1677</v>
      </c>
      <c r="X27" s="11" t="n">
        <v>-0.1904</v>
      </c>
      <c r="Y27" s="11" t="n">
        <v>-0.9643</v>
      </c>
      <c r="Z27" s="11" t="n">
        <v>-1.8478</v>
      </c>
      <c r="AA27" s="11" t="n">
        <v>-2.37</v>
      </c>
      <c r="AB27" s="11" t="n">
        <v>0.83</v>
      </c>
      <c r="AC27" s="11" t="n">
        <v>-2.01</v>
      </c>
      <c r="AD27" s="11" t="n">
        <v>-5.57</v>
      </c>
      <c r="AE27" s="11" t="n">
        <v>2.24</v>
      </c>
    </row>
    <row r="28">
      <c r="A28" s="10" t="inlineStr">
        <is>
          <t>선급비용 증감</t>
        </is>
      </c>
      <c r="D28" s="11" t="n">
        <v>-2.41</v>
      </c>
      <c r="F28" s="11" t="n">
        <v>-1.87</v>
      </c>
      <c r="H28" s="11" t="n">
        <v>-1.44</v>
      </c>
      <c r="J28" s="11" t="n">
        <v>-3.39</v>
      </c>
      <c r="L28" s="11" t="n">
        <v>-2.7</v>
      </c>
      <c r="N28" s="11" t="n">
        <v>-1.37</v>
      </c>
      <c r="P28" s="11" t="n">
        <v>-3.84</v>
      </c>
      <c r="R28" s="11" t="n">
        <v>-7.77</v>
      </c>
      <c r="T28" s="11" t="n">
        <v>-0.9399999999999999</v>
      </c>
      <c r="V28" s="11" t="n">
        <v>1.05</v>
      </c>
      <c r="W28" s="11" t="n">
        <v>-0.3945</v>
      </c>
      <c r="X28" s="11" t="n">
        <v>-0.6229</v>
      </c>
      <c r="Y28" s="11" t="n">
        <v>-0.1746</v>
      </c>
      <c r="Z28" s="11" t="n">
        <v>-0.6494</v>
      </c>
      <c r="AA28" s="11" t="n">
        <v>-1.87</v>
      </c>
      <c r="AB28" s="11" t="n">
        <v>-3.39</v>
      </c>
      <c r="AC28" s="11" t="n">
        <v>-1.37</v>
      </c>
      <c r="AD28" s="11" t="n">
        <v>-7.77</v>
      </c>
      <c r="AE28" s="11" t="n">
        <v>1.05</v>
      </c>
    </row>
    <row r="29">
      <c r="A29" s="10" t="inlineStr">
        <is>
          <t>매입채무 증감</t>
        </is>
      </c>
      <c r="D29" s="11" t="n">
        <v>2.47</v>
      </c>
      <c r="F29" s="11" t="n">
        <v>2.75</v>
      </c>
      <c r="H29" s="11" t="n">
        <v>-0.5</v>
      </c>
      <c r="J29" s="11" t="n">
        <v>-1.73</v>
      </c>
      <c r="L29" s="11" t="n">
        <v>-1.24</v>
      </c>
      <c r="N29" s="11" t="n">
        <v>-2.84</v>
      </c>
      <c r="P29" s="11" t="n">
        <v>0.44</v>
      </c>
      <c r="R29" s="11" t="n">
        <v>4.53</v>
      </c>
      <c r="T29" s="11" t="n">
        <v>-0.89</v>
      </c>
      <c r="V29" s="11" t="n">
        <v>-0.25</v>
      </c>
      <c r="W29" s="11" t="n">
        <v>0.6249</v>
      </c>
      <c r="X29" s="11" t="n">
        <v>0.2452</v>
      </c>
      <c r="Y29" s="11" t="n">
        <v>-1.2558</v>
      </c>
      <c r="Z29" s="11" t="n">
        <v>5.2283</v>
      </c>
      <c r="AA29" s="11" t="n">
        <v>2.75</v>
      </c>
      <c r="AB29" s="11" t="n">
        <v>-1.73</v>
      </c>
      <c r="AC29" s="11" t="n">
        <v>-2.84</v>
      </c>
      <c r="AD29" s="11" t="n">
        <v>4.53</v>
      </c>
      <c r="AE29" s="11" t="n">
        <v>-0.25</v>
      </c>
    </row>
    <row r="30">
      <c r="A30" s="10" t="inlineStr">
        <is>
          <t>미지급 소비세 증감</t>
        </is>
      </c>
      <c r="D30" s="11" t="n">
        <v>-0.8100000000000001</v>
      </c>
      <c r="F30" s="11" t="n">
        <v>6.78</v>
      </c>
      <c r="H30" s="11" t="n">
        <v>-4.28</v>
      </c>
      <c r="J30" s="11" t="n">
        <v>8.51</v>
      </c>
      <c r="L30" s="11" t="n">
        <v>-12.1</v>
      </c>
      <c r="N30" s="11" t="n">
        <v>-2.26</v>
      </c>
      <c r="P30" s="11" t="n">
        <v>-0.61</v>
      </c>
      <c r="R30" s="11" t="n">
        <v>10.83</v>
      </c>
      <c r="T30" s="11" t="n">
        <v>-11.1</v>
      </c>
      <c r="V30" s="11" t="n">
        <v>-3.53</v>
      </c>
      <c r="Z30" s="11" t="n">
        <v>1.609</v>
      </c>
      <c r="AA30" s="11" t="n">
        <v>6.78</v>
      </c>
      <c r="AB30" s="11" t="n">
        <v>8.51</v>
      </c>
      <c r="AC30" s="11" t="n">
        <v>-2.26</v>
      </c>
      <c r="AD30" s="11" t="n">
        <v>10.83</v>
      </c>
      <c r="AE30" s="11" t="n">
        <v>-3.53</v>
      </c>
    </row>
    <row r="31">
      <c r="A31" s="10" t="inlineStr">
        <is>
          <t>미지급금·미지급비용 증감</t>
        </is>
      </c>
      <c r="D31" s="11" t="n">
        <v>10.02</v>
      </c>
      <c r="F31" s="11" t="n">
        <v>16.04</v>
      </c>
      <c r="H31" s="11" t="n">
        <v>-0.49</v>
      </c>
      <c r="J31" s="11" t="n">
        <v>11.64</v>
      </c>
      <c r="L31" s="11" t="n">
        <v>0.65</v>
      </c>
      <c r="N31" s="11" t="n">
        <v>24.24</v>
      </c>
      <c r="P31" s="11" t="n">
        <v>-19.48</v>
      </c>
      <c r="R31" s="11" t="n">
        <v>11.96</v>
      </c>
      <c r="T31" s="11" t="n">
        <v>1.08</v>
      </c>
      <c r="V31" s="11" t="n">
        <v>-14.25</v>
      </c>
      <c r="W31" s="11" t="n">
        <v>3.6183</v>
      </c>
      <c r="X31" s="11" t="n">
        <v>4.3949</v>
      </c>
      <c r="Y31" s="11" t="n">
        <v>0.3962</v>
      </c>
      <c r="Z31" s="11" t="n">
        <v>5.4244</v>
      </c>
      <c r="AA31" s="11" t="n">
        <v>16.04</v>
      </c>
      <c r="AB31" s="11" t="n">
        <v>11.64</v>
      </c>
      <c r="AC31" s="11" t="n">
        <v>24.24</v>
      </c>
      <c r="AD31" s="11" t="n">
        <v>11.96</v>
      </c>
      <c r="AE31" s="11" t="n">
        <v>-14.25</v>
      </c>
    </row>
    <row r="32">
      <c r="A32" s="10" t="inlineStr">
        <is>
          <t>예수금 증감</t>
        </is>
      </c>
      <c r="P32" s="11" t="n">
        <v>-3.46</v>
      </c>
      <c r="T32" s="11" t="n">
        <v>-3.64</v>
      </c>
    </row>
    <row r="33">
      <c r="A33" s="10" t="inlineStr">
        <is>
          <t>기타</t>
        </is>
      </c>
      <c r="D33" s="11" t="n">
        <v>0.34</v>
      </c>
      <c r="F33" s="11" t="n">
        <v>4.41</v>
      </c>
      <c r="H33" s="11" t="n">
        <v>-0.22</v>
      </c>
      <c r="J33" s="11" t="n">
        <v>2.2</v>
      </c>
      <c r="L33" s="11" t="n">
        <v>2.64</v>
      </c>
      <c r="N33" s="11" t="n">
        <v>8.539999999999999</v>
      </c>
      <c r="P33" s="11" t="n">
        <v>0.77</v>
      </c>
      <c r="R33" s="11" t="n">
        <v>6.65</v>
      </c>
      <c r="T33" s="11" t="n">
        <v>-1.02</v>
      </c>
      <c r="V33" s="11" t="n">
        <v>7.88</v>
      </c>
      <c r="W33" s="11" t="n">
        <v>2.12</v>
      </c>
      <c r="X33" s="11" t="n">
        <v>4.0843</v>
      </c>
      <c r="Y33" s="11" t="n">
        <v>7.676</v>
      </c>
      <c r="Z33" s="11" t="n">
        <v>3.5945</v>
      </c>
      <c r="AA33" s="11" t="n">
        <v>4.41</v>
      </c>
      <c r="AB33" s="11" t="n">
        <v>2.2</v>
      </c>
      <c r="AC33" s="11" t="n">
        <v>8.539999999999999</v>
      </c>
      <c r="AD33" s="11" t="n">
        <v>6.65</v>
      </c>
      <c r="AE33" s="11" t="n">
        <v>7.88</v>
      </c>
    </row>
    <row r="34">
      <c r="A34" s="10" t="inlineStr">
        <is>
          <t>소계</t>
        </is>
      </c>
      <c r="D34" s="11" t="n">
        <v>44.89</v>
      </c>
      <c r="F34" s="11" t="n">
        <v>88.90000000000001</v>
      </c>
      <c r="H34" s="11" t="n">
        <v>38.38</v>
      </c>
      <c r="J34" s="11" t="n">
        <v>126.13</v>
      </c>
      <c r="L34" s="11" t="n">
        <v>33.57</v>
      </c>
      <c r="N34" s="11" t="n">
        <v>138.33</v>
      </c>
      <c r="P34" s="11" t="n">
        <v>61.46</v>
      </c>
      <c r="R34" s="11" t="n">
        <v>196.83</v>
      </c>
      <c r="T34" s="11" t="n">
        <v>42.12</v>
      </c>
      <c r="V34" s="11" t="n">
        <v>197.15</v>
      </c>
      <c r="W34" s="11" t="n">
        <v>14.8007</v>
      </c>
      <c r="X34" s="11" t="n">
        <v>18.348</v>
      </c>
      <c r="Y34" s="11" t="n">
        <v>29.096</v>
      </c>
      <c r="Z34" s="11" t="n">
        <v>51.6554</v>
      </c>
      <c r="AA34" s="11" t="n">
        <v>88.90000000000001</v>
      </c>
      <c r="AB34" s="11" t="n">
        <v>126.13</v>
      </c>
      <c r="AC34" s="11" t="n">
        <v>138.33</v>
      </c>
      <c r="AD34" s="11" t="n">
        <v>196.83</v>
      </c>
      <c r="AE34" s="11" t="n">
        <v>197.15</v>
      </c>
    </row>
    <row r="35">
      <c r="A35" s="10" t="inlineStr">
        <is>
          <t>이자·배당금 수취</t>
        </is>
      </c>
      <c r="D35" s="11" t="n">
        <v>0.58</v>
      </c>
      <c r="F35" s="11" t="n">
        <v>1.06</v>
      </c>
      <c r="H35" s="11" t="n">
        <v>0.63</v>
      </c>
      <c r="J35" s="11" t="n">
        <v>1.14</v>
      </c>
      <c r="L35" s="11" t="n">
        <v>0.66</v>
      </c>
      <c r="N35" s="11" t="n">
        <v>0.7</v>
      </c>
      <c r="P35" s="11" t="n">
        <v>0.07000000000000001</v>
      </c>
      <c r="R35" s="11" t="n">
        <v>0.27</v>
      </c>
      <c r="T35" s="11" t="n">
        <v>0.21</v>
      </c>
      <c r="V35" s="11" t="n">
        <v>2.46</v>
      </c>
      <c r="W35" s="11" t="n">
        <v>0.0057</v>
      </c>
      <c r="X35" s="11" t="n">
        <v>0.0063</v>
      </c>
      <c r="Y35" s="11" t="n">
        <v>0.9346</v>
      </c>
      <c r="Z35" s="11" t="n">
        <v>0.9059</v>
      </c>
      <c r="AA35" s="11" t="n">
        <v>1.06</v>
      </c>
      <c r="AB35" s="11" t="n">
        <v>1.14</v>
      </c>
      <c r="AC35" s="11" t="n">
        <v>0.7</v>
      </c>
      <c r="AD35" s="11" t="n">
        <v>0.27</v>
      </c>
      <c r="AE35" s="11" t="n">
        <v>2.46</v>
      </c>
    </row>
    <row r="36">
      <c r="A36" s="10" t="inlineStr">
        <is>
          <t>이자 지급</t>
        </is>
      </c>
      <c r="D36" s="11" t="n">
        <v>-0.08</v>
      </c>
      <c r="F36" s="11" t="n">
        <v>-0.14</v>
      </c>
      <c r="H36" s="11" t="n">
        <v>-0.07000000000000001</v>
      </c>
      <c r="J36" s="11" t="n">
        <v>-0.16</v>
      </c>
      <c r="L36" s="11" t="n">
        <v>-0.21</v>
      </c>
      <c r="N36" s="11" t="n">
        <v>-0.59</v>
      </c>
      <c r="P36" s="11" t="n">
        <v>-0.4</v>
      </c>
      <c r="R36" s="11" t="n">
        <v>-1.1</v>
      </c>
      <c r="T36" s="11" t="n">
        <v>-1.14</v>
      </c>
      <c r="V36" s="11" t="n">
        <v>-3.56</v>
      </c>
      <c r="W36" s="11" t="n">
        <v>-0.0698</v>
      </c>
      <c r="X36" s="11" t="n">
        <v>-0.0735</v>
      </c>
      <c r="Y36" s="11" t="n">
        <v>-0.103</v>
      </c>
      <c r="Z36" s="11" t="n">
        <v>-0.1443</v>
      </c>
      <c r="AA36" s="11" t="n">
        <v>-0.14</v>
      </c>
      <c r="AB36" s="11" t="n">
        <v>-0.16</v>
      </c>
      <c r="AC36" s="11" t="n">
        <v>-0.59</v>
      </c>
      <c r="AD36" s="11" t="n">
        <v>-1.1</v>
      </c>
      <c r="AE36" s="11" t="n">
        <v>-3.56</v>
      </c>
    </row>
    <row r="37">
      <c r="A37" s="10" t="inlineStr">
        <is>
          <t>보조금 수취</t>
        </is>
      </c>
      <c r="D37" s="11" t="n">
        <v>3.62</v>
      </c>
      <c r="F37" s="11" t="n">
        <v>5.77</v>
      </c>
      <c r="H37" s="11" t="n">
        <v>2.63</v>
      </c>
      <c r="J37" s="11" t="n">
        <v>3.26</v>
      </c>
      <c r="L37" s="11" t="n">
        <v>0.5</v>
      </c>
      <c r="N37" s="11" t="n">
        <v>1.01</v>
      </c>
      <c r="P37" s="11" t="n">
        <v>0.53</v>
      </c>
      <c r="R37" s="11" t="n">
        <v>1.35</v>
      </c>
      <c r="T37" s="11" t="n">
        <v>0.88</v>
      </c>
      <c r="V37" s="11" t="n">
        <v>1.45</v>
      </c>
      <c r="Y37" s="11" t="n">
        <v>0.9075</v>
      </c>
      <c r="Z37" s="11" t="n">
        <v>7.102</v>
      </c>
      <c r="AA37" s="11" t="n">
        <v>5.77</v>
      </c>
      <c r="AB37" s="11" t="n">
        <v>3.26</v>
      </c>
      <c r="AC37" s="11" t="n">
        <v>1.01</v>
      </c>
      <c r="AD37" s="11" t="n">
        <v>1.35</v>
      </c>
      <c r="AE37" s="11" t="n">
        <v>1.45</v>
      </c>
    </row>
    <row r="38">
      <c r="A38" s="10" t="inlineStr">
        <is>
          <t>법인세 납부</t>
        </is>
      </c>
      <c r="D38" s="11" t="n">
        <v>-11.93</v>
      </c>
      <c r="F38" s="11" t="n">
        <v>-21.67</v>
      </c>
      <c r="H38" s="11" t="n">
        <v>-15.38</v>
      </c>
      <c r="J38" s="11" t="n">
        <v>-27.89</v>
      </c>
      <c r="L38" s="11" t="n">
        <v>-29.07</v>
      </c>
      <c r="N38" s="11" t="n">
        <v>-48.91</v>
      </c>
      <c r="P38" s="11" t="n">
        <v>-21.24</v>
      </c>
      <c r="R38" s="11" t="n">
        <v>-40.83</v>
      </c>
      <c r="T38" s="11" t="n">
        <v>-30.77</v>
      </c>
      <c r="V38" s="11" t="n">
        <v>-60.27</v>
      </c>
      <c r="W38" s="11" t="n">
        <v>-2.2615</v>
      </c>
      <c r="X38" s="11" t="n">
        <v>-6.942</v>
      </c>
      <c r="Y38" s="11" t="n">
        <v>-8.3294</v>
      </c>
      <c r="Z38" s="11" t="n">
        <v>-11.9389</v>
      </c>
      <c r="AA38" s="11" t="n">
        <v>-21.67</v>
      </c>
      <c r="AB38" s="11" t="n">
        <v>-27.89</v>
      </c>
      <c r="AC38" s="11" t="n">
        <v>-48.91</v>
      </c>
      <c r="AD38" s="11" t="n">
        <v>-40.83</v>
      </c>
      <c r="AE38" s="11" t="n">
        <v>-60.27</v>
      </c>
    </row>
    <row r="39">
      <c r="A39" s="10" t="inlineStr">
        <is>
          <t>보험 해약환급금 수취</t>
        </is>
      </c>
      <c r="J39" s="11" t="n">
        <v>0</v>
      </c>
      <c r="N39" s="11" t="n">
        <v>0.34</v>
      </c>
      <c r="R39" s="11" t="n">
        <v>0</v>
      </c>
      <c r="AB39" s="11" t="n">
        <v>0</v>
      </c>
      <c r="AC39" s="11" t="n">
        <v>0.34</v>
      </c>
      <c r="AD39" s="11" t="n">
        <v>0</v>
      </c>
    </row>
    <row r="40">
      <c r="A40" s="10" t="inlineStr">
        <is>
          <t>영업활동 현금흐름</t>
        </is>
      </c>
      <c r="D40" s="11" t="n">
        <v>37.09</v>
      </c>
      <c r="F40" s="11" t="n">
        <v>73.92</v>
      </c>
      <c r="H40" s="11" t="n">
        <v>26.18</v>
      </c>
      <c r="J40" s="11" t="n">
        <v>102.48</v>
      </c>
      <c r="L40" s="11" t="n">
        <v>5.46</v>
      </c>
      <c r="N40" s="11" t="n">
        <v>90.88</v>
      </c>
      <c r="P40" s="11" t="n">
        <v>40.43</v>
      </c>
      <c r="R40" s="11" t="n">
        <v>156.52</v>
      </c>
      <c r="T40" s="11" t="n">
        <v>11.29</v>
      </c>
      <c r="V40" s="11" t="n">
        <v>137.23</v>
      </c>
      <c r="W40" s="11" t="n">
        <v>12.4751</v>
      </c>
      <c r="X40" s="11" t="n">
        <v>11.3387</v>
      </c>
      <c r="Y40" s="11" t="n">
        <v>22.5056</v>
      </c>
      <c r="Z40" s="11" t="n">
        <v>47.58</v>
      </c>
      <c r="AA40" s="11" t="n">
        <v>73.92</v>
      </c>
      <c r="AB40" s="11" t="n">
        <v>102.48</v>
      </c>
      <c r="AC40" s="11" t="n">
        <v>90.88</v>
      </c>
      <c r="AD40" s="11" t="n">
        <v>156.52</v>
      </c>
      <c r="AE40" s="11" t="n">
        <v>137.23</v>
      </c>
    </row>
    <row r="41">
      <c r="A41" s="10" t="inlineStr">
        <is>
          <t>장기예금 인출</t>
        </is>
      </c>
      <c r="W41" s="11" t="n">
        <v>1.5</v>
      </c>
      <c r="X41" s="11" t="n">
        <v>0</v>
      </c>
    </row>
    <row r="42">
      <c r="A42" s="10" t="inlineStr">
        <is>
          <t>정기예금 예입</t>
        </is>
      </c>
      <c r="R42" s="11" t="n">
        <v>-0.02</v>
      </c>
      <c r="V42" s="11" t="n">
        <v>-1.09</v>
      </c>
      <c r="AD42" s="11" t="n">
        <v>-0.02</v>
      </c>
      <c r="AE42" s="11" t="n">
        <v>-1.09</v>
      </c>
    </row>
    <row r="43">
      <c r="A43" s="10" t="inlineStr">
        <is>
          <t>정기예금 인출</t>
        </is>
      </c>
      <c r="F43" s="11" t="n">
        <v>1</v>
      </c>
      <c r="H43" s="11" t="n">
        <v>0</v>
      </c>
      <c r="J43" s="11" t="n">
        <v>0</v>
      </c>
      <c r="L43" s="11" t="n">
        <v>1.6</v>
      </c>
      <c r="N43" s="11" t="n">
        <v>1.63</v>
      </c>
      <c r="P43" s="11" t="n">
        <v>0.05</v>
      </c>
      <c r="R43" s="11" t="n">
        <v>0.2</v>
      </c>
      <c r="T43" s="11" t="n">
        <v>0</v>
      </c>
      <c r="V43" s="11" t="n">
        <v>1.09</v>
      </c>
      <c r="Z43" s="11" t="n">
        <v>0</v>
      </c>
      <c r="AA43" s="11" t="n">
        <v>1</v>
      </c>
      <c r="AB43" s="11" t="n">
        <v>0</v>
      </c>
      <c r="AC43" s="11" t="n">
        <v>1.63</v>
      </c>
      <c r="AD43" s="11" t="n">
        <v>0.2</v>
      </c>
      <c r="AE43" s="11" t="n">
        <v>1.09</v>
      </c>
    </row>
    <row r="44">
      <c r="A44" s="10" t="inlineStr">
        <is>
          <t>유형자산 취득(설비투자)</t>
        </is>
      </c>
      <c r="D44" s="11" t="n">
        <v>-2.21</v>
      </c>
      <c r="F44" s="11" t="n">
        <v>-6.51</v>
      </c>
      <c r="H44" s="11" t="n">
        <v>-4.6</v>
      </c>
      <c r="J44" s="11" t="n">
        <v>-11.45</v>
      </c>
      <c r="L44" s="11" t="n">
        <v>-23.4</v>
      </c>
      <c r="N44" s="11" t="n">
        <v>-56.52</v>
      </c>
      <c r="P44" s="11" t="n">
        <v>-5.55</v>
      </c>
      <c r="R44" s="11" t="n">
        <v>-13.23</v>
      </c>
      <c r="T44" s="11" t="n">
        <v>-5.49</v>
      </c>
      <c r="V44" s="11" t="n">
        <v>-10.95</v>
      </c>
      <c r="W44" s="11" t="n">
        <v>-1.3091</v>
      </c>
      <c r="X44" s="11" t="n">
        <v>-2.1386</v>
      </c>
      <c r="Y44" s="11" t="n">
        <v>-4.1159</v>
      </c>
      <c r="Z44" s="11" t="n">
        <v>-3.7207</v>
      </c>
      <c r="AA44" s="11" t="n">
        <v>-6.51</v>
      </c>
      <c r="AB44" s="11" t="n">
        <v>-11.45</v>
      </c>
      <c r="AC44" s="11" t="n">
        <v>-56.52</v>
      </c>
      <c r="AD44" s="11" t="n">
        <v>-13.23</v>
      </c>
      <c r="AE44" s="11" t="n">
        <v>-10.95</v>
      </c>
    </row>
    <row r="45">
      <c r="A45" s="10" t="inlineStr">
        <is>
          <t>유형자산 매각</t>
        </is>
      </c>
      <c r="W45" s="11" t="n">
        <v>0</v>
      </c>
      <c r="X45" s="11" t="n">
        <v>0.2255</v>
      </c>
      <c r="Y45" s="11" t="n">
        <v>0</v>
      </c>
    </row>
    <row r="46">
      <c r="A46" s="10" t="inlineStr">
        <is>
          <t>무형자산 취득</t>
        </is>
      </c>
      <c r="D46" s="11" t="n">
        <v>-0.42</v>
      </c>
      <c r="F46" s="11" t="n">
        <v>-1.17</v>
      </c>
      <c r="H46" s="11" t="n">
        <v>-0.9399999999999999</v>
      </c>
      <c r="J46" s="11" t="n">
        <v>-1.11</v>
      </c>
      <c r="L46" s="11" t="n">
        <v>-0.18</v>
      </c>
      <c r="N46" s="11" t="n">
        <v>-0.59</v>
      </c>
      <c r="P46" s="11" t="n">
        <v>-0.82</v>
      </c>
      <c r="R46" s="11" t="n">
        <v>-1.55</v>
      </c>
      <c r="T46" s="11" t="n">
        <v>-1.65</v>
      </c>
      <c r="V46" s="11" t="n">
        <v>-5.68</v>
      </c>
      <c r="W46" s="11" t="n">
        <v>-0.701</v>
      </c>
      <c r="X46" s="11" t="n">
        <v>-0.6604</v>
      </c>
      <c r="Y46" s="11" t="n">
        <v>-0.72</v>
      </c>
      <c r="Z46" s="11" t="n">
        <v>-0.6363</v>
      </c>
      <c r="AA46" s="11" t="n">
        <v>-1.17</v>
      </c>
      <c r="AB46" s="11" t="n">
        <v>-1.11</v>
      </c>
      <c r="AC46" s="11" t="n">
        <v>-0.59</v>
      </c>
      <c r="AD46" s="11" t="n">
        <v>-1.55</v>
      </c>
      <c r="AE46" s="11" t="n">
        <v>-5.68</v>
      </c>
    </row>
    <row r="47">
      <c r="A47" s="10" t="inlineStr">
        <is>
          <t>관계회사 주식 매각</t>
        </is>
      </c>
      <c r="W47" s="11" t="n">
        <v>0</v>
      </c>
      <c r="X47" s="11" t="n">
        <v>0.1635</v>
      </c>
      <c r="Y47" s="11" t="n">
        <v>0</v>
      </c>
    </row>
    <row r="48">
      <c r="A48" s="10" t="inlineStr">
        <is>
          <t>투자유가증권 취득</t>
        </is>
      </c>
      <c r="D48" s="11" t="n">
        <v>-41.84</v>
      </c>
      <c r="F48" s="11" t="n">
        <v>-41.95</v>
      </c>
      <c r="H48" s="11" t="n">
        <v>0</v>
      </c>
      <c r="J48" s="11" t="n">
        <v>-0.1</v>
      </c>
      <c r="L48" s="11" t="n">
        <v>-2.99</v>
      </c>
      <c r="N48" s="11" t="n">
        <v>-2.99</v>
      </c>
      <c r="P48" s="11" t="n">
        <v>0</v>
      </c>
      <c r="R48" s="11" t="n">
        <v>-9.98</v>
      </c>
      <c r="T48" s="11" t="n">
        <v>-0.18</v>
      </c>
      <c r="V48" s="11" t="n">
        <v>-0.17</v>
      </c>
      <c r="W48" s="11" t="n">
        <v>-0.6048</v>
      </c>
      <c r="X48" s="11" t="n">
        <v>0</v>
      </c>
      <c r="Y48" s="11" t="n">
        <v>-26.9787</v>
      </c>
      <c r="Z48" s="11" t="n">
        <v>-4.2001</v>
      </c>
      <c r="AA48" s="11" t="n">
        <v>-41.95</v>
      </c>
      <c r="AB48" s="11" t="n">
        <v>-0.1</v>
      </c>
      <c r="AC48" s="11" t="n">
        <v>-2.99</v>
      </c>
      <c r="AD48" s="11" t="n">
        <v>-9.98</v>
      </c>
      <c r="AE48" s="11" t="n">
        <v>-0.17</v>
      </c>
    </row>
    <row r="49">
      <c r="A49" s="10" t="inlineStr">
        <is>
          <t>투자유가증권 매각</t>
        </is>
      </c>
      <c r="F49" s="11" t="n">
        <v>0</v>
      </c>
      <c r="J49" s="11" t="n">
        <v>24.9</v>
      </c>
      <c r="L49" s="11" t="n">
        <v>0</v>
      </c>
      <c r="N49" s="11" t="n">
        <v>6.45</v>
      </c>
      <c r="P49" s="11" t="n">
        <v>0.54</v>
      </c>
      <c r="R49" s="11" t="n">
        <v>0.54</v>
      </c>
      <c r="T49" s="11" t="n">
        <v>0</v>
      </c>
      <c r="V49" s="11" t="n">
        <v>5.44</v>
      </c>
      <c r="W49" s="11" t="n">
        <v>0</v>
      </c>
      <c r="X49" s="11" t="n">
        <v>0.005</v>
      </c>
      <c r="Y49" s="11" t="n">
        <v>0</v>
      </c>
      <c r="AA49" s="11" t="n">
        <v>0</v>
      </c>
      <c r="AB49" s="11" t="n">
        <v>24.9</v>
      </c>
      <c r="AC49" s="11" t="n">
        <v>6.45</v>
      </c>
      <c r="AD49" s="11" t="n">
        <v>0.54</v>
      </c>
      <c r="AE49" s="11" t="n">
        <v>5.44</v>
      </c>
    </row>
    <row r="50">
      <c r="A50" s="10" t="inlineStr">
        <is>
          <t>출자금 납입</t>
        </is>
      </c>
      <c r="L50" s="11" t="n">
        <v>0</v>
      </c>
      <c r="N50" s="11" t="n">
        <v>0</v>
      </c>
      <c r="P50" s="11" t="n">
        <v>-3.76</v>
      </c>
      <c r="R50" s="11" t="n">
        <v>-3.76</v>
      </c>
      <c r="T50" s="11" t="n">
        <v>-0.05</v>
      </c>
      <c r="V50" s="11" t="n">
        <v>-0.06</v>
      </c>
      <c r="AC50" s="11" t="n">
        <v>0</v>
      </c>
      <c r="AD50" s="11" t="n">
        <v>-3.76</v>
      </c>
      <c r="AE50" s="11" t="n">
        <v>-0.06</v>
      </c>
    </row>
    <row r="51">
      <c r="A51" s="10" t="inlineStr">
        <is>
          <t>관계회사 주식 취득</t>
        </is>
      </c>
      <c r="N51" s="11" t="n">
        <v>0</v>
      </c>
      <c r="R51" s="11" t="n">
        <v>-76.68000000000001</v>
      </c>
      <c r="V51" s="11" t="n">
        <v>0</v>
      </c>
      <c r="AC51" s="11" t="n">
        <v>0</v>
      </c>
      <c r="AD51" s="11" t="n">
        <v>-76.68000000000001</v>
      </c>
      <c r="AE51" s="11" t="n">
        <v>0</v>
      </c>
    </row>
    <row r="52">
      <c r="A52" s="10" t="inlineStr">
        <is>
          <t>연결범위 변경 자회사 주식 취득</t>
        </is>
      </c>
      <c r="D52" s="11" t="n">
        <v>0</v>
      </c>
      <c r="F52" s="11" t="n">
        <v>-0.52</v>
      </c>
      <c r="H52" s="11" t="n">
        <v>-1.22</v>
      </c>
      <c r="J52" s="11" t="n">
        <v>-28.64</v>
      </c>
      <c r="L52" s="11" t="n">
        <v>-46.24</v>
      </c>
      <c r="N52" s="11" t="n">
        <v>-46.24</v>
      </c>
      <c r="P52" s="11" t="n">
        <v>-2.72</v>
      </c>
      <c r="R52" s="11" t="n">
        <v>-10.17</v>
      </c>
      <c r="T52" s="11" t="n">
        <v>-8.24</v>
      </c>
      <c r="V52" s="11" t="n">
        <v>-209.82</v>
      </c>
      <c r="W52" s="11" t="n">
        <v>-0.0183</v>
      </c>
      <c r="X52" s="11" t="n">
        <v>-10.5973</v>
      </c>
      <c r="Y52" s="11" t="n">
        <v>-26.5072</v>
      </c>
      <c r="Z52" s="11" t="n">
        <v>-45.1171</v>
      </c>
      <c r="AA52" s="11" t="n">
        <v>-0.52</v>
      </c>
      <c r="AB52" s="11" t="n">
        <v>-28.64</v>
      </c>
      <c r="AC52" s="11" t="n">
        <v>-46.24</v>
      </c>
      <c r="AD52" s="11" t="n">
        <v>-10.17</v>
      </c>
      <c r="AE52" s="11" t="n">
        <v>-209.82</v>
      </c>
    </row>
    <row r="53">
      <c r="A53" s="10" t="inlineStr">
        <is>
          <t>연결범위 변경 자회사 주식 취득(수입)</t>
        </is>
      </c>
      <c r="W53" s="11" t="n">
        <v>0</v>
      </c>
      <c r="X53" s="11" t="n">
        <v>0.7561</v>
      </c>
      <c r="Y53" s="11" t="n">
        <v>0</v>
      </c>
    </row>
    <row r="54">
      <c r="A54" s="10" t="inlineStr">
        <is>
          <t>연결범위 변경 자회사 주식 매각(지출)</t>
        </is>
      </c>
      <c r="F54" s="11" t="n">
        <v>-0.19</v>
      </c>
      <c r="J54" s="11" t="n">
        <v>0</v>
      </c>
      <c r="AA54" s="11" t="n">
        <v>-0.19</v>
      </c>
      <c r="AB54" s="11" t="n">
        <v>0</v>
      </c>
    </row>
    <row r="55">
      <c r="A55" s="10" t="inlineStr">
        <is>
          <t>임차보증금 납입</t>
        </is>
      </c>
      <c r="D55" s="11" t="n">
        <v>-0.34</v>
      </c>
      <c r="F55" s="11" t="n">
        <v>-4.27</v>
      </c>
      <c r="H55" s="11" t="n">
        <v>-6.93</v>
      </c>
      <c r="J55" s="11" t="n">
        <v>-11.84</v>
      </c>
      <c r="L55" s="11" t="n">
        <v>-0.18</v>
      </c>
      <c r="W55" s="11" t="n">
        <v>-1.7368</v>
      </c>
      <c r="X55" s="11" t="n">
        <v>-1.4309</v>
      </c>
      <c r="Y55" s="11" t="n">
        <v>-1.3494</v>
      </c>
      <c r="Z55" s="11" t="n">
        <v>-0.5948</v>
      </c>
      <c r="AA55" s="11" t="n">
        <v>-4.27</v>
      </c>
      <c r="AB55" s="11" t="n">
        <v>-11.84</v>
      </c>
    </row>
    <row r="56">
      <c r="A56" s="10" t="inlineStr">
        <is>
          <t>임차보증금 회수</t>
        </is>
      </c>
      <c r="D56" s="11" t="n">
        <v>0.07000000000000001</v>
      </c>
      <c r="F56" s="11" t="n">
        <v>0.16</v>
      </c>
      <c r="H56" s="11" t="n">
        <v>0.05</v>
      </c>
      <c r="J56" s="11" t="n">
        <v>0.15</v>
      </c>
      <c r="L56" s="11" t="n">
        <v>3.86</v>
      </c>
      <c r="W56" s="11" t="n">
        <v>0.0132</v>
      </c>
      <c r="X56" s="11" t="n">
        <v>0.06950000000000001</v>
      </c>
      <c r="Y56" s="11" t="n">
        <v>0.0566</v>
      </c>
      <c r="Z56" s="11" t="n">
        <v>0.1165</v>
      </c>
      <c r="AA56" s="11" t="n">
        <v>0.16</v>
      </c>
      <c r="AB56" s="11" t="n">
        <v>0.15</v>
      </c>
    </row>
    <row r="57">
      <c r="A57" s="10" t="inlineStr">
        <is>
          <t>사업양수 지출</t>
        </is>
      </c>
      <c r="F57" s="11" t="n">
        <v>-2.6</v>
      </c>
      <c r="J57" s="11" t="n">
        <v>-10</v>
      </c>
      <c r="N57" s="11" t="n">
        <v>0</v>
      </c>
      <c r="Z57" s="11" t="n">
        <v>0</v>
      </c>
      <c r="AA57" s="11" t="n">
        <v>-2.6</v>
      </c>
      <c r="AB57" s="11" t="n">
        <v>-10</v>
      </c>
      <c r="AC57" s="11" t="n">
        <v>0</v>
      </c>
    </row>
    <row r="58">
      <c r="A58" s="10" t="inlineStr">
        <is>
          <t>임차보증금·보증금 납입</t>
        </is>
      </c>
      <c r="J58" s="11" t="n">
        <v>-11.84</v>
      </c>
      <c r="L58" s="11" t="n">
        <v>-0.18</v>
      </c>
      <c r="N58" s="11" t="n">
        <v>-1.21</v>
      </c>
      <c r="P58" s="11" t="n">
        <v>-2.71</v>
      </c>
      <c r="R58" s="11" t="n">
        <v>-3.76</v>
      </c>
      <c r="T58" s="11" t="n">
        <v>-1.61</v>
      </c>
      <c r="V58" s="11" t="n">
        <v>-2.06</v>
      </c>
      <c r="AB58" s="11" t="n">
        <v>-11.84</v>
      </c>
      <c r="AC58" s="11" t="n">
        <v>-1.21</v>
      </c>
      <c r="AD58" s="11" t="n">
        <v>-3.76</v>
      </c>
      <c r="AE58" s="11" t="n">
        <v>-2.06</v>
      </c>
    </row>
    <row r="59">
      <c r="A59" s="10" t="inlineStr">
        <is>
          <t>임차보증금·보증금 회수</t>
        </is>
      </c>
      <c r="J59" s="11" t="n">
        <v>0.15</v>
      </c>
      <c r="L59" s="11" t="n">
        <v>3.86</v>
      </c>
      <c r="N59" s="11" t="n">
        <v>3.91</v>
      </c>
      <c r="P59" s="11" t="n">
        <v>0.18</v>
      </c>
      <c r="R59" s="11" t="n">
        <v>0.79</v>
      </c>
      <c r="T59" s="11" t="n">
        <v>0.24</v>
      </c>
      <c r="V59" s="11" t="n">
        <v>1.3</v>
      </c>
      <c r="AB59" s="11" t="n">
        <v>0.15</v>
      </c>
      <c r="AC59" s="11" t="n">
        <v>3.91</v>
      </c>
      <c r="AD59" s="11" t="n">
        <v>0.79</v>
      </c>
      <c r="AE59" s="11" t="n">
        <v>1.3</v>
      </c>
    </row>
    <row r="60">
      <c r="A60" s="10" t="inlineStr">
        <is>
          <t>기타</t>
        </is>
      </c>
      <c r="D60" s="11" t="n">
        <v>0</v>
      </c>
      <c r="F60" s="11" t="n">
        <v>0.01</v>
      </c>
      <c r="H60" s="11" t="n">
        <v>0.01</v>
      </c>
      <c r="J60" s="11" t="n">
        <v>0.07000000000000001</v>
      </c>
      <c r="L60" s="11" t="n">
        <v>-0.7</v>
      </c>
      <c r="N60" s="11" t="n">
        <v>-3.88</v>
      </c>
      <c r="P60" s="11" t="n">
        <v>0.14</v>
      </c>
      <c r="R60" s="11" t="n">
        <v>0.66</v>
      </c>
      <c r="T60" s="11" t="n">
        <v>-1.07</v>
      </c>
      <c r="V60" s="11" t="n">
        <v>-1.74</v>
      </c>
      <c r="W60" s="11" t="n">
        <v>0.1355</v>
      </c>
      <c r="X60" s="11" t="n">
        <v>2.0825</v>
      </c>
      <c r="Y60" s="11" t="n">
        <v>0.3511</v>
      </c>
      <c r="Z60" s="11" t="n">
        <v>-0.1761</v>
      </c>
      <c r="AA60" s="11" t="n">
        <v>0.01</v>
      </c>
      <c r="AB60" s="11" t="n">
        <v>0.07000000000000001</v>
      </c>
      <c r="AC60" s="11" t="n">
        <v>-3.88</v>
      </c>
      <c r="AD60" s="11" t="n">
        <v>0.66</v>
      </c>
      <c r="AE60" s="11" t="n">
        <v>-1.74</v>
      </c>
    </row>
    <row r="61">
      <c r="A61" s="10" t="inlineStr">
        <is>
          <t>투자활동 현금흐름</t>
        </is>
      </c>
      <c r="D61" s="11" t="n">
        <v>-44.74</v>
      </c>
      <c r="F61" s="11" t="n">
        <v>-56.05</v>
      </c>
      <c r="H61" s="11" t="n">
        <v>-13.64</v>
      </c>
      <c r="J61" s="11" t="n">
        <v>-38.02</v>
      </c>
      <c r="L61" s="11" t="n">
        <v>-68.26000000000001</v>
      </c>
      <c r="N61" s="11" t="n">
        <v>-99.45999999999999</v>
      </c>
      <c r="P61" s="11" t="n">
        <v>-14.65</v>
      </c>
      <c r="R61" s="11" t="n">
        <v>-116.97</v>
      </c>
      <c r="T61" s="11" t="n">
        <v>-18.08</v>
      </c>
      <c r="V61" s="11" t="n">
        <v>-223.76</v>
      </c>
      <c r="W61" s="11" t="n">
        <v>-2.7213</v>
      </c>
      <c r="X61" s="11" t="n">
        <v>-11.5251</v>
      </c>
      <c r="Y61" s="11" t="n">
        <v>-59.2635</v>
      </c>
      <c r="Z61" s="11" t="n">
        <v>-54.3286</v>
      </c>
      <c r="AA61" s="11" t="n">
        <v>-56.05</v>
      </c>
      <c r="AB61" s="11" t="n">
        <v>-38.02</v>
      </c>
      <c r="AC61" s="11" t="n">
        <v>-99.45999999999999</v>
      </c>
      <c r="AD61" s="11" t="n">
        <v>-116.97</v>
      </c>
      <c r="AE61" s="11" t="n">
        <v>-223.76</v>
      </c>
    </row>
    <row r="62">
      <c r="A62" s="10" t="inlineStr">
        <is>
          <t>단기차입금 순증감</t>
        </is>
      </c>
      <c r="D62" s="11" t="n">
        <v>10.1</v>
      </c>
      <c r="F62" s="11" t="n">
        <v>0.1</v>
      </c>
      <c r="H62" s="11" t="n">
        <v>30</v>
      </c>
      <c r="J62" s="11" t="n">
        <v>24.45</v>
      </c>
      <c r="L62" s="11" t="n">
        <v>35</v>
      </c>
      <c r="N62" s="11" t="n">
        <v>-24.2</v>
      </c>
      <c r="P62" s="11" t="n">
        <v>56</v>
      </c>
      <c r="R62" s="11" t="n">
        <v>-2.31</v>
      </c>
      <c r="T62" s="11" t="n">
        <v>100</v>
      </c>
      <c r="Z62" s="11" t="n">
        <v>-0.25</v>
      </c>
      <c r="AA62" s="11" t="n">
        <v>0.1</v>
      </c>
      <c r="AB62" s="11" t="n">
        <v>24.45</v>
      </c>
      <c r="AC62" s="11" t="n">
        <v>-24.2</v>
      </c>
      <c r="AD62" s="11" t="n">
        <v>-2.31</v>
      </c>
    </row>
    <row r="63">
      <c r="A63" s="10" t="inlineStr">
        <is>
          <t>단기차입</t>
        </is>
      </c>
      <c r="R63" s="11" t="n">
        <v>1.6</v>
      </c>
      <c r="V63" s="11" t="n">
        <v>327</v>
      </c>
      <c r="AD63" s="11" t="n">
        <v>1.6</v>
      </c>
      <c r="AE63" s="11" t="n">
        <v>327</v>
      </c>
    </row>
    <row r="64">
      <c r="A64" s="10" t="inlineStr">
        <is>
          <t>단기차입금 상환</t>
        </is>
      </c>
      <c r="R64" s="11" t="n">
        <v>-3.91</v>
      </c>
      <c r="V64" s="11" t="n">
        <v>-327</v>
      </c>
      <c r="AD64" s="11" t="n">
        <v>-3.91</v>
      </c>
      <c r="AE64" s="11" t="n">
        <v>-327</v>
      </c>
    </row>
    <row r="65">
      <c r="A65" s="10" t="inlineStr">
        <is>
          <t>장기차입</t>
        </is>
      </c>
      <c r="D65" s="11" t="n">
        <v>10</v>
      </c>
      <c r="F65" s="11" t="n">
        <v>10</v>
      </c>
      <c r="H65" s="11" t="n">
        <v>0</v>
      </c>
      <c r="J65" s="11" t="n">
        <v>0</v>
      </c>
      <c r="L65" s="11" t="n">
        <v>58</v>
      </c>
      <c r="N65" s="11" t="n">
        <v>93</v>
      </c>
      <c r="P65" s="11" t="n">
        <v>0</v>
      </c>
      <c r="R65" s="11" t="n">
        <v>50</v>
      </c>
      <c r="V65" s="11" t="n">
        <v>274</v>
      </c>
      <c r="W65" s="11" t="n">
        <v>0</v>
      </c>
      <c r="X65" s="11" t="n">
        <v>15.5</v>
      </c>
      <c r="Y65" s="11" t="n">
        <v>26</v>
      </c>
      <c r="Z65" s="11" t="n">
        <v>6.6</v>
      </c>
      <c r="AA65" s="11" t="n">
        <v>10</v>
      </c>
      <c r="AB65" s="11" t="n">
        <v>0</v>
      </c>
      <c r="AC65" s="11" t="n">
        <v>93</v>
      </c>
      <c r="AD65" s="11" t="n">
        <v>50</v>
      </c>
      <c r="AE65" s="11" t="n">
        <v>274</v>
      </c>
    </row>
    <row r="66">
      <c r="A66" s="10" t="inlineStr">
        <is>
          <t>장기차입금 상환</t>
        </is>
      </c>
      <c r="D66" s="11" t="n">
        <v>-10.84</v>
      </c>
      <c r="F66" s="11" t="n">
        <v>-16.95</v>
      </c>
      <c r="H66" s="11" t="n">
        <v>-6.1</v>
      </c>
      <c r="J66" s="11" t="n">
        <v>-12.52</v>
      </c>
      <c r="L66" s="11" t="n">
        <v>-8.01</v>
      </c>
      <c r="N66" s="11" t="n">
        <v>-22.75</v>
      </c>
      <c r="P66" s="11" t="n">
        <v>-15.1</v>
      </c>
      <c r="R66" s="11" t="n">
        <v>-30.29</v>
      </c>
      <c r="T66" s="11" t="n">
        <v>-19.76</v>
      </c>
      <c r="V66" s="11" t="n">
        <v>-47.23</v>
      </c>
      <c r="W66" s="11" t="n">
        <v>-3.4288</v>
      </c>
      <c r="X66" s="11" t="n">
        <v>-5.4783</v>
      </c>
      <c r="Y66" s="11" t="n">
        <v>-9.8116</v>
      </c>
      <c r="Z66" s="11" t="n">
        <v>-11.5792</v>
      </c>
      <c r="AA66" s="11" t="n">
        <v>-16.95</v>
      </c>
      <c r="AB66" s="11" t="n">
        <v>-12.52</v>
      </c>
      <c r="AC66" s="11" t="n">
        <v>-22.75</v>
      </c>
      <c r="AD66" s="11" t="n">
        <v>-30.29</v>
      </c>
      <c r="AE66" s="11" t="n">
        <v>-47.23</v>
      </c>
    </row>
    <row r="67">
      <c r="A67" s="10" t="inlineStr">
        <is>
          <t>주식 발행</t>
        </is>
      </c>
      <c r="D67" s="11" t="n">
        <v>2.11</v>
      </c>
      <c r="F67" s="11" t="n">
        <v>2.48</v>
      </c>
      <c r="H67" s="11" t="n">
        <v>0.01</v>
      </c>
      <c r="J67" s="11" t="n">
        <v>0.03</v>
      </c>
      <c r="L67" s="11" t="n">
        <v>0.01</v>
      </c>
      <c r="N67" s="11" t="n">
        <v>0.09</v>
      </c>
      <c r="P67" s="11" t="n">
        <v>0</v>
      </c>
      <c r="R67" s="11" t="n">
        <v>0</v>
      </c>
      <c r="W67" s="11" t="n">
        <v>0.1485</v>
      </c>
      <c r="X67" s="11" t="n">
        <v>53.2015</v>
      </c>
      <c r="Y67" s="11" t="n">
        <v>2.4133</v>
      </c>
      <c r="Z67" s="11" t="n">
        <v>97.4687</v>
      </c>
      <c r="AA67" s="11" t="n">
        <v>2.48</v>
      </c>
      <c r="AB67" s="11" t="n">
        <v>0.03</v>
      </c>
      <c r="AC67" s="11" t="n">
        <v>0.09</v>
      </c>
      <c r="AD67" s="11" t="n">
        <v>0</v>
      </c>
    </row>
    <row r="68">
      <c r="A68" s="10" t="inlineStr">
        <is>
          <t>비지배주주 납입</t>
        </is>
      </c>
      <c r="R68" s="11" t="n">
        <v>0</v>
      </c>
      <c r="V68" s="11" t="n">
        <v>1.86</v>
      </c>
      <c r="AD68" s="11" t="n">
        <v>0</v>
      </c>
      <c r="AE68" s="11" t="n">
        <v>1.86</v>
      </c>
    </row>
    <row r="69">
      <c r="A69" s="10" t="inlineStr">
        <is>
          <t>금융리스부채 상환</t>
        </is>
      </c>
      <c r="P69" s="11" t="n">
        <v>-0.03</v>
      </c>
      <c r="R69" s="11" t="n">
        <v>-0.13</v>
      </c>
      <c r="T69" s="11" t="n">
        <v>-1.15</v>
      </c>
      <c r="V69" s="11" t="n">
        <v>-2.69</v>
      </c>
      <c r="AD69" s="11" t="n">
        <v>-0.13</v>
      </c>
      <c r="AE69" s="11" t="n">
        <v>-2.69</v>
      </c>
    </row>
    <row r="70">
      <c r="A70" s="10" t="inlineStr">
        <is>
          <t>자기주식 취득</t>
        </is>
      </c>
      <c r="D70" s="11" t="n">
        <v>-20</v>
      </c>
      <c r="F70" s="11" t="n">
        <v>-19.99</v>
      </c>
      <c r="H70" s="11" t="n">
        <v>-0</v>
      </c>
      <c r="J70" s="11" t="n">
        <v>-20.01</v>
      </c>
      <c r="L70" s="11" t="n">
        <v>-0.02</v>
      </c>
      <c r="N70" s="11" t="n">
        <v>-0.02</v>
      </c>
      <c r="P70" s="11" t="n">
        <v>-9.99</v>
      </c>
      <c r="R70" s="11" t="n">
        <v>-9.99</v>
      </c>
      <c r="T70" s="11" t="n">
        <v>-65.47</v>
      </c>
      <c r="V70" s="11" t="n">
        <v>-65.47</v>
      </c>
      <c r="Y70" s="11" t="n">
        <v>-0.0056</v>
      </c>
      <c r="Z70" s="11" t="n">
        <v>-9.309699999999999</v>
      </c>
      <c r="AA70" s="11" t="n">
        <v>-19.99</v>
      </c>
      <c r="AB70" s="11" t="n">
        <v>-20.01</v>
      </c>
      <c r="AC70" s="11" t="n">
        <v>-0.02</v>
      </c>
      <c r="AD70" s="11" t="n">
        <v>-9.99</v>
      </c>
      <c r="AE70" s="11" t="n">
        <v>-65.47</v>
      </c>
    </row>
    <row r="71">
      <c r="A71" s="10" t="inlineStr">
        <is>
          <t>연결범위 변경 없는 자회사 주식 취득</t>
        </is>
      </c>
      <c r="D71" s="11" t="n">
        <v>-6.4</v>
      </c>
      <c r="F71" s="11" t="n">
        <v>-6.4</v>
      </c>
      <c r="H71" s="11" t="n">
        <v>0</v>
      </c>
      <c r="J71" s="11" t="n">
        <v>-9.800000000000001</v>
      </c>
      <c r="L71" s="11" t="n">
        <v>-4.34</v>
      </c>
      <c r="N71" s="11" t="n">
        <v>-4.34</v>
      </c>
      <c r="P71" s="11" t="n">
        <v>-16</v>
      </c>
      <c r="R71" s="11" t="n">
        <v>-19</v>
      </c>
      <c r="T71" s="11" t="n">
        <v>0</v>
      </c>
      <c r="V71" s="11" t="n">
        <v>0</v>
      </c>
      <c r="X71" s="11" t="n">
        <v>0</v>
      </c>
      <c r="Y71" s="11" t="n">
        <v>-3.1605</v>
      </c>
      <c r="Z71" s="11" t="n">
        <v>0</v>
      </c>
      <c r="AA71" s="11" t="n">
        <v>-6.4</v>
      </c>
      <c r="AB71" s="11" t="n">
        <v>-9.800000000000001</v>
      </c>
      <c r="AC71" s="11" t="n">
        <v>-4.34</v>
      </c>
      <c r="AD71" s="11" t="n">
        <v>-19</v>
      </c>
      <c r="AE71" s="11" t="n">
        <v>0</v>
      </c>
    </row>
    <row r="72">
      <c r="A72" s="10" t="inlineStr">
        <is>
          <t>기타</t>
        </is>
      </c>
      <c r="D72" s="11" t="n">
        <v>-0.03</v>
      </c>
      <c r="F72" s="11" t="n">
        <v>-0.06</v>
      </c>
      <c r="H72" s="11" t="n">
        <v>-0.02</v>
      </c>
      <c r="J72" s="11" t="n">
        <v>-0.1</v>
      </c>
      <c r="L72" s="11" t="n">
        <v>-0.09</v>
      </c>
      <c r="N72" s="11" t="n">
        <v>-0.22</v>
      </c>
      <c r="P72" s="11" t="n">
        <v>-0.07000000000000001</v>
      </c>
      <c r="R72" s="11" t="n">
        <v>-0.18</v>
      </c>
      <c r="T72" s="11" t="n">
        <v>0.1</v>
      </c>
      <c r="V72" s="11" t="n">
        <v>-0.77</v>
      </c>
      <c r="W72" s="11" t="n">
        <v>-0.2784</v>
      </c>
      <c r="X72" s="11" t="n">
        <v>-0.7442</v>
      </c>
      <c r="Y72" s="11" t="n">
        <v>-0.3265</v>
      </c>
      <c r="Z72" s="11" t="n">
        <v>-0.0682</v>
      </c>
      <c r="AA72" s="11" t="n">
        <v>-0.06</v>
      </c>
      <c r="AB72" s="11" t="n">
        <v>-0.1</v>
      </c>
      <c r="AC72" s="11" t="n">
        <v>-0.22</v>
      </c>
      <c r="AD72" s="11" t="n">
        <v>-0.18</v>
      </c>
      <c r="AE72" s="11" t="n">
        <v>-0.77</v>
      </c>
    </row>
    <row r="73">
      <c r="A73" s="10" t="inlineStr">
        <is>
          <t>재무활동 현금흐름</t>
        </is>
      </c>
      <c r="D73" s="11" t="n">
        <v>-15.07</v>
      </c>
      <c r="F73" s="11" t="n">
        <v>-30.82</v>
      </c>
      <c r="H73" s="11" t="n">
        <v>23.88</v>
      </c>
      <c r="J73" s="11" t="n">
        <v>-17.97</v>
      </c>
      <c r="L73" s="11" t="n">
        <v>80.52</v>
      </c>
      <c r="N73" s="11" t="n">
        <v>41.54</v>
      </c>
      <c r="P73" s="11" t="n">
        <v>14.78</v>
      </c>
      <c r="R73" s="11" t="n">
        <v>-11.92</v>
      </c>
      <c r="T73" s="11" t="n">
        <v>13.71</v>
      </c>
      <c r="V73" s="11" t="n">
        <v>159.67</v>
      </c>
      <c r="W73" s="11" t="n">
        <v>-3.5587</v>
      </c>
      <c r="X73" s="11" t="n">
        <v>62.4789</v>
      </c>
      <c r="Y73" s="11" t="n">
        <v>15.1092</v>
      </c>
      <c r="Z73" s="11" t="n">
        <v>82.8617</v>
      </c>
      <c r="AA73" s="11" t="n">
        <v>-30.82</v>
      </c>
      <c r="AB73" s="11" t="n">
        <v>-17.97</v>
      </c>
      <c r="AC73" s="11" t="n">
        <v>41.54</v>
      </c>
      <c r="AD73" s="11" t="n">
        <v>-11.92</v>
      </c>
      <c r="AE73" s="11" t="n">
        <v>159.67</v>
      </c>
    </row>
    <row r="74">
      <c r="A74" s="10" t="inlineStr">
        <is>
          <t>현금성자산 환산차이</t>
        </is>
      </c>
      <c r="D74" s="11" t="n">
        <v>0.09</v>
      </c>
      <c r="F74" s="11" t="n">
        <v>0.47</v>
      </c>
      <c r="H74" s="11" t="n">
        <v>-0.06</v>
      </c>
      <c r="J74" s="11" t="n">
        <v>0.03</v>
      </c>
      <c r="L74" s="11" t="n">
        <v>-0</v>
      </c>
      <c r="N74" s="11" t="n">
        <v>-0.03</v>
      </c>
      <c r="P74" s="11" t="n">
        <v>0</v>
      </c>
      <c r="R74" s="11" t="n">
        <v>-0.05</v>
      </c>
      <c r="T74" s="11" t="n">
        <v>0.23</v>
      </c>
      <c r="V74" s="11" t="n">
        <v>0.19</v>
      </c>
      <c r="W74" s="11" t="n">
        <v>0.0222</v>
      </c>
      <c r="X74" s="11" t="n">
        <v>-0.1244</v>
      </c>
      <c r="Y74" s="11" t="n">
        <v>-0.0235</v>
      </c>
      <c r="Z74" s="11" t="n">
        <v>0.1216</v>
      </c>
      <c r="AA74" s="11" t="n">
        <v>0.47</v>
      </c>
      <c r="AB74" s="11" t="n">
        <v>0.03</v>
      </c>
      <c r="AC74" s="11" t="n">
        <v>-0.03</v>
      </c>
      <c r="AD74" s="11" t="n">
        <v>-0.05</v>
      </c>
      <c r="AE74" s="11" t="n">
        <v>0.19</v>
      </c>
    </row>
    <row r="75">
      <c r="A75" s="10" t="inlineStr">
        <is>
          <t>현금성자산 증감</t>
        </is>
      </c>
      <c r="D75" s="11" t="n">
        <v>-22.62</v>
      </c>
      <c r="F75" s="11" t="n">
        <v>-12.48</v>
      </c>
      <c r="H75" s="11" t="n">
        <v>36.37</v>
      </c>
      <c r="J75" s="11" t="n">
        <v>46.52</v>
      </c>
      <c r="L75" s="11" t="n">
        <v>17.72</v>
      </c>
      <c r="N75" s="11" t="n">
        <v>32.92</v>
      </c>
      <c r="P75" s="11" t="n">
        <v>40.56</v>
      </c>
      <c r="R75" s="11" t="n">
        <v>27.55</v>
      </c>
      <c r="T75" s="11" t="n">
        <v>7.15</v>
      </c>
      <c r="V75" s="11" t="n">
        <v>73.34</v>
      </c>
      <c r="W75" s="11" t="n">
        <v>6.2173</v>
      </c>
      <c r="X75" s="11" t="n">
        <v>62.1682</v>
      </c>
      <c r="Y75" s="11" t="n">
        <v>-21.6722</v>
      </c>
      <c r="Z75" s="11" t="n">
        <v>76.2347</v>
      </c>
      <c r="AA75" s="11" t="n">
        <v>-12.48</v>
      </c>
      <c r="AB75" s="11" t="n">
        <v>46.52</v>
      </c>
      <c r="AC75" s="11" t="n">
        <v>32.92</v>
      </c>
      <c r="AD75" s="11" t="n">
        <v>27.55</v>
      </c>
      <c r="AE75" s="11" t="n">
        <v>73.34</v>
      </c>
    </row>
    <row r="76">
      <c r="A76" s="10" t="inlineStr">
        <is>
          <t>연결범위 변경에 따른 현금성자산 증감</t>
        </is>
      </c>
      <c r="F76" s="11" t="n">
        <v>-0.193</v>
      </c>
      <c r="W76" s="11" t="n">
        <v>-1.2435</v>
      </c>
      <c r="X76" s="11" t="n">
        <v>0</v>
      </c>
      <c r="Z76" s="11" t="n">
        <v>0</v>
      </c>
      <c r="AA76" s="11" t="n">
        <v>-0.193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F106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40" customWidth="1" min="32" max="32"/>
  </cols>
  <sheetData>
    <row r="1">
      <c r="A1" s="1" t="inlineStr">
        <is>
          <t>SHIFT 부문</t>
        </is>
      </c>
    </row>
    <row r="2">
      <c r="A2" s="2" t="inlineStr">
        <is>
          <t>결산기 기준(27.2Q = 2027년 결산기 2분기) · 8월 결산 · 연결 · 분기 단독(누계 차분) · 오른쪽 FY = 연간</t>
        </is>
      </c>
      <c r="B2" s="3" t="inlineStr">
        <is>
          <t>(단위: 억엔)</t>
        </is>
      </c>
    </row>
    <row r="3">
      <c r="A3" s="4" t="inlineStr">
        <is>
          <t>항목</t>
        </is>
      </c>
      <c r="B3" s="4" t="inlineStr">
        <is>
          <t>참고</t>
        </is>
      </c>
      <c r="C3" s="4" t="inlineStr">
        <is>
          <t>22.1Q</t>
        </is>
      </c>
      <c r="D3" s="4" t="inlineStr">
        <is>
          <t>22.2Q</t>
        </is>
      </c>
      <c r="E3" s="4" t="inlineStr">
        <is>
          <t>22.3Q</t>
        </is>
      </c>
      <c r="F3" s="4" t="inlineStr">
        <is>
          <t>22.4Q</t>
        </is>
      </c>
      <c r="G3" s="4" t="inlineStr">
        <is>
          <t>23.1Q</t>
        </is>
      </c>
      <c r="H3" s="4" t="inlineStr">
        <is>
          <t>23.2Q</t>
        </is>
      </c>
      <c r="I3" s="4" t="inlineStr">
        <is>
          <t>23.3Q</t>
        </is>
      </c>
      <c r="J3" s="4" t="inlineStr">
        <is>
          <t>23.4Q</t>
        </is>
      </c>
      <c r="K3" s="4" t="inlineStr">
        <is>
          <t>24.1Q</t>
        </is>
      </c>
      <c r="L3" s="4" t="inlineStr">
        <is>
          <t>24.2Q</t>
        </is>
      </c>
      <c r="M3" s="4" t="inlineStr">
        <is>
          <t>24.3Q</t>
        </is>
      </c>
      <c r="N3" s="4" t="inlineStr">
        <is>
          <t>24.4Q</t>
        </is>
      </c>
      <c r="O3" s="4" t="inlineStr">
        <is>
          <t>25.1Q</t>
        </is>
      </c>
      <c r="P3" s="4" t="inlineStr">
        <is>
          <t>25.2Q</t>
        </is>
      </c>
      <c r="Q3" s="4" t="inlineStr">
        <is>
          <t>25.3Q</t>
        </is>
      </c>
      <c r="R3" s="4" t="inlineStr">
        <is>
          <t>25.4Q</t>
        </is>
      </c>
      <c r="S3" s="4" t="inlineStr">
        <is>
          <t>26.1Q</t>
        </is>
      </c>
      <c r="T3" s="4" t="inlineStr">
        <is>
          <t>26.2Q</t>
        </is>
      </c>
      <c r="U3" s="4" t="inlineStr">
        <is>
          <t>26.3Q</t>
        </is>
      </c>
      <c r="V3" s="4" t="inlineStr">
        <is>
          <t>26.4Q</t>
        </is>
      </c>
      <c r="W3" s="4" t="inlineStr">
        <is>
          <t>FY18</t>
        </is>
      </c>
      <c r="X3" s="4" t="inlineStr">
        <is>
          <t>FY19</t>
        </is>
      </c>
      <c r="Y3" s="4" t="inlineStr">
        <is>
          <t>FY20</t>
        </is>
      </c>
      <c r="Z3" s="4" t="inlineStr">
        <is>
          <t>FY21</t>
        </is>
      </c>
      <c r="AA3" s="4" t="inlineStr">
        <is>
          <t>FY22</t>
        </is>
      </c>
      <c r="AB3" s="4" t="inlineStr">
        <is>
          <t>FY23</t>
        </is>
      </c>
      <c r="AC3" s="4" t="inlineStr">
        <is>
          <t>FY24</t>
        </is>
      </c>
      <c r="AD3" s="4" t="inlineStr">
        <is>
          <t>FY25</t>
        </is>
      </c>
      <c r="AE3" s="4" t="inlineStr">
        <is>
          <t>FY26</t>
        </is>
      </c>
      <c r="AF3" s="4" t="inlineStr">
        <is>
          <t>출처</t>
        </is>
      </c>
    </row>
    <row r="4">
      <c r="A4" s="10" t="inlineStr">
        <is>
          <t>ConsultingReportableSegmentMember · 외부 고객 매출</t>
        </is>
      </c>
      <c r="AD4" s="11" t="n">
        <v>145.54</v>
      </c>
      <c r="AE4" s="11" t="n">
        <v>188.92</v>
      </c>
      <c r="AF4" s="7" t="inlineStr">
        <is>
          <t>결산단신 XBRL(거래소 공시, TDnet·JPX 보관소). 쓴 문서: 2026-10-15, 2026-07-15, 2026-04-14, 2026-01-14 외 26건 — '출처' 시트에 전부</t>
        </is>
      </c>
    </row>
    <row r="5">
      <c r="A5" s="10" t="inlineStr">
        <is>
          <t>DevelopmentReportableSegmentMember · 외부 고객 매출</t>
        </is>
      </c>
      <c r="AD5" s="11" t="n">
        <v>454.8</v>
      </c>
      <c r="AE5" s="11" t="n">
        <v>621.9299999999999</v>
      </c>
    </row>
    <row r="6">
      <c r="A6" s="10" t="inlineStr">
        <is>
          <t>TestingReportableSegmentMember · 외부 고객 매출</t>
        </is>
      </c>
      <c r="AD6" s="11" t="n">
        <v>574.55</v>
      </c>
      <c r="AE6" s="11" t="n">
        <v>641.3</v>
      </c>
    </row>
    <row r="7">
      <c r="A7" s="10" t="inlineStr">
        <is>
          <t>BPaaSReportableSegmentMember · 외부 고객 매출</t>
        </is>
      </c>
      <c r="AD7" s="11" t="n">
        <v>34.18</v>
      </c>
      <c r="AE7" s="11" t="n">
        <v>48.25</v>
      </c>
    </row>
    <row r="8">
      <c r="A8" s="10" t="inlineStr">
        <is>
          <t>InvestmentPlatformReportableSegmentMember · 외부 고객 매출</t>
        </is>
      </c>
      <c r="AD8" s="11" t="n">
        <v>0</v>
      </c>
      <c r="AE8" s="11" t="n">
        <v>6.38</v>
      </c>
    </row>
    <row r="9">
      <c r="A9" s="10" t="inlineStr">
        <is>
          <t>ReportableSegmentsMember · 외부 고객 매출</t>
        </is>
      </c>
      <c r="M9" s="11" t="n">
        <v>288.38</v>
      </c>
      <c r="N9" s="11" t="n">
        <v>294.84</v>
      </c>
      <c r="Q9" s="11" t="n">
        <v>337.24</v>
      </c>
      <c r="R9" s="11" t="n">
        <v>254.96</v>
      </c>
      <c r="U9" s="11" t="n">
        <v>438.13</v>
      </c>
      <c r="V9" s="11" t="n">
        <v>348.32</v>
      </c>
      <c r="AB9" s="11" t="n">
        <v>880.3</v>
      </c>
      <c r="AC9" s="11" t="n">
        <v>1106.27</v>
      </c>
      <c r="AD9" s="11" t="n">
        <v>1209.08</v>
      </c>
      <c r="AE9" s="11" t="n">
        <v>1506.8</v>
      </c>
    </row>
    <row r="10">
      <c r="A10" s="10" t="inlineStr">
        <is>
          <t>OperatingSegmentsNotIncludedInReportableSegmentsAndOtherRevenueGeneratingBusinessActivitiesMember · 외부 고객 매출</t>
        </is>
      </c>
      <c r="AD10" s="11" t="n">
        <v>88.5</v>
      </c>
      <c r="AE10" s="11" t="n">
        <v>108.06</v>
      </c>
    </row>
    <row r="11">
      <c r="A11" s="10" t="inlineStr">
        <is>
          <t>TotalOfReportableSegmentsAndOthersMember · 외부 고객 매출</t>
        </is>
      </c>
      <c r="K11" s="11" t="n">
        <v>250.73</v>
      </c>
      <c r="O11" s="11" t="n">
        <v>301.74</v>
      </c>
      <c r="S11" s="11" t="n">
        <v>348.45</v>
      </c>
      <c r="AD11" s="11" t="n">
        <v>1297.59</v>
      </c>
      <c r="AE11" s="11" t="n">
        <v>1614.86</v>
      </c>
    </row>
    <row r="12">
      <c r="A12" s="10" t="inlineStr">
        <is>
          <t>ReconcilingItemsMember · 외부 고객 매출</t>
        </is>
      </c>
      <c r="K12" s="11" t="n">
        <v>0</v>
      </c>
      <c r="L12" s="11" t="n">
        <v>0</v>
      </c>
      <c r="M12" s="11" t="n">
        <v>0</v>
      </c>
      <c r="N12" s="11" t="n">
        <v>0</v>
      </c>
      <c r="O12" s="11" t="n">
        <v>0</v>
      </c>
      <c r="P12" s="11" t="n">
        <v>0</v>
      </c>
      <c r="Q12" s="11" t="n">
        <v>0</v>
      </c>
      <c r="R12" s="11" t="n">
        <v>0.6</v>
      </c>
      <c r="S12" s="11" t="n">
        <v>0</v>
      </c>
      <c r="T12" s="11" t="n">
        <v>0</v>
      </c>
      <c r="U12" s="11" t="n">
        <v>0</v>
      </c>
      <c r="V12" s="11" t="n">
        <v>1.13</v>
      </c>
      <c r="AB12" s="11" t="n">
        <v>0</v>
      </c>
      <c r="AC12" s="11" t="n">
        <v>0</v>
      </c>
      <c r="AD12" s="11" t="n">
        <v>0.6</v>
      </c>
      <c r="AE12" s="11" t="n">
        <v>1.13</v>
      </c>
    </row>
    <row r="13">
      <c r="A13" s="10" t="inlineStr">
        <is>
          <t>EntityTotalMember · 외부 고객 매출</t>
        </is>
      </c>
      <c r="O13" s="11" t="n">
        <v>301.74</v>
      </c>
      <c r="S13" s="11" t="n">
        <v>348.45</v>
      </c>
    </row>
    <row r="14">
      <c r="A14" s="10" t="inlineStr">
        <is>
          <t>SoftwareTestingRelatedServicesReportableSegmentMember · 부문 간 내부매출·대체</t>
        </is>
      </c>
      <c r="K14" s="11" t="n">
        <v>0.28</v>
      </c>
      <c r="O14" s="11" t="n">
        <v>1.56</v>
      </c>
      <c r="S14" s="11" t="n">
        <v>1.63</v>
      </c>
    </row>
    <row r="15">
      <c r="A15" s="10" t="inlineStr">
        <is>
          <t>SoftwareDevelopmentRelatedServicesReportableSegmentMember · 부문 간 내부매출·대체</t>
        </is>
      </c>
      <c r="K15" s="11" t="n">
        <v>6.92</v>
      </c>
      <c r="O15" s="11" t="n">
        <v>6.21</v>
      </c>
      <c r="S15" s="11" t="n">
        <v>9.1</v>
      </c>
    </row>
    <row r="16">
      <c r="A16" s="10" t="inlineStr">
        <is>
          <t>OtherProximateServicesReportableSegmentMember · 부문 간 내부매출·대체</t>
        </is>
      </c>
      <c r="K16" s="11" t="n">
        <v>2.68</v>
      </c>
      <c r="O16" s="11" t="n">
        <v>3.43</v>
      </c>
      <c r="S16" s="11" t="n">
        <v>4.29</v>
      </c>
    </row>
    <row r="17">
      <c r="A17" s="5" t="inlineStr">
        <is>
          <t>외부 고객 매출</t>
        </is>
      </c>
      <c r="K17" s="6" t="n">
        <v>250.73</v>
      </c>
      <c r="L17" s="6" t="n">
        <v>272.32</v>
      </c>
      <c r="M17" s="6" t="n">
        <v>288.38</v>
      </c>
      <c r="N17" s="6" t="n">
        <v>294.84</v>
      </c>
      <c r="O17" s="6" t="n">
        <v>301.74</v>
      </c>
      <c r="P17" s="6" t="n">
        <v>315.14</v>
      </c>
      <c r="Q17" s="6" t="n">
        <v>337.24</v>
      </c>
      <c r="R17" s="6" t="n">
        <v>344.07</v>
      </c>
      <c r="AB17" s="6" t="n">
        <v>880.3</v>
      </c>
      <c r="AC17" s="6" t="n">
        <v>1106.27</v>
      </c>
      <c r="AD17" s="6" t="n">
        <v>1298.19</v>
      </c>
      <c r="AE17" s="6" t="n">
        <v>1616</v>
      </c>
    </row>
    <row r="18">
      <c r="A18" s="10" t="inlineStr">
        <is>
          <t>SoftwareTestingRelatedServicesReportableSegmentMember · 부문 간 내부매출·대체</t>
        </is>
      </c>
      <c r="AB18" s="11" t="n">
        <v>1.11</v>
      </c>
      <c r="AC18" s="11" t="n">
        <v>2.09</v>
      </c>
      <c r="AD18" s="11" t="n">
        <v>8.58</v>
      </c>
    </row>
    <row r="19">
      <c r="A19" s="10" t="inlineStr">
        <is>
          <t>SoftwareDevelopmentRelatedServicesReportableSegmentMember · 부문 간 내부매출·대체</t>
        </is>
      </c>
      <c r="AB19" s="11" t="n">
        <v>27</v>
      </c>
      <c r="AC19" s="11" t="n">
        <v>26.92</v>
      </c>
      <c r="AD19" s="11" t="n">
        <v>30.1</v>
      </c>
    </row>
    <row r="20">
      <c r="A20" s="10" t="inlineStr">
        <is>
          <t>OtherProximateServicesReportableSegmentMember · 부문 간 내부매출·대체</t>
        </is>
      </c>
      <c r="AB20" s="11" t="n">
        <v>9.890000000000001</v>
      </c>
      <c r="AC20" s="11" t="n">
        <v>11.49</v>
      </c>
      <c r="AD20" s="11" t="n">
        <v>14.77</v>
      </c>
    </row>
    <row r="21">
      <c r="A21" s="10" t="inlineStr">
        <is>
          <t>ConsultingReportableSegmentMember · 부문 간 내부매출·대체</t>
        </is>
      </c>
      <c r="AD21" s="11" t="n">
        <v>2.34</v>
      </c>
      <c r="AE21" s="11" t="n">
        <v>3.71</v>
      </c>
    </row>
    <row r="22">
      <c r="A22" s="10" t="inlineStr">
        <is>
          <t>DevelopmentReportableSegmentMember · 부문 간 내부매출·대체</t>
        </is>
      </c>
      <c r="AD22" s="11" t="n">
        <v>24.68</v>
      </c>
      <c r="AE22" s="11" t="n">
        <v>29.14</v>
      </c>
    </row>
    <row r="23">
      <c r="A23" s="10" t="inlineStr">
        <is>
          <t>TestingReportableSegmentMember · 부문 간 내부매출·대체</t>
        </is>
      </c>
      <c r="AD23" s="11" t="n">
        <v>1.57</v>
      </c>
      <c r="AE23" s="11" t="n">
        <v>2.51</v>
      </c>
    </row>
    <row r="24">
      <c r="A24" s="10" t="inlineStr">
        <is>
          <t>BPaaSReportableSegmentMember · 부문 간 내부매출·대체</t>
        </is>
      </c>
      <c r="AD24" s="11" t="n">
        <v>3.98</v>
      </c>
      <c r="AE24" s="11" t="n">
        <v>3.32</v>
      </c>
    </row>
    <row r="25">
      <c r="A25" s="10" t="inlineStr">
        <is>
          <t>InvestmentPlatformReportableSegmentMember · 부문 간 내부매출·대체</t>
        </is>
      </c>
      <c r="AD25" s="11" t="n">
        <v>0</v>
      </c>
      <c r="AE25" s="11" t="n">
        <v>0</v>
      </c>
    </row>
    <row r="26">
      <c r="A26" s="10" t="inlineStr">
        <is>
          <t>ReportableSegmentsMember · 부문 간 내부매출·대체</t>
        </is>
      </c>
      <c r="M26" s="11" t="n">
        <v>10.16</v>
      </c>
      <c r="N26" s="11" t="n">
        <v>10.86</v>
      </c>
      <c r="Q26" s="11" t="n">
        <v>13.76</v>
      </c>
      <c r="R26" s="11" t="n">
        <v>-6.48</v>
      </c>
      <c r="U26" s="11" t="n">
        <v>14.97</v>
      </c>
      <c r="V26" s="11" t="n">
        <v>-6.88</v>
      </c>
      <c r="AB26" s="11" t="n">
        <v>38.01</v>
      </c>
      <c r="AC26" s="11" t="n">
        <v>40.5</v>
      </c>
      <c r="AD26" s="11" t="n">
        <v>32.6</v>
      </c>
      <c r="AE26" s="11" t="n">
        <v>38.69</v>
      </c>
    </row>
    <row r="27">
      <c r="A27" s="10" t="inlineStr">
        <is>
          <t>OperatingSegmentsNotIncludedInReportableSegmentsAndOtherRevenueGeneratingBusinessActivitiesMember · 부문 간 내부매출·대체</t>
        </is>
      </c>
      <c r="AD27" s="11" t="n">
        <v>11.46</v>
      </c>
      <c r="AE27" s="11" t="n">
        <v>14.12</v>
      </c>
    </row>
    <row r="28">
      <c r="A28" s="10" t="inlineStr">
        <is>
          <t>TotalOfReportableSegmentsAndOthersMember · 부문 간 내부매출·대체</t>
        </is>
      </c>
      <c r="K28" s="11" t="n">
        <v>9.890000000000001</v>
      </c>
      <c r="O28" s="11" t="n">
        <v>11.22</v>
      </c>
      <c r="S28" s="11" t="n">
        <v>15.03</v>
      </c>
      <c r="AD28" s="11" t="n">
        <v>44.06</v>
      </c>
      <c r="AE28" s="11" t="n">
        <v>52.82</v>
      </c>
    </row>
    <row r="29">
      <c r="A29" s="10" t="inlineStr">
        <is>
          <t>ReconcilingItemsMember · 부문 간 내부매출·대체</t>
        </is>
      </c>
      <c r="K29" s="11" t="n">
        <v>-9.890000000000001</v>
      </c>
      <c r="L29" s="11" t="n">
        <v>-9.59</v>
      </c>
      <c r="M29" s="11" t="n">
        <v>-10.16</v>
      </c>
      <c r="N29" s="11" t="n">
        <v>-10.86</v>
      </c>
      <c r="O29" s="11" t="n">
        <v>-11.22</v>
      </c>
      <c r="P29" s="11" t="n">
        <v>-14.1</v>
      </c>
      <c r="Q29" s="11" t="n">
        <v>-13.76</v>
      </c>
      <c r="R29" s="11" t="n">
        <v>-4.98</v>
      </c>
      <c r="S29" s="11" t="n">
        <v>-15.03</v>
      </c>
      <c r="T29" s="11" t="n">
        <v>-15.57</v>
      </c>
      <c r="U29" s="11" t="n">
        <v>-14.97</v>
      </c>
      <c r="V29" s="11" t="n">
        <v>-7.25</v>
      </c>
      <c r="AB29" s="11" t="n">
        <v>-38.01</v>
      </c>
      <c r="AC29" s="11" t="n">
        <v>-40.5</v>
      </c>
      <c r="AD29" s="11" t="n">
        <v>-44.06</v>
      </c>
      <c r="AE29" s="11" t="n">
        <v>-52.82</v>
      </c>
    </row>
    <row r="30">
      <c r="A30" s="10" t="inlineStr">
        <is>
          <t>EntityTotalMember · 부문 간 내부매출·대체</t>
        </is>
      </c>
      <c r="O30" s="11" t="n">
        <v>0</v>
      </c>
      <c r="S30" s="11" t="n">
        <v>0</v>
      </c>
    </row>
    <row r="31">
      <c r="A31" s="10" t="inlineStr">
        <is>
          <t>SoftwareTestingRelatedServicesReportableSegmentMember · 계</t>
        </is>
      </c>
      <c r="K31" s="11" t="n">
        <v>163.59</v>
      </c>
      <c r="O31" s="11" t="n">
        <v>192.79</v>
      </c>
      <c r="S31" s="11" t="n">
        <v>226.49</v>
      </c>
    </row>
    <row r="32">
      <c r="A32" s="10" t="inlineStr">
        <is>
          <t>SoftwareDevelopmentRelatedServicesReportableSegmentMember · 계</t>
        </is>
      </c>
      <c r="K32" s="11" t="n">
        <v>81.34999999999999</v>
      </c>
      <c r="O32" s="11" t="n">
        <v>96.95999999999999</v>
      </c>
      <c r="S32" s="11" t="n">
        <v>104.71</v>
      </c>
    </row>
    <row r="33">
      <c r="A33" s="10" t="inlineStr">
        <is>
          <t>OtherProximateServicesReportableSegmentMember · 계</t>
        </is>
      </c>
      <c r="K33" s="11" t="n">
        <v>15.68</v>
      </c>
      <c r="O33" s="11" t="n">
        <v>23.21</v>
      </c>
      <c r="S33" s="11" t="n">
        <v>32.27</v>
      </c>
    </row>
    <row r="34">
      <c r="A34" s="10" t="inlineStr">
        <is>
          <t>부문 간 내부매출·대체</t>
        </is>
      </c>
      <c r="K34" s="11" t="n">
        <v>0</v>
      </c>
      <c r="L34" s="11" t="n">
        <v>0</v>
      </c>
      <c r="M34" s="11" t="n">
        <v>0</v>
      </c>
      <c r="N34" s="11" t="n">
        <v>0</v>
      </c>
      <c r="O34" s="11" t="n">
        <v>0</v>
      </c>
      <c r="P34" s="11" t="n">
        <v>0</v>
      </c>
      <c r="Q34" s="11" t="n">
        <v>0</v>
      </c>
      <c r="R34" s="11" t="n">
        <v>0</v>
      </c>
      <c r="AB34" s="11" t="n">
        <v>0</v>
      </c>
      <c r="AC34" s="11" t="n">
        <v>0</v>
      </c>
      <c r="AD34" s="11" t="n">
        <v>0</v>
      </c>
      <c r="AE34" s="11" t="n">
        <v>0</v>
      </c>
    </row>
    <row r="35">
      <c r="A35" s="10" t="inlineStr">
        <is>
          <t>SoftwareTestingRelatedServicesReportableSegmentMember · 계</t>
        </is>
      </c>
      <c r="AB35" s="11" t="n">
        <v>582.85</v>
      </c>
      <c r="AC35" s="11" t="n">
        <v>713.42</v>
      </c>
      <c r="AD35" s="11" t="n">
        <v>842.95</v>
      </c>
    </row>
    <row r="36">
      <c r="A36" s="10" t="inlineStr">
        <is>
          <t>SoftwareDevelopmentRelatedServicesReportableSegmentMember · 계</t>
        </is>
      </c>
      <c r="AB36" s="11" t="n">
        <v>270.89</v>
      </c>
      <c r="AC36" s="11" t="n">
        <v>350.08</v>
      </c>
      <c r="AD36" s="11" t="n">
        <v>401.28</v>
      </c>
    </row>
    <row r="37">
      <c r="A37" s="10" t="inlineStr">
        <is>
          <t>OtherProximateServicesReportableSegmentMember · 계</t>
        </is>
      </c>
      <c r="AB37" s="11" t="n">
        <v>64.56999999999999</v>
      </c>
      <c r="AC37" s="11" t="n">
        <v>83.27</v>
      </c>
      <c r="AD37" s="11" t="n">
        <v>107.41</v>
      </c>
    </row>
    <row r="38">
      <c r="A38" s="10" t="inlineStr">
        <is>
          <t>ConsultingReportableSegmentMember · 계</t>
        </is>
      </c>
      <c r="AD38" s="11" t="n">
        <v>147.89</v>
      </c>
      <c r="AE38" s="11" t="n">
        <v>192.63</v>
      </c>
    </row>
    <row r="39">
      <c r="A39" s="10" t="inlineStr">
        <is>
          <t>DevelopmentReportableSegmentMember · 계</t>
        </is>
      </c>
      <c r="AD39" s="11" t="n">
        <v>479.49</v>
      </c>
      <c r="AE39" s="11" t="n">
        <v>651.0700000000001</v>
      </c>
    </row>
    <row r="40">
      <c r="A40" s="10" t="inlineStr">
        <is>
          <t>TestingReportableSegmentMember · 계</t>
        </is>
      </c>
      <c r="AD40" s="11" t="n">
        <v>576.12</v>
      </c>
      <c r="AE40" s="11" t="n">
        <v>643.8200000000001</v>
      </c>
    </row>
    <row r="41">
      <c r="A41" s="10" t="inlineStr">
        <is>
          <t>BPaaSReportableSegmentMember · 계</t>
        </is>
      </c>
      <c r="AD41" s="11" t="n">
        <v>38.17</v>
      </c>
      <c r="AE41" s="11" t="n">
        <v>51.57</v>
      </c>
    </row>
    <row r="42">
      <c r="A42" s="10" t="inlineStr">
        <is>
          <t>InvestmentPlatformReportableSegmentMember · 계</t>
        </is>
      </c>
      <c r="AD42" s="11" t="n">
        <v>0</v>
      </c>
      <c r="AE42" s="11" t="n">
        <v>6.38</v>
      </c>
    </row>
    <row r="43">
      <c r="A43" s="10" t="inlineStr">
        <is>
          <t>ReportableSegmentsMember · 계</t>
        </is>
      </c>
      <c r="M43" s="11" t="n">
        <v>298.55</v>
      </c>
      <c r="N43" s="11" t="n">
        <v>305.7</v>
      </c>
      <c r="Q43" s="11" t="n">
        <v>350.99</v>
      </c>
      <c r="R43" s="11" t="n">
        <v>248.49</v>
      </c>
      <c r="U43" s="11" t="n">
        <v>453.1</v>
      </c>
      <c r="V43" s="11" t="n">
        <v>341.44</v>
      </c>
      <c r="AB43" s="11" t="n">
        <v>918.3200000000001</v>
      </c>
      <c r="AC43" s="11" t="n">
        <v>1146.78</v>
      </c>
      <c r="AD43" s="11" t="n">
        <v>1241.69</v>
      </c>
      <c r="AE43" s="11" t="n">
        <v>1545.49</v>
      </c>
    </row>
    <row r="44">
      <c r="A44" s="10" t="inlineStr">
        <is>
          <t>OperatingSegmentsNotIncludedInReportableSegmentsAndOtherRevenueGeneratingBusinessActivitiesMember · 계</t>
        </is>
      </c>
      <c r="AD44" s="11" t="n">
        <v>99.95999999999999</v>
      </c>
      <c r="AE44" s="11" t="n">
        <v>122.18</v>
      </c>
    </row>
    <row r="45">
      <c r="A45" s="10" t="inlineStr">
        <is>
          <t>TotalOfReportableSegmentsAndOthersMember · 계</t>
        </is>
      </c>
      <c r="K45" s="11" t="n">
        <v>260.63</v>
      </c>
      <c r="O45" s="11" t="n">
        <v>312.97</v>
      </c>
      <c r="S45" s="11" t="n">
        <v>363.49</v>
      </c>
      <c r="AD45" s="11" t="n">
        <v>1341.65</v>
      </c>
      <c r="AE45" s="11" t="n">
        <v>1667.68</v>
      </c>
    </row>
    <row r="46">
      <c r="A46" s="10" t="inlineStr">
        <is>
          <t>ReconcilingItemsMember · 계</t>
        </is>
      </c>
      <c r="K46" s="11" t="n">
        <v>-9.890000000000001</v>
      </c>
      <c r="L46" s="11" t="n">
        <v>-9.59</v>
      </c>
      <c r="M46" s="11" t="n">
        <v>-10.16</v>
      </c>
      <c r="N46" s="11" t="n">
        <v>-10.86</v>
      </c>
      <c r="O46" s="11" t="n">
        <v>-11.22</v>
      </c>
      <c r="P46" s="11" t="n">
        <v>-14.1</v>
      </c>
      <c r="Q46" s="11" t="n">
        <v>-13.76</v>
      </c>
      <c r="R46" s="11" t="n">
        <v>-4.37</v>
      </c>
      <c r="S46" s="11" t="n">
        <v>-15.03</v>
      </c>
      <c r="T46" s="11" t="n">
        <v>-15.57</v>
      </c>
      <c r="U46" s="11" t="n">
        <v>-14.97</v>
      </c>
      <c r="V46" s="11" t="n">
        <v>-6.11</v>
      </c>
      <c r="AB46" s="11" t="n">
        <v>-38.01</v>
      </c>
      <c r="AC46" s="11" t="n">
        <v>-40.5</v>
      </c>
      <c r="AD46" s="11" t="n">
        <v>-43.45</v>
      </c>
      <c r="AE46" s="11" t="n">
        <v>-51.68</v>
      </c>
    </row>
    <row r="47">
      <c r="A47" s="10" t="inlineStr">
        <is>
          <t>EntityTotalMember · 계</t>
        </is>
      </c>
      <c r="O47" s="11" t="n">
        <v>301.74</v>
      </c>
      <c r="S47" s="11" t="n">
        <v>348.45</v>
      </c>
    </row>
    <row r="48">
      <c r="A48" s="10" t="inlineStr">
        <is>
          <t>SoftwareTestingRelatedServicesReportableSegmentMember · 부문 이익</t>
        </is>
      </c>
      <c r="K48" s="11" t="n">
        <v>33.63</v>
      </c>
      <c r="O48" s="11" t="n">
        <v>47.6</v>
      </c>
      <c r="S48" s="11" t="n">
        <v>42.62</v>
      </c>
    </row>
    <row r="49">
      <c r="A49" s="10" t="inlineStr">
        <is>
          <t>SoftwareDevelopmentRelatedServicesReportableSegmentMember · 부문 이익</t>
        </is>
      </c>
      <c r="K49" s="11" t="n">
        <v>2.39</v>
      </c>
      <c r="O49" s="11" t="n">
        <v>7.11</v>
      </c>
      <c r="S49" s="11" t="n">
        <v>4.38</v>
      </c>
    </row>
    <row r="50">
      <c r="A50" s="10" t="inlineStr">
        <is>
          <t>OtherProximateServicesReportableSegmentMember · 부문 이익</t>
        </is>
      </c>
      <c r="K50" s="11" t="n">
        <v>-1.22</v>
      </c>
      <c r="O50" s="11" t="n">
        <v>0.35</v>
      </c>
      <c r="S50" s="11" t="n">
        <v>3.34</v>
      </c>
    </row>
    <row r="51">
      <c r="A51" s="5" t="inlineStr">
        <is>
          <t>계</t>
        </is>
      </c>
      <c r="K51" s="6" t="n">
        <v>250.73</v>
      </c>
      <c r="L51" s="6" t="n">
        <v>272.32</v>
      </c>
      <c r="M51" s="6" t="n">
        <v>288.38</v>
      </c>
      <c r="N51" s="6" t="n">
        <v>294.84</v>
      </c>
      <c r="O51" s="6" t="n">
        <v>301.74</v>
      </c>
      <c r="P51" s="6" t="n">
        <v>315.14</v>
      </c>
      <c r="Q51" s="6" t="n">
        <v>337.24</v>
      </c>
      <c r="R51" s="6" t="n">
        <v>344.07</v>
      </c>
      <c r="AB51" s="6" t="n">
        <v>880.3</v>
      </c>
      <c r="AC51" s="6" t="n">
        <v>1106.27</v>
      </c>
      <c r="AD51" s="6" t="n">
        <v>1298.19</v>
      </c>
      <c r="AE51" s="6" t="n">
        <v>1616</v>
      </c>
    </row>
    <row r="52">
      <c r="A52" s="10" t="inlineStr">
        <is>
          <t>SoftwareTestingRelatedServicesReportableSegmentMember · 부문 이익</t>
        </is>
      </c>
      <c r="AB52" s="11" t="n">
        <v>145.11</v>
      </c>
      <c r="AC52" s="11" t="n">
        <v>161.66</v>
      </c>
      <c r="AD52" s="11" t="n">
        <v>215.18</v>
      </c>
    </row>
    <row r="53">
      <c r="A53" s="10" t="inlineStr">
        <is>
          <t>SoftwareDevelopmentRelatedServicesReportableSegmentMember · 부문 이익</t>
        </is>
      </c>
      <c r="AB53" s="11" t="n">
        <v>19.33</v>
      </c>
      <c r="AC53" s="11" t="n">
        <v>18.31</v>
      </c>
      <c r="AD53" s="11" t="n">
        <v>26.1</v>
      </c>
    </row>
    <row r="54">
      <c r="A54" s="10" t="inlineStr">
        <is>
          <t>OtherProximateServicesReportableSegmentMember · 부문 이익</t>
        </is>
      </c>
      <c r="AB54" s="11" t="n">
        <v>3.38</v>
      </c>
      <c r="AC54" s="11" t="n">
        <v>1.7</v>
      </c>
      <c r="AD54" s="11" t="n">
        <v>7.36</v>
      </c>
    </row>
    <row r="55">
      <c r="A55" s="10" t="inlineStr">
        <is>
          <t>ConsultingReportableSegmentMember · 부문 이익</t>
        </is>
      </c>
      <c r="AD55" s="11" t="n">
        <v>42.95</v>
      </c>
      <c r="AE55" s="11" t="n">
        <v>54.49</v>
      </c>
    </row>
    <row r="56">
      <c r="A56" s="10" t="inlineStr">
        <is>
          <t>DevelopmentReportableSegmentMember · 부문 이익</t>
        </is>
      </c>
      <c r="AD56" s="11" t="n">
        <v>50.34</v>
      </c>
      <c r="AE56" s="11" t="n">
        <v>58.38</v>
      </c>
    </row>
    <row r="57">
      <c r="A57" s="10" t="inlineStr">
        <is>
          <t>TestingReportableSegmentMember · 부문 이익</t>
        </is>
      </c>
      <c r="AD57" s="11" t="n">
        <v>159.29</v>
      </c>
      <c r="AE57" s="11" t="n">
        <v>168.97</v>
      </c>
    </row>
    <row r="58">
      <c r="A58" s="10" t="inlineStr">
        <is>
          <t>BPaaSReportableSegmentMember · 부문 이익</t>
        </is>
      </c>
      <c r="AD58" s="11" t="n">
        <v>4.55</v>
      </c>
      <c r="AE58" s="11" t="n">
        <v>8.01</v>
      </c>
    </row>
    <row r="59">
      <c r="A59" s="10" t="inlineStr">
        <is>
          <t>InvestmentPlatformReportableSegmentMember · 부문 이익</t>
        </is>
      </c>
      <c r="AD59" s="11" t="n">
        <v>0</v>
      </c>
      <c r="AE59" s="11" t="n">
        <v>-3.61</v>
      </c>
    </row>
    <row r="60">
      <c r="A60" s="10" t="inlineStr">
        <is>
          <t>ReportableSegmentsMember · 부문 이익</t>
        </is>
      </c>
      <c r="M60" s="11" t="n">
        <v>44.47</v>
      </c>
      <c r="N60" s="11" t="n">
        <v>56.8</v>
      </c>
      <c r="Q60" s="11" t="n">
        <v>64.05</v>
      </c>
      <c r="R60" s="11" t="n">
        <v>69.67</v>
      </c>
      <c r="U60" s="11" t="n">
        <v>67.17</v>
      </c>
      <c r="V60" s="11" t="n">
        <v>104.16</v>
      </c>
      <c r="AB60" s="11" t="n">
        <v>167.83</v>
      </c>
      <c r="AC60" s="11" t="n">
        <v>181.67</v>
      </c>
      <c r="AD60" s="11" t="n">
        <v>257.14</v>
      </c>
      <c r="AE60" s="11" t="n">
        <v>286.25</v>
      </c>
    </row>
    <row r="61">
      <c r="A61" s="10" t="inlineStr">
        <is>
          <t>OperatingSegmentsNotIncludedInReportableSegmentsAndOtherRevenueGeneratingBusinessActivitiesMember · 부문 이익</t>
        </is>
      </c>
      <c r="AD61" s="11" t="n">
        <v>10.46</v>
      </c>
      <c r="AE61" s="11" t="n">
        <v>15.03</v>
      </c>
    </row>
    <row r="62">
      <c r="A62" s="10" t="inlineStr">
        <is>
          <t>TotalOfReportableSegmentsAndOthersMember · 부문 이익</t>
        </is>
      </c>
      <c r="K62" s="11" t="n">
        <v>34.79</v>
      </c>
      <c r="O62" s="11" t="n">
        <v>55.07</v>
      </c>
      <c r="S62" s="11" t="n">
        <v>50.36</v>
      </c>
      <c r="AD62" s="11" t="n">
        <v>267.61</v>
      </c>
      <c r="AE62" s="11" t="n">
        <v>301.29</v>
      </c>
    </row>
    <row r="63">
      <c r="A63" s="10" t="inlineStr">
        <is>
          <t>ReconcilingItemsMember · 부문 이익</t>
        </is>
      </c>
      <c r="K63" s="11" t="n">
        <v>-16.66</v>
      </c>
      <c r="L63" s="11" t="n">
        <v>-16.91</v>
      </c>
      <c r="M63" s="11" t="n">
        <v>-20.75</v>
      </c>
      <c r="N63" s="11" t="n">
        <v>-21.98</v>
      </c>
      <c r="O63" s="11" t="n">
        <v>-19.9</v>
      </c>
      <c r="P63" s="11" t="n">
        <v>-22.94</v>
      </c>
      <c r="Q63" s="11" t="n">
        <v>-25.63</v>
      </c>
      <c r="R63" s="11" t="n">
        <v>-42.85</v>
      </c>
      <c r="S63" s="11" t="n">
        <v>-22.18</v>
      </c>
      <c r="T63" s="11" t="n">
        <v>-23.66</v>
      </c>
      <c r="U63" s="11" t="n">
        <v>-22.41</v>
      </c>
      <c r="V63" s="11" t="n">
        <v>-58.58</v>
      </c>
      <c r="AB63" s="11" t="n">
        <v>-52.18</v>
      </c>
      <c r="AC63" s="11" t="n">
        <v>-76.3</v>
      </c>
      <c r="AD63" s="11" t="n">
        <v>-111.32</v>
      </c>
      <c r="AE63" s="11" t="n">
        <v>-126.83</v>
      </c>
    </row>
    <row r="64">
      <c r="A64" s="10" t="inlineStr">
        <is>
          <t>EntityTotalMember · 부문 이익</t>
        </is>
      </c>
      <c r="O64" s="11" t="n">
        <v>35.17</v>
      </c>
      <c r="S64" s="11" t="n">
        <v>28.17</v>
      </c>
    </row>
    <row r="65">
      <c r="A65" s="5" t="inlineStr">
        <is>
          <t>부문 이익</t>
        </is>
      </c>
      <c r="K65" s="6" t="n">
        <v>18.13</v>
      </c>
      <c r="L65" s="6" t="n">
        <v>28.7</v>
      </c>
      <c r="M65" s="6" t="n">
        <v>23.72</v>
      </c>
      <c r="N65" s="6" t="n">
        <v>34.82</v>
      </c>
      <c r="O65" s="6" t="n">
        <v>35.17</v>
      </c>
      <c r="P65" s="6" t="n">
        <v>45.41</v>
      </c>
      <c r="Q65" s="6" t="n">
        <v>38.48</v>
      </c>
      <c r="R65" s="6" t="n">
        <v>37.22</v>
      </c>
      <c r="AB65" s="6" t="n">
        <v>115.65</v>
      </c>
      <c r="AC65" s="6" t="n">
        <v>105.37</v>
      </c>
      <c r="AD65" s="6" t="n">
        <v>156.28</v>
      </c>
      <c r="AE65" s="6" t="n">
        <v>174.45</v>
      </c>
    </row>
    <row r="66">
      <c r="A66" s="10" t="inlineStr">
        <is>
          <t>SoftwareTestingRelatedServicesReportableSegmentMember · 감가상각비</t>
        </is>
      </c>
      <c r="AB66" s="11" t="n">
        <v>1.6</v>
      </c>
      <c r="AC66" s="11" t="n">
        <v>2.04</v>
      </c>
      <c r="AD66" s="11" t="n">
        <v>2.17</v>
      </c>
    </row>
    <row r="67">
      <c r="A67" s="10" t="inlineStr">
        <is>
          <t>SoftwareDevelopmentRelatedServicesReportableSegmentMember · 감가상각비</t>
        </is>
      </c>
      <c r="AB67" s="11" t="n">
        <v>1.73</v>
      </c>
      <c r="AC67" s="11" t="n">
        <v>1.88</v>
      </c>
      <c r="AD67" s="11" t="n">
        <v>2.32</v>
      </c>
    </row>
    <row r="68">
      <c r="A68" s="10" t="inlineStr">
        <is>
          <t>OtherProximateServicesReportableSegmentMember · 감가상각비</t>
        </is>
      </c>
      <c r="AB68" s="11" t="n">
        <v>2.72</v>
      </c>
      <c r="AC68" s="11" t="n">
        <v>5.89</v>
      </c>
      <c r="AD68" s="11" t="n">
        <v>7.67</v>
      </c>
    </row>
    <row r="69">
      <c r="A69" s="10" t="inlineStr">
        <is>
          <t>ConsultingReportableSegmentMember · 감가상각비</t>
        </is>
      </c>
      <c r="AD69" s="11" t="n">
        <v>0.3</v>
      </c>
      <c r="AE69" s="11" t="n">
        <v>0.59</v>
      </c>
    </row>
    <row r="70">
      <c r="A70" s="10" t="inlineStr">
        <is>
          <t>DevelopmentReportableSegmentMember · 감가상각비</t>
        </is>
      </c>
      <c r="AD70" s="11" t="n">
        <v>2.45</v>
      </c>
      <c r="AE70" s="11" t="n">
        <v>4.96</v>
      </c>
    </row>
    <row r="71">
      <c r="A71" s="10" t="inlineStr">
        <is>
          <t>TestingReportableSegmentMember · 감가상각비</t>
        </is>
      </c>
      <c r="AD71" s="11" t="n">
        <v>1.57</v>
      </c>
      <c r="AE71" s="11" t="n">
        <v>2.16</v>
      </c>
    </row>
    <row r="72">
      <c r="A72" s="10" t="inlineStr">
        <is>
          <t>BPaaSReportableSegmentMember · 감가상각비</t>
        </is>
      </c>
      <c r="AD72" s="11" t="n">
        <v>0.19</v>
      </c>
      <c r="AE72" s="11" t="n">
        <v>0.21</v>
      </c>
    </row>
    <row r="73">
      <c r="A73" s="10" t="inlineStr">
        <is>
          <t>InvestmentPlatformReportableSegmentMember · 감가상각비</t>
        </is>
      </c>
      <c r="AD73" s="11" t="n">
        <v>0</v>
      </c>
      <c r="AE73" s="11" t="n">
        <v>0</v>
      </c>
    </row>
    <row r="74">
      <c r="A74" s="10" t="inlineStr">
        <is>
          <t>ReportableSegmentsMember · 감가상각비</t>
        </is>
      </c>
      <c r="AB74" s="11" t="n">
        <v>6.07</v>
      </c>
      <c r="AC74" s="11" t="n">
        <v>9.81</v>
      </c>
      <c r="AD74" s="11" t="n">
        <v>4.53</v>
      </c>
      <c r="AE74" s="11" t="n">
        <v>7.95</v>
      </c>
    </row>
    <row r="75">
      <c r="A75" s="10" t="inlineStr">
        <is>
          <t>OperatingSegmentsNotIncludedInReportableSegmentsAndOtherRevenueGeneratingBusinessActivitiesMember · 감가상각비</t>
        </is>
      </c>
      <c r="AD75" s="11" t="n">
        <v>7.63</v>
      </c>
      <c r="AE75" s="11" t="n">
        <v>9.609999999999999</v>
      </c>
    </row>
    <row r="76">
      <c r="A76" s="10" t="inlineStr">
        <is>
          <t>TotalOfReportableSegmentsAndOthersMember · 감가상각비</t>
        </is>
      </c>
      <c r="AD76" s="11" t="n">
        <v>12.16</v>
      </c>
      <c r="AE76" s="11" t="n">
        <v>17.56</v>
      </c>
    </row>
    <row r="77">
      <c r="A77" s="10" t="inlineStr">
        <is>
          <t>ReconcilingItemsMember · 감가상각비</t>
        </is>
      </c>
      <c r="AB77" s="11" t="n">
        <v>0.84</v>
      </c>
      <c r="AC77" s="11" t="n">
        <v>4.53</v>
      </c>
      <c r="AD77" s="11" t="n">
        <v>6.29</v>
      </c>
      <c r="AE77" s="11" t="n">
        <v>5.4</v>
      </c>
    </row>
    <row r="78">
      <c r="A78" s="10" t="inlineStr">
        <is>
          <t>감가상각비</t>
        </is>
      </c>
      <c r="AB78" s="11" t="n">
        <v>6.92</v>
      </c>
      <c r="AC78" s="11" t="n">
        <v>14.35</v>
      </c>
      <c r="AD78" s="11" t="n">
        <v>18.45</v>
      </c>
      <c r="AE78" s="11" t="n">
        <v>22.97</v>
      </c>
    </row>
    <row r="79">
      <c r="A79" s="10" t="inlineStr">
        <is>
          <t>SoftwareTestingRelatedServicesReportableSegmentMember · 영업권 상각</t>
        </is>
      </c>
      <c r="AB79" s="11" t="n">
        <v>0.02</v>
      </c>
      <c r="AC79" s="11" t="n">
        <v>0.02</v>
      </c>
      <c r="AD79" s="11" t="n">
        <v>0.17</v>
      </c>
    </row>
    <row r="80">
      <c r="A80" s="10" t="inlineStr">
        <is>
          <t>SoftwareDevelopmentRelatedServicesReportableSegmentMember · 영업권 상각</t>
        </is>
      </c>
      <c r="AB80" s="11" t="n">
        <v>5.92</v>
      </c>
      <c r="AC80" s="11" t="n">
        <v>8.23</v>
      </c>
      <c r="AD80" s="11" t="n">
        <v>8.41</v>
      </c>
    </row>
    <row r="81">
      <c r="A81" s="10" t="inlineStr">
        <is>
          <t>OtherProximateServicesReportableSegmentMember · 영업권 상각</t>
        </is>
      </c>
      <c r="AB81" s="11" t="n">
        <v>4.33</v>
      </c>
      <c r="AC81" s="11" t="n">
        <v>6.26</v>
      </c>
      <c r="AD81" s="11" t="n">
        <v>5.35</v>
      </c>
    </row>
    <row r="82">
      <c r="A82" s="10" t="inlineStr">
        <is>
          <t>ConsultingReportableSegmentMember · 영업권 상각</t>
        </is>
      </c>
      <c r="AD82" s="11" t="n">
        <v>0.11</v>
      </c>
      <c r="AE82" s="11" t="n">
        <v>0.01</v>
      </c>
    </row>
    <row r="83">
      <c r="A83" s="10" t="inlineStr">
        <is>
          <t>DevelopmentReportableSegmentMember · 영업권 상각</t>
        </is>
      </c>
      <c r="AD83" s="11" t="n">
        <v>8.289999999999999</v>
      </c>
      <c r="AE83" s="11" t="n">
        <v>12.94</v>
      </c>
    </row>
    <row r="84">
      <c r="A84" s="10" t="inlineStr">
        <is>
          <t>TestingReportableSegmentMember · 영업권 상각</t>
        </is>
      </c>
      <c r="AD84" s="11" t="n">
        <v>1.05</v>
      </c>
      <c r="AE84" s="11" t="n">
        <v>0.76</v>
      </c>
    </row>
    <row r="85">
      <c r="A85" s="10" t="inlineStr">
        <is>
          <t>BPaaSReportableSegmentMember · 영업권 상각</t>
        </is>
      </c>
      <c r="AD85" s="11" t="n">
        <v>0.02</v>
      </c>
      <c r="AE85" s="11" t="n">
        <v>0.02</v>
      </c>
    </row>
    <row r="86">
      <c r="A86" s="10" t="inlineStr">
        <is>
          <t>InvestmentPlatformReportableSegmentMember · 영업권 상각</t>
        </is>
      </c>
      <c r="AD86" s="11" t="n">
        <v>0</v>
      </c>
      <c r="AE86" s="11" t="n">
        <v>0.91</v>
      </c>
    </row>
    <row r="87">
      <c r="A87" s="10" t="inlineStr">
        <is>
          <t>ReportableSegmentsMember · 영업권 상각</t>
        </is>
      </c>
      <c r="AB87" s="11" t="n">
        <v>10.28</v>
      </c>
      <c r="AC87" s="11" t="n">
        <v>14.51</v>
      </c>
      <c r="AD87" s="11" t="n">
        <v>9.48</v>
      </c>
      <c r="AE87" s="11" t="n">
        <v>14.66</v>
      </c>
    </row>
    <row r="88">
      <c r="A88" s="10" t="inlineStr">
        <is>
          <t>OperatingSegmentsNotIncludedInReportableSegmentsAndOtherRevenueGeneratingBusinessActivitiesMember · 영업권 상각</t>
        </is>
      </c>
      <c r="AD88" s="11" t="n">
        <v>4.46</v>
      </c>
      <c r="AE88" s="11" t="n">
        <v>3.95</v>
      </c>
    </row>
    <row r="89">
      <c r="A89" s="10" t="inlineStr">
        <is>
          <t>TotalOfReportableSegmentsAndOthersMember · 영업권 상각</t>
        </is>
      </c>
      <c r="AD89" s="11" t="n">
        <v>13.94</v>
      </c>
      <c r="AE89" s="11" t="n">
        <v>18.61</v>
      </c>
    </row>
    <row r="90">
      <c r="A90" s="10" t="inlineStr">
        <is>
          <t>ReconcilingItemsMember · 영업권 상각</t>
        </is>
      </c>
      <c r="AB90" s="11" t="n">
        <v>0</v>
      </c>
      <c r="AC90" s="11" t="n">
        <v>0</v>
      </c>
      <c r="AD90" s="11" t="n">
        <v>0</v>
      </c>
      <c r="AE90" s="11" t="n">
        <v>0</v>
      </c>
    </row>
    <row r="91">
      <c r="A91" s="10" t="inlineStr">
        <is>
          <t>영업권 상각</t>
        </is>
      </c>
      <c r="AB91" s="11" t="n">
        <v>10.28</v>
      </c>
      <c r="AC91" s="11" t="n">
        <v>14.51</v>
      </c>
      <c r="AD91" s="11" t="n">
        <v>13.94</v>
      </c>
      <c r="AE91" s="11" t="n">
        <v>18.61</v>
      </c>
    </row>
    <row r="92">
      <c r="A92" s="10" t="inlineStr">
        <is>
          <t>ConsultingReportableSegmentMember · 손상차손</t>
        </is>
      </c>
      <c r="AD92" s="11" t="n">
        <v>0</v>
      </c>
      <c r="AE92" s="11" t="n">
        <v>0</v>
      </c>
    </row>
    <row r="93">
      <c r="A93" s="10" t="inlineStr">
        <is>
          <t>DevelopmentReportableSegmentMember · 손상차손</t>
        </is>
      </c>
      <c r="AD93" s="11" t="n">
        <v>0</v>
      </c>
      <c r="AE93" s="11" t="n">
        <v>0</v>
      </c>
    </row>
    <row r="94">
      <c r="A94" s="10" t="inlineStr">
        <is>
          <t>TestingReportableSegmentMember · 손상차손</t>
        </is>
      </c>
      <c r="AD94" s="11" t="n">
        <v>0</v>
      </c>
      <c r="AE94" s="11" t="n">
        <v>5.01</v>
      </c>
    </row>
    <row r="95">
      <c r="A95" s="10" t="inlineStr">
        <is>
          <t>BPaaSReportableSegmentMember · 손상차손</t>
        </is>
      </c>
      <c r="AD95" s="11" t="n">
        <v>0</v>
      </c>
      <c r="AE95" s="11" t="n">
        <v>0</v>
      </c>
    </row>
    <row r="96">
      <c r="A96" s="10" t="inlineStr">
        <is>
          <t>InvestmentPlatformReportableSegmentMember · 손상차손</t>
        </is>
      </c>
      <c r="AD96" s="11" t="n">
        <v>0</v>
      </c>
      <c r="AE96" s="11" t="n">
        <v>0</v>
      </c>
    </row>
    <row r="97">
      <c r="A97" s="10" t="inlineStr">
        <is>
          <t>ReportableSegmentsMember · 손상차손</t>
        </is>
      </c>
      <c r="AD97" s="11" t="n">
        <v>0</v>
      </c>
      <c r="AE97" s="11" t="n">
        <v>5.01</v>
      </c>
    </row>
    <row r="98">
      <c r="A98" s="10" t="inlineStr">
        <is>
          <t>OperatingSegmentsNotIncludedInReportableSegmentsAndOtherRevenueGeneratingBusinessActivitiesMember · 손상차손</t>
        </is>
      </c>
      <c r="AD98" s="11" t="n">
        <v>9.77</v>
      </c>
      <c r="AE98" s="11" t="n">
        <v>0.55</v>
      </c>
    </row>
    <row r="99">
      <c r="A99" s="10" t="inlineStr">
        <is>
          <t>UnallocatedAmountsAndEliminationMember · 손상차손</t>
        </is>
      </c>
      <c r="AD99" s="11" t="n">
        <v>0</v>
      </c>
      <c r="AE99" s="11" t="n">
        <v>0</v>
      </c>
    </row>
    <row r="100">
      <c r="A100" s="10" t="inlineStr">
        <is>
          <t>손상차손</t>
        </is>
      </c>
      <c r="AD100" s="11" t="n">
        <v>9.77</v>
      </c>
      <c r="AE100" s="11" t="n">
        <v>5.56</v>
      </c>
    </row>
    <row r="101">
      <c r="A101" s="10" t="inlineStr">
        <is>
          <t>SoftwareTestingRelatedServicesReportableSegmentMember · 외부 고객 매출</t>
        </is>
      </c>
      <c r="K101" s="11" t="n">
        <v>163.3</v>
      </c>
      <c r="O101" s="11" t="n">
        <v>191.22</v>
      </c>
      <c r="S101" s="11" t="n">
        <v>224.86</v>
      </c>
    </row>
    <row r="102">
      <c r="A102" s="10" t="inlineStr">
        <is>
          <t>SoftwareDevelopmentRelatedServicesReportableSegmentMember · 외부 고객 매출</t>
        </is>
      </c>
      <c r="K102" s="11" t="n">
        <v>74.42</v>
      </c>
      <c r="O102" s="11" t="n">
        <v>90.73999999999999</v>
      </c>
      <c r="S102" s="11" t="n">
        <v>95.59999999999999</v>
      </c>
    </row>
    <row r="103">
      <c r="A103" s="10" t="inlineStr">
        <is>
          <t>OtherProximateServicesReportableSegmentMember · 외부 고객 매출</t>
        </is>
      </c>
      <c r="K103" s="11" t="n">
        <v>13</v>
      </c>
      <c r="O103" s="11" t="n">
        <v>19.77</v>
      </c>
      <c r="S103" s="11" t="n">
        <v>27.98</v>
      </c>
    </row>
    <row r="104">
      <c r="A104" s="10" t="inlineStr">
        <is>
          <t>SoftwareTestingRelatedServicesReportableSegmentMember · 외부 고객 매출</t>
        </is>
      </c>
      <c r="AB104" s="11" t="n">
        <v>581.73</v>
      </c>
      <c r="AC104" s="11" t="n">
        <v>711.33</v>
      </c>
      <c r="AD104" s="11" t="n">
        <v>834.37</v>
      </c>
    </row>
    <row r="105">
      <c r="A105" s="10" t="inlineStr">
        <is>
          <t>SoftwareDevelopmentRelatedServicesReportableSegmentMember · 외부 고객 매출</t>
        </is>
      </c>
      <c r="AB105" s="11" t="n">
        <v>243.88</v>
      </c>
      <c r="AC105" s="11" t="n">
        <v>323.16</v>
      </c>
      <c r="AD105" s="11" t="n">
        <v>371.18</v>
      </c>
    </row>
    <row r="106">
      <c r="A106" s="10" t="inlineStr">
        <is>
          <t>OtherProximateServicesReportableSegmentMember · 외부 고객 매출</t>
        </is>
      </c>
      <c r="AB106" s="11" t="n">
        <v>54.67</v>
      </c>
      <c r="AC106" s="11" t="n">
        <v>71.78</v>
      </c>
      <c r="AD106" s="11" t="n">
        <v>92.64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5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44" customWidth="1" min="3" max="3"/>
  </cols>
  <sheetData>
    <row r="1">
      <c r="A1" s="1" t="inlineStr">
        <is>
          <t>SHIFT 섹터·사업 데이터</t>
        </is>
      </c>
    </row>
    <row r="2">
      <c r="A2" s="2" t="inlineStr">
        <is>
          <t>2단계 보고서를 만들 때 모은 자료 · 월차 · 출처는 맨 오른쪽</t>
        </is>
      </c>
    </row>
    <row r="4">
      <c r="A4" s="12" t="inlineStr">
        <is>
          <t>guidance · FY8/27</t>
        </is>
      </c>
      <c r="B4" s="12" t="n"/>
      <c r="C4" s="12" t="n"/>
    </row>
    <row r="5">
      <c r="A5" s="13" t="inlineStr">
        <is>
          <t>항목</t>
        </is>
      </c>
      <c r="B5" s="13" t="inlineStr">
        <is>
          <t>값</t>
        </is>
      </c>
      <c r="C5" s="13" t="inlineStr">
        <is>
          <t>출처</t>
        </is>
      </c>
    </row>
    <row r="6">
      <c r="A6" s="14" t="inlineStr">
        <is>
          <t>매출</t>
        </is>
      </c>
      <c r="B6" s="15" t="n">
        <v>1900</v>
      </c>
      <c r="C6" s="3" t="inlineStr">
        <is>
          <t>2단계 보고서 자료(회사 설명회 자료·공시)</t>
        </is>
      </c>
    </row>
    <row r="7">
      <c r="A7" s="14" t="inlineStr">
        <is>
          <t>EPS</t>
        </is>
      </c>
      <c r="B7" s="11" t="n">
        <v>52.16</v>
      </c>
    </row>
    <row r="8">
      <c r="A8" s="14" t="inlineStr">
        <is>
          <t>dps</t>
        </is>
      </c>
      <c r="B8" s="11" t="n">
        <v>5.2</v>
      </c>
    </row>
    <row r="10">
      <c r="A10" s="12" t="inlineStr">
        <is>
          <t>컨센서스</t>
        </is>
      </c>
      <c r="B10" s="12" t="n"/>
      <c r="C10" s="12" t="n"/>
    </row>
    <row r="11">
      <c r="A11" s="13" t="inlineStr">
        <is>
          <t>항목</t>
        </is>
      </c>
      <c r="B11" s="13" t="inlineStr">
        <is>
          <t>값</t>
        </is>
      </c>
      <c r="C11" s="13" t="inlineStr">
        <is>
          <t>출처</t>
        </is>
      </c>
    </row>
    <row r="12">
      <c r="A12" s="14" t="inlineStr">
        <is>
          <t>목표주가 평균</t>
        </is>
      </c>
      <c r="B12" s="15" t="n">
        <v>984</v>
      </c>
      <c r="C12" s="3" t="inlineStr">
        <is>
          <t>야후 2026-10-22</t>
        </is>
      </c>
    </row>
    <row r="13">
      <c r="A13" s="14" t="inlineStr">
        <is>
          <t>4Q EPS 추정</t>
        </is>
      </c>
      <c r="B13" s="11" t="n">
        <v>16.42</v>
      </c>
    </row>
    <row r="14">
      <c r="A14" s="14" t="inlineStr">
        <is>
          <t>4Q EPS act</t>
        </is>
      </c>
      <c r="B14" s="11" t="n">
        <v>13.4</v>
      </c>
    </row>
    <row r="16">
      <c r="A16" s="12" t="inlineStr">
        <is>
          <t>consensus · FY8/27</t>
        </is>
      </c>
      <c r="B16" s="12" t="n"/>
      <c r="C16" s="12" t="n"/>
    </row>
    <row r="17">
      <c r="A17" s="13" t="inlineStr">
        <is>
          <t>항목</t>
        </is>
      </c>
      <c r="B17" s="13" t="inlineStr">
        <is>
          <t>값</t>
        </is>
      </c>
      <c r="C17" s="13" t="inlineStr">
        <is>
          <t>출처</t>
        </is>
      </c>
    </row>
    <row r="18">
      <c r="A18" s="14" t="inlineStr">
        <is>
          <t>매출 avg</t>
        </is>
      </c>
      <c r="B18" s="11" t="n">
        <v>1830.4</v>
      </c>
      <c r="C18" s="3" t="inlineStr">
        <is>
          <t>야후 2026-10-22</t>
        </is>
      </c>
    </row>
    <row r="19">
      <c r="A19" s="14" t="inlineStr">
        <is>
          <t>매출 애널리스트 수</t>
        </is>
      </c>
      <c r="B19" s="15" t="n">
        <v>6</v>
      </c>
    </row>
    <row r="20">
      <c r="A20" s="14" t="inlineStr">
        <is>
          <t>EPS avg</t>
        </is>
      </c>
      <c r="B20" s="11" t="n">
        <v>54.06</v>
      </c>
    </row>
    <row r="21">
      <c r="A21" s="14" t="inlineStr">
        <is>
          <t>EPS 애널리스트 수</t>
        </is>
      </c>
      <c r="B21" s="15" t="n">
        <v>2</v>
      </c>
    </row>
    <row r="23">
      <c r="A23" s="12" t="inlineStr">
        <is>
          <t>consensus · FY8/28</t>
        </is>
      </c>
      <c r="B23" s="12" t="n"/>
      <c r="C23" s="12" t="n"/>
    </row>
    <row r="24">
      <c r="A24" s="13" t="inlineStr">
        <is>
          <t>항목</t>
        </is>
      </c>
      <c r="B24" s="13" t="inlineStr">
        <is>
          <t>값</t>
        </is>
      </c>
      <c r="C24" s="13" t="inlineStr">
        <is>
          <t>출처</t>
        </is>
      </c>
    </row>
    <row r="25">
      <c r="A25" s="14" t="inlineStr">
        <is>
          <t>매출 avg</t>
        </is>
      </c>
      <c r="B25" s="11" t="n">
        <v>2103.2</v>
      </c>
      <c r="C25" s="3" t="inlineStr">
        <is>
          <t>야후 2026-10-22</t>
        </is>
      </c>
    </row>
    <row r="26">
      <c r="A26" s="14" t="inlineStr">
        <is>
          <t>EPS avg</t>
        </is>
      </c>
      <c r="B26" s="11" t="n">
        <v>65.89</v>
      </c>
    </row>
    <row r="28">
      <c r="A28" s="12" t="inlineStr">
        <is>
          <t>peers · 4442 바르테스</t>
        </is>
      </c>
      <c r="B28" s="12" t="n"/>
      <c r="C28" s="12" t="n"/>
    </row>
    <row r="29">
      <c r="A29" s="13" t="inlineStr">
        <is>
          <t>항목</t>
        </is>
      </c>
      <c r="B29" s="13" t="inlineStr">
        <is>
          <t>값</t>
        </is>
      </c>
      <c r="C29" s="13" t="inlineStr">
        <is>
          <t>출처</t>
        </is>
      </c>
    </row>
    <row r="30">
      <c r="A30" s="14" t="inlineStr">
        <is>
          <t>fc EPS</t>
        </is>
      </c>
      <c r="B30" s="11" t="n">
        <v>30.76</v>
      </c>
      <c r="C30" s="3" t="inlineStr">
        <is>
          <t>2단계 보고서 자료(회사 설명회 자료·공시)</t>
        </is>
      </c>
    </row>
    <row r="31">
      <c r="A31" s="14" t="inlineStr">
        <is>
          <t>가격</t>
        </is>
      </c>
      <c r="B31" s="15" t="n">
        <v>544</v>
      </c>
    </row>
    <row r="33">
      <c r="A33" s="12" t="inlineStr">
        <is>
          <t>peers · 3676 디지털하츠</t>
        </is>
      </c>
      <c r="B33" s="12" t="n"/>
      <c r="C33" s="12" t="n"/>
    </row>
    <row r="34">
      <c r="A34" s="13" t="inlineStr">
        <is>
          <t>항목</t>
        </is>
      </c>
      <c r="B34" s="13" t="inlineStr">
        <is>
          <t>값</t>
        </is>
      </c>
      <c r="C34" s="13" t="inlineStr">
        <is>
          <t>출처</t>
        </is>
      </c>
    </row>
    <row r="35">
      <c r="A35" s="14" t="inlineStr">
        <is>
          <t>fc EPS</t>
        </is>
      </c>
      <c r="B35" s="11" t="n">
        <v>82.95999999999999</v>
      </c>
      <c r="C35" s="3" t="inlineStr">
        <is>
          <t>2단계 보고서 자료(회사 설명회 자료·공시)</t>
        </is>
      </c>
    </row>
    <row r="36">
      <c r="A36" s="14" t="inlineStr">
        <is>
          <t>가격</t>
        </is>
      </c>
      <c r="B36" s="15" t="n">
        <v>1075</v>
      </c>
    </row>
    <row r="38">
      <c r="A38" s="12" t="inlineStr">
        <is>
          <t>peers · 2317 시스테나</t>
        </is>
      </c>
      <c r="B38" s="12" t="n"/>
      <c r="C38" s="12" t="n"/>
    </row>
    <row r="39">
      <c r="A39" s="13" t="inlineStr">
        <is>
          <t>항목</t>
        </is>
      </c>
      <c r="B39" s="13" t="inlineStr">
        <is>
          <t>값</t>
        </is>
      </c>
      <c r="C39" s="13" t="inlineStr">
        <is>
          <t>출처</t>
        </is>
      </c>
    </row>
    <row r="40">
      <c r="A40" s="14" t="inlineStr">
        <is>
          <t>fc EPS</t>
        </is>
      </c>
      <c r="B40" s="11" t="n">
        <v>29.74</v>
      </c>
      <c r="C40" s="3" t="inlineStr">
        <is>
          <t>2단계 보고서 자료(회사 설명회 자료·공시)</t>
        </is>
      </c>
    </row>
    <row r="41">
      <c r="A41" s="14" t="inlineStr">
        <is>
          <t>가격</t>
        </is>
      </c>
      <c r="B41" s="15" t="n">
        <v>460</v>
      </c>
    </row>
    <row r="43">
      <c r="A43" s="12" t="inlineStr">
        <is>
          <t>peers · 6532 베이커런트</t>
        </is>
      </c>
      <c r="B43" s="12" t="n"/>
      <c r="C43" s="12" t="n"/>
    </row>
    <row r="44">
      <c r="A44" s="13" t="inlineStr">
        <is>
          <t>항목</t>
        </is>
      </c>
      <c r="B44" s="13" t="inlineStr">
        <is>
          <t>값</t>
        </is>
      </c>
      <c r="C44" s="13" t="inlineStr">
        <is>
          <t>출처</t>
        </is>
      </c>
    </row>
    <row r="45">
      <c r="A45" s="14" t="inlineStr">
        <is>
          <t>fc EPS</t>
        </is>
      </c>
      <c r="B45" s="11" t="n">
        <v>323.79</v>
      </c>
      <c r="C45" s="3" t="inlineStr">
        <is>
          <t>2단계 보고서 자료(회사 설명회 자료·공시)</t>
        </is>
      </c>
    </row>
    <row r="46">
      <c r="A46" s="14" t="inlineStr">
        <is>
          <t>가격</t>
        </is>
      </c>
      <c r="B46" s="15" t="n">
        <v>11495</v>
      </c>
    </row>
    <row r="48">
      <c r="A48" s="12" t="inlineStr">
        <is>
          <t>비교 기업 · 9759 NSD</t>
        </is>
      </c>
      <c r="B48" s="12" t="n"/>
      <c r="C48" s="12" t="n"/>
    </row>
    <row r="49">
      <c r="A49" s="13" t="inlineStr">
        <is>
          <t>항목</t>
        </is>
      </c>
      <c r="B49" s="13" t="inlineStr">
        <is>
          <t>값</t>
        </is>
      </c>
      <c r="C49" s="13" t="inlineStr">
        <is>
          <t>출처</t>
        </is>
      </c>
    </row>
    <row r="50">
      <c r="A50" s="14" t="inlineStr">
        <is>
          <t>fc EPS</t>
        </is>
      </c>
      <c r="B50" s="11" t="n">
        <v>173.67</v>
      </c>
      <c r="C50" s="3" t="inlineStr">
        <is>
          <t>2단계 보고서 자료(회사 설명회 자료·공시)</t>
        </is>
      </c>
    </row>
    <row r="51">
      <c r="A51" s="14" t="inlineStr">
        <is>
          <t>가격</t>
        </is>
      </c>
      <c r="B51" s="15" t="n">
        <v>3230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3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1" t="inlineStr">
        <is>
          <t>출처 · 쓴 결산단신</t>
        </is>
      </c>
    </row>
    <row r="3">
      <c r="A3" s="16" t="inlineStr">
        <is>
          <t>공시일</t>
        </is>
      </c>
      <c r="B3" s="16" t="inlineStr">
        <is>
          <t>문서</t>
        </is>
      </c>
      <c r="C3" s="16" t="inlineStr">
        <is>
          <t>PDF</t>
        </is>
      </c>
    </row>
    <row r="4">
      <c r="A4" t="inlineStr">
        <is>
          <t>2026-10-15</t>
        </is>
      </c>
      <c r="B4" t="inlineStr">
        <is>
          <t>2026년 8월 결산기 연간 결산단신</t>
        </is>
      </c>
      <c r="C4" t="inlineStr">
        <is>
          <t>https://www2.jpx.co.jp/disc/36970/140120261015551188.pdf</t>
        </is>
      </c>
    </row>
    <row r="5">
      <c r="A5" t="inlineStr">
        <is>
          <t>2026-07-15</t>
        </is>
      </c>
      <c r="B5" t="inlineStr">
        <is>
          <t>2026년 8월 결산기 ３분기 결산단신</t>
        </is>
      </c>
      <c r="C5" t="inlineStr">
        <is>
          <t>https://www2.jpx.co.jp/disc/36970/140120260715594578.pdf</t>
        </is>
      </c>
    </row>
    <row r="6">
      <c r="A6" t="inlineStr">
        <is>
          <t>2026-04-14</t>
        </is>
      </c>
      <c r="B6" t="inlineStr">
        <is>
          <t>2026년 8월 결산기 ２분기 결산단신</t>
        </is>
      </c>
      <c r="C6" t="inlineStr">
        <is>
          <t>https://www2.jpx.co.jp/disc/36970/140120260414503657.pdf</t>
        </is>
      </c>
    </row>
    <row r="7">
      <c r="A7" t="inlineStr">
        <is>
          <t>2026-01-14</t>
        </is>
      </c>
      <c r="B7" t="inlineStr">
        <is>
          <t>2026년 8월 결산기 １분기 결산단신</t>
        </is>
      </c>
      <c r="C7" t="inlineStr">
        <is>
          <t>https://www2.jpx.co.jp/disc/36970/140120260114533653.pdf</t>
        </is>
      </c>
    </row>
    <row r="8">
      <c r="A8" t="inlineStr">
        <is>
          <t>2025-10-14</t>
        </is>
      </c>
      <c r="B8" t="inlineStr">
        <is>
          <t>2025년 8월 결산기 연간 결산단신</t>
        </is>
      </c>
      <c r="C8" t="inlineStr">
        <is>
          <t>https://www2.jpx.co.jp/disc/36970/140120251014572712.pdf</t>
        </is>
      </c>
    </row>
    <row r="9">
      <c r="A9" t="inlineStr">
        <is>
          <t>2025-07-09</t>
        </is>
      </c>
      <c r="B9" t="inlineStr">
        <is>
          <t>2025년 8월 결산기 ３분기 결산단신</t>
        </is>
      </c>
      <c r="C9" t="inlineStr">
        <is>
          <t>https://www2.jpx.co.jp/disc/36970/140120250709510601.pdf</t>
        </is>
      </c>
    </row>
    <row r="10">
      <c r="A10" t="inlineStr">
        <is>
          <t>2025-04-10</t>
        </is>
      </c>
      <c r="B10" t="inlineStr">
        <is>
          <t>2025년 8월 결산기 ２분기 결산단신</t>
        </is>
      </c>
      <c r="C10" t="inlineStr">
        <is>
          <t>https://www2.jpx.co.jp/disc/36970/140120250410512548.pdf</t>
        </is>
      </c>
    </row>
    <row r="11">
      <c r="A11" t="inlineStr">
        <is>
          <t>2025-01-14</t>
        </is>
      </c>
      <c r="B11" t="inlineStr">
        <is>
          <t>2025년 8월 결산기 １분기 결산단신</t>
        </is>
      </c>
      <c r="C11" t="inlineStr">
        <is>
          <t>https://www2.jpx.co.jp/disc/36970/140120250114550207.pdf</t>
        </is>
      </c>
    </row>
    <row r="12">
      <c r="A12" t="inlineStr">
        <is>
          <t>2024-10-10</t>
        </is>
      </c>
      <c r="B12" t="inlineStr">
        <is>
          <t>2024년 8월 결산기 연간 결산단신</t>
        </is>
      </c>
      <c r="C12" t="inlineStr">
        <is>
          <t>https://www2.jpx.co.jp/disc/36970/140120241010596269.pdf</t>
        </is>
      </c>
    </row>
    <row r="13">
      <c r="A13" t="inlineStr">
        <is>
          <t>2024-07-10</t>
        </is>
      </c>
      <c r="B13" t="inlineStr">
        <is>
          <t>2024년 8월 결산기 ３분기 결산단신</t>
        </is>
      </c>
      <c r="C13" t="inlineStr">
        <is>
          <t>https://www2.jpx.co.jp/disc/36970/140120240710546846.pdf</t>
        </is>
      </c>
    </row>
    <row r="14">
      <c r="A14" t="inlineStr">
        <is>
          <t>2024-04-11</t>
        </is>
      </c>
      <c r="B14" t="inlineStr">
        <is>
          <t>2024년 8월 결산기 ２분기 결산단신</t>
        </is>
      </c>
      <c r="C14" t="inlineStr">
        <is>
          <t>https://www2.jpx.co.jp/disc/36970/140120240411568859.pdf</t>
        </is>
      </c>
    </row>
    <row r="15">
      <c r="A15" t="inlineStr">
        <is>
          <t>2024-01-12</t>
        </is>
      </c>
      <c r="B15" t="inlineStr">
        <is>
          <t>2024년 8월 결산기 １분기 결산단신</t>
        </is>
      </c>
      <c r="C15" t="inlineStr">
        <is>
          <t>https://www2.jpx.co.jp/disc/36970/140120240111513409.pdf</t>
        </is>
      </c>
    </row>
    <row r="16">
      <c r="A16" t="inlineStr">
        <is>
          <t>2023-10-12</t>
        </is>
      </c>
      <c r="B16" t="inlineStr">
        <is>
          <t>2023년 8월 결산기 연간 결산단신</t>
        </is>
      </c>
      <c r="C16" t="inlineStr">
        <is>
          <t>https://www2.jpx.co.jp/disc/36970/140120231012565742.pdf</t>
        </is>
      </c>
    </row>
    <row r="17">
      <c r="A17" t="inlineStr">
        <is>
          <t>2023-07-13</t>
        </is>
      </c>
      <c r="B17" t="inlineStr">
        <is>
          <t>2023년 8월 결산기 ３분기 결산단신</t>
        </is>
      </c>
      <c r="C17" t="inlineStr">
        <is>
          <t>https://www2.jpx.co.jp/disc/36970/140120230713521444.pdf</t>
        </is>
      </c>
    </row>
    <row r="18">
      <c r="A18" t="inlineStr">
        <is>
          <t>2023-04-10</t>
        </is>
      </c>
      <c r="B18" t="inlineStr">
        <is>
          <t>2023년 8월 결산기 ２분기 결산단신</t>
        </is>
      </c>
      <c r="C18" t="inlineStr">
        <is>
          <t>https://www2.jpx.co.jp/disc/36970/140120230410544464.pdf</t>
        </is>
      </c>
    </row>
    <row r="19">
      <c r="A19" t="inlineStr">
        <is>
          <t>2023-01-12</t>
        </is>
      </c>
      <c r="B19" t="inlineStr">
        <is>
          <t>2023년 8월 결산기 １분기 결산단신</t>
        </is>
      </c>
      <c r="C19" t="inlineStr">
        <is>
          <t>https://www2.jpx.co.jp/disc/36970/140120230112587997.pdf</t>
        </is>
      </c>
    </row>
    <row r="20">
      <c r="A20" t="inlineStr">
        <is>
          <t>2022-10-14</t>
        </is>
      </c>
      <c r="B20" t="inlineStr">
        <is>
          <t>2022년 8월 결산기 연간 결산단신</t>
        </is>
      </c>
      <c r="C20" t="inlineStr">
        <is>
          <t>https://www2.jpx.co.jp/disc/36970/140120221014544294.pdf</t>
        </is>
      </c>
    </row>
    <row r="21">
      <c r="A21" t="inlineStr">
        <is>
          <t>2022-07-07</t>
        </is>
      </c>
      <c r="B21" t="inlineStr">
        <is>
          <t>2022년 8월 결산기 ３분기 결산단신</t>
        </is>
      </c>
      <c r="C21" t="inlineStr">
        <is>
          <t>https://www2.jpx.co.jp/disc/36970/140120220707596344.pdf</t>
        </is>
      </c>
    </row>
    <row r="22">
      <c r="A22" t="inlineStr">
        <is>
          <t>2022-04-07</t>
        </is>
      </c>
      <c r="B22" t="inlineStr">
        <is>
          <t>2022년 8월 결산기 ２분기 결산단신</t>
        </is>
      </c>
      <c r="C22" t="inlineStr">
        <is>
          <t>https://www2.jpx.co.jp/disc/36970/140120220407518436.pdf</t>
        </is>
      </c>
    </row>
    <row r="23">
      <c r="A23" t="inlineStr">
        <is>
          <t>2022-01-14</t>
        </is>
      </c>
      <c r="B23" t="inlineStr">
        <is>
          <t>2022년 8월 결산기 １분기 결산단신</t>
        </is>
      </c>
      <c r="C23" t="inlineStr">
        <is>
          <t>https://www2.jpx.co.jp/disc/36970/140120220114567656.pdf</t>
        </is>
      </c>
    </row>
    <row r="24">
      <c r="A24" t="inlineStr">
        <is>
          <t>2021-10-12</t>
        </is>
      </c>
      <c r="B24" t="inlineStr">
        <is>
          <t>2021년 8월 결산기 연간 결산단신</t>
        </is>
      </c>
      <c r="C24" t="inlineStr">
        <is>
          <t>https://www2.jpx.co.jp/disc/36970/140120211012409444.pdf</t>
        </is>
      </c>
    </row>
    <row r="25">
      <c r="A25" t="inlineStr">
        <is>
          <t>2021-07-08</t>
        </is>
      </c>
      <c r="B25" t="inlineStr">
        <is>
          <t>2021년 8월 결산기 ３분기 결산단신</t>
        </is>
      </c>
      <c r="C25" t="inlineStr">
        <is>
          <t>https://www2.jpx.co.jp/disc/36970/140120210708463543.pdf</t>
        </is>
      </c>
    </row>
    <row r="26">
      <c r="A26" t="inlineStr">
        <is>
          <t>2021-04-08</t>
        </is>
      </c>
      <c r="B26" t="inlineStr">
        <is>
          <t>2021년 8월 결산기 ２분기 결산단신</t>
        </is>
      </c>
      <c r="C26" t="inlineStr">
        <is>
          <t>https://www2.jpx.co.jp/disc/36970/140120210408491363.pdf</t>
        </is>
      </c>
    </row>
    <row r="27">
      <c r="A27" t="inlineStr">
        <is>
          <t>2021-01-07</t>
        </is>
      </c>
      <c r="B27" t="inlineStr">
        <is>
          <t>2021년 8월 결산기 １분기 결산단신</t>
        </is>
      </c>
      <c r="C27" t="inlineStr">
        <is>
          <t>https://www2.jpx.co.jp/disc/36970/140120210107441759.pdf</t>
        </is>
      </c>
    </row>
    <row r="28">
      <c r="A28" t="inlineStr">
        <is>
          <t>2020-10-08</t>
        </is>
      </c>
      <c r="B28" t="inlineStr">
        <is>
          <t>2020년 8월 결산기 연간 결산단신</t>
        </is>
      </c>
      <c r="C28" t="inlineStr">
        <is>
          <t>https://www2.jpx.co.jp/disc/36970/140120201008401276.pdf</t>
        </is>
      </c>
    </row>
    <row r="29">
      <c r="A29" t="inlineStr">
        <is>
          <t>2020-07-09</t>
        </is>
      </c>
      <c r="B29" t="inlineStr">
        <is>
          <t>2020년 8월 결산기 ３분기 결산단신</t>
        </is>
      </c>
      <c r="C29" t="inlineStr">
        <is>
          <t>https://www2.jpx.co.jp/disc/36970/140120200709459864.pdf</t>
        </is>
      </c>
    </row>
    <row r="30">
      <c r="A30" t="inlineStr">
        <is>
          <t>2020-04-09</t>
        </is>
      </c>
      <c r="B30" t="inlineStr">
        <is>
          <t>2020년 8월 결산기 ２분기 결산단신</t>
        </is>
      </c>
      <c r="C30" t="inlineStr">
        <is>
          <t>https://www2.jpx.co.jp/disc/36970/140120200408491422.pdf</t>
        </is>
      </c>
    </row>
    <row r="31">
      <c r="A31" t="inlineStr">
        <is>
          <t>2020-01-09</t>
        </is>
      </c>
      <c r="B31" t="inlineStr">
        <is>
          <t>2020년 8월 결산기 １분기 결산단신</t>
        </is>
      </c>
      <c r="C31" t="inlineStr">
        <is>
          <t>https://www2.jpx.co.jp/disc/36970/140120200109444769.pdf</t>
        </is>
      </c>
    </row>
    <row r="32">
      <c r="A32" t="inlineStr">
        <is>
          <t>2019-10-10</t>
        </is>
      </c>
      <c r="B32" t="inlineStr">
        <is>
          <t>2019년 8월 결산기 연간 결산단신</t>
        </is>
      </c>
      <c r="C32" t="inlineStr">
        <is>
          <t>https://www2.jpx.co.jp/disc/36970/140120191010406785.pdf</t>
        </is>
      </c>
    </row>
    <row r="33">
      <c r="A33" t="inlineStr">
        <is>
          <t>2019-07-11</t>
        </is>
      </c>
      <c r="B33" t="inlineStr">
        <is>
          <t>2019년 8월 결산기 ３분기 결산단신</t>
        </is>
      </c>
      <c r="C33" t="inlineStr">
        <is>
          <t>https://www2.jpx.co.jp/disc/36970/140120190711470336.pdf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2026-10-25T06:59:00Z</dcterms:created>
  <dcterms:modified xmlns:dcterms="http://purl.org/dc/terms/" xmlns:xsi="http://www.w3.org/2001/XMLSchema-instance" xsi:type="dcterms:W3CDTF">2026-10-25T06:59:00Z</dcterms:modified>
</cp:coreProperties>
</file>