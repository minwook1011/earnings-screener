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SHIFT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25073</v>
      </c>
      <c r="D4" s="12" t="n">
        <v>27232</v>
      </c>
      <c r="E4" s="12" t="n">
        <v>28838</v>
      </c>
      <c r="F4" s="12" t="n">
        <v>29484</v>
      </c>
      <c r="G4" s="12" t="n">
        <v>30174</v>
      </c>
      <c r="H4" s="12" t="n">
        <v>31514</v>
      </c>
      <c r="I4" s="12" t="n">
        <v>33724</v>
      </c>
      <c r="J4" s="12" t="n">
        <v>34407</v>
      </c>
      <c r="K4" s="12" t="n">
        <v>34845</v>
      </c>
      <c r="L4" s="12" t="n">
        <v>37190</v>
      </c>
      <c r="M4" s="12" t="n">
        <v>43813</v>
      </c>
      <c r="N4" s="12" t="n">
        <v>45752</v>
      </c>
      <c r="O4" s="11" t="n">
        <v>8174.062</v>
      </c>
      <c r="P4" s="12" t="n">
        <v>12792.68</v>
      </c>
      <c r="Q4" s="12" t="n">
        <v>19531.96</v>
      </c>
      <c r="R4" s="12" t="n">
        <v>28712.177</v>
      </c>
      <c r="S4" s="12" t="n">
        <v>46004.569</v>
      </c>
      <c r="T4" s="12" t="n">
        <v>64873</v>
      </c>
      <c r="U4" s="12" t="n">
        <v>88030</v>
      </c>
      <c r="V4" s="12" t="n">
        <v>110627</v>
      </c>
      <c r="W4" s="12" t="n">
        <v>129819</v>
      </c>
      <c r="X4" s="12" t="n">
        <v>161600</v>
      </c>
      <c r="Y4" s="11">
        <f>IF(COUNT(Y7,Y10,Y13,Y16,Y19,Y22,Y25,Y28,Y31,Y34)=0,"",SUM(Y7,Y10,Y13,Y16,Y19,Y22,Y25,Y28,Y31,Y34))</f>
        <v/>
      </c>
      <c r="Z4" s="12">
        <f>IF(COUNT(Z7,Z10,Z13,Z16,Z19,Z22,Z25,Z28,Z31,Z34)=0,"",SUM(Z7,Z10,Z13,Z16,Z19,Z22,Z25,Z28,Z31,Z34))</f>
        <v/>
      </c>
      <c r="AA4" s="12">
        <f>IF(COUNT(AA7,AA10,AA13,AA16,AA19,AA22,AA25,AA28,AA31,AA34)=0,"",SUM(AA7,AA10,AA13,AA16,AA19,AA22,AA25,AA28,AA31,AA34))</f>
        <v/>
      </c>
      <c r="AB4" s="12">
        <f>IF(COUNT(AB7,AB10,AB13,AB16,AB19,AB22,AB25,AB28,AB31,AB34)=0,"",SUM(AB7,AB10,AB13,AB16,AB19,AB22,AB25,AB28,AB31,AB34))</f>
        <v/>
      </c>
      <c r="AC4" s="12">
        <f>IF(COUNT(AC7,AC10,AC13,AC16,AC19,AC22,AC25,AC28,AC31,AC34)=0,"",SUM(AC7,AC10,AC13,AC16,AC19,AC22,AC25,AC28,AC31,AC34))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ConsultingReportableSegmentMember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14554</v>
      </c>
      <c r="X7" s="20" t="n">
        <v>18892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DevelopmentReportableSegmentMember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45480</v>
      </c>
      <c r="X10" s="20" t="n">
        <v>62193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TestingReportableSegmentMember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57455</v>
      </c>
      <c r="X13" s="20" t="n">
        <v>64130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BPaaSReportableSegmentMember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3418</v>
      </c>
      <c r="X16" s="20" t="n">
        <v>4825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InvestmentPlatformReportableSegmentMember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0</v>
      </c>
      <c r="X19" s="20" t="n">
        <v>638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>
        <v>8850</v>
      </c>
      <c r="X22" s="20" t="n">
        <v>10806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EntityTotalMember</t>
        </is>
      </c>
      <c r="B25" s="10" t="n"/>
      <c r="C25" s="19" t="n"/>
      <c r="D25" s="20" t="n"/>
      <c r="E25" s="20" t="n"/>
      <c r="F25" s="20" t="n"/>
      <c r="G25" s="20" t="n">
        <v>30174</v>
      </c>
      <c r="H25" s="20" t="n"/>
      <c r="I25" s="20" t="n"/>
      <c r="J25" s="20" t="n"/>
      <c r="K25" s="20" t="n">
        <v>34845</v>
      </c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SoftwareTestingRelatedServicesReportableSegmentMember</t>
        </is>
      </c>
      <c r="B28" s="10" t="n"/>
      <c r="C28" s="19" t="n">
        <v>16359</v>
      </c>
      <c r="D28" s="20" t="n">
        <v>17485</v>
      </c>
      <c r="E28" s="20" t="n">
        <v>18586</v>
      </c>
      <c r="F28" s="20" t="n">
        <v>18912</v>
      </c>
      <c r="G28" s="20" t="n">
        <v>19279</v>
      </c>
      <c r="H28" s="20" t="n">
        <v>20327</v>
      </c>
      <c r="I28" s="20" t="n">
        <v>22267</v>
      </c>
      <c r="J28" s="20" t="n">
        <v>22422</v>
      </c>
      <c r="K28" s="20" t="n">
        <v>22649</v>
      </c>
      <c r="L28" s="20" t="n">
        <v>24682</v>
      </c>
      <c r="M28" s="20" t="n">
        <v>27203</v>
      </c>
      <c r="N28" s="20" t="n"/>
      <c r="O28" s="19" t="n"/>
      <c r="P28" s="20" t="n"/>
      <c r="Q28" s="20" t="n"/>
      <c r="R28" s="20" t="n"/>
      <c r="S28" s="20" t="n"/>
      <c r="T28" s="20" t="n"/>
      <c r="U28" s="20" t="n">
        <v>58285</v>
      </c>
      <c r="V28" s="20" t="n">
        <v>71342</v>
      </c>
      <c r="W28" s="20" t="n">
        <v>84295</v>
      </c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SoftwareDevelopmentRelatedServicesReportableSegmentMember</t>
        </is>
      </c>
      <c r="B31" s="10" t="n"/>
      <c r="C31" s="19" t="n">
        <v>8135</v>
      </c>
      <c r="D31" s="20" t="n">
        <v>8634</v>
      </c>
      <c r="E31" s="20" t="n">
        <v>8934</v>
      </c>
      <c r="F31" s="20" t="n">
        <v>9305</v>
      </c>
      <c r="G31" s="20" t="n">
        <v>9696</v>
      </c>
      <c r="H31" s="20" t="n">
        <v>10037</v>
      </c>
      <c r="I31" s="20" t="n">
        <v>10071</v>
      </c>
      <c r="J31" s="20" t="n">
        <v>10324</v>
      </c>
      <c r="K31" s="20" t="n">
        <v>10471</v>
      </c>
      <c r="L31" s="20" t="n">
        <v>10842</v>
      </c>
      <c r="M31" s="20" t="n">
        <v>14665</v>
      </c>
      <c r="N31" s="20" t="n"/>
      <c r="O31" s="19" t="n"/>
      <c r="P31" s="20" t="n"/>
      <c r="Q31" s="20" t="n"/>
      <c r="R31" s="20" t="n"/>
      <c r="S31" s="20" t="n"/>
      <c r="T31" s="20" t="n"/>
      <c r="U31" s="20" t="n">
        <v>27089</v>
      </c>
      <c r="V31" s="20" t="n">
        <v>35008</v>
      </c>
      <c r="W31" s="20" t="n">
        <v>40128</v>
      </c>
      <c r="X31" s="20" t="n"/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8" t="inlineStr">
        <is>
          <t>OtherProximateServicesReportableSegmentMember</t>
        </is>
      </c>
      <c r="B34" s="10" t="n"/>
      <c r="C34" s="19" t="n">
        <v>1568</v>
      </c>
      <c r="D34" s="20" t="n">
        <v>2071</v>
      </c>
      <c r="E34" s="20" t="n">
        <v>2335</v>
      </c>
      <c r="F34" s="20" t="n">
        <v>2353</v>
      </c>
      <c r="G34" s="20" t="n">
        <v>2321</v>
      </c>
      <c r="H34" s="20" t="n">
        <v>2560</v>
      </c>
      <c r="I34" s="20" t="n">
        <v>2761</v>
      </c>
      <c r="J34" s="20" t="n">
        <v>3099</v>
      </c>
      <c r="K34" s="20" t="n">
        <v>3227</v>
      </c>
      <c r="L34" s="20" t="n">
        <v>3223</v>
      </c>
      <c r="M34" s="20" t="n">
        <v>3442</v>
      </c>
      <c r="N34" s="20" t="n"/>
      <c r="O34" s="19" t="n"/>
      <c r="P34" s="20" t="n"/>
      <c r="Q34" s="20" t="n"/>
      <c r="R34" s="20" t="n"/>
      <c r="S34" s="20" t="n"/>
      <c r="T34" s="20" t="n"/>
      <c r="U34" s="20" t="n">
        <v>6457</v>
      </c>
      <c r="V34" s="20" t="n">
        <v>8327</v>
      </c>
      <c r="W34" s="20" t="n">
        <v>10741</v>
      </c>
      <c r="X34" s="20" t="n"/>
      <c r="Y34" s="21" t="n"/>
      <c r="Z34" s="22" t="n"/>
      <c r="AA34" s="22" t="n"/>
      <c r="AB34" s="22" t="n"/>
      <c r="AC34" s="22" t="n"/>
    </row>
    <row r="35">
      <c r="A35" s="13" t="inlineStr">
        <is>
          <t>비중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매출원가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전체 매출원가</t>
        </is>
      </c>
      <c r="B38" s="10" t="n"/>
      <c r="C38" s="19" t="n">
        <v>17267</v>
      </c>
      <c r="D38" s="20" t="n">
        <v>18474</v>
      </c>
      <c r="E38" s="20" t="n">
        <v>19692</v>
      </c>
      <c r="F38" s="20" t="n">
        <v>19834</v>
      </c>
      <c r="G38" s="20" t="n">
        <v>20150</v>
      </c>
      <c r="H38" s="20" t="n">
        <v>20333</v>
      </c>
      <c r="I38" s="20" t="n">
        <v>21887</v>
      </c>
      <c r="J38" s="20" t="n">
        <v>22433</v>
      </c>
      <c r="K38" s="20" t="n">
        <v>23525</v>
      </c>
      <c r="L38" s="20" t="n">
        <v>24411</v>
      </c>
      <c r="M38" s="20" t="n">
        <v>29554</v>
      </c>
      <c r="N38" s="20" t="n">
        <v>29908</v>
      </c>
      <c r="O38" s="19" t="n">
        <v>5894.917</v>
      </c>
      <c r="P38" s="20" t="n">
        <v>8900.938</v>
      </c>
      <c r="Q38" s="20" t="n">
        <v>13315.898</v>
      </c>
      <c r="R38" s="20" t="n">
        <v>19762.042</v>
      </c>
      <c r="S38" s="20" t="n">
        <v>32091.598</v>
      </c>
      <c r="T38" s="20" t="n">
        <v>43773</v>
      </c>
      <c r="U38" s="20" t="n">
        <v>58086</v>
      </c>
      <c r="V38" s="20" t="n">
        <v>75267</v>
      </c>
      <c r="W38" s="20" t="n">
        <v>84803</v>
      </c>
      <c r="X38" s="20" t="n">
        <v>107398</v>
      </c>
      <c r="Y38" s="19" t="n"/>
      <c r="Z38" s="20" t="n"/>
      <c r="AA38" s="20" t="n"/>
      <c r="AB38" s="20" t="n"/>
      <c r="AC38" s="20" t="n"/>
    </row>
    <row r="39">
      <c r="A39" s="18" t="inlineStr">
        <is>
          <t>매출총이익</t>
        </is>
      </c>
      <c r="B39" s="10" t="n"/>
      <c r="C39" s="19">
        <f>IF(OR(C4="",C38=""),"",IFERROR(C4-C38,""))</f>
        <v/>
      </c>
      <c r="D39" s="20">
        <f>IF(OR(D4="",D38=""),"",IFERROR(D4-D38,""))</f>
        <v/>
      </c>
      <c r="E39" s="20">
        <f>IF(OR(E4="",E38=""),"",IFERROR(E4-E38,""))</f>
        <v/>
      </c>
      <c r="F39" s="20">
        <f>IF(OR(F4="",F38=""),"",IFERROR(F4-F38,""))</f>
        <v/>
      </c>
      <c r="G39" s="20">
        <f>IF(OR(G4="",G38=""),"",IFERROR(G4-G38,""))</f>
        <v/>
      </c>
      <c r="H39" s="20">
        <f>IF(OR(H4="",H38=""),"",IFERROR(H4-H38,""))</f>
        <v/>
      </c>
      <c r="I39" s="20">
        <f>IF(OR(I4="",I38=""),"",IFERROR(I4-I38,""))</f>
        <v/>
      </c>
      <c r="J39" s="20">
        <f>IF(OR(J4="",J38=""),"",IFERROR(J4-J38,""))</f>
        <v/>
      </c>
      <c r="K39" s="20">
        <f>IF(OR(K4="",K38=""),"",IFERROR(K4-K38,""))</f>
        <v/>
      </c>
      <c r="L39" s="20">
        <f>IF(OR(L4="",L38=""),"",IFERROR(L4-L38,""))</f>
        <v/>
      </c>
      <c r="M39" s="20">
        <f>IF(OR(M4="",M38=""),"",IFERROR(M4-M38,""))</f>
        <v/>
      </c>
      <c r="N39" s="20">
        <f>IF(OR(N4="",N38=""),"",IFERROR(N4-N38,""))</f>
        <v/>
      </c>
      <c r="O39" s="19">
        <f>IF(OR(O4="",O38=""),"",IFERROR(O4-O38,""))</f>
        <v/>
      </c>
      <c r="P39" s="20">
        <f>IF(OR(P4="",P38=""),"",IFERROR(P4-P38,""))</f>
        <v/>
      </c>
      <c r="Q39" s="20">
        <f>IF(OR(Q4="",Q38=""),"",IFERROR(Q4-Q38,""))</f>
        <v/>
      </c>
      <c r="R39" s="20">
        <f>IF(OR(R4="",R38=""),"",IFERROR(R4-R38,""))</f>
        <v/>
      </c>
      <c r="S39" s="20">
        <f>IF(OR(S4="",S38=""),"",IFERROR(S4-S38,""))</f>
        <v/>
      </c>
      <c r="T39" s="20">
        <f>IF(OR(T4="",T38=""),"",IFERROR(T4-T38,""))</f>
        <v/>
      </c>
      <c r="U39" s="20">
        <f>IF(OR(U4="",U38=""),"",IFERROR(U4-U38,""))</f>
        <v/>
      </c>
      <c r="V39" s="20">
        <f>IF(OR(V4="",V38=""),"",IFERROR(V4-V38,""))</f>
        <v/>
      </c>
      <c r="W39" s="20">
        <f>IF(OR(W4="",W38=""),"",IFERROR(W4-W38,""))</f>
        <v/>
      </c>
      <c r="X39" s="20">
        <f>IF(OR(X4="",X38=""),"",IFERROR(X4-X38,""))</f>
        <v/>
      </c>
      <c r="Y39" s="19" t="n"/>
      <c r="Z39" s="20" t="n"/>
      <c r="AA39" s="20" t="n"/>
      <c r="AB39" s="20" t="n"/>
      <c r="AC39" s="20" t="n"/>
    </row>
    <row r="40">
      <c r="A40" s="13" t="inlineStr">
        <is>
          <t>GPM</t>
        </is>
      </c>
      <c r="B40" s="10" t="n"/>
      <c r="C40" s="14">
        <f>IF(OR(C39="",C4=""),"",IFERROR(C39/C4,""))</f>
        <v/>
      </c>
      <c r="D40" s="15">
        <f>IF(OR(D39="",D4=""),"",IFERROR(D39/D4,""))</f>
        <v/>
      </c>
      <c r="E40" s="15">
        <f>IF(OR(E39="",E4=""),"",IFERROR(E39/E4,""))</f>
        <v/>
      </c>
      <c r="F40" s="15">
        <f>IF(OR(F39="",F4=""),"",IFERROR(F39/F4,""))</f>
        <v/>
      </c>
      <c r="G40" s="15">
        <f>IF(OR(G39="",G4=""),"",IFERROR(G39/G4,""))</f>
        <v/>
      </c>
      <c r="H40" s="15">
        <f>IF(OR(H39="",H4=""),"",IFERROR(H39/H4,""))</f>
        <v/>
      </c>
      <c r="I40" s="15">
        <f>IF(OR(I39="",I4=""),"",IFERROR(I39/I4,""))</f>
        <v/>
      </c>
      <c r="J40" s="15">
        <f>IF(OR(J39="",J4=""),"",IFERROR(J39/J4,""))</f>
        <v/>
      </c>
      <c r="K40" s="15">
        <f>IF(OR(K39="",K4=""),"",IFERROR(K39/K4,""))</f>
        <v/>
      </c>
      <c r="L40" s="15">
        <f>IF(OR(L39="",L4=""),"",IFERROR(L39/L4,""))</f>
        <v/>
      </c>
      <c r="M40" s="15">
        <f>IF(OR(M39="",M4=""),"",IFERROR(M39/M4,""))</f>
        <v/>
      </c>
      <c r="N40" s="15">
        <f>IF(OR(N39="",N4=""),"",IFERROR(N39/N4,""))</f>
        <v/>
      </c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>
        <f>IF(OR(Y39="",Y4=""),"",IFERROR(Y39/Y4,""))</f>
        <v/>
      </c>
      <c r="Z40" s="15">
        <f>IF(OR(Z39="",Z4=""),"",IFERROR(Z39/Z4,""))</f>
        <v/>
      </c>
      <c r="AA40" s="15">
        <f>IF(OR(AA39="",AA4=""),"",IFERROR(AA39/AA4,""))</f>
        <v/>
      </c>
      <c r="AB40" s="15">
        <f>IF(OR(AB39="",AB4=""),"",IFERROR(AB39/AB4,""))</f>
        <v/>
      </c>
      <c r="AC40" s="15">
        <f>IF(OR(AC39="",AC4=""),"",IFERROR(AC39/AC4,""))</f>
        <v/>
      </c>
    </row>
    <row r="41">
      <c r="A41" s="23" t="inlineStr">
        <is>
          <t>판매관리비</t>
        </is>
      </c>
      <c r="B41" s="23" t="n"/>
      <c r="C41" s="24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4" t="n"/>
      <c r="Z41" s="23" t="n"/>
      <c r="AA41" s="23" t="n"/>
      <c r="AB41" s="23" t="n"/>
      <c r="AC41" s="23" t="n"/>
    </row>
    <row r="42">
      <c r="A42" s="18" t="inlineStr">
        <is>
          <t>전체 판관비</t>
        </is>
      </c>
      <c r="B42" s="10" t="n"/>
      <c r="C42" s="19" t="n">
        <v>5993</v>
      </c>
      <c r="D42" s="20" t="n">
        <v>5887</v>
      </c>
      <c r="E42" s="20" t="n">
        <v>6773</v>
      </c>
      <c r="F42" s="20" t="n">
        <v>6170</v>
      </c>
      <c r="G42" s="20" t="n">
        <v>6507</v>
      </c>
      <c r="H42" s="20" t="n">
        <v>6639</v>
      </c>
      <c r="I42" s="20" t="n">
        <v>7995</v>
      </c>
      <c r="J42" s="20" t="n">
        <v>8246</v>
      </c>
      <c r="K42" s="20" t="n">
        <v>8502</v>
      </c>
      <c r="L42" s="20" t="n">
        <v>8689</v>
      </c>
      <c r="M42" s="20" t="n">
        <v>9783</v>
      </c>
      <c r="N42" s="20" t="n">
        <v>9782</v>
      </c>
      <c r="O42" s="19" t="n">
        <v>1887.665</v>
      </c>
      <c r="P42" s="20" t="n">
        <v>2690.839</v>
      </c>
      <c r="Q42" s="20" t="n">
        <v>4675.448</v>
      </c>
      <c r="R42" s="20" t="n">
        <v>6596.758</v>
      </c>
      <c r="S42" s="20" t="n">
        <v>9918.044</v>
      </c>
      <c r="T42" s="20" t="n">
        <v>14186</v>
      </c>
      <c r="U42" s="20" t="n">
        <v>18378</v>
      </c>
      <c r="V42" s="20" t="n">
        <v>24823</v>
      </c>
      <c r="W42" s="20" t="n">
        <v>29387</v>
      </c>
      <c r="X42" s="20" t="n">
        <v>36756</v>
      </c>
      <c r="Y42" s="19" t="n"/>
      <c r="Z42" s="20" t="n"/>
      <c r="AA42" s="20" t="n"/>
      <c r="AB42" s="20" t="n"/>
      <c r="AC42" s="20" t="n"/>
    </row>
    <row r="43">
      <c r="A43" s="9" t="inlineStr">
        <is>
          <t>영업이익</t>
        </is>
      </c>
      <c r="B43" s="10" t="inlineStr">
        <is>
          <t>MW = 매출 × OPM</t>
        </is>
      </c>
      <c r="C43" s="11" t="n">
        <v>1813</v>
      </c>
      <c r="D43" s="12" t="n">
        <v>2870</v>
      </c>
      <c r="E43" s="12" t="n">
        <v>2372</v>
      </c>
      <c r="F43" s="12" t="n">
        <v>3482</v>
      </c>
      <c r="G43" s="12" t="n">
        <v>3517</v>
      </c>
      <c r="H43" s="12" t="n">
        <v>4541</v>
      </c>
      <c r="I43" s="12" t="n">
        <v>3841</v>
      </c>
      <c r="J43" s="12" t="n">
        <v>3729</v>
      </c>
      <c r="K43" s="12" t="n">
        <v>2817</v>
      </c>
      <c r="L43" s="12" t="n">
        <v>4090</v>
      </c>
      <c r="M43" s="12" t="n">
        <v>4476</v>
      </c>
      <c r="N43" s="12" t="n">
        <v>6062</v>
      </c>
      <c r="O43" s="11" t="n">
        <v>391.479</v>
      </c>
      <c r="P43" s="12" t="n">
        <v>1200.902</v>
      </c>
      <c r="Q43" s="12" t="n">
        <v>1540.613</v>
      </c>
      <c r="R43" s="12" t="n">
        <v>2353.376</v>
      </c>
      <c r="S43" s="12" t="n">
        <v>3994.926</v>
      </c>
      <c r="T43" s="12" t="n">
        <v>6913</v>
      </c>
      <c r="U43" s="12" t="n">
        <v>11565</v>
      </c>
      <c r="V43" s="12" t="n">
        <v>10537</v>
      </c>
      <c r="W43" s="12" t="n">
        <v>15628</v>
      </c>
      <c r="X43" s="12" t="n">
        <v>17445</v>
      </c>
      <c r="Y43" s="11">
        <f>IF(OR(Y4="",Y44=""),"",IFERROR(Y4*Y44,""))</f>
        <v/>
      </c>
      <c r="Z43" s="12">
        <f>IF(OR(Z4="",Z44=""),"",IFERROR(Z4*Z44,""))</f>
        <v/>
      </c>
      <c r="AA43" s="12">
        <f>IF(OR(AA4="",AA44=""),"",IFERROR(AA4*AA44,""))</f>
        <v/>
      </c>
      <c r="AB43" s="12">
        <f>IF(OR(AB4="",AB44=""),"",IFERROR(AB4*AB44,""))</f>
        <v/>
      </c>
      <c r="AC43" s="12">
        <f>IF(OR(AC4="",AC44=""),"",IFERROR(AC4*AC44,""))</f>
        <v/>
      </c>
    </row>
    <row r="44">
      <c r="A44" s="13" t="inlineStr">
        <is>
          <t>OPM</t>
        </is>
      </c>
      <c r="B44" s="10" t="inlineStr">
        <is>
          <t>MW 입력</t>
        </is>
      </c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 t="n"/>
      <c r="Z44" s="26" t="n"/>
      <c r="AA44" s="26" t="n"/>
      <c r="AB44" s="26" t="n"/>
      <c r="AC44" s="26" t="n"/>
    </row>
    <row r="45">
      <c r="A45" s="13" t="inlineStr">
        <is>
          <t>증가율</t>
        </is>
      </c>
      <c r="B45" s="10" t="n"/>
      <c r="C45" s="14" t="n"/>
      <c r="D45" s="15" t="n"/>
      <c r="E45" s="15" t="n"/>
      <c r="F45" s="15" t="n"/>
      <c r="G45" s="15">
        <f>IF(OR(G43="",C43=""),"",IFERROR(G43/C43-1,""))</f>
        <v/>
      </c>
      <c r="H45" s="15">
        <f>IF(OR(H43="",D43=""),"",IFERROR(H43/D43-1,""))</f>
        <v/>
      </c>
      <c r="I45" s="15">
        <f>IF(OR(I43="",E43=""),"",IFERROR(I43/E43-1,""))</f>
        <v/>
      </c>
      <c r="J45" s="15">
        <f>IF(OR(J43="",F43=""),"",IFERROR(J43/F43-1,""))</f>
        <v/>
      </c>
      <c r="K45" s="15">
        <f>IF(OR(K43="",G43=""),"",IFERROR(K43/G43-1,""))</f>
        <v/>
      </c>
      <c r="L45" s="15">
        <f>IF(OR(L43="",H43=""),"",IFERROR(L43/H43-1,""))</f>
        <v/>
      </c>
      <c r="M45" s="15">
        <f>IF(OR(M43="",I43=""),"",IFERROR(M43/I43-1,""))</f>
        <v/>
      </c>
      <c r="N45" s="15">
        <f>IF(OR(N43="",J43=""),"",IFERROR(N43/J43-1,""))</f>
        <v/>
      </c>
      <c r="O45" s="14" t="n"/>
      <c r="P45" s="15">
        <f>IF(OR(P43="",O43=""),"",IFERROR(P43/O43-1,""))</f>
        <v/>
      </c>
      <c r="Q45" s="15">
        <f>IF(OR(Q43="",P43=""),"",IFERROR(Q43/P43-1,""))</f>
        <v/>
      </c>
      <c r="R45" s="15">
        <f>IF(OR(R43="",Q43=""),"",IFERROR(R43/Q43-1,""))</f>
        <v/>
      </c>
      <c r="S45" s="15">
        <f>IF(OR(S43="",R43=""),"",IFERROR(S43/R43-1,""))</f>
        <v/>
      </c>
      <c r="T45" s="15">
        <f>IF(OR(T43="",S43=""),"",IFERROR(T43/S43-1,""))</f>
        <v/>
      </c>
      <c r="U45" s="15">
        <f>IF(OR(U43="",T43=""),"",IFERROR(U43/T43-1,""))</f>
        <v/>
      </c>
      <c r="V45" s="15">
        <f>IF(OR(V43="",U43=""),"",IFERROR(V43/U43-1,""))</f>
        <v/>
      </c>
      <c r="W45" s="15">
        <f>IF(OR(W43="",V43=""),"",IFERROR(W43/V43-1,""))</f>
        <v/>
      </c>
      <c r="X45" s="15">
        <f>IF(OR(X43="",W43=""),"",IFERROR(X43/W43-1,""))</f>
        <v/>
      </c>
      <c r="Y45" s="14">
        <f>IF(OR(Y43="",X43=""),"",IFERROR(Y43/X43-1,""))</f>
        <v/>
      </c>
      <c r="Z45" s="15">
        <f>IF(OR(Z43="",Y43=""),"",IFERROR(Z43/Y43-1,""))</f>
        <v/>
      </c>
      <c r="AA45" s="15">
        <f>IF(OR(AA43="",Z43=""),"",IFERROR(AA43/Z43-1,""))</f>
        <v/>
      </c>
      <c r="AB45" s="15">
        <f>IF(OR(AB43="",AA43=""),"",IFERROR(AB43/AA43-1,""))</f>
        <v/>
      </c>
      <c r="AC45" s="15">
        <f>IF(OR(AC43="",AB43=""),"",IFERROR(AC43/AB43-1,""))</f>
        <v/>
      </c>
    </row>
    <row r="46">
      <c r="A46" s="16" t="inlineStr">
        <is>
          <t>비용의 성격별 분류</t>
        </is>
      </c>
      <c r="B46" s="16" t="inlineStr">
        <is>
          <t>참고 데이터</t>
        </is>
      </c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9" t="inlineStr">
        <is>
          <t>총 판관비</t>
        </is>
      </c>
      <c r="B47" s="10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1">
        <f>IF(O42="","",O42)</f>
        <v/>
      </c>
      <c r="P47" s="12">
        <f>IF(P42="","",P42)</f>
        <v/>
      </c>
      <c r="Q47" s="12">
        <f>IF(Q42="","",Q42)</f>
        <v/>
      </c>
      <c r="R47" s="12">
        <f>IF(R42="","",R42)</f>
        <v/>
      </c>
      <c r="S47" s="12">
        <f>IF(S42="","",S42)</f>
        <v/>
      </c>
      <c r="T47" s="12">
        <f>IF(T42="","",T42)</f>
        <v/>
      </c>
      <c r="U47" s="12">
        <f>IF(U42="","",U42)</f>
        <v/>
      </c>
      <c r="V47" s="12">
        <f>IF(V42="","",V42)</f>
        <v/>
      </c>
      <c r="W47" s="12">
        <f>IF(W42="","",W42)</f>
        <v/>
      </c>
      <c r="X47" s="12">
        <f>IF(X42="","",X42)</f>
        <v/>
      </c>
      <c r="Y47" s="11" t="n"/>
      <c r="Z47" s="12" t="n"/>
      <c r="AA47" s="12" t="n"/>
      <c r="AB47" s="12" t="n"/>
      <c r="AC47" s="12" t="n"/>
    </row>
    <row r="48">
      <c r="A48" s="18" t="inlineStr">
        <is>
          <t>급여</t>
        </is>
      </c>
      <c r="B48" s="10" t="inlineStr">
        <is>
          <t>고정비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감가상각비</t>
        </is>
      </c>
      <c r="B50" s="10" t="inlineStr">
        <is>
          <t>고정비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8" t="inlineStr">
        <is>
          <t>지급수수료</t>
        </is>
      </c>
      <c r="B52" s="10" t="inlineStr">
        <is>
          <t>고정비</t>
        </is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% of Sales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14" t="n"/>
      <c r="Z53" s="15" t="n"/>
      <c r="AA53" s="15" t="n"/>
      <c r="AB53" s="15" t="n"/>
      <c r="AC53" s="15" t="n"/>
    </row>
    <row r="54">
      <c r="A54" s="18" t="inlineStr">
        <is>
          <t>연구개발비</t>
        </is>
      </c>
      <c r="B54" s="10" t="inlineStr">
        <is>
          <t>변동비</t>
        </is>
      </c>
      <c r="C54" s="19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19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19" t="n"/>
      <c r="Z54" s="20" t="n"/>
      <c r="AA54" s="20" t="n"/>
      <c r="AB54" s="20" t="n"/>
      <c r="AC54" s="20" t="n"/>
    </row>
    <row r="55">
      <c r="A55" s="13" t="inlineStr">
        <is>
          <t>% of Sales</t>
        </is>
      </c>
      <c r="B55" s="10" t="n"/>
      <c r="C55" s="14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14" t="n"/>
      <c r="Z55" s="15" t="n"/>
      <c r="AA55" s="15" t="n"/>
      <c r="AB55" s="15" t="n"/>
      <c r="AC55" s="15" t="n"/>
    </row>
    <row r="56">
      <c r="A56" s="18" t="inlineStr">
        <is>
          <t>기타비용</t>
        </is>
      </c>
      <c r="B56" s="10" t="inlineStr">
        <is>
          <t>변동비</t>
        </is>
      </c>
      <c r="C56" s="19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19">
        <f>IF(OR(O47="",O48="",O50="",O52="",O54=""),"",IFERROR(O47-O48-O50-O52-O54,""))</f>
        <v/>
      </c>
      <c r="P56" s="20">
        <f>IF(OR(P47="",P48="",P50="",P52="",P54=""),"",IFERROR(P47-P48-P50-P52-P54,""))</f>
        <v/>
      </c>
      <c r="Q56" s="20">
        <f>IF(OR(Q47="",Q48="",Q50="",Q52="",Q54=""),"",IFERROR(Q47-Q48-Q50-Q52-Q54,""))</f>
        <v/>
      </c>
      <c r="R56" s="20">
        <f>IF(OR(R47="",R48="",R50="",R52="",R54=""),"",IFERROR(R47-R48-R50-R52-R54,""))</f>
        <v/>
      </c>
      <c r="S56" s="20">
        <f>IF(OR(S47="",S48="",S50="",S52="",S54=""),"",IFERROR(S47-S48-S50-S52-S54,""))</f>
        <v/>
      </c>
      <c r="T56" s="20">
        <f>IF(OR(T47="",T48="",T50="",T52="",T54=""),"",IFERROR(T47-T48-T50-T52-T54,""))</f>
        <v/>
      </c>
      <c r="U56" s="20">
        <f>IF(OR(U47="",U48="",U50="",U52="",U54=""),"",IFERROR(U47-U48-U50-U52-U54,""))</f>
        <v/>
      </c>
      <c r="V56" s="20">
        <f>IF(OR(V47="",V48="",V50="",V52="",V54=""),"",IFERROR(V47-V48-V50-V52-V54,""))</f>
        <v/>
      </c>
      <c r="W56" s="20">
        <f>IF(OR(W47="",W48="",W50="",W52="",W54=""),"",IFERROR(W47-W48-W50-W52-W54,""))</f>
        <v/>
      </c>
      <c r="X56" s="20">
        <f>IF(OR(X47="",X48="",X50="",X52="",X54=""),"",IFERROR(X47-X48-X50-X52-X54,""))</f>
        <v/>
      </c>
      <c r="Y56" s="19" t="n"/>
      <c r="Z56" s="20" t="n"/>
      <c r="AA56" s="20" t="n"/>
      <c r="AB56" s="20" t="n"/>
      <c r="AC56" s="20" t="n"/>
    </row>
    <row r="57">
      <c r="A57" s="13" t="inlineStr">
        <is>
          <t>% of Sales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14" t="n"/>
      <c r="Z57" s="15" t="n"/>
      <c r="AA57" s="15" t="n"/>
      <c r="AB57" s="15" t="n"/>
      <c r="AC57" s="15" t="n"/>
    </row>
    <row r="58">
      <c r="A58" s="16" t="inlineStr">
        <is>
          <t>당기순이익 추정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특별이익</t>
        </is>
      </c>
      <c r="B59" s="10" t="n"/>
      <c r="C59" s="19" t="n"/>
      <c r="D59" s="20" t="n"/>
      <c r="E59" s="20" t="n">
        <v>0</v>
      </c>
      <c r="F59" s="20" t="n">
        <v>333</v>
      </c>
      <c r="G59" s="20" t="n">
        <v>0</v>
      </c>
      <c r="H59" s="20" t="n">
        <v>54</v>
      </c>
      <c r="I59" s="20" t="n">
        <v>58</v>
      </c>
      <c r="J59" s="20" t="n">
        <v>4</v>
      </c>
      <c r="K59" s="20" t="n">
        <v>0</v>
      </c>
      <c r="L59" s="20" t="n">
        <v>10</v>
      </c>
      <c r="M59" s="20" t="n">
        <v>288</v>
      </c>
      <c r="N59" s="20" t="n">
        <v>132</v>
      </c>
      <c r="O59" s="19" t="n">
        <v>0.525</v>
      </c>
      <c r="P59" s="20" t="n">
        <v>0</v>
      </c>
      <c r="Q59" s="20" t="n">
        <v>12.824</v>
      </c>
      <c r="R59" s="20" t="n">
        <v>0</v>
      </c>
      <c r="S59" s="20" t="n">
        <v>0</v>
      </c>
      <c r="T59" s="20" t="n">
        <v>44</v>
      </c>
      <c r="U59" s="20" t="n">
        <v>416</v>
      </c>
      <c r="V59" s="20" t="n">
        <v>333</v>
      </c>
      <c r="W59" s="20" t="n">
        <v>116</v>
      </c>
      <c r="X59" s="20" t="n">
        <v>430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inlineStr">
        <is>
          <t>MW = 최근 3년 평균</t>
        </is>
      </c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18" t="inlineStr">
        <is>
          <t>특별손실</t>
        </is>
      </c>
      <c r="B61" s="10" t="n"/>
      <c r="C61" s="19" t="n">
        <v>0</v>
      </c>
      <c r="D61" s="20" t="n">
        <v>0</v>
      </c>
      <c r="E61" s="20" t="n">
        <v>1437</v>
      </c>
      <c r="F61" s="20" t="n">
        <v>616</v>
      </c>
      <c r="G61" s="20" t="n">
        <v>163</v>
      </c>
      <c r="H61" s="20" t="n">
        <v>573</v>
      </c>
      <c r="I61" s="20" t="n">
        <v>888</v>
      </c>
      <c r="J61" s="20" t="n">
        <v>0</v>
      </c>
      <c r="K61" s="20" t="n">
        <v>0</v>
      </c>
      <c r="L61" s="20" t="n">
        <v>501</v>
      </c>
      <c r="M61" s="20" t="n">
        <v>302</v>
      </c>
      <c r="N61" s="20" t="n">
        <v>56</v>
      </c>
      <c r="O61" s="19" t="n">
        <v>0</v>
      </c>
      <c r="P61" s="20" t="n">
        <v>403.613</v>
      </c>
      <c r="Q61" s="20" t="n">
        <v>0</v>
      </c>
      <c r="R61" s="20" t="n">
        <v>0</v>
      </c>
      <c r="S61" s="20" t="n">
        <v>210.946</v>
      </c>
      <c r="T61" s="20" t="n">
        <v>136</v>
      </c>
      <c r="U61" s="20" t="n">
        <v>2263</v>
      </c>
      <c r="V61" s="20" t="n">
        <v>2053</v>
      </c>
      <c r="W61" s="20" t="n">
        <v>1624</v>
      </c>
      <c r="X61" s="20" t="n">
        <v>859</v>
      </c>
      <c r="Y61" s="19">
        <f>IF(OR(Y4="",Y62=""),"",IFERROR(Y4*Y62,""))</f>
        <v/>
      </c>
      <c r="Z61" s="20">
        <f>IF(OR(Z4="",Z62=""),"",IFERROR(Z4*Z62,""))</f>
        <v/>
      </c>
      <c r="AA61" s="20">
        <f>IF(OR(AA4="",AA62=""),"",IFERROR(AA4*AA62,""))</f>
        <v/>
      </c>
      <c r="AB61" s="20">
        <f>IF(OR(AB4="",AB62=""),"",IFERROR(AB4*AB62,""))</f>
        <v/>
      </c>
      <c r="AC61" s="20">
        <f>IF(OR(AC4="",AC62=""),"",IFERROR(AC4*AC62,""))</f>
        <v/>
      </c>
    </row>
    <row r="62">
      <c r="A62" s="13" t="inlineStr">
        <is>
          <t>% of Sales</t>
        </is>
      </c>
      <c r="B62" s="10" t="n"/>
      <c r="C62" s="14">
        <f>IF(OR(C61="",C4=""),"",IFERROR(C61/C4,""))</f>
        <v/>
      </c>
      <c r="D62" s="15">
        <f>IF(OR(D61="",D4=""),"",IFERROR(D61/D4,""))</f>
        <v/>
      </c>
      <c r="E62" s="15">
        <f>IF(OR(E61="",E4=""),"",IFERROR(E61/E4,""))</f>
        <v/>
      </c>
      <c r="F62" s="15">
        <f>IF(OR(F61="",F4=""),"",IFERROR(F61/F4,""))</f>
        <v/>
      </c>
      <c r="G62" s="15">
        <f>IF(OR(G61="",G4=""),"",IFERROR(G61/G4,""))</f>
        <v/>
      </c>
      <c r="H62" s="15">
        <f>IF(OR(H61="",H4=""),"",IFERROR(H61/H4,""))</f>
        <v/>
      </c>
      <c r="I62" s="15">
        <f>IF(OR(I61="",I4=""),"",IFERROR(I61/I4,""))</f>
        <v/>
      </c>
      <c r="J62" s="15">
        <f>IF(OR(J61="",J4=""),"",IFERROR(J61/J4,""))</f>
        <v/>
      </c>
      <c r="K62" s="15">
        <f>IF(OR(K61="",K4=""),"",IFERROR(K61/K4,""))</f>
        <v/>
      </c>
      <c r="L62" s="15">
        <f>IF(OR(L61="",L4=""),"",IFERROR(L61/L4,""))</f>
        <v/>
      </c>
      <c r="M62" s="15">
        <f>IF(OR(M61="",M4=""),"",IFERROR(M61/M4,""))</f>
        <v/>
      </c>
      <c r="N62" s="15">
        <f>IF(OR(N61="",N4=""),"",IFERROR(N61/N4,""))</f>
        <v/>
      </c>
      <c r="O62" s="14">
        <f>IF(OR(O61="",O4=""),"",IFERROR(O61/O4,""))</f>
        <v/>
      </c>
      <c r="P62" s="15">
        <f>IF(OR(P61="",P4=""),"",IFERROR(P61/P4,""))</f>
        <v/>
      </c>
      <c r="Q62" s="15">
        <f>IF(OR(Q61="",Q4=""),"",IFERROR(Q61/Q4,""))</f>
        <v/>
      </c>
      <c r="R62" s="15">
        <f>IF(OR(R61="",R4=""),"",IFERROR(R61/R4,""))</f>
        <v/>
      </c>
      <c r="S62" s="15">
        <f>IF(OR(S61="",S4=""),"",IFERROR(S61/S4,""))</f>
        <v/>
      </c>
      <c r="T62" s="15">
        <f>IF(OR(T61="",T4=""),"",IFERROR(T61/T4,""))</f>
        <v/>
      </c>
      <c r="U62" s="15">
        <f>IF(OR(U61="",U4=""),"",IFERROR(U61/U4,""))</f>
        <v/>
      </c>
      <c r="V62" s="15">
        <f>IF(OR(V61="",V4=""),"",IFERROR(V61/V4,""))</f>
        <v/>
      </c>
      <c r="W62" s="15">
        <f>IF(OR(W61="",W4=""),"",IFERROR(W61/W4,""))</f>
        <v/>
      </c>
      <c r="X62" s="15">
        <f>IF(OR(X61="",X4=""),"",IFERROR(X61/X4,""))</f>
        <v/>
      </c>
      <c r="Y62" s="25">
        <f>IFERROR(AVERAGE(V62,W62,X62),"")</f>
        <v/>
      </c>
      <c r="Z62" s="26">
        <f>Y62</f>
        <v/>
      </c>
      <c r="AA62" s="26">
        <f>Z62</f>
        <v/>
      </c>
      <c r="AB62" s="26">
        <f>AA62</f>
        <v/>
      </c>
      <c r="AC62" s="26">
        <f>AB62</f>
        <v/>
      </c>
    </row>
    <row r="63">
      <c r="A63" s="18" t="inlineStr">
        <is>
          <t>영업외수익</t>
        </is>
      </c>
      <c r="B63" s="10" t="n"/>
      <c r="C63" s="19" t="n">
        <v>80</v>
      </c>
      <c r="D63" s="20" t="n">
        <v>96</v>
      </c>
      <c r="E63" s="20" t="n">
        <v>78</v>
      </c>
      <c r="F63" s="20" t="n">
        <v>37</v>
      </c>
      <c r="G63" s="20" t="n">
        <v>40</v>
      </c>
      <c r="H63" s="20" t="n">
        <v>52</v>
      </c>
      <c r="I63" s="20" t="n">
        <v>94</v>
      </c>
      <c r="J63" s="20" t="n">
        <v>62</v>
      </c>
      <c r="K63" s="20" t="n">
        <v>100</v>
      </c>
      <c r="L63" s="20" t="n">
        <v>90</v>
      </c>
      <c r="M63" s="20" t="n">
        <v>106</v>
      </c>
      <c r="N63" s="20" t="n">
        <v>125</v>
      </c>
      <c r="O63" s="19" t="n">
        <v>57.261</v>
      </c>
      <c r="P63" s="20" t="n">
        <v>45.408</v>
      </c>
      <c r="Q63" s="20" t="n">
        <v>58.104</v>
      </c>
      <c r="R63" s="20" t="n">
        <v>199.076</v>
      </c>
      <c r="S63" s="20" t="n">
        <v>834.806</v>
      </c>
      <c r="T63" s="20" t="n">
        <v>763</v>
      </c>
      <c r="U63" s="20" t="n">
        <v>477</v>
      </c>
      <c r="V63" s="20" t="n">
        <v>291</v>
      </c>
      <c r="W63" s="20" t="n">
        <v>248</v>
      </c>
      <c r="X63" s="20" t="n">
        <v>421</v>
      </c>
      <c r="Y63" s="19">
        <f>IF(OR(Y4="",Y64=""),"",IFERROR(Y4*Y64,""))</f>
        <v/>
      </c>
      <c r="Z63" s="20">
        <f>IF(OR(Z4="",Z64=""),"",IFERROR(Z4*Z64,""))</f>
        <v/>
      </c>
      <c r="AA63" s="20">
        <f>IF(OR(AA4="",AA64=""),"",IFERROR(AA4*AA64,""))</f>
        <v/>
      </c>
      <c r="AB63" s="20">
        <f>IF(OR(AB4="",AB64=""),"",IFERROR(AB4*AB64,""))</f>
        <v/>
      </c>
      <c r="AC63" s="20">
        <f>IF(OR(AC4="",AC64=""),"",IFERROR(AC4*AC64,""))</f>
        <v/>
      </c>
    </row>
    <row r="64">
      <c r="A64" s="13" t="inlineStr">
        <is>
          <t>% of Sales</t>
        </is>
      </c>
      <c r="B64" s="10" t="n"/>
      <c r="C64" s="14">
        <f>IF(OR(C63="",C4=""),"",IFERROR(C63/C4,""))</f>
        <v/>
      </c>
      <c r="D64" s="15">
        <f>IF(OR(D63="",D4=""),"",IFERROR(D63/D4,""))</f>
        <v/>
      </c>
      <c r="E64" s="15">
        <f>IF(OR(E63="",E4=""),"",IFERROR(E63/E4,""))</f>
        <v/>
      </c>
      <c r="F64" s="15">
        <f>IF(OR(F63="",F4=""),"",IFERROR(F63/F4,""))</f>
        <v/>
      </c>
      <c r="G64" s="15">
        <f>IF(OR(G63="",G4=""),"",IFERROR(G63/G4,""))</f>
        <v/>
      </c>
      <c r="H64" s="15">
        <f>IF(OR(H63="",H4=""),"",IFERROR(H63/H4,""))</f>
        <v/>
      </c>
      <c r="I64" s="15">
        <f>IF(OR(I63="",I4=""),"",IFERROR(I63/I4,""))</f>
        <v/>
      </c>
      <c r="J64" s="15">
        <f>IF(OR(J63="",J4=""),"",IFERROR(J63/J4,""))</f>
        <v/>
      </c>
      <c r="K64" s="15">
        <f>IF(OR(K63="",K4=""),"",IFERROR(K63/K4,""))</f>
        <v/>
      </c>
      <c r="L64" s="15">
        <f>IF(OR(L63="",L4=""),"",IFERROR(L63/L4,""))</f>
        <v/>
      </c>
      <c r="M64" s="15">
        <f>IF(OR(M63="",M4=""),"",IFERROR(M63/M4,""))</f>
        <v/>
      </c>
      <c r="N64" s="15">
        <f>IF(OR(N63="",N4=""),"",IFERROR(N63/N4,""))</f>
        <v/>
      </c>
      <c r="O64" s="14">
        <f>IF(OR(O63="",O4=""),"",IFERROR(O63/O4,""))</f>
        <v/>
      </c>
      <c r="P64" s="15">
        <f>IF(OR(P63="",P4=""),"",IFERROR(P63/P4,""))</f>
        <v/>
      </c>
      <c r="Q64" s="15">
        <f>IF(OR(Q63="",Q4=""),"",IFERROR(Q63/Q4,""))</f>
        <v/>
      </c>
      <c r="R64" s="15">
        <f>IF(OR(R63="",R4=""),"",IFERROR(R63/R4,""))</f>
        <v/>
      </c>
      <c r="S64" s="15">
        <f>IF(OR(S63="",S4=""),"",IFERROR(S63/S4,""))</f>
        <v/>
      </c>
      <c r="T64" s="15">
        <f>IF(OR(T63="",T4=""),"",IFERROR(T63/T4,""))</f>
        <v/>
      </c>
      <c r="U64" s="15">
        <f>IF(OR(U63="",U4=""),"",IFERROR(U63/U4,""))</f>
        <v/>
      </c>
      <c r="V64" s="15">
        <f>IF(OR(V63="",V4=""),"",IFERROR(V63/V4,""))</f>
        <v/>
      </c>
      <c r="W64" s="15">
        <f>IF(OR(W63="",W4=""),"",IFERROR(W63/W4,""))</f>
        <v/>
      </c>
      <c r="X64" s="15">
        <f>IF(OR(X63="",X4=""),"",IFERROR(X63/X4,""))</f>
        <v/>
      </c>
      <c r="Y64" s="25">
        <f>IFERROR(AVERAGE(V64,W64,X64),"")</f>
        <v/>
      </c>
      <c r="Z64" s="26">
        <f>Y64</f>
        <v/>
      </c>
      <c r="AA64" s="26">
        <f>Z64</f>
        <v/>
      </c>
      <c r="AB64" s="26">
        <f>AA64</f>
        <v/>
      </c>
      <c r="AC64" s="26">
        <f>AB64</f>
        <v/>
      </c>
    </row>
    <row r="65">
      <c r="A65" s="18" t="inlineStr">
        <is>
          <t>영업외비용</t>
        </is>
      </c>
      <c r="B65" s="10" t="n"/>
      <c r="C65" s="19" t="n">
        <v>11</v>
      </c>
      <c r="D65" s="20" t="n">
        <v>17</v>
      </c>
      <c r="E65" s="20" t="n">
        <v>26</v>
      </c>
      <c r="F65" s="20" t="n">
        <v>21</v>
      </c>
      <c r="G65" s="20" t="n">
        <v>243</v>
      </c>
      <c r="H65" s="20" t="n">
        <v>39</v>
      </c>
      <c r="I65" s="20" t="n">
        <v>175</v>
      </c>
      <c r="J65" s="20" t="n">
        <v>238</v>
      </c>
      <c r="K65" s="20" t="n">
        <v>139</v>
      </c>
      <c r="L65" s="20" t="n">
        <v>349</v>
      </c>
      <c r="M65" s="20" t="n">
        <v>3880</v>
      </c>
      <c r="N65" s="20" t="n">
        <v>177</v>
      </c>
      <c r="O65" s="19" t="n">
        <v>8.099</v>
      </c>
      <c r="P65" s="20" t="n">
        <v>7.799</v>
      </c>
      <c r="Q65" s="20" t="n">
        <v>53.851</v>
      </c>
      <c r="R65" s="20" t="n">
        <v>17.322</v>
      </c>
      <c r="S65" s="20" t="n">
        <v>93.032</v>
      </c>
      <c r="T65" s="20" t="n">
        <v>124</v>
      </c>
      <c r="U65" s="20" t="n">
        <v>41</v>
      </c>
      <c r="V65" s="20" t="n">
        <v>75</v>
      </c>
      <c r="W65" s="20" t="n">
        <v>695</v>
      </c>
      <c r="X65" s="20" t="n">
        <v>4545</v>
      </c>
      <c r="Y65" s="19">
        <f>IF(OR(Y4="",Y66=""),"",IFERROR(Y4*Y66,""))</f>
        <v/>
      </c>
      <c r="Z65" s="20">
        <f>IF(OR(Z4="",Z66=""),"",IFERROR(Z4*Z66,""))</f>
        <v/>
      </c>
      <c r="AA65" s="20">
        <f>IF(OR(AA4="",AA66=""),"",IFERROR(AA4*AA66,""))</f>
        <v/>
      </c>
      <c r="AB65" s="20">
        <f>IF(OR(AB4="",AB66=""),"",IFERROR(AB4*AB66,""))</f>
        <v/>
      </c>
      <c r="AC65" s="20">
        <f>IF(OR(AC4="",AC66=""),"",IFERROR(AC4*AC66,""))</f>
        <v/>
      </c>
    </row>
    <row r="66">
      <c r="A66" s="13" t="inlineStr">
        <is>
          <t>% of Sales</t>
        </is>
      </c>
      <c r="B66" s="10" t="n"/>
      <c r="C66" s="14">
        <f>IF(OR(C65="",C4=""),"",IFERROR(C65/C4,""))</f>
        <v/>
      </c>
      <c r="D66" s="15">
        <f>IF(OR(D65="",D4=""),"",IFERROR(D65/D4,""))</f>
        <v/>
      </c>
      <c r="E66" s="15">
        <f>IF(OR(E65="",E4=""),"",IFERROR(E65/E4,""))</f>
        <v/>
      </c>
      <c r="F66" s="15">
        <f>IF(OR(F65="",F4=""),"",IFERROR(F65/F4,""))</f>
        <v/>
      </c>
      <c r="G66" s="15">
        <f>IF(OR(G65="",G4=""),"",IFERROR(G65/G4,""))</f>
        <v/>
      </c>
      <c r="H66" s="15">
        <f>IF(OR(H65="",H4=""),"",IFERROR(H65/H4,""))</f>
        <v/>
      </c>
      <c r="I66" s="15">
        <f>IF(OR(I65="",I4=""),"",IFERROR(I65/I4,""))</f>
        <v/>
      </c>
      <c r="J66" s="15">
        <f>IF(OR(J65="",J4=""),"",IFERROR(J65/J4,""))</f>
        <v/>
      </c>
      <c r="K66" s="15">
        <f>IF(OR(K65="",K4=""),"",IFERROR(K65/K4,""))</f>
        <v/>
      </c>
      <c r="L66" s="15">
        <f>IF(OR(L65="",L4=""),"",IFERROR(L65/L4,""))</f>
        <v/>
      </c>
      <c r="M66" s="15">
        <f>IF(OR(M65="",M4=""),"",IFERROR(M65/M4,""))</f>
        <v/>
      </c>
      <c r="N66" s="15">
        <f>IF(OR(N65="",N4=""),"",IFERROR(N65/N4,""))</f>
        <v/>
      </c>
      <c r="O66" s="14">
        <f>IF(OR(O65="",O4=""),"",IFERROR(O65/O4,""))</f>
        <v/>
      </c>
      <c r="P66" s="15">
        <f>IF(OR(P65="",P4=""),"",IFERROR(P65/P4,""))</f>
        <v/>
      </c>
      <c r="Q66" s="15">
        <f>IF(OR(Q65="",Q4=""),"",IFERROR(Q65/Q4,""))</f>
        <v/>
      </c>
      <c r="R66" s="15">
        <f>IF(OR(R65="",R4=""),"",IFERROR(R65/R4,""))</f>
        <v/>
      </c>
      <c r="S66" s="15">
        <f>IF(OR(S65="",S4=""),"",IFERROR(S65/S4,""))</f>
        <v/>
      </c>
      <c r="T66" s="15">
        <f>IF(OR(T65="",T4=""),"",IFERROR(T65/T4,""))</f>
        <v/>
      </c>
      <c r="U66" s="15">
        <f>IF(OR(U65="",U4=""),"",IFERROR(U65/U4,""))</f>
        <v/>
      </c>
      <c r="V66" s="15">
        <f>IF(OR(V65="",V4=""),"",IFERROR(V65/V4,""))</f>
        <v/>
      </c>
      <c r="W66" s="15">
        <f>IF(OR(W65="",W4=""),"",IFERROR(W65/W4,""))</f>
        <v/>
      </c>
      <c r="X66" s="15">
        <f>IF(OR(X65="",X4=""),"",IFERROR(X65/X4,""))</f>
        <v/>
      </c>
      <c r="Y66" s="25">
        <f>IFERROR(AVERAGE(V66,W66,X66),"")</f>
        <v/>
      </c>
      <c r="Z66" s="26">
        <f>Y66</f>
        <v/>
      </c>
      <c r="AA66" s="26">
        <f>Z66</f>
        <v/>
      </c>
      <c r="AB66" s="26">
        <f>AA66</f>
        <v/>
      </c>
      <c r="AC66" s="26">
        <f>AB66</f>
        <v/>
      </c>
    </row>
    <row r="67">
      <c r="A67" s="9" t="inlineStr">
        <is>
          <t>법인세비용차감전순이익(손실)</t>
        </is>
      </c>
      <c r="B67" s="10" t="n"/>
      <c r="C67" s="11" t="n">
        <v>1882</v>
      </c>
      <c r="D67" s="12" t="n">
        <v>2949</v>
      </c>
      <c r="E67" s="12" t="n">
        <v>986</v>
      </c>
      <c r="F67" s="12" t="n">
        <v>3215</v>
      </c>
      <c r="G67" s="12" t="n">
        <v>3150</v>
      </c>
      <c r="H67" s="12" t="n">
        <v>4035</v>
      </c>
      <c r="I67" s="12" t="n">
        <v>2932</v>
      </c>
      <c r="J67" s="12" t="n">
        <v>3557</v>
      </c>
      <c r="K67" s="12" t="n">
        <v>2778</v>
      </c>
      <c r="L67" s="12" t="n">
        <v>3340</v>
      </c>
      <c r="M67" s="12" t="n">
        <v>688</v>
      </c>
      <c r="N67" s="12" t="n">
        <v>6085</v>
      </c>
      <c r="O67" s="11" t="n">
        <v>441.166</v>
      </c>
      <c r="P67" s="12" t="n">
        <v>834.897</v>
      </c>
      <c r="Q67" s="12" t="n">
        <v>1557.69</v>
      </c>
      <c r="R67" s="12" t="n">
        <v>2535.129</v>
      </c>
      <c r="S67" s="12" t="n">
        <v>4525.754</v>
      </c>
      <c r="T67" s="12" t="n">
        <v>7460</v>
      </c>
      <c r="U67" s="12" t="n">
        <v>10153</v>
      </c>
      <c r="V67" s="12" t="n">
        <v>9032</v>
      </c>
      <c r="W67" s="12" t="n">
        <v>13674</v>
      </c>
      <c r="X67" s="12" t="n">
        <v>12891</v>
      </c>
      <c r="Y67" s="11">
        <f>IF(OR(Y43=""),"",IFERROR(Y43+N(Y59)-N(Y61)+N(Y63)-N(Y65),""))</f>
        <v/>
      </c>
      <c r="Z67" s="12">
        <f>IF(OR(Z43=""),"",IFERROR(Z43+N(Z59)-N(Z61)+N(Z63)-N(Z65),""))</f>
        <v/>
      </c>
      <c r="AA67" s="12">
        <f>IF(OR(AA43=""),"",IFERROR(AA43+N(AA59)-N(AA61)+N(AA63)-N(AA65),""))</f>
        <v/>
      </c>
      <c r="AB67" s="12">
        <f>IF(OR(AB43=""),"",IFERROR(AB43+N(AB59)-N(AB61)+N(AB63)-N(AB65),""))</f>
        <v/>
      </c>
      <c r="AC67" s="12">
        <f>IF(OR(AC43=""),"",IFERROR(AC43+N(AC59)-N(AC61)+N(AC63)-N(AC65),""))</f>
        <v/>
      </c>
    </row>
    <row r="68">
      <c r="A68" s="18" t="inlineStr">
        <is>
          <t>법인세비용(수익)</t>
        </is>
      </c>
      <c r="B68" s="10" t="n"/>
      <c r="C68" s="19" t="n">
        <v>766</v>
      </c>
      <c r="D68" s="20" t="n">
        <v>1015</v>
      </c>
      <c r="E68" s="20" t="n">
        <v>634</v>
      </c>
      <c r="F68" s="20" t="n">
        <v>1371</v>
      </c>
      <c r="G68" s="20" t="n">
        <v>1134</v>
      </c>
      <c r="H68" s="20" t="n">
        <v>1488</v>
      </c>
      <c r="I68" s="20" t="n">
        <v>1149</v>
      </c>
      <c r="J68" s="20" t="n">
        <v>898</v>
      </c>
      <c r="K68" s="20" t="n">
        <v>983</v>
      </c>
      <c r="L68" s="20" t="n">
        <v>1123</v>
      </c>
      <c r="M68" s="20" t="n">
        <v>730</v>
      </c>
      <c r="N68" s="20" t="n">
        <v>2665</v>
      </c>
      <c r="O68" s="19" t="n">
        <v>180.755</v>
      </c>
      <c r="P68" s="20" t="n">
        <v>397.523</v>
      </c>
      <c r="Q68" s="20" t="n">
        <v>495.867</v>
      </c>
      <c r="R68" s="20" t="n">
        <v>776.264</v>
      </c>
      <c r="S68" s="20" t="n">
        <v>1708.505</v>
      </c>
      <c r="T68" s="20" t="n">
        <v>2355</v>
      </c>
      <c r="U68" s="20" t="n">
        <v>3667</v>
      </c>
      <c r="V68" s="20" t="n">
        <v>3786</v>
      </c>
      <c r="W68" s="20" t="n">
        <v>4669</v>
      </c>
      <c r="X68" s="20" t="n">
        <v>5501</v>
      </c>
      <c r="Y68" s="19">
        <f>IF(OR(Y67="",Y69=""),"",IFERROR(MAX(Y67,0)*Y69,""))</f>
        <v/>
      </c>
      <c r="Z68" s="20">
        <f>IF(OR(Z67="",Z69=""),"",IFERROR(MAX(Z67,0)*Z69,""))</f>
        <v/>
      </c>
      <c r="AA68" s="20">
        <f>IF(OR(AA67="",AA69=""),"",IFERROR(MAX(AA67,0)*AA69,""))</f>
        <v/>
      </c>
      <c r="AB68" s="20">
        <f>IF(OR(AB67="",AB69=""),"",IFERROR(MAX(AB67,0)*AB69,""))</f>
        <v/>
      </c>
      <c r="AC68" s="20">
        <f>IF(OR(AC67="",AC69=""),"",IFERROR(MAX(AC67,0)*AC69,""))</f>
        <v/>
      </c>
    </row>
    <row r="69">
      <c r="A69" s="13" t="inlineStr">
        <is>
          <t>법인세율</t>
        </is>
      </c>
      <c r="B69" s="10" t="inlineStr">
        <is>
          <t>MW 기본 30%</t>
        </is>
      </c>
      <c r="C69" s="14">
        <f>IF(OR(C68="",C67=""),"",IFERROR(C68/C67,""))</f>
        <v/>
      </c>
      <c r="D69" s="15">
        <f>IF(OR(D68="",D67=""),"",IFERROR(D68/D67,""))</f>
        <v/>
      </c>
      <c r="E69" s="15">
        <f>IF(OR(E68="",E67=""),"",IFERROR(E68/E67,""))</f>
        <v/>
      </c>
      <c r="F69" s="15">
        <f>IF(OR(F68="",F67=""),"",IFERROR(F68/F67,""))</f>
        <v/>
      </c>
      <c r="G69" s="15">
        <f>IF(OR(G68="",G67=""),"",IFERROR(G68/G67,""))</f>
        <v/>
      </c>
      <c r="H69" s="15">
        <f>IF(OR(H68="",H67=""),"",IFERROR(H68/H67,""))</f>
        <v/>
      </c>
      <c r="I69" s="15">
        <f>IF(OR(I68="",I67=""),"",IFERROR(I68/I67,""))</f>
        <v/>
      </c>
      <c r="J69" s="15">
        <f>IF(OR(J68="",J67=""),"",IFERROR(J68/J67,""))</f>
        <v/>
      </c>
      <c r="K69" s="15">
        <f>IF(OR(K68="",K67=""),"",IFERROR(K68/K67,""))</f>
        <v/>
      </c>
      <c r="L69" s="15">
        <f>IF(OR(L68="",L67=""),"",IFERROR(L68/L67,""))</f>
        <v/>
      </c>
      <c r="M69" s="15">
        <f>IF(OR(M68="",M67=""),"",IFERROR(M68/M67,""))</f>
        <v/>
      </c>
      <c r="N69" s="15">
        <f>IF(OR(N68="",N67=""),"",IFERROR(N68/N67,""))</f>
        <v/>
      </c>
      <c r="O69" s="14">
        <f>IF(OR(O68="",O67=""),"",IFERROR(O68/O67,""))</f>
        <v/>
      </c>
      <c r="P69" s="15">
        <f>IF(OR(P68="",P67=""),"",IFERROR(P68/P67,""))</f>
        <v/>
      </c>
      <c r="Q69" s="15">
        <f>IF(OR(Q68="",Q67=""),"",IFERROR(Q68/Q67,""))</f>
        <v/>
      </c>
      <c r="R69" s="15">
        <f>IF(OR(R68="",R67=""),"",IFERROR(R68/R67,""))</f>
        <v/>
      </c>
      <c r="S69" s="15">
        <f>IF(OR(S68="",S67=""),"",IFERROR(S68/S67,""))</f>
        <v/>
      </c>
      <c r="T69" s="15">
        <f>IF(OR(T68="",T67=""),"",IFERROR(T68/T67,""))</f>
        <v/>
      </c>
      <c r="U69" s="15">
        <f>IF(OR(U68="",U67=""),"",IFERROR(U68/U67,""))</f>
        <v/>
      </c>
      <c r="V69" s="15">
        <f>IF(OR(V68="",V67=""),"",IFERROR(V68/V67,""))</f>
        <v/>
      </c>
      <c r="W69" s="15">
        <f>IF(OR(W68="",W67=""),"",IFERROR(W68/W67,""))</f>
        <v/>
      </c>
      <c r="X69" s="15">
        <f>IF(OR(X68="",X67=""),"",IFERROR(X68/X67,""))</f>
        <v/>
      </c>
      <c r="Y69" s="25" t="n">
        <v>0.3</v>
      </c>
      <c r="Z69" s="26" t="n">
        <v>0.3</v>
      </c>
      <c r="AA69" s="26" t="n">
        <v>0.3</v>
      </c>
      <c r="AB69" s="26" t="n">
        <v>0.3</v>
      </c>
      <c r="AC69" s="26" t="n">
        <v>0.3</v>
      </c>
    </row>
    <row r="70">
      <c r="A70" s="9" t="inlineStr">
        <is>
          <t>당기순이익(손실)</t>
        </is>
      </c>
      <c r="B70" s="10" t="n"/>
      <c r="C70" s="11" t="n">
        <v>1115</v>
      </c>
      <c r="D70" s="12" t="n">
        <v>1934</v>
      </c>
      <c r="E70" s="12" t="n">
        <v>353</v>
      </c>
      <c r="F70" s="12" t="n">
        <v>1844</v>
      </c>
      <c r="G70" s="12" t="n">
        <v>2016</v>
      </c>
      <c r="H70" s="12" t="n">
        <v>2547</v>
      </c>
      <c r="I70" s="12" t="n">
        <v>1783</v>
      </c>
      <c r="J70" s="12" t="n">
        <v>2658</v>
      </c>
      <c r="K70" s="12" t="n">
        <v>1795</v>
      </c>
      <c r="L70" s="12" t="n">
        <v>2216</v>
      </c>
      <c r="M70" s="12" t="n">
        <v>-41</v>
      </c>
      <c r="N70" s="12" t="n">
        <v>3420</v>
      </c>
      <c r="O70" s="11" t="n">
        <v>260.411</v>
      </c>
      <c r="P70" s="12" t="n">
        <v>437.373</v>
      </c>
      <c r="Q70" s="12" t="n">
        <v>1061.823</v>
      </c>
      <c r="R70" s="12" t="n">
        <v>1758.865</v>
      </c>
      <c r="S70" s="12" t="n">
        <v>2817.248</v>
      </c>
      <c r="T70" s="12" t="n">
        <v>5105</v>
      </c>
      <c r="U70" s="12" t="n">
        <v>6485</v>
      </c>
      <c r="V70" s="12" t="n">
        <v>5246</v>
      </c>
      <c r="W70" s="12" t="n">
        <v>9004</v>
      </c>
      <c r="X70" s="12" t="n">
        <v>7390</v>
      </c>
      <c r="Y70" s="11">
        <f>IF(OR(Y67=""),"",IFERROR(Y67-Y68,""))</f>
        <v/>
      </c>
      <c r="Z70" s="12">
        <f>IF(OR(Z67=""),"",IFERROR(Z67-Z68,""))</f>
        <v/>
      </c>
      <c r="AA70" s="12">
        <f>IF(OR(AA67=""),"",IFERROR(AA67-AA68,""))</f>
        <v/>
      </c>
      <c r="AB70" s="12">
        <f>IF(OR(AB67=""),"",IFERROR(AB67-AB68,""))</f>
        <v/>
      </c>
      <c r="AC70" s="12">
        <f>IF(OR(AC67=""),"",IFERROR(AC67-AC68,""))</f>
        <v/>
      </c>
    </row>
    <row r="71">
      <c r="A71" s="9" t="inlineStr">
        <is>
          <t>지배주주 순이익</t>
        </is>
      </c>
      <c r="B71" s="10" t="n"/>
      <c r="C71" s="11" t="n">
        <v>1093</v>
      </c>
      <c r="D71" s="12" t="n">
        <v>1889</v>
      </c>
      <c r="E71" s="12" t="n">
        <v>333</v>
      </c>
      <c r="F71" s="12" t="n">
        <v>1812</v>
      </c>
      <c r="G71" s="12" t="n">
        <v>1976</v>
      </c>
      <c r="H71" s="12" t="n">
        <v>2517</v>
      </c>
      <c r="I71" s="12" t="n">
        <v>1784</v>
      </c>
      <c r="J71" s="12" t="n">
        <v>2658</v>
      </c>
      <c r="K71" s="12" t="n">
        <v>1795</v>
      </c>
      <c r="L71" s="12" t="n">
        <v>2216</v>
      </c>
      <c r="M71" s="12" t="n">
        <v>-32</v>
      </c>
      <c r="N71" s="12" t="n">
        <v>3451</v>
      </c>
      <c r="O71" s="11" t="n">
        <v>208.692</v>
      </c>
      <c r="P71" s="12" t="n">
        <v>368.239</v>
      </c>
      <c r="Q71" s="12" t="n">
        <v>970.49</v>
      </c>
      <c r="R71" s="12" t="n">
        <v>1648.692</v>
      </c>
      <c r="S71" s="12" t="n">
        <v>2818.609</v>
      </c>
      <c r="T71" s="12" t="n">
        <v>4974</v>
      </c>
      <c r="U71" s="12" t="n">
        <v>6245</v>
      </c>
      <c r="V71" s="12" t="n">
        <v>5127</v>
      </c>
      <c r="W71" s="12" t="n">
        <v>8935</v>
      </c>
      <c r="X71" s="12" t="n">
        <v>7430</v>
      </c>
      <c r="Y71" s="11">
        <f>IF(OR(Y70="",Y72=""),"",IFERROR(Y70*Y72,""))</f>
        <v/>
      </c>
      <c r="Z71" s="12">
        <f>IF(OR(Z70="",Z72=""),"",IFERROR(Z70*Z72,""))</f>
        <v/>
      </c>
      <c r="AA71" s="12">
        <f>IF(OR(AA70="",AA72=""),"",IFERROR(AA70*AA72,""))</f>
        <v/>
      </c>
      <c r="AB71" s="12">
        <f>IF(OR(AB70="",AB72=""),"",IFERROR(AB70*AB72,""))</f>
        <v/>
      </c>
      <c r="AC71" s="12">
        <f>IF(OR(AC70="",AC72=""),"",IFERROR(AC70*AC72,""))</f>
        <v/>
      </c>
    </row>
    <row r="72">
      <c r="A72" s="13" t="inlineStr">
        <is>
          <t>지배주주 순이익률</t>
        </is>
      </c>
      <c r="B72" s="10" t="inlineStr">
        <is>
          <t>MW 기본 100%</t>
        </is>
      </c>
      <c r="C72" s="14">
        <f>IF(OR(C71="",C70=""),"",IFERROR(C71/C70,""))</f>
        <v/>
      </c>
      <c r="D72" s="15">
        <f>IF(OR(D71="",D70=""),"",IFERROR(D71/D70,""))</f>
        <v/>
      </c>
      <c r="E72" s="15">
        <f>IF(OR(E71="",E70=""),"",IFERROR(E71/E70,""))</f>
        <v/>
      </c>
      <c r="F72" s="15">
        <f>IF(OR(F71="",F70=""),"",IFERROR(F71/F70,""))</f>
        <v/>
      </c>
      <c r="G72" s="15">
        <f>IF(OR(G71="",G70=""),"",IFERROR(G71/G70,""))</f>
        <v/>
      </c>
      <c r="H72" s="15">
        <f>IF(OR(H71="",H70=""),"",IFERROR(H71/H70,""))</f>
        <v/>
      </c>
      <c r="I72" s="15">
        <f>IF(OR(I71="",I70=""),"",IFERROR(I71/I70,""))</f>
        <v/>
      </c>
      <c r="J72" s="15">
        <f>IF(OR(J71="",J70=""),"",IFERROR(J71/J70,""))</f>
        <v/>
      </c>
      <c r="K72" s="15">
        <f>IF(OR(K71="",K70=""),"",IFERROR(K71/K70,""))</f>
        <v/>
      </c>
      <c r="L72" s="15">
        <f>IF(OR(L71="",L70=""),"",IFERROR(L71/L70,""))</f>
        <v/>
      </c>
      <c r="M72" s="15">
        <f>IF(OR(M71="",M70=""),"",IFERROR(M71/M70,""))</f>
        <v/>
      </c>
      <c r="N72" s="15">
        <f>IF(OR(N71="",N70=""),"",IFERROR(N71/N70,""))</f>
        <v/>
      </c>
      <c r="O72" s="14">
        <f>IF(OR(O71="",O70=""),"",IFERROR(O71/O70,""))</f>
        <v/>
      </c>
      <c r="P72" s="15">
        <f>IF(OR(P71="",P70=""),"",IFERROR(P71/P70,""))</f>
        <v/>
      </c>
      <c r="Q72" s="15">
        <f>IF(OR(Q71="",Q70=""),"",IFERROR(Q71/Q70,""))</f>
        <v/>
      </c>
      <c r="R72" s="15">
        <f>IF(OR(R71="",R70=""),"",IFERROR(R71/R70,""))</f>
        <v/>
      </c>
      <c r="S72" s="15">
        <f>IF(OR(S71="",S70=""),"",IFERROR(S71/S70,""))</f>
        <v/>
      </c>
      <c r="T72" s="15">
        <f>IF(OR(T71="",T70=""),"",IFERROR(T71/T70,""))</f>
        <v/>
      </c>
      <c r="U72" s="15">
        <f>IF(OR(U71="",U70=""),"",IFERROR(U71/U70,""))</f>
        <v/>
      </c>
      <c r="V72" s="15">
        <f>IF(OR(V71="",V70=""),"",IFERROR(V71/V70,""))</f>
        <v/>
      </c>
      <c r="W72" s="15">
        <f>IF(OR(W71="",W70=""),"",IFERROR(W71/W70,""))</f>
        <v/>
      </c>
      <c r="X72" s="15">
        <f>IF(OR(X71="",X70=""),"",IFERROR(X71/X70,""))</f>
        <v/>
      </c>
      <c r="Y72" s="25" t="n">
        <v>1</v>
      </c>
      <c r="Z72" s="26" t="n">
        <v>1</v>
      </c>
      <c r="AA72" s="26" t="n">
        <v>1</v>
      </c>
      <c r="AB72" s="26" t="n">
        <v>1</v>
      </c>
      <c r="AC72" s="26" t="n">
        <v>1</v>
      </c>
    </row>
    <row r="73">
      <c r="A73" s="16" t="inlineStr">
        <is>
          <t>목표주가 산출</t>
        </is>
      </c>
      <c r="B73" s="16" t="n"/>
      <c r="C73" s="17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7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7" t="n"/>
      <c r="Z73" s="16" t="n"/>
      <c r="AA73" s="16" t="n"/>
      <c r="AB73" s="16" t="n"/>
      <c r="AC73" s="16" t="n"/>
    </row>
    <row r="74">
      <c r="A74" s="18" t="inlineStr">
        <is>
          <t>현재 주가 (2026.10.26)</t>
        </is>
      </c>
      <c r="B74" s="27" t="n">
        <v>1136</v>
      </c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8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8" t="n"/>
      <c r="Z74" s="29" t="n"/>
      <c r="AA74" s="29" t="n"/>
      <c r="AB74" s="29" t="n"/>
      <c r="AC74" s="29" t="n"/>
    </row>
    <row r="75">
      <c r="A75" s="18" t="inlineStr">
        <is>
          <t>발행주식수 (보통주)</t>
        </is>
      </c>
      <c r="B75" s="27" t="n">
        <v>267500670</v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8" t="n"/>
      <c r="Z75" s="29" t="n"/>
      <c r="AA75" s="29" t="n"/>
      <c r="AB75" s="29" t="n"/>
      <c r="AC75" s="29" t="n"/>
    </row>
    <row r="76">
      <c r="A76" s="18" t="inlineStr">
        <is>
          <t>시가총액 (백만엔)</t>
        </is>
      </c>
      <c r="B76" s="12">
        <f>IF(OR(B74="",B75=""),"",B74*B75/1000000.0)</f>
        <v/>
      </c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19" t="n"/>
      <c r="Z76" s="20" t="n"/>
      <c r="AA76" s="20" t="n"/>
      <c r="AB76" s="20" t="n"/>
      <c r="AC76" s="20" t="n"/>
    </row>
    <row r="77">
      <c r="A77" s="13" t="inlineStr">
        <is>
          <t>OPM</t>
        </is>
      </c>
      <c r="B77" s="10" t="n"/>
      <c r="C77" s="14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4">
        <f>IF(O44="","",O44)</f>
        <v/>
      </c>
      <c r="P77" s="15">
        <f>IF(P44="","",P44)</f>
        <v/>
      </c>
      <c r="Q77" s="15">
        <f>IF(Q44="","",Q44)</f>
        <v/>
      </c>
      <c r="R77" s="15">
        <f>IF(R44="","",R44)</f>
        <v/>
      </c>
      <c r="S77" s="15">
        <f>IF(S44="","",S44)</f>
        <v/>
      </c>
      <c r="T77" s="15">
        <f>IF(T44="","",T44)</f>
        <v/>
      </c>
      <c r="U77" s="15">
        <f>IF(U44="","",U44)</f>
        <v/>
      </c>
      <c r="V77" s="15">
        <f>IF(V44="","",V44)</f>
        <v/>
      </c>
      <c r="W77" s="15">
        <f>IF(W44="","",W44)</f>
        <v/>
      </c>
      <c r="X77" s="15">
        <f>IF(X44="","",X44)</f>
        <v/>
      </c>
      <c r="Y77" s="14">
        <f>IF(Y44="","",Y44)</f>
        <v/>
      </c>
      <c r="Z77" s="15">
        <f>IF(Z44="","",Z44)</f>
        <v/>
      </c>
      <c r="AA77" s="15">
        <f>IF(AA44="","",AA44)</f>
        <v/>
      </c>
      <c r="AB77" s="15">
        <f>IF(AB44="","",AB44)</f>
        <v/>
      </c>
      <c r="AC77" s="15">
        <f>IF(AC44="","",AC44)</f>
        <v/>
      </c>
    </row>
    <row r="78">
      <c r="A78" s="13" t="inlineStr">
        <is>
          <t>지배주주 순이익 증가율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>
        <f>IF(OR(P71="",O71=""),"",IFERROR(P71/O71-1,""))</f>
        <v/>
      </c>
      <c r="Q78" s="15">
        <f>IF(OR(Q71="",P71=""),"",IFERROR(Q71/P71-1,""))</f>
        <v/>
      </c>
      <c r="R78" s="15">
        <f>IF(OR(R71="",Q71=""),"",IFERROR(R71/Q71-1,""))</f>
        <v/>
      </c>
      <c r="S78" s="15">
        <f>IF(OR(S71="",R71=""),"",IFERROR(S71/R71-1,""))</f>
        <v/>
      </c>
      <c r="T78" s="15">
        <f>IF(OR(T71="",S71=""),"",IFERROR(T71/S71-1,""))</f>
        <v/>
      </c>
      <c r="U78" s="15">
        <f>IF(OR(U71="",T71=""),"",IFERROR(U71/T71-1,""))</f>
        <v/>
      </c>
      <c r="V78" s="15">
        <f>IF(OR(V71="",U71=""),"",IFERROR(V71/U71-1,""))</f>
        <v/>
      </c>
      <c r="W78" s="15">
        <f>IF(OR(W71="",V71=""),"",IFERROR(W71/V71-1,""))</f>
        <v/>
      </c>
      <c r="X78" s="15">
        <f>IF(OR(X71="",W71=""),"",IFERROR(X71/W71-1,""))</f>
        <v/>
      </c>
      <c r="Y78" s="14">
        <f>IF(OR(Y71="",X71=""),"",IFERROR(Y71/X71-1,""))</f>
        <v/>
      </c>
      <c r="Z78" s="15">
        <f>IF(OR(Z71="",Y71=""),"",IFERROR(Z71/Y71-1,""))</f>
        <v/>
      </c>
      <c r="AA78" s="15">
        <f>IF(OR(AA71="",Z71=""),"",IFERROR(AA71/Z71-1,""))</f>
        <v/>
      </c>
      <c r="AB78" s="15">
        <f>IF(OR(AB71="",AA71=""),"",IFERROR(AB71/AA71-1,""))</f>
        <v/>
      </c>
      <c r="AC78" s="15">
        <f>IF(OR(AC71="",AB71=""),"",IFERROR(AC71/AB71-1,""))</f>
        <v/>
      </c>
    </row>
    <row r="79">
      <c r="A79" s="18" t="inlineStr">
        <is>
          <t>P/E (현재 주가)</t>
        </is>
      </c>
      <c r="B79" s="10" t="inlineStr">
        <is>
          <t>시총 ÷ 지배순이익</t>
        </is>
      </c>
      <c r="C79" s="30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0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>
        <f>IF(OR($B$76="",X71=""),"",IFERROR($B$76/X71,""))</f>
        <v/>
      </c>
      <c r="Y79" s="30">
        <f>IF(OR($B$76="",Y71=""),"",IFERROR($B$76/Y71,""))</f>
        <v/>
      </c>
      <c r="Z79" s="31">
        <f>IF(OR($B$76="",Z71=""),"",IFERROR($B$76/Z71,""))</f>
        <v/>
      </c>
      <c r="AA79" s="31">
        <f>IF(OR($B$76="",AA71=""),"",IFERROR($B$76/AA71,""))</f>
        <v/>
      </c>
      <c r="AB79" s="31">
        <f>IF(OR($B$76="",AB71=""),"",IFERROR($B$76/AB71,""))</f>
        <v/>
      </c>
      <c r="AC79" s="31">
        <f>IF(OR($B$76="",AC71=""),"",IFERROR($B$76/AC71,""))</f>
        <v/>
      </c>
    </row>
    <row r="80">
      <c r="A80" s="18" t="inlineStr">
        <is>
          <t>Target P/E</t>
        </is>
      </c>
      <c r="B80" s="10" t="inlineStr">
        <is>
          <t>직접 입력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0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2" t="n"/>
      <c r="Z80" s="33" t="n"/>
      <c r="AA80" s="33" t="n"/>
      <c r="AB80" s="33" t="n"/>
      <c r="AC80" s="33" t="n"/>
    </row>
    <row r="81">
      <c r="A81" s="18" t="inlineStr">
        <is>
          <t>EPS</t>
        </is>
      </c>
      <c r="B81" s="10" t="inlineStr">
        <is>
          <t>지배순이익 ÷ 주식수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8">
        <f>IF(OR(O71="",$B$75=""),"",IFERROR(O71*1000000.0/$B$75,""))</f>
        <v/>
      </c>
      <c r="P81" s="29">
        <f>IF(OR(P71="",$B$75=""),"",IFERROR(P71*1000000.0/$B$75,""))</f>
        <v/>
      </c>
      <c r="Q81" s="29">
        <f>IF(OR(Q71="",$B$75=""),"",IFERROR(Q71*1000000.0/$B$75,""))</f>
        <v/>
      </c>
      <c r="R81" s="29">
        <f>IF(OR(R71="",$B$75=""),"",IFERROR(R71*1000000.0/$B$75,""))</f>
        <v/>
      </c>
      <c r="S81" s="29">
        <f>IF(OR(S71="",$B$75=""),"",IFERROR(S71*1000000.0/$B$75,""))</f>
        <v/>
      </c>
      <c r="T81" s="29">
        <f>IF(OR(T71="",$B$75=""),"",IFERROR(T71*1000000.0/$B$75,""))</f>
        <v/>
      </c>
      <c r="U81" s="29">
        <f>IF(OR(U71="",$B$75=""),"",IFERROR(U71*1000000.0/$B$75,""))</f>
        <v/>
      </c>
      <c r="V81" s="29">
        <f>IF(OR(V71="",$B$75=""),"",IFERROR(V71*1000000.0/$B$75,""))</f>
        <v/>
      </c>
      <c r="W81" s="29">
        <f>IF(OR(W71="",$B$75=""),"",IFERROR(W71*1000000.0/$B$75,""))</f>
        <v/>
      </c>
      <c r="X81" s="29">
        <f>IF(OR(X71="",$B$75=""),"",IFERROR(X71*1000000.0/$B$75,""))</f>
        <v/>
      </c>
      <c r="Y81" s="28">
        <f>IF(OR(Y71="",$B$75=""),"",IFERROR(Y71*1000000.0/$B$75,""))</f>
        <v/>
      </c>
      <c r="Z81" s="29">
        <f>IF(OR(Z71="",$B$75=""),"",IFERROR(Z71*1000000.0/$B$75,""))</f>
        <v/>
      </c>
      <c r="AA81" s="29">
        <f>IF(OR(AA71="",$B$75=""),"",IFERROR(AA71*1000000.0/$B$75,""))</f>
        <v/>
      </c>
      <c r="AB81" s="29">
        <f>IF(OR(AB71="",$B$75=""),"",IFERROR(AB71*1000000.0/$B$75,""))</f>
        <v/>
      </c>
      <c r="AC81" s="29">
        <f>IF(OR(AC71="",$B$75=""),"",IFERROR(AC71*1000000.0/$B$75,""))</f>
        <v/>
      </c>
    </row>
    <row r="82">
      <c r="A82" s="9" t="inlineStr">
        <is>
          <t>목표주가</t>
        </is>
      </c>
      <c r="B82" s="10" t="n"/>
      <c r="C82" s="34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34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34">
        <f>IF(OR(Y81="",Y80=""),"",IFERROR(Y81*Y80,""))</f>
        <v/>
      </c>
      <c r="Z82" s="27">
        <f>IF(OR(Z81="",Z80=""),"",IFERROR(Z81*Z80,""))</f>
        <v/>
      </c>
      <c r="AA82" s="27">
        <f>IF(OR(AA81="",AA80=""),"",IFERROR(AA81*AA80,""))</f>
        <v/>
      </c>
      <c r="AB82" s="27">
        <f>IF(OR(AB81="",AB80=""),"",IFERROR(AB81*AB80,""))</f>
        <v/>
      </c>
      <c r="AC82" s="27">
        <f>IF(OR(AC81="",AC80=""),"",IFERROR(AC81*AC80,""))</f>
        <v/>
      </c>
    </row>
    <row r="83">
      <c r="A83" s="18" t="inlineStr">
        <is>
          <t>상승여력</t>
        </is>
      </c>
      <c r="B83" s="10" t="n"/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5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7">
        <f>IF(OR(Y82="",$B$74=""),"",IFERROR(Y82/$B$74-1,""))</f>
        <v/>
      </c>
      <c r="Z83" s="38">
        <f>IF(OR(Z82="",$B$74=""),"",IFERROR(Z82/$B$74-1,""))</f>
        <v/>
      </c>
      <c r="AA83" s="38">
        <f>IF(OR(AA82="",$B$74=""),"",IFERROR(AA82/$B$74-1,""))</f>
        <v/>
      </c>
      <c r="AB83" s="38">
        <f>IF(OR(AB82="",$B$74=""),"",IFERROR(AB82/$B$74-1,""))</f>
        <v/>
      </c>
      <c r="AC83" s="38">
        <f>IF(OR(AC82="",$B$74=""),"",IFERROR(AC82/$B$74-1,""))</f>
        <v/>
      </c>
    </row>
    <row r="84">
      <c r="A84" s="16" t="inlineStr">
        <is>
          <t>자산가치 산출</t>
        </is>
      </c>
      <c r="B84" s="16" t="inlineStr">
        <is>
          <t>최신 분기 BS</t>
        </is>
      </c>
      <c r="C84" s="17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7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7" t="n"/>
      <c r="Z84" s="16" t="n"/>
      <c r="AA84" s="16" t="n"/>
      <c r="AB84" s="16" t="n"/>
      <c r="AC84" s="16" t="n"/>
    </row>
    <row r="85">
      <c r="A85" s="18" t="inlineStr">
        <is>
          <t>현금및현금성자산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'재무상태표'!G6</f>
        <v/>
      </c>
      <c r="Y85" s="19">
        <f>'재무상태표'!G6</f>
        <v/>
      </c>
      <c r="Z85" s="20">
        <f>'재무상태표'!G6</f>
        <v/>
      </c>
      <c r="AA85" s="20">
        <f>'재무상태표'!G6</f>
        <v/>
      </c>
      <c r="AB85" s="20">
        <f>'재무상태표'!G6</f>
        <v/>
      </c>
      <c r="AC85" s="20">
        <f>'재무상태표'!G6</f>
        <v/>
      </c>
    </row>
    <row r="86">
      <c r="A86" s="18" t="inlineStr">
        <is>
          <t>단기금융상품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'재무상태표'!G7</f>
        <v/>
      </c>
      <c r="Y86" s="19">
        <f>'재무상태표'!G7</f>
        <v/>
      </c>
      <c r="Z86" s="20">
        <f>'재무상태표'!G7</f>
        <v/>
      </c>
      <c r="AA86" s="20">
        <f>'재무상태표'!G7</f>
        <v/>
      </c>
      <c r="AB86" s="20">
        <f>'재무상태표'!G7</f>
        <v/>
      </c>
      <c r="AC86" s="20">
        <f>'재무상태표'!G7</f>
        <v/>
      </c>
    </row>
    <row r="87">
      <c r="A87" s="18" t="inlineStr">
        <is>
          <t>투자부동산</t>
        </is>
      </c>
      <c r="B87" s="10" t="n"/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>
        <f>'재무상태표'!G14</f>
        <v/>
      </c>
      <c r="Y87" s="19">
        <f>'재무상태표'!G14</f>
        <v/>
      </c>
      <c r="Z87" s="20">
        <f>'재무상태표'!G14</f>
        <v/>
      </c>
      <c r="AA87" s="20">
        <f>'재무상태표'!G14</f>
        <v/>
      </c>
      <c r="AB87" s="20">
        <f>'재무상태표'!G14</f>
        <v/>
      </c>
      <c r="AC87" s="20">
        <f>'재무상태표'!G14</f>
        <v/>
      </c>
    </row>
    <row r="88">
      <c r="A88" s="18" t="inlineStr">
        <is>
          <t>지배자본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'재무상태표'!G31</f>
        <v/>
      </c>
      <c r="Y88" s="19">
        <f>'재무상태표'!G31</f>
        <v/>
      </c>
      <c r="Z88" s="20">
        <f>'재무상태표'!G31</f>
        <v/>
      </c>
      <c r="AA88" s="20">
        <f>'재무상태표'!G31</f>
        <v/>
      </c>
      <c r="AB88" s="20">
        <f>'재무상태표'!G31</f>
        <v/>
      </c>
      <c r="AC88" s="20">
        <f>'재무상태표'!G31</f>
        <v/>
      </c>
    </row>
    <row r="89">
      <c r="A89" s="18" t="inlineStr">
        <is>
          <t>부채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'재무상태표'!G27</f>
        <v/>
      </c>
      <c r="Y89" s="19">
        <f>'재무상태표'!G27</f>
        <v/>
      </c>
      <c r="Z89" s="20">
        <f>'재무상태표'!G27</f>
        <v/>
      </c>
      <c r="AA89" s="20">
        <f>'재무상태표'!G27</f>
        <v/>
      </c>
      <c r="AB89" s="20">
        <f>'재무상태표'!G27</f>
        <v/>
      </c>
      <c r="AC89" s="20">
        <f>'재무상태표'!G27</f>
        <v/>
      </c>
    </row>
    <row r="90">
      <c r="A90" s="13" t="inlineStr">
        <is>
          <t>부채비율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>
        <f>IF(OR(X89="",X88=""),"",IFERROR(X89/X88,""))</f>
        <v/>
      </c>
      <c r="Y90" s="14">
        <f>IF(OR(Y89="",Y88=""),"",IFERROR(Y89/Y88,""))</f>
        <v/>
      </c>
      <c r="Z90" s="15">
        <f>IF(OR(Z89="",Z88=""),"",IFERROR(Z89/Z88,""))</f>
        <v/>
      </c>
      <c r="AA90" s="15">
        <f>IF(OR(AA89="",AA88=""),"",IFERROR(AA89/AA88,""))</f>
        <v/>
      </c>
      <c r="AB90" s="15">
        <f>IF(OR(AB89="",AB88=""),"",IFERROR(AB89/AB88,""))</f>
        <v/>
      </c>
      <c r="AC90" s="15">
        <f>IF(OR(AC89="",AC88=""),"",IFERROR(AC89/AC88,""))</f>
        <v/>
      </c>
    </row>
    <row r="91">
      <c r="A91" s="9" t="inlineStr">
        <is>
          <t>자산가치</t>
        </is>
      </c>
      <c r="B91" s="10" t="inlineStr">
        <is>
          <t>현금+단기금융+투자부동산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>
        <f>SUM(X85,X86,X87)</f>
        <v/>
      </c>
      <c r="Y91" s="11">
        <f>SUM(Y85,Y86,Y87)</f>
        <v/>
      </c>
      <c r="Z91" s="12">
        <f>SUM(Z85,Z86,Z87)</f>
        <v/>
      </c>
      <c r="AA91" s="12">
        <f>SUM(AA85,AA86,AA87)</f>
        <v/>
      </c>
      <c r="AB91" s="12">
        <f>SUM(AB85,AB86,AB87)</f>
        <v/>
      </c>
      <c r="AC91" s="12">
        <f>SUM(AC85,AC86,AC87)</f>
        <v/>
      </c>
    </row>
    <row r="92">
      <c r="A92" s="16" t="inlineStr">
        <is>
          <t>기업가치 산출</t>
        </is>
      </c>
      <c r="B92" s="16" t="n"/>
      <c r="C92" s="17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7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7" t="n"/>
      <c r="Z92" s="16" t="n"/>
      <c r="AA92" s="16" t="n"/>
      <c r="AB92" s="16" t="n"/>
      <c r="AC92" s="16" t="n"/>
    </row>
    <row r="93">
      <c r="A93" s="18" t="inlineStr">
        <is>
          <t>목표 시가총액 (P/E)</t>
        </is>
      </c>
      <c r="B93" s="10" t="inlineStr">
        <is>
          <t>지배순이익 × Target P/E</t>
        </is>
      </c>
      <c r="C93" s="19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19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19">
        <f>IF(OR(Y71="",Y80=""),"",IFERROR(Y71*Y80,""))</f>
        <v/>
      </c>
      <c r="Z93" s="20">
        <f>IF(OR(Z71="",Z80=""),"",IFERROR(Z71*Z80,""))</f>
        <v/>
      </c>
      <c r="AA93" s="20">
        <f>IF(OR(AA71="",AA80=""),"",IFERROR(AA71*AA80,""))</f>
        <v/>
      </c>
      <c r="AB93" s="20">
        <f>IF(OR(AB71="",AB80=""),"",IFERROR(AB71*AB80,""))</f>
        <v/>
      </c>
      <c r="AC93" s="20">
        <f>IF(OR(AC71="",AC80=""),"",IFERROR(AC71*AC80,""))</f>
        <v/>
      </c>
    </row>
    <row r="94">
      <c r="A94" s="9" t="inlineStr">
        <is>
          <t>기업가치</t>
        </is>
      </c>
      <c r="B94" s="10" t="inlineStr">
        <is>
          <t>목표시총 + 자산가치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1">
        <f>IF(OR(Y93=""),"",IFERROR(Y93+Y91,""))</f>
        <v/>
      </c>
      <c r="Z94" s="12">
        <f>IF(OR(Z93=""),"",IFERROR(Z93+Z91,""))</f>
        <v/>
      </c>
      <c r="AA94" s="12">
        <f>IF(OR(AA93=""),"",IFERROR(AA93+AA91,""))</f>
        <v/>
      </c>
      <c r="AB94" s="12">
        <f>IF(OR(AB93=""),"",IFERROR(AB93+AB91,""))</f>
        <v/>
      </c>
      <c r="AC94" s="12">
        <f>IF(OR(AC93=""),"",IFERROR(AC93+AC91,""))</f>
        <v/>
      </c>
    </row>
    <row r="95">
      <c r="A95" s="18" t="inlineStr">
        <is>
          <t>현재 시가총액</t>
        </is>
      </c>
      <c r="B95" s="10" t="n"/>
      <c r="C95" s="19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19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19">
        <f>$B$76</f>
        <v/>
      </c>
      <c r="Z95" s="20">
        <f>$B$76</f>
        <v/>
      </c>
      <c r="AA95" s="20">
        <f>$B$76</f>
        <v/>
      </c>
      <c r="AB95" s="20">
        <f>$B$76</f>
        <v/>
      </c>
      <c r="AC95" s="20">
        <f>$B$76</f>
        <v/>
      </c>
    </row>
    <row r="96">
      <c r="A96" s="18" t="inlineStr">
        <is>
          <t>상승여력</t>
        </is>
      </c>
      <c r="B96" s="10" t="n"/>
      <c r="C96" s="35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5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7">
        <f>IF(OR(Y94="",Y95=""),"",IFERROR(Y94/Y95-1,""))</f>
        <v/>
      </c>
      <c r="Z96" s="38">
        <f>IF(OR(Z94="",Z95=""),"",IFERROR(Z94/Z95-1,""))</f>
        <v/>
      </c>
      <c r="AA96" s="38">
        <f>IF(OR(AA94="",AA95=""),"",IFERROR(AA94/AA95-1,""))</f>
        <v/>
      </c>
      <c r="AB96" s="38">
        <f>IF(OR(AB94="",AB95=""),"",IFERROR(AB94/AB95-1,""))</f>
        <v/>
      </c>
      <c r="AC96" s="38">
        <f>IF(OR(AC94="",AC95=""),"",IFERROR(AC94/AC95-1,""))</f>
        <v/>
      </c>
    </row>
    <row r="97">
      <c r="C97" s="39" t="n"/>
      <c r="O97" s="39" t="n"/>
      <c r="Y97" s="39" t="n"/>
    </row>
    <row r="98">
      <c r="A98" s="40" t="inlineStr">
        <is>
          <t>출처</t>
        </is>
      </c>
      <c r="C98" s="39" t="n"/>
      <c r="O98" s="39" t="n"/>
      <c r="Y98" s="39" t="n"/>
    </row>
    <row r="99">
      <c r="A99" s="41" t="inlineStr">
        <is>
          <t>결산단신 XBRL(TDnet·JPX 보관소) — 쓴 문서는 '출처' 시트</t>
        </is>
      </c>
      <c r="C99" s="39" t="n"/>
      <c r="O99" s="39" t="n"/>
      <c r="Y99" s="39" t="n"/>
    </row>
    <row r="100">
      <c r="A100" s="41" t="inlineStr">
        <is>
          <t>분기 = 누계에서 앞 분기를 뺀 3개월 값</t>
        </is>
      </c>
      <c r="C100" s="39" t="n"/>
      <c r="O100" s="39" t="n"/>
      <c r="Y100" s="39" t="n"/>
    </row>
    <row r="101">
      <c r="A101" s="41" t="inlineStr">
        <is>
          <t>주가: 야후 파이낸스 일봉 2026.10.26</t>
        </is>
      </c>
      <c r="C101" s="39" t="n"/>
      <c r="O101" s="39" t="n"/>
      <c r="Y101" s="39" t="n"/>
    </row>
    <row r="103">
      <c r="A103" s="16" t="inlineStr">
        <is>
          <t>손익계산서 · 전 항목</t>
        </is>
      </c>
      <c r="B103" s="42" t="inlineStr">
        <is>
          <t>분기 = 3개월 단독</t>
        </is>
      </c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</row>
    <row r="104">
      <c r="A104" s="5" t="inlineStr">
        <is>
          <t>항목</t>
        </is>
      </c>
      <c r="B104" s="5" t="inlineStr">
        <is>
          <t>참고</t>
        </is>
      </c>
      <c r="C104" s="5" t="inlineStr">
        <is>
          <t>2024.1Q</t>
        </is>
      </c>
      <c r="D104" s="5" t="inlineStr">
        <is>
          <t>2024.2Q</t>
        </is>
      </c>
      <c r="E104" s="5" t="inlineStr">
        <is>
          <t>2024.3Q</t>
        </is>
      </c>
      <c r="F104" s="5" t="inlineStr">
        <is>
          <t>2024.4Q</t>
        </is>
      </c>
      <c r="G104" s="5" t="inlineStr">
        <is>
          <t>2025.1Q</t>
        </is>
      </c>
      <c r="H104" s="5" t="inlineStr">
        <is>
          <t>2025.2Q</t>
        </is>
      </c>
      <c r="I104" s="5" t="inlineStr">
        <is>
          <t>2025.3Q</t>
        </is>
      </c>
      <c r="J104" s="5" t="inlineStr">
        <is>
          <t>2025.4Q</t>
        </is>
      </c>
      <c r="K104" s="5" t="inlineStr">
        <is>
          <t>2026.1Q</t>
        </is>
      </c>
      <c r="L104" s="5" t="inlineStr">
        <is>
          <t>2026.2Q</t>
        </is>
      </c>
      <c r="M104" s="5" t="inlineStr">
        <is>
          <t>2026.3Q</t>
        </is>
      </c>
      <c r="N104" s="5" t="inlineStr">
        <is>
          <t>2026.4Q</t>
        </is>
      </c>
      <c r="O104" s="5" t="inlineStr">
        <is>
          <t>2017</t>
        </is>
      </c>
      <c r="P104" s="5" t="inlineStr">
        <is>
          <t>2018</t>
        </is>
      </c>
      <c r="Q104" s="5" t="inlineStr">
        <is>
          <t>2019</t>
        </is>
      </c>
      <c r="R104" s="5" t="inlineStr">
        <is>
          <t>2020</t>
        </is>
      </c>
      <c r="S104" s="5" t="inlineStr">
        <is>
          <t>2021</t>
        </is>
      </c>
      <c r="T104" s="5" t="inlineStr">
        <is>
          <t>2022</t>
        </is>
      </c>
      <c r="U104" s="5" t="inlineStr">
        <is>
          <t>2023</t>
        </is>
      </c>
      <c r="V104" s="5" t="inlineStr">
        <is>
          <t>2024</t>
        </is>
      </c>
      <c r="W104" s="5" t="inlineStr">
        <is>
          <t>2025</t>
        </is>
      </c>
      <c r="X104" s="5" t="inlineStr">
        <is>
          <t>2026</t>
        </is>
      </c>
      <c r="Y104" s="5" t="inlineStr">
        <is>
          <t>2027(MW)</t>
        </is>
      </c>
      <c r="Z104" s="5" t="inlineStr">
        <is>
          <t>2028(MW)</t>
        </is>
      </c>
      <c r="AA104" s="5" t="inlineStr">
        <is>
          <t>2029(MW)</t>
        </is>
      </c>
      <c r="AB104" s="5" t="inlineStr">
        <is>
          <t>2030(MW)</t>
        </is>
      </c>
      <c r="AC104" s="5" t="inlineStr">
        <is>
          <t>2031(MW)</t>
        </is>
      </c>
    </row>
    <row r="105">
      <c r="A105" s="9" t="inlineStr">
        <is>
          <t>매출액</t>
        </is>
      </c>
      <c r="C105" s="12" t="n">
        <v>25073</v>
      </c>
      <c r="D105" s="12" t="n">
        <v>27232</v>
      </c>
      <c r="E105" s="12" t="n">
        <v>28838</v>
      </c>
      <c r="F105" s="12" t="n">
        <v>29484</v>
      </c>
      <c r="G105" s="12" t="n">
        <v>30174</v>
      </c>
      <c r="H105" s="12" t="n">
        <v>31514</v>
      </c>
      <c r="I105" s="12" t="n">
        <v>33724</v>
      </c>
      <c r="J105" s="12" t="n">
        <v>34407</v>
      </c>
      <c r="K105" s="12" t="n">
        <v>34845</v>
      </c>
      <c r="L105" s="12" t="n">
        <v>37190</v>
      </c>
      <c r="M105" s="12" t="n">
        <v>43813</v>
      </c>
      <c r="N105" s="12" t="n">
        <v>45752</v>
      </c>
      <c r="T105" s="12" t="n">
        <v>17869</v>
      </c>
      <c r="U105" s="12" t="n">
        <v>24675</v>
      </c>
      <c r="V105" s="12" t="n">
        <v>29484</v>
      </c>
      <c r="W105" s="12" t="n">
        <v>34407</v>
      </c>
      <c r="X105" s="12" t="n">
        <v>45752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M106" s="15">
        <f>IF(OR(M105="",I105=""),"",IF(I105&lt;=0,"",IFERROR(M105/I105-1,"")))</f>
        <v/>
      </c>
      <c r="N106" s="15">
        <f>IF(OR(N105="",J105=""),"",IF(J105&lt;=0,"",IFERROR(N105/J105-1,"")))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  <c r="X106" s="15">
        <f>IF(OR(X105="",W105=""),"",IF(W105&lt;=0,"",IFERROR(X105/W105-1,"")))</f>
        <v/>
      </c>
    </row>
    <row r="107">
      <c r="A107" s="18" t="inlineStr">
        <is>
          <t>매출원가</t>
        </is>
      </c>
      <c r="C107" s="20" t="n">
        <v>17267</v>
      </c>
      <c r="D107" s="20" t="n">
        <v>18474</v>
      </c>
      <c r="E107" s="20" t="n">
        <v>19692</v>
      </c>
      <c r="F107" s="20" t="n">
        <v>19834</v>
      </c>
      <c r="G107" s="20" t="n">
        <v>20150</v>
      </c>
      <c r="H107" s="20" t="n">
        <v>20333</v>
      </c>
      <c r="I107" s="20" t="n">
        <v>21887</v>
      </c>
      <c r="J107" s="20" t="n">
        <v>22433</v>
      </c>
      <c r="K107" s="20" t="n">
        <v>23525</v>
      </c>
      <c r="L107" s="20" t="n">
        <v>24411</v>
      </c>
      <c r="M107" s="20" t="n">
        <v>29554</v>
      </c>
      <c r="N107" s="20" t="n">
        <v>29908</v>
      </c>
      <c r="T107" s="20" t="n">
        <v>12414</v>
      </c>
      <c r="U107" s="20" t="n">
        <v>16100</v>
      </c>
      <c r="V107" s="20" t="n">
        <v>19834</v>
      </c>
      <c r="W107" s="20" t="n">
        <v>22433</v>
      </c>
      <c r="X107" s="20" t="n">
        <v>29908</v>
      </c>
    </row>
    <row r="108">
      <c r="A108" s="9" t="inlineStr">
        <is>
          <t>매출총이익</t>
        </is>
      </c>
      <c r="C108" s="12" t="n">
        <v>7806</v>
      </c>
      <c r="D108" s="12" t="n">
        <v>8757</v>
      </c>
      <c r="E108" s="12" t="n">
        <v>9146</v>
      </c>
      <c r="F108" s="12" t="n">
        <v>9651</v>
      </c>
      <c r="G108" s="12" t="n">
        <v>10024</v>
      </c>
      <c r="H108" s="12" t="n">
        <v>11181</v>
      </c>
      <c r="I108" s="12" t="n">
        <v>11836</v>
      </c>
      <c r="J108" s="12" t="n">
        <v>11975</v>
      </c>
      <c r="K108" s="12" t="n">
        <v>11319</v>
      </c>
      <c r="L108" s="12" t="n">
        <v>12780</v>
      </c>
      <c r="M108" s="12" t="n">
        <v>14259</v>
      </c>
      <c r="N108" s="12" t="n">
        <v>15844</v>
      </c>
      <c r="T108" s="12" t="n">
        <v>5455</v>
      </c>
      <c r="U108" s="12" t="n">
        <v>8576</v>
      </c>
      <c r="V108" s="12" t="n">
        <v>9651</v>
      </c>
      <c r="W108" s="12" t="n">
        <v>11975</v>
      </c>
      <c r="X108" s="12" t="n">
        <v>15844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IF(OR(G108="",C108=""),"",IF(C108&lt;=0,"",IFERROR(G108/C108-1,"")))</f>
        <v/>
      </c>
      <c r="H109" s="15">
        <f>IF(OR(H108="",D108=""),"",IF(D108&lt;=0,"",IFERROR(H108/D108-1,"")))</f>
        <v/>
      </c>
      <c r="I109" s="15">
        <f>IF(OR(I108="",E108=""),"",IF(E108&lt;=0,"",IFERROR(I108/E108-1,"")))</f>
        <v/>
      </c>
      <c r="J109" s="15">
        <f>IF(OR(J108="",F108=""),"",IF(F108&lt;=0,"",IFERROR(J108/F108-1,"")))</f>
        <v/>
      </c>
      <c r="K109" s="15">
        <f>IF(OR(K108="",G108=""),"",IF(G108&lt;=0,"",IFERROR(K108/G108-1,"")))</f>
        <v/>
      </c>
      <c r="L109" s="15">
        <f>IF(OR(L108="",H108=""),"",IF(H108&lt;=0,"",IFERROR(L108/H108-1,"")))</f>
        <v/>
      </c>
      <c r="M109" s="15">
        <f>IF(OR(M108="",I108=""),"",IF(I108&lt;=0,"",IFERROR(M108/I108-1,"")))</f>
        <v/>
      </c>
      <c r="N109" s="15">
        <f>IF(OR(N108="",J108=""),"",IF(J108&lt;=0,"",IFERROR(N108/J108-1,"")))</f>
        <v/>
      </c>
      <c r="T109" s="15">
        <f>IF(OR(T108="",S108=""),"",IF(S108&lt;=0,"",IFERROR(T108/S108-1,"")))</f>
        <v/>
      </c>
      <c r="U109" s="15">
        <f>IF(OR(U108="",T108=""),"",IF(T108&lt;=0,"",IFERROR(U108/T108-1,"")))</f>
        <v/>
      </c>
      <c r="V109" s="15">
        <f>IF(OR(V108="",U108=""),"",IF(U108&lt;=0,"",IFERROR(V108/U108-1,"")))</f>
        <v/>
      </c>
      <c r="W109" s="15">
        <f>IF(OR(W108="",V108=""),"",IF(V108&lt;=0,"",IFERROR(W108/V108-1,"")))</f>
        <v/>
      </c>
      <c r="X109" s="15">
        <f>IF(OR(X108="",W108=""),"",IF(W108&lt;=0,"",IFERROR(X108/W108-1,"")))</f>
        <v/>
      </c>
    </row>
    <row r="110">
      <c r="A110" s="18" t="inlineStr">
        <is>
          <t>판매비와 관리비</t>
        </is>
      </c>
      <c r="C110" s="20" t="n">
        <v>5993</v>
      </c>
      <c r="D110" s="20" t="n">
        <v>5887</v>
      </c>
      <c r="E110" s="20" t="n">
        <v>6773</v>
      </c>
      <c r="F110" s="20" t="n">
        <v>6170</v>
      </c>
      <c r="G110" s="20" t="n">
        <v>6507</v>
      </c>
      <c r="H110" s="20" t="n">
        <v>6639</v>
      </c>
      <c r="I110" s="20" t="n">
        <v>7995</v>
      </c>
      <c r="J110" s="20" t="n">
        <v>8246</v>
      </c>
      <c r="K110" s="20" t="n">
        <v>8502</v>
      </c>
      <c r="L110" s="20" t="n">
        <v>8689</v>
      </c>
      <c r="M110" s="20" t="n">
        <v>9783</v>
      </c>
      <c r="N110" s="20" t="n">
        <v>9782</v>
      </c>
      <c r="T110" s="20" t="n">
        <v>3817</v>
      </c>
      <c r="U110" s="20" t="n">
        <v>5245</v>
      </c>
      <c r="V110" s="20" t="n">
        <v>6170</v>
      </c>
      <c r="W110" s="20" t="n">
        <v>8246</v>
      </c>
      <c r="X110" s="20" t="n">
        <v>9782</v>
      </c>
    </row>
    <row r="111">
      <c r="A111" s="9" t="inlineStr">
        <is>
          <t>영업이익</t>
        </is>
      </c>
      <c r="C111" s="12" t="n">
        <v>1813</v>
      </c>
      <c r="D111" s="12" t="n">
        <v>2870</v>
      </c>
      <c r="E111" s="12" t="n">
        <v>2372</v>
      </c>
      <c r="F111" s="12" t="n">
        <v>3482</v>
      </c>
      <c r="G111" s="12" t="n">
        <v>3517</v>
      </c>
      <c r="H111" s="12" t="n">
        <v>4541</v>
      </c>
      <c r="I111" s="12" t="n">
        <v>3841</v>
      </c>
      <c r="J111" s="12" t="n">
        <v>3729</v>
      </c>
      <c r="K111" s="12" t="n">
        <v>2817</v>
      </c>
      <c r="L111" s="12" t="n">
        <v>4090</v>
      </c>
      <c r="M111" s="12" t="n">
        <v>4476</v>
      </c>
      <c r="N111" s="12" t="n">
        <v>6062</v>
      </c>
      <c r="T111" s="12" t="n">
        <v>1637</v>
      </c>
      <c r="U111" s="12" t="n">
        <v>3331</v>
      </c>
      <c r="V111" s="12" t="n">
        <v>3482</v>
      </c>
      <c r="W111" s="12" t="n">
        <v>3729</v>
      </c>
      <c r="X111" s="12" t="n">
        <v>6062</v>
      </c>
    </row>
    <row r="112">
      <c r="A112" s="43" t="inlineStr">
        <is>
          <t>OPM</t>
        </is>
      </c>
      <c r="B112" s="3" t="inlineStr">
        <is>
          <t>영업이익 ÷ 매출</t>
        </is>
      </c>
      <c r="C112" s="15">
        <f>IF(OR(C111="",C105=""),"",IF(C105&lt;=0,"",IFERROR(C111/C105,"")))</f>
        <v/>
      </c>
      <c r="D112" s="15">
        <f>IF(OR(D111="",D105=""),"",IF(D105&lt;=0,"",IFERROR(D111/D105,"")))</f>
        <v/>
      </c>
      <c r="E112" s="15">
        <f>IF(OR(E111="",E105=""),"",IF(E105&lt;=0,"",IFERROR(E111/E105,"")))</f>
        <v/>
      </c>
      <c r="F112" s="15">
        <f>IF(OR(F111="",F105=""),"",IF(F105&lt;=0,"",IFERROR(F111/F105,"")))</f>
        <v/>
      </c>
      <c r="G112" s="15">
        <f>IF(OR(G111="",G105=""),"",IF(G105&lt;=0,"",IFERROR(G111/G105,"")))</f>
        <v/>
      </c>
      <c r="H112" s="15">
        <f>IF(OR(H111="",H105=""),"",IF(H105&lt;=0,"",IFERROR(H111/H105,"")))</f>
        <v/>
      </c>
      <c r="I112" s="15">
        <f>IF(OR(I111="",I105=""),"",IF(I105&lt;=0,"",IFERROR(I111/I105,"")))</f>
        <v/>
      </c>
      <c r="J112" s="15">
        <f>IF(OR(J111="",J105=""),"",IF(J105&lt;=0,"",IFERROR(J111/J105,"")))</f>
        <v/>
      </c>
      <c r="K112" s="15">
        <f>IF(OR(K111="",K105=""),"",IF(K105&lt;=0,"",IFERROR(K111/K105,"")))</f>
        <v/>
      </c>
      <c r="L112" s="15">
        <f>IF(OR(L111="",L105=""),"",IF(L105&lt;=0,"",IFERROR(L111/L105,"")))</f>
        <v/>
      </c>
      <c r="M112" s="15">
        <f>IF(OR(M111="",M105=""),"",IF(M105&lt;=0,"",IFERROR(M111/M105,"")))</f>
        <v/>
      </c>
      <c r="N112" s="15">
        <f>IF(OR(N111="",N105=""),"",IF(N105&lt;=0,"",IFERROR(N111/N105,"")))</f>
        <v/>
      </c>
      <c r="T112" s="15">
        <f>IF(OR(T111="",T105=""),"",IF(T105&lt;=0,"",IFERROR(T111/T105,"")))</f>
        <v/>
      </c>
      <c r="U112" s="15">
        <f>IF(OR(U111="",U105=""),"",IF(U105&lt;=0,"",IFERROR(U111/U105,"")))</f>
        <v/>
      </c>
      <c r="V112" s="15">
        <f>IF(OR(V111="",V105=""),"",IF(V105&lt;=0,"",IFERROR(V111/V105,"")))</f>
        <v/>
      </c>
      <c r="W112" s="15">
        <f>IF(OR(W111="",W105=""),"",IF(W105&lt;=0,"",IFERROR(W111/W105,"")))</f>
        <v/>
      </c>
      <c r="X112" s="15">
        <f>IF(OR(X111="",X105=""),"",IF(X105&lt;=0,"",IFERROR(X111/X105,"")))</f>
        <v/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IF(OR(G111="",C111=""),"",IF(C111&lt;=0,"",IFERROR(G111/C111-1,"")))</f>
        <v/>
      </c>
      <c r="H113" s="15">
        <f>IF(OR(H111="",D111=""),"",IF(D111&lt;=0,"",IFERROR(H111/D111-1,"")))</f>
        <v/>
      </c>
      <c r="I113" s="15">
        <f>IF(OR(I111="",E111=""),"",IF(E111&lt;=0,"",IFERROR(I111/E111-1,"")))</f>
        <v/>
      </c>
      <c r="J113" s="15">
        <f>IF(OR(J111="",F111=""),"",IF(F111&lt;=0,"",IFERROR(J111/F111-1,"")))</f>
        <v/>
      </c>
      <c r="K113" s="15">
        <f>IF(OR(K111="",G111=""),"",IF(G111&lt;=0,"",IFERROR(K111/G111-1,"")))</f>
        <v/>
      </c>
      <c r="L113" s="15">
        <f>IF(OR(L111="",H111=""),"",IF(H111&lt;=0,"",IFERROR(L111/H111-1,"")))</f>
        <v/>
      </c>
      <c r="M113" s="15">
        <f>IF(OR(M111="",I111=""),"",IF(I111&lt;=0,"",IFERROR(M111/I111-1,"")))</f>
        <v/>
      </c>
      <c r="N113" s="15">
        <f>IF(OR(N111="",J111=""),"",IF(J111&lt;=0,"",IFERROR(N111/J111-1,"")))</f>
        <v/>
      </c>
      <c r="T113" s="15">
        <f>IF(OR(T111="",S111=""),"",IF(S111&lt;=0,"",IFERROR(T111/S111-1,"")))</f>
        <v/>
      </c>
      <c r="U113" s="15">
        <f>IF(OR(U111="",T111=""),"",IF(T111&lt;=0,"",IFERROR(U111/T111-1,"")))</f>
        <v/>
      </c>
      <c r="V113" s="15">
        <f>IF(OR(V111="",U111=""),"",IF(U111&lt;=0,"",IFERROR(V111/U111-1,"")))</f>
        <v/>
      </c>
      <c r="W113" s="15">
        <f>IF(OR(W111="",V111=""),"",IF(V111&lt;=0,"",IFERROR(W111/V111-1,"")))</f>
        <v/>
      </c>
      <c r="X113" s="15">
        <f>IF(OR(X111="",W111=""),"",IF(W111&lt;=0,"",IFERROR(X111/W111-1,"")))</f>
        <v/>
      </c>
    </row>
    <row r="114">
      <c r="A114" s="18" t="inlineStr">
        <is>
          <t>이자수익</t>
        </is>
      </c>
      <c r="C114" s="20" t="n">
        <v>0</v>
      </c>
      <c r="D114" s="20" t="n">
        <v>0</v>
      </c>
      <c r="E114" s="20" t="n">
        <v>0</v>
      </c>
      <c r="F114" s="20" t="n">
        <v>2</v>
      </c>
      <c r="G114" s="20" t="n">
        <v>0</v>
      </c>
      <c r="H114" s="20" t="n">
        <v>7</v>
      </c>
      <c r="I114" s="20" t="n">
        <v>1</v>
      </c>
      <c r="J114" s="20" t="n">
        <v>16</v>
      </c>
      <c r="K114" s="20" t="n">
        <v>1</v>
      </c>
      <c r="L114" s="20" t="n">
        <v>17</v>
      </c>
      <c r="M114" s="20" t="n">
        <v>2</v>
      </c>
      <c r="N114" s="20" t="n">
        <v>31</v>
      </c>
      <c r="T114" s="20" t="n">
        <v>0</v>
      </c>
      <c r="U114" s="20" t="n">
        <v>0</v>
      </c>
      <c r="V114" s="20" t="n">
        <v>2</v>
      </c>
      <c r="W114" s="20" t="n">
        <v>16</v>
      </c>
      <c r="X114" s="20" t="n">
        <v>31</v>
      </c>
    </row>
    <row r="115">
      <c r="A115" s="18" t="inlineStr">
        <is>
          <t>배당금수익</t>
        </is>
      </c>
      <c r="C115" s="20" t="n">
        <v>41</v>
      </c>
      <c r="D115" s="20" t="n">
        <v>25</v>
      </c>
      <c r="E115" s="20" t="n">
        <v>0</v>
      </c>
      <c r="F115" s="20" t="n">
        <v>1</v>
      </c>
      <c r="G115" s="20" t="n">
        <v>0</v>
      </c>
      <c r="H115" s="20" t="n">
        <v>0</v>
      </c>
      <c r="I115" s="20" t="n">
        <v>0</v>
      </c>
      <c r="J115" s="20" t="n">
        <v>1</v>
      </c>
      <c r="M115" s="20" t="n">
        <v>18</v>
      </c>
      <c r="N115" s="20" t="n">
        <v>7</v>
      </c>
      <c r="T115" s="20" t="n">
        <v>17</v>
      </c>
      <c r="U115" s="20" t="n">
        <v>19</v>
      </c>
      <c r="V115" s="20" t="n">
        <v>1</v>
      </c>
      <c r="W115" s="20" t="n">
        <v>1</v>
      </c>
      <c r="X115" s="20" t="n">
        <v>7</v>
      </c>
    </row>
    <row r="116">
      <c r="A116" s="18" t="inlineStr">
        <is>
          <t>보조금 수입</t>
        </is>
      </c>
      <c r="C116" s="20" t="n">
        <v>23</v>
      </c>
      <c r="D116" s="20" t="n">
        <v>27</v>
      </c>
      <c r="E116" s="20" t="n">
        <v>40</v>
      </c>
      <c r="F116" s="20" t="n">
        <v>11</v>
      </c>
      <c r="G116" s="20" t="n">
        <v>25</v>
      </c>
      <c r="H116" s="20" t="n">
        <v>28</v>
      </c>
      <c r="I116" s="20" t="n">
        <v>67</v>
      </c>
      <c r="J116" s="20" t="n">
        <v>18</v>
      </c>
      <c r="K116" s="20" t="n">
        <v>33</v>
      </c>
      <c r="L116" s="20" t="n">
        <v>53</v>
      </c>
      <c r="M116" s="20" t="n">
        <v>20</v>
      </c>
      <c r="N116" s="20" t="n">
        <v>37</v>
      </c>
      <c r="T116" s="20" t="n">
        <v>137</v>
      </c>
      <c r="U116" s="20" t="n">
        <v>15</v>
      </c>
      <c r="V116" s="20" t="n">
        <v>11</v>
      </c>
      <c r="W116" s="20" t="n">
        <v>18</v>
      </c>
      <c r="X116" s="20" t="n">
        <v>37</v>
      </c>
    </row>
    <row r="117">
      <c r="A117" s="18" t="inlineStr">
        <is>
          <t>대손충당금 환입</t>
        </is>
      </c>
      <c r="G117" s="20" t="n">
        <v>0</v>
      </c>
      <c r="H117" s="20" t="n">
        <v>1</v>
      </c>
      <c r="I117" s="20" t="n">
        <v>1</v>
      </c>
      <c r="J117" s="20" t="n">
        <v>-2</v>
      </c>
      <c r="K117" s="20" t="n">
        <v>45</v>
      </c>
      <c r="L117" s="20" t="n">
        <v>1</v>
      </c>
      <c r="M117" s="20" t="n">
        <v>33</v>
      </c>
      <c r="N117" s="20" t="n">
        <v>2</v>
      </c>
      <c r="W117" s="20" t="n">
        <v>-2</v>
      </c>
      <c r="X117" s="20" t="n">
        <v>2</v>
      </c>
    </row>
    <row r="118">
      <c r="A118" s="18" t="inlineStr">
        <is>
          <t>기타</t>
        </is>
      </c>
      <c r="C118" s="20" t="n">
        <v>15</v>
      </c>
      <c r="D118" s="20" t="n">
        <v>44</v>
      </c>
      <c r="E118" s="20" t="n">
        <v>37</v>
      </c>
      <c r="F118" s="20" t="n">
        <v>-28</v>
      </c>
      <c r="G118" s="20" t="n">
        <v>14</v>
      </c>
      <c r="H118" s="20" t="n">
        <v>15</v>
      </c>
      <c r="I118" s="20" t="n">
        <v>25</v>
      </c>
      <c r="J118" s="20" t="n">
        <v>3</v>
      </c>
      <c r="K118" s="20" t="n">
        <v>19</v>
      </c>
      <c r="L118" s="20" t="n">
        <v>19</v>
      </c>
      <c r="M118" s="20" t="n">
        <v>32</v>
      </c>
      <c r="N118" s="20" t="n">
        <v>20</v>
      </c>
      <c r="T118" s="20" t="n">
        <v>40</v>
      </c>
      <c r="U118" s="20" t="n">
        <v>19</v>
      </c>
      <c r="V118" s="20" t="n">
        <v>-28</v>
      </c>
      <c r="W118" s="20" t="n">
        <v>3</v>
      </c>
      <c r="X118" s="20" t="n">
        <v>20</v>
      </c>
    </row>
    <row r="119">
      <c r="A119" s="18" t="inlineStr">
        <is>
          <t>영업외수익 합계</t>
        </is>
      </c>
      <c r="C119" s="20" t="n">
        <v>80</v>
      </c>
      <c r="D119" s="20" t="n">
        <v>96</v>
      </c>
      <c r="E119" s="20" t="n">
        <v>78</v>
      </c>
      <c r="F119" s="20" t="n">
        <v>37</v>
      </c>
      <c r="G119" s="20" t="n">
        <v>40</v>
      </c>
      <c r="H119" s="20" t="n">
        <v>52</v>
      </c>
      <c r="I119" s="20" t="n">
        <v>94</v>
      </c>
      <c r="J119" s="20" t="n">
        <v>62</v>
      </c>
      <c r="K119" s="20" t="n">
        <v>100</v>
      </c>
      <c r="L119" s="20" t="n">
        <v>90</v>
      </c>
      <c r="M119" s="20" t="n">
        <v>106</v>
      </c>
      <c r="N119" s="20" t="n">
        <v>125</v>
      </c>
      <c r="T119" s="20" t="n">
        <v>194</v>
      </c>
      <c r="U119" s="20" t="n">
        <v>54</v>
      </c>
      <c r="V119" s="20" t="n">
        <v>37</v>
      </c>
      <c r="W119" s="20" t="n">
        <v>62</v>
      </c>
      <c r="X119" s="20" t="n">
        <v>125</v>
      </c>
    </row>
    <row r="120">
      <c r="A120" s="18" t="inlineStr">
        <is>
          <t>이자비용</t>
        </is>
      </c>
      <c r="C120" s="20" t="n">
        <v>4</v>
      </c>
      <c r="D120" s="20" t="n">
        <v>12</v>
      </c>
      <c r="E120" s="20" t="n">
        <v>21</v>
      </c>
      <c r="F120" s="20" t="n">
        <v>20</v>
      </c>
      <c r="G120" s="20" t="n">
        <v>15</v>
      </c>
      <c r="H120" s="20" t="n">
        <v>25</v>
      </c>
      <c r="I120" s="20" t="n">
        <v>36</v>
      </c>
      <c r="J120" s="20" t="n">
        <v>41</v>
      </c>
      <c r="K120" s="20" t="n">
        <v>38</v>
      </c>
      <c r="L120" s="20" t="n">
        <v>59</v>
      </c>
      <c r="M120" s="20" t="n">
        <v>106</v>
      </c>
      <c r="N120" s="20" t="n">
        <v>158</v>
      </c>
      <c r="T120" s="20" t="n">
        <v>2</v>
      </c>
      <c r="U120" s="20" t="n">
        <v>7</v>
      </c>
      <c r="V120" s="20" t="n">
        <v>20</v>
      </c>
      <c r="W120" s="20" t="n">
        <v>41</v>
      </c>
      <c r="X120" s="20" t="n">
        <v>158</v>
      </c>
    </row>
    <row r="121">
      <c r="A121" s="18" t="inlineStr">
        <is>
          <t>외환차손</t>
        </is>
      </c>
      <c r="E121" s="20" t="n">
        <v>2</v>
      </c>
      <c r="F121" s="20" t="n">
        <v>-4</v>
      </c>
      <c r="I121" s="20" t="n">
        <v>-7</v>
      </c>
      <c r="M121" s="20" t="n">
        <v>3</v>
      </c>
      <c r="T121" s="20" t="n">
        <v>0</v>
      </c>
      <c r="U121" s="20" t="n">
        <v>1</v>
      </c>
      <c r="V121" s="20" t="n">
        <v>-4</v>
      </c>
    </row>
    <row r="122">
      <c r="A122" s="18" t="inlineStr">
        <is>
          <t>지급수수료</t>
        </is>
      </c>
      <c r="C122" s="20" t="n">
        <v>0</v>
      </c>
      <c r="D122" s="20" t="n">
        <v>1</v>
      </c>
      <c r="E122" s="20" t="n">
        <v>1</v>
      </c>
      <c r="F122" s="20" t="n">
        <v>4</v>
      </c>
      <c r="G122" s="20" t="n">
        <v>1</v>
      </c>
      <c r="H122" s="20" t="n">
        <v>1</v>
      </c>
      <c r="I122" s="20" t="n">
        <v>2</v>
      </c>
      <c r="J122" s="20" t="n">
        <v>4</v>
      </c>
      <c r="K122" s="20" t="n">
        <v>1</v>
      </c>
      <c r="L122" s="20" t="n">
        <v>8</v>
      </c>
      <c r="M122" s="20" t="n">
        <v>10</v>
      </c>
      <c r="N122" s="20" t="n">
        <v>-1</v>
      </c>
      <c r="T122" s="20" t="n">
        <v>45</v>
      </c>
      <c r="U122" s="20" t="n">
        <v>2</v>
      </c>
      <c r="V122" s="20" t="n">
        <v>4</v>
      </c>
      <c r="W122" s="20" t="n">
        <v>4</v>
      </c>
      <c r="X122" s="20" t="n">
        <v>-1</v>
      </c>
    </row>
    <row r="123">
      <c r="A123" s="18" t="inlineStr">
        <is>
          <t>지분법손실</t>
        </is>
      </c>
      <c r="G123" s="20" t="n">
        <v>0</v>
      </c>
      <c r="H123" s="20" t="n">
        <v>0</v>
      </c>
      <c r="I123" s="20" t="n">
        <v>0</v>
      </c>
      <c r="J123" s="20" t="n">
        <v>75</v>
      </c>
      <c r="K123" s="20" t="n">
        <v>64</v>
      </c>
      <c r="L123" s="20" t="n">
        <v>58</v>
      </c>
      <c r="M123" s="20" t="n">
        <v>3750</v>
      </c>
      <c r="N123" s="20" t="n">
        <v>-11</v>
      </c>
      <c r="W123" s="20" t="n">
        <v>75</v>
      </c>
      <c r="X123" s="20" t="n">
        <v>-11</v>
      </c>
    </row>
    <row r="124">
      <c r="A124" s="18" t="inlineStr">
        <is>
          <t>출자금 운용손실</t>
        </is>
      </c>
      <c r="C124" s="20" t="n">
        <v>0</v>
      </c>
      <c r="D124" s="20" t="n">
        <v>0</v>
      </c>
      <c r="E124" s="20" t="n">
        <v>0</v>
      </c>
      <c r="F124" s="20" t="n">
        <v>0</v>
      </c>
      <c r="G124" s="20" t="n">
        <v>224</v>
      </c>
      <c r="H124" s="20" t="n">
        <v>3</v>
      </c>
      <c r="I124" s="20" t="n">
        <v>142</v>
      </c>
      <c r="J124" s="20" t="n">
        <v>21</v>
      </c>
      <c r="K124" s="20" t="n">
        <v>20</v>
      </c>
      <c r="L124" s="20" t="n">
        <v>221</v>
      </c>
      <c r="M124" s="20" t="n">
        <v>-7</v>
      </c>
      <c r="N124" s="20" t="n">
        <v>5</v>
      </c>
      <c r="V124" s="20" t="n">
        <v>0</v>
      </c>
      <c r="W124" s="20" t="n">
        <v>21</v>
      </c>
      <c r="X124" s="20" t="n">
        <v>5</v>
      </c>
    </row>
    <row r="125">
      <c r="A125" s="18" t="inlineStr">
        <is>
          <t>사무소 이전비용</t>
        </is>
      </c>
      <c r="C125" s="20" t="n">
        <v>5</v>
      </c>
      <c r="D125" s="20" t="n">
        <v>0</v>
      </c>
      <c r="E125" s="20" t="n">
        <v>0</v>
      </c>
      <c r="F125" s="20" t="n">
        <v>0</v>
      </c>
      <c r="G125" s="20" t="n">
        <v>0</v>
      </c>
      <c r="H125" s="20" t="n">
        <v>0</v>
      </c>
      <c r="I125" s="20" t="n">
        <v>0</v>
      </c>
      <c r="J125" s="20" t="n">
        <v>0</v>
      </c>
      <c r="U125" s="20" t="n">
        <v>6</v>
      </c>
      <c r="V125" s="20" t="n">
        <v>0</v>
      </c>
      <c r="W125" s="20" t="n">
        <v>0</v>
      </c>
    </row>
    <row r="126">
      <c r="A126" s="18" t="inlineStr">
        <is>
          <t>기타</t>
        </is>
      </c>
      <c r="C126" s="20" t="n">
        <v>1</v>
      </c>
      <c r="D126" s="20" t="n">
        <v>1</v>
      </c>
      <c r="E126" s="20" t="n">
        <v>3</v>
      </c>
      <c r="F126" s="20" t="n">
        <v>1</v>
      </c>
      <c r="G126" s="20" t="n">
        <v>2</v>
      </c>
      <c r="H126" s="20" t="n">
        <v>2</v>
      </c>
      <c r="I126" s="20" t="n">
        <v>2</v>
      </c>
      <c r="J126" s="20" t="n">
        <v>97</v>
      </c>
      <c r="K126" s="20" t="n">
        <v>14</v>
      </c>
      <c r="L126" s="20" t="n">
        <v>-12</v>
      </c>
      <c r="M126" s="20" t="n">
        <v>17</v>
      </c>
      <c r="N126" s="20" t="n">
        <v>45</v>
      </c>
      <c r="T126" s="20" t="n">
        <v>6</v>
      </c>
      <c r="U126" s="20" t="n">
        <v>1</v>
      </c>
      <c r="V126" s="20" t="n">
        <v>1</v>
      </c>
      <c r="W126" s="20" t="n">
        <v>97</v>
      </c>
      <c r="X126" s="20" t="n">
        <v>45</v>
      </c>
    </row>
    <row r="127">
      <c r="A127" s="18" t="inlineStr">
        <is>
          <t>영업외비용 합계</t>
        </is>
      </c>
      <c r="C127" s="20" t="n">
        <v>11</v>
      </c>
      <c r="D127" s="20" t="n">
        <v>17</v>
      </c>
      <c r="E127" s="20" t="n">
        <v>26</v>
      </c>
      <c r="F127" s="20" t="n">
        <v>21</v>
      </c>
      <c r="G127" s="20" t="n">
        <v>243</v>
      </c>
      <c r="H127" s="20" t="n">
        <v>39</v>
      </c>
      <c r="I127" s="20" t="n">
        <v>175</v>
      </c>
      <c r="J127" s="20" t="n">
        <v>238</v>
      </c>
      <c r="K127" s="20" t="n">
        <v>139</v>
      </c>
      <c r="L127" s="20" t="n">
        <v>349</v>
      </c>
      <c r="M127" s="20" t="n">
        <v>3880</v>
      </c>
      <c r="N127" s="20" t="n">
        <v>177</v>
      </c>
      <c r="T127" s="20" t="n">
        <v>101</v>
      </c>
      <c r="U127" s="20" t="n">
        <v>18</v>
      </c>
      <c r="V127" s="20" t="n">
        <v>21</v>
      </c>
      <c r="W127" s="20" t="n">
        <v>238</v>
      </c>
      <c r="X127" s="20" t="n">
        <v>177</v>
      </c>
    </row>
    <row r="128">
      <c r="A128" s="9" t="inlineStr">
        <is>
          <t>경상이익</t>
        </is>
      </c>
      <c r="C128" s="12" t="n">
        <v>1882</v>
      </c>
      <c r="D128" s="12" t="n">
        <v>2949</v>
      </c>
      <c r="E128" s="12" t="n">
        <v>2424</v>
      </c>
      <c r="F128" s="12" t="n">
        <v>3498</v>
      </c>
      <c r="G128" s="12" t="n">
        <v>3313</v>
      </c>
      <c r="H128" s="12" t="n">
        <v>4555</v>
      </c>
      <c r="I128" s="12" t="n">
        <v>3761</v>
      </c>
      <c r="J128" s="12" t="n">
        <v>3552</v>
      </c>
      <c r="K128" s="12" t="n">
        <v>2778</v>
      </c>
      <c r="L128" s="12" t="n">
        <v>3831</v>
      </c>
      <c r="M128" s="12" t="n">
        <v>703</v>
      </c>
      <c r="N128" s="12" t="n">
        <v>6008</v>
      </c>
      <c r="T128" s="12" t="n">
        <v>1731</v>
      </c>
      <c r="U128" s="12" t="n">
        <v>3365</v>
      </c>
      <c r="V128" s="12" t="n">
        <v>3498</v>
      </c>
      <c r="W128" s="12" t="n">
        <v>3552</v>
      </c>
      <c r="X128" s="12" t="n">
        <v>6008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지분변동이익</t>
        </is>
      </c>
      <c r="G130" s="20" t="n">
        <v>0</v>
      </c>
      <c r="H130" s="20" t="n">
        <v>0</v>
      </c>
      <c r="I130" s="20" t="n">
        <v>0</v>
      </c>
      <c r="J130" s="20" t="n">
        <v>4</v>
      </c>
      <c r="K130" s="20" t="n">
        <v>0</v>
      </c>
      <c r="L130" s="20" t="n">
        <v>10</v>
      </c>
      <c r="M130" s="20" t="n">
        <v>8</v>
      </c>
      <c r="N130" s="20" t="n">
        <v>-1</v>
      </c>
      <c r="W130" s="20" t="n">
        <v>4</v>
      </c>
      <c r="X130" s="20" t="n">
        <v>-1</v>
      </c>
    </row>
    <row r="131">
      <c r="A131" s="18" t="inlineStr">
        <is>
          <t>투자유가증권 매각이익</t>
        </is>
      </c>
      <c r="E131" s="20" t="n">
        <v>0</v>
      </c>
      <c r="F131" s="20" t="n">
        <v>333</v>
      </c>
      <c r="I131" s="20" t="n">
        <v>0</v>
      </c>
      <c r="J131" s="20" t="n">
        <v>0</v>
      </c>
      <c r="M131" s="20" t="n">
        <v>280</v>
      </c>
      <c r="N131" s="20" t="n">
        <v>132</v>
      </c>
      <c r="V131" s="20" t="n">
        <v>333</v>
      </c>
      <c r="W131" s="20" t="n">
        <v>0</v>
      </c>
      <c r="X131" s="20" t="n">
        <v>132</v>
      </c>
    </row>
    <row r="132">
      <c r="A132" s="18" t="inlineStr">
        <is>
          <t>부의 영업권 발생이익</t>
        </is>
      </c>
      <c r="F132" s="20" t="n">
        <v>0</v>
      </c>
      <c r="J132" s="20" t="n">
        <v>0</v>
      </c>
      <c r="N132" s="20" t="n">
        <v>0</v>
      </c>
      <c r="V132" s="20" t="n">
        <v>0</v>
      </c>
      <c r="W132" s="20" t="n">
        <v>0</v>
      </c>
      <c r="X132" s="20" t="n">
        <v>0</v>
      </c>
    </row>
    <row r="133">
      <c r="A133" s="18" t="inlineStr">
        <is>
          <t>보조금 수입</t>
        </is>
      </c>
      <c r="F133" s="20" t="n">
        <v>0</v>
      </c>
      <c r="J133" s="20" t="n">
        <v>0</v>
      </c>
      <c r="N133" s="20" t="n">
        <v>0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특별이익 합계</t>
        </is>
      </c>
      <c r="E134" s="20" t="n">
        <v>0</v>
      </c>
      <c r="F134" s="20" t="n">
        <v>333</v>
      </c>
      <c r="G134" s="20" t="n">
        <v>0</v>
      </c>
      <c r="H134" s="20" t="n">
        <v>54</v>
      </c>
      <c r="I134" s="20" t="n">
        <v>58</v>
      </c>
      <c r="J134" s="20" t="n">
        <v>4</v>
      </c>
      <c r="K134" s="20" t="n">
        <v>0</v>
      </c>
      <c r="L134" s="20" t="n">
        <v>10</v>
      </c>
      <c r="M134" s="20" t="n">
        <v>288</v>
      </c>
      <c r="N134" s="20" t="n">
        <v>132</v>
      </c>
      <c r="V134" s="20" t="n">
        <v>333</v>
      </c>
      <c r="W134" s="20" t="n">
        <v>4</v>
      </c>
      <c r="X134" s="20" t="n">
        <v>132</v>
      </c>
    </row>
    <row r="135">
      <c r="A135" s="18" t="inlineStr">
        <is>
          <t>손상차손</t>
        </is>
      </c>
      <c r="E135" s="20" t="n">
        <v>0</v>
      </c>
      <c r="F135" s="20" t="n">
        <v>605</v>
      </c>
      <c r="I135" s="20" t="n">
        <v>404</v>
      </c>
      <c r="J135" s="20" t="n">
        <v>0</v>
      </c>
      <c r="M135" s="20" t="n">
        <v>0</v>
      </c>
      <c r="N135" s="20" t="n">
        <v>55</v>
      </c>
      <c r="V135" s="20" t="n">
        <v>605</v>
      </c>
      <c r="W135" s="20" t="n">
        <v>0</v>
      </c>
      <c r="X135" s="20" t="n">
        <v>55</v>
      </c>
    </row>
    <row r="136">
      <c r="A136" s="18" t="inlineStr">
        <is>
          <t>고정자산 압축손실</t>
        </is>
      </c>
      <c r="F136" s="20" t="n">
        <v>0</v>
      </c>
      <c r="J136" s="20" t="n">
        <v>0</v>
      </c>
      <c r="N136" s="20" t="n">
        <v>0</v>
      </c>
      <c r="V136" s="20" t="n">
        <v>0</v>
      </c>
      <c r="W136" s="20" t="n">
        <v>0</v>
      </c>
      <c r="X136" s="20" t="n">
        <v>0</v>
      </c>
    </row>
    <row r="137">
      <c r="A137" s="18" t="inlineStr">
        <is>
          <t>투자유가증권 평가손실</t>
        </is>
      </c>
      <c r="C137" s="20" t="n">
        <v>0</v>
      </c>
      <c r="D137" s="20" t="n">
        <v>0</v>
      </c>
      <c r="E137" s="20" t="n">
        <v>1437</v>
      </c>
      <c r="F137" s="20" t="n">
        <v>0</v>
      </c>
      <c r="G137" s="20" t="n">
        <v>163</v>
      </c>
      <c r="H137" s="20" t="n">
        <v>0</v>
      </c>
      <c r="I137" s="20" t="n">
        <v>427</v>
      </c>
      <c r="J137" s="20" t="n">
        <v>0</v>
      </c>
      <c r="K137" s="20" t="n">
        <v>0</v>
      </c>
      <c r="L137" s="20" t="n">
        <v>0</v>
      </c>
      <c r="M137" s="20" t="n">
        <v>302</v>
      </c>
      <c r="N137" s="20" t="n">
        <v>0</v>
      </c>
      <c r="T137" s="20" t="n">
        <v>136</v>
      </c>
      <c r="U137" s="20" t="n">
        <v>0</v>
      </c>
      <c r="V137" s="20" t="n">
        <v>0</v>
      </c>
      <c r="W137" s="20" t="n">
        <v>0</v>
      </c>
      <c r="X137" s="20" t="n">
        <v>0</v>
      </c>
    </row>
    <row r="138">
      <c r="A138" s="18" t="inlineStr">
        <is>
          <t>특별손실 합계</t>
        </is>
      </c>
      <c r="C138" s="20" t="n">
        <v>0</v>
      </c>
      <c r="D138" s="20" t="n">
        <v>0</v>
      </c>
      <c r="E138" s="20" t="n">
        <v>1437</v>
      </c>
      <c r="F138" s="20" t="n">
        <v>616</v>
      </c>
      <c r="G138" s="20" t="n">
        <v>163</v>
      </c>
      <c r="H138" s="20" t="n">
        <v>573</v>
      </c>
      <c r="I138" s="20" t="n">
        <v>888</v>
      </c>
      <c r="J138" s="20" t="n">
        <v>0</v>
      </c>
      <c r="K138" s="20" t="n">
        <v>0</v>
      </c>
      <c r="L138" s="20" t="n">
        <v>501</v>
      </c>
      <c r="M138" s="20" t="n">
        <v>302</v>
      </c>
      <c r="N138" s="20" t="n">
        <v>56</v>
      </c>
      <c r="T138" s="20" t="n">
        <v>136</v>
      </c>
      <c r="U138" s="20" t="n">
        <v>562</v>
      </c>
      <c r="V138" s="20" t="n">
        <v>616</v>
      </c>
      <c r="W138" s="20" t="n">
        <v>0</v>
      </c>
      <c r="X138" s="20" t="n">
        <v>56</v>
      </c>
    </row>
    <row r="139">
      <c r="A139" s="9" t="inlineStr">
        <is>
          <t>법인세차감전 순이익</t>
        </is>
      </c>
      <c r="C139" s="12" t="n">
        <v>1882</v>
      </c>
      <c r="D139" s="12" t="n">
        <v>2949</v>
      </c>
      <c r="E139" s="12" t="n">
        <v>986</v>
      </c>
      <c r="F139" s="12" t="n">
        <v>3215</v>
      </c>
      <c r="G139" s="12" t="n">
        <v>3150</v>
      </c>
      <c r="H139" s="12" t="n">
        <v>4035</v>
      </c>
      <c r="I139" s="12" t="n">
        <v>2932</v>
      </c>
      <c r="J139" s="12" t="n">
        <v>3557</v>
      </c>
      <c r="K139" s="12" t="n">
        <v>2778</v>
      </c>
      <c r="L139" s="12" t="n">
        <v>3340</v>
      </c>
      <c r="M139" s="12" t="n">
        <v>688</v>
      </c>
      <c r="N139" s="12" t="n">
        <v>6085</v>
      </c>
      <c r="T139" s="12" t="n">
        <v>1639</v>
      </c>
      <c r="U139" s="12" t="n">
        <v>3220</v>
      </c>
      <c r="V139" s="12" t="n">
        <v>3215</v>
      </c>
      <c r="W139" s="12" t="n">
        <v>3557</v>
      </c>
      <c r="X139" s="12" t="n">
        <v>6085</v>
      </c>
    </row>
    <row r="140">
      <c r="A140" s="18" t="inlineStr">
        <is>
          <t>법인세 등 합계</t>
        </is>
      </c>
      <c r="C140" s="20" t="n">
        <v>766</v>
      </c>
      <c r="D140" s="20" t="n">
        <v>1015</v>
      </c>
      <c r="E140" s="20" t="n">
        <v>634</v>
      </c>
      <c r="F140" s="20" t="n">
        <v>1371</v>
      </c>
      <c r="G140" s="20" t="n">
        <v>1134</v>
      </c>
      <c r="H140" s="20" t="n">
        <v>1488</v>
      </c>
      <c r="I140" s="20" t="n">
        <v>1149</v>
      </c>
      <c r="J140" s="20" t="n">
        <v>898</v>
      </c>
      <c r="K140" s="20" t="n">
        <v>983</v>
      </c>
      <c r="L140" s="20" t="n">
        <v>1123</v>
      </c>
      <c r="M140" s="20" t="n">
        <v>730</v>
      </c>
      <c r="N140" s="20" t="n">
        <v>2665</v>
      </c>
      <c r="T140" s="20" t="n">
        <v>334</v>
      </c>
      <c r="U140" s="20" t="n">
        <v>921</v>
      </c>
      <c r="V140" s="20" t="n">
        <v>1371</v>
      </c>
      <c r="W140" s="20" t="n">
        <v>898</v>
      </c>
      <c r="X140" s="20" t="n">
        <v>2665</v>
      </c>
    </row>
    <row r="141">
      <c r="A141" s="9" t="inlineStr">
        <is>
          <t>순이익</t>
        </is>
      </c>
      <c r="C141" s="12" t="n">
        <v>1115</v>
      </c>
      <c r="D141" s="12" t="n">
        <v>1934</v>
      </c>
      <c r="E141" s="12" t="n">
        <v>353</v>
      </c>
      <c r="F141" s="12" t="n">
        <v>1844</v>
      </c>
      <c r="G141" s="12" t="n">
        <v>2016</v>
      </c>
      <c r="H141" s="12" t="n">
        <v>2547</v>
      </c>
      <c r="I141" s="12" t="n">
        <v>1783</v>
      </c>
      <c r="J141" s="12" t="n">
        <v>2658</v>
      </c>
      <c r="K141" s="12" t="n">
        <v>1795</v>
      </c>
      <c r="L141" s="12" t="n">
        <v>2216</v>
      </c>
      <c r="M141" s="12" t="n">
        <v>-41</v>
      </c>
      <c r="N141" s="12" t="n">
        <v>3420</v>
      </c>
      <c r="T141" s="12" t="n">
        <v>1305</v>
      </c>
      <c r="U141" s="12" t="n">
        <v>2298</v>
      </c>
      <c r="V141" s="12" t="n">
        <v>1844</v>
      </c>
      <c r="W141" s="12" t="n">
        <v>2658</v>
      </c>
      <c r="X141" s="12" t="n">
        <v>3420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9" t="inlineStr">
        <is>
          <t>비지배주주 순손익</t>
        </is>
      </c>
      <c r="C143" s="12" t="n">
        <v>21</v>
      </c>
      <c r="D143" s="12" t="n">
        <v>45</v>
      </c>
      <c r="E143" s="12" t="n">
        <v>21</v>
      </c>
      <c r="F143" s="12" t="n">
        <v>31</v>
      </c>
      <c r="G143" s="12" t="n">
        <v>39</v>
      </c>
      <c r="H143" s="12" t="n">
        <v>30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-8</v>
      </c>
      <c r="N143" s="12" t="n">
        <v>-31</v>
      </c>
      <c r="T143" s="12" t="n">
        <v>46</v>
      </c>
      <c r="U143" s="12" t="n">
        <v>31</v>
      </c>
      <c r="V143" s="12" t="n">
        <v>31</v>
      </c>
      <c r="W143" s="12" t="n">
        <v>0</v>
      </c>
      <c r="X143" s="12" t="n">
        <v>-31</v>
      </c>
    </row>
    <row r="144">
      <c r="A144" s="9" t="inlineStr">
        <is>
          <t>지배주주 순이익</t>
        </is>
      </c>
      <c r="C144" s="12" t="n">
        <v>1093</v>
      </c>
      <c r="D144" s="12" t="n">
        <v>1889</v>
      </c>
      <c r="E144" s="12" t="n">
        <v>333</v>
      </c>
      <c r="F144" s="12" t="n">
        <v>1812</v>
      </c>
      <c r="G144" s="12" t="n">
        <v>1976</v>
      </c>
      <c r="H144" s="12" t="n">
        <v>2517</v>
      </c>
      <c r="I144" s="12" t="n">
        <v>1784</v>
      </c>
      <c r="J144" s="12" t="n">
        <v>2658</v>
      </c>
      <c r="K144" s="12" t="n">
        <v>1795</v>
      </c>
      <c r="L144" s="12" t="n">
        <v>2216</v>
      </c>
      <c r="M144" s="12" t="n">
        <v>-32</v>
      </c>
      <c r="N144" s="12" t="n">
        <v>3451</v>
      </c>
      <c r="T144" s="12" t="n">
        <v>1259</v>
      </c>
      <c r="U144" s="12" t="n">
        <v>2266</v>
      </c>
      <c r="V144" s="12" t="n">
        <v>1812</v>
      </c>
      <c r="W144" s="12" t="n">
        <v>2658</v>
      </c>
      <c r="X144" s="12" t="n">
        <v>3451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T145" s="15">
        <f>IF(OR(T144="",S144=""),"",IF(S144&lt;=0,"",IFERROR(T144/S144-1,"")))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7">
      <c r="A147" s="16" t="inlineStr">
        <is>
          <t>포괄손익 · 전 항목</t>
        </is>
      </c>
      <c r="B147" s="42" t="inlineStr">
        <is>
          <t>분기 = 3개월 단독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2024.1Q</t>
        </is>
      </c>
      <c r="D148" s="5" t="inlineStr">
        <is>
          <t>2024.2Q</t>
        </is>
      </c>
      <c r="E148" s="5" t="inlineStr">
        <is>
          <t>2024.3Q</t>
        </is>
      </c>
      <c r="F148" s="5" t="inlineStr">
        <is>
          <t>2024.4Q</t>
        </is>
      </c>
      <c r="G148" s="5" t="inlineStr">
        <is>
          <t>2025.1Q</t>
        </is>
      </c>
      <c r="H148" s="5" t="inlineStr">
        <is>
          <t>2025.2Q</t>
        </is>
      </c>
      <c r="I148" s="5" t="inlineStr">
        <is>
          <t>2025.3Q</t>
        </is>
      </c>
      <c r="J148" s="5" t="inlineStr">
        <is>
          <t>2025.4Q</t>
        </is>
      </c>
      <c r="K148" s="5" t="inlineStr">
        <is>
          <t>2026.1Q</t>
        </is>
      </c>
      <c r="L148" s="5" t="inlineStr">
        <is>
          <t>2026.2Q</t>
        </is>
      </c>
      <c r="M148" s="5" t="inlineStr">
        <is>
          <t>2026.3Q</t>
        </is>
      </c>
      <c r="N148" s="5" t="inlineStr">
        <is>
          <t>2026.4Q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9" t="inlineStr">
        <is>
          <t>순이익</t>
        </is>
      </c>
      <c r="C149" s="12" t="n">
        <v>1115</v>
      </c>
      <c r="D149" s="12" t="n">
        <v>1934</v>
      </c>
      <c r="E149" s="12" t="n">
        <v>353</v>
      </c>
      <c r="F149" s="12" t="n">
        <v>1844</v>
      </c>
      <c r="G149" s="12" t="n">
        <v>2016</v>
      </c>
      <c r="H149" s="12" t="n">
        <v>2547</v>
      </c>
      <c r="I149" s="12" t="n">
        <v>1783</v>
      </c>
      <c r="J149" s="12" t="n">
        <v>2658</v>
      </c>
      <c r="K149" s="12" t="n">
        <v>1795</v>
      </c>
      <c r="L149" s="12" t="n">
        <v>2216</v>
      </c>
      <c r="M149" s="12" t="n">
        <v>-41</v>
      </c>
      <c r="N149" s="12" t="n">
        <v>3420</v>
      </c>
      <c r="T149" s="12" t="n">
        <v>1305</v>
      </c>
      <c r="U149" s="12" t="n">
        <v>2298</v>
      </c>
      <c r="V149" s="12" t="n">
        <v>1844</v>
      </c>
      <c r="W149" s="12" t="n">
        <v>2658</v>
      </c>
      <c r="X149" s="12" t="n">
        <v>3420</v>
      </c>
    </row>
    <row r="150">
      <c r="A150" s="18" t="inlineStr">
        <is>
          <t>기타유가증권 평가차액</t>
        </is>
      </c>
      <c r="C150" s="20" t="n">
        <v>-60</v>
      </c>
      <c r="D150" s="20" t="n">
        <v>-125</v>
      </c>
      <c r="E150" s="20" t="n">
        <v>-19</v>
      </c>
      <c r="F150" s="20" t="n">
        <v>-219</v>
      </c>
      <c r="G150" s="20" t="n">
        <v>12</v>
      </c>
      <c r="H150" s="20" t="n">
        <v>10</v>
      </c>
      <c r="I150" s="20" t="n">
        <v>342</v>
      </c>
      <c r="J150" s="20" t="n">
        <v>11</v>
      </c>
      <c r="K150" s="20" t="n">
        <v>-62</v>
      </c>
      <c r="L150" s="20" t="n">
        <v>-108</v>
      </c>
      <c r="M150" s="20" t="n">
        <v>-134</v>
      </c>
      <c r="N150" s="20" t="n">
        <v>37</v>
      </c>
      <c r="T150" s="20" t="n">
        <v>242</v>
      </c>
      <c r="U150" s="20" t="n">
        <v>68</v>
      </c>
      <c r="V150" s="20" t="n">
        <v>-219</v>
      </c>
      <c r="W150" s="20" t="n">
        <v>11</v>
      </c>
      <c r="X150" s="20" t="n">
        <v>37</v>
      </c>
    </row>
    <row r="151">
      <c r="A151" s="18" t="inlineStr">
        <is>
          <t>해외사업환산조정</t>
        </is>
      </c>
      <c r="C151" s="20" t="n">
        <v>0</v>
      </c>
      <c r="D151" s="20" t="n">
        <v>-0</v>
      </c>
      <c r="E151" s="20" t="n">
        <v>0</v>
      </c>
      <c r="F151" s="20" t="n">
        <v>-5</v>
      </c>
      <c r="G151" s="20" t="n">
        <v>0</v>
      </c>
      <c r="H151" s="20" t="n">
        <v>0</v>
      </c>
      <c r="I151" s="20" t="n">
        <v>-13</v>
      </c>
      <c r="J151" s="20" t="n">
        <v>0</v>
      </c>
      <c r="K151" s="20" t="n">
        <v>11</v>
      </c>
      <c r="L151" s="20" t="n">
        <v>0</v>
      </c>
      <c r="M151" s="20" t="n">
        <v>-5</v>
      </c>
      <c r="N151" s="20" t="n">
        <v>8</v>
      </c>
      <c r="T151" s="20" t="n">
        <v>11</v>
      </c>
      <c r="U151" s="20" t="n">
        <v>0</v>
      </c>
      <c r="V151" s="20" t="n">
        <v>-5</v>
      </c>
      <c r="W151" s="20" t="n">
        <v>0</v>
      </c>
      <c r="X151" s="20" t="n">
        <v>8</v>
      </c>
    </row>
    <row r="152">
      <c r="A152" s="18" t="inlineStr">
        <is>
          <t>기타포괄손익 합계</t>
        </is>
      </c>
      <c r="C152" s="20" t="n">
        <v>-59</v>
      </c>
      <c r="D152" s="20" t="n">
        <v>-127</v>
      </c>
      <c r="E152" s="20" t="n">
        <v>-18</v>
      </c>
      <c r="F152" s="20" t="n">
        <v>-225</v>
      </c>
      <c r="G152" s="20" t="n">
        <v>12</v>
      </c>
      <c r="H152" s="20" t="n">
        <v>11</v>
      </c>
      <c r="I152" s="20" t="n">
        <v>328</v>
      </c>
      <c r="J152" s="20" t="n">
        <v>10</v>
      </c>
      <c r="K152" s="20" t="n">
        <v>-51</v>
      </c>
      <c r="L152" s="20" t="n">
        <v>-107</v>
      </c>
      <c r="M152" s="20" t="n">
        <v>-140</v>
      </c>
      <c r="N152" s="20" t="n">
        <v>60</v>
      </c>
      <c r="T152" s="20" t="n">
        <v>252</v>
      </c>
      <c r="U152" s="20" t="n">
        <v>69</v>
      </c>
      <c r="V152" s="20" t="n">
        <v>-225</v>
      </c>
      <c r="W152" s="20" t="n">
        <v>10</v>
      </c>
      <c r="X152" s="20" t="n">
        <v>60</v>
      </c>
    </row>
    <row r="153">
      <c r="A153" s="9" t="inlineStr">
        <is>
          <t>포괄이익</t>
        </is>
      </c>
      <c r="C153" s="12" t="n">
        <v>1055</v>
      </c>
      <c r="D153" s="12" t="n">
        <v>1807</v>
      </c>
      <c r="E153" s="12" t="n">
        <v>335</v>
      </c>
      <c r="F153" s="12" t="n">
        <v>1620</v>
      </c>
      <c r="G153" s="12" t="n">
        <v>2029</v>
      </c>
      <c r="H153" s="12" t="n">
        <v>2557</v>
      </c>
      <c r="I153" s="12" t="n">
        <v>2111</v>
      </c>
      <c r="J153" s="12" t="n">
        <v>2668</v>
      </c>
      <c r="K153" s="12" t="n">
        <v>1743</v>
      </c>
      <c r="L153" s="12" t="n">
        <v>2110</v>
      </c>
      <c r="M153" s="12" t="n">
        <v>-182</v>
      </c>
      <c r="N153" s="12" t="n">
        <v>3480</v>
      </c>
      <c r="T153" s="12" t="n">
        <v>1557</v>
      </c>
      <c r="U153" s="12" t="n">
        <v>2367</v>
      </c>
      <c r="V153" s="12" t="n">
        <v>1620</v>
      </c>
      <c r="W153" s="12" t="n">
        <v>2668</v>
      </c>
      <c r="X153" s="12" t="n">
        <v>3480</v>
      </c>
    </row>
    <row r="154">
      <c r="A154" s="9" t="inlineStr">
        <is>
          <t>지배주주 포괄이익</t>
        </is>
      </c>
      <c r="C154" s="12" t="n">
        <v>1033</v>
      </c>
      <c r="D154" s="12" t="n">
        <v>1762</v>
      </c>
      <c r="E154" s="12" t="n">
        <v>316</v>
      </c>
      <c r="F154" s="12" t="n">
        <v>1588</v>
      </c>
      <c r="G154" s="12" t="n">
        <v>1989</v>
      </c>
      <c r="H154" s="12" t="n">
        <v>2527</v>
      </c>
      <c r="I154" s="12" t="n">
        <v>2112</v>
      </c>
      <c r="J154" s="12" t="n">
        <v>2668</v>
      </c>
      <c r="K154" s="12" t="n">
        <v>1743</v>
      </c>
      <c r="L154" s="12" t="n">
        <v>2110</v>
      </c>
      <c r="M154" s="12" t="n">
        <v>-173</v>
      </c>
      <c r="N154" s="12" t="n">
        <v>3511</v>
      </c>
      <c r="T154" s="12" t="n">
        <v>1498</v>
      </c>
      <c r="U154" s="12" t="n">
        <v>2334</v>
      </c>
      <c r="V154" s="12" t="n">
        <v>1588</v>
      </c>
      <c r="W154" s="12" t="n">
        <v>2668</v>
      </c>
      <c r="X154" s="12" t="n">
        <v>3511</v>
      </c>
    </row>
    <row r="155">
      <c r="A155" s="9" t="inlineStr">
        <is>
          <t>비지배주주 포괄이익</t>
        </is>
      </c>
      <c r="C155" s="12" t="n">
        <v>21</v>
      </c>
      <c r="D155" s="12" t="n">
        <v>45</v>
      </c>
      <c r="E155" s="12" t="n">
        <v>20</v>
      </c>
      <c r="F155" s="12" t="n">
        <v>32</v>
      </c>
      <c r="G155" s="12" t="n">
        <v>39</v>
      </c>
      <c r="H155" s="12" t="n">
        <v>30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-8</v>
      </c>
      <c r="N155" s="12" t="n">
        <v>-31</v>
      </c>
      <c r="T155" s="12" t="n">
        <v>59</v>
      </c>
      <c r="U155" s="12" t="n">
        <v>32</v>
      </c>
      <c r="V155" s="12" t="n">
        <v>32</v>
      </c>
      <c r="W155" s="12" t="n">
        <v>0</v>
      </c>
      <c r="X155" s="12" t="n">
        <v>-31</v>
      </c>
    </row>
    <row r="157">
      <c r="A157" s="16" t="inlineStr">
        <is>
          <t>부문 · 전 항목</t>
        </is>
      </c>
      <c r="B157" s="42" t="inlineStr">
        <is>
          <t>부문 · 항목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2024.1Q</t>
        </is>
      </c>
      <c r="D158" s="5" t="inlineStr">
        <is>
          <t>2024.2Q</t>
        </is>
      </c>
      <c r="E158" s="5" t="inlineStr">
        <is>
          <t>2024.3Q</t>
        </is>
      </c>
      <c r="F158" s="5" t="inlineStr">
        <is>
          <t>2024.4Q</t>
        </is>
      </c>
      <c r="G158" s="5" t="inlineStr">
        <is>
          <t>2025.1Q</t>
        </is>
      </c>
      <c r="H158" s="5" t="inlineStr">
        <is>
          <t>2025.2Q</t>
        </is>
      </c>
      <c r="I158" s="5" t="inlineStr">
        <is>
          <t>2025.3Q</t>
        </is>
      </c>
      <c r="J158" s="5" t="inlineStr">
        <is>
          <t>2025.4Q</t>
        </is>
      </c>
      <c r="K158" s="5" t="inlineStr">
        <is>
          <t>2026.1Q</t>
        </is>
      </c>
      <c r="L158" s="5" t="inlineStr">
        <is>
          <t>2026.2Q</t>
        </is>
      </c>
      <c r="M158" s="5" t="inlineStr">
        <is>
          <t>2026.3Q</t>
        </is>
      </c>
      <c r="N158" s="5" t="inlineStr">
        <is>
          <t>2026.4Q</t>
        </is>
      </c>
      <c r="O158" s="5" t="inlineStr">
        <is>
          <t>2017</t>
        </is>
      </c>
      <c r="P158" s="5" t="inlineStr">
        <is>
          <t>2018</t>
        </is>
      </c>
      <c r="Q158" s="5" t="inlineStr">
        <is>
          <t>2019</t>
        </is>
      </c>
      <c r="R158" s="5" t="inlineStr">
        <is>
          <t>2020</t>
        </is>
      </c>
      <c r="S158" s="5" t="inlineStr">
        <is>
          <t>2021</t>
        </is>
      </c>
      <c r="T158" s="5" t="inlineStr">
        <is>
          <t>2022</t>
        </is>
      </c>
      <c r="U158" s="5" t="inlineStr">
        <is>
          <t>2023</t>
        </is>
      </c>
      <c r="V158" s="5" t="inlineStr">
        <is>
          <t>2024</t>
        </is>
      </c>
      <c r="W158" s="5" t="inlineStr">
        <is>
          <t>2025</t>
        </is>
      </c>
      <c r="X158" s="5" t="inlineStr">
        <is>
          <t>2026</t>
        </is>
      </c>
      <c r="Y158" s="5" t="inlineStr">
        <is>
          <t>2027(MW)</t>
        </is>
      </c>
      <c r="Z158" s="5" t="inlineStr">
        <is>
          <t>2028(MW)</t>
        </is>
      </c>
      <c r="AA158" s="5" t="inlineStr">
        <is>
          <t>2029(MW)</t>
        </is>
      </c>
      <c r="AB158" s="5" t="inlineStr">
        <is>
          <t>2030(MW)</t>
        </is>
      </c>
      <c r="AC158" s="5" t="inlineStr">
        <is>
          <t>2031(MW)</t>
        </is>
      </c>
    </row>
    <row r="159">
      <c r="A159" s="18" t="inlineStr">
        <is>
          <t>보고부문 합계 · 외부 고객 매출</t>
        </is>
      </c>
      <c r="E159" s="20" t="n">
        <v>28838</v>
      </c>
      <c r="F159" s="20" t="n">
        <v>29484</v>
      </c>
      <c r="I159" s="20" t="n">
        <v>33724</v>
      </c>
      <c r="J159" s="20" t="n">
        <v>25496</v>
      </c>
      <c r="M159" s="20" t="n">
        <v>43813</v>
      </c>
      <c r="N159" s="20" t="n">
        <v>34832</v>
      </c>
      <c r="V159" s="20" t="n">
        <v>29484</v>
      </c>
      <c r="W159" s="20" t="n">
        <v>25496</v>
      </c>
      <c r="X159" s="20" t="n">
        <v>34832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합계 · 외부 고객 매출</t>
        </is>
      </c>
      <c r="C161" s="20" t="n">
        <v>25073</v>
      </c>
      <c r="G161" s="20" t="n">
        <v>30174</v>
      </c>
      <c r="K161" s="20" t="n">
        <v>34845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K162" s="15">
        <f>IF(OR(K161="",G161=""),"",IF(G161&lt;=0,"",IFERROR(K161/G161-1,"")))</f>
        <v/>
      </c>
    </row>
    <row r="163">
      <c r="A163" s="18" t="inlineStr">
        <is>
          <t>조정액 · 외부 고객 매출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60</v>
      </c>
      <c r="K163" s="20" t="n">
        <v>0</v>
      </c>
      <c r="L163" s="20" t="n">
        <v>0</v>
      </c>
      <c r="M163" s="20" t="n">
        <v>0</v>
      </c>
      <c r="N163" s="20" t="n">
        <v>113</v>
      </c>
      <c r="V163" s="20" t="n">
        <v>0</v>
      </c>
      <c r="W163" s="20" t="n">
        <v>60</v>
      </c>
      <c r="X163" s="20" t="n">
        <v>113</v>
      </c>
    </row>
    <row r="164">
      <c r="A164" s="18" t="inlineStr">
        <is>
          <t>EntityTotalMember · 외부 고객 매출</t>
        </is>
      </c>
      <c r="G164" s="20" t="n">
        <v>30174</v>
      </c>
      <c r="K164" s="20" t="n">
        <v>34845</v>
      </c>
    </row>
    <row r="165">
      <c r="A165" s="18" t="inlineStr">
        <is>
          <t>SoftwareTestingRelatedServicesReportableSegmentMember · 부문 간 내부매출·대체</t>
        </is>
      </c>
      <c r="C165" s="20" t="n">
        <v>28</v>
      </c>
      <c r="D165" s="20" t="n">
        <v>21</v>
      </c>
      <c r="E165" s="20" t="n">
        <v>42</v>
      </c>
      <c r="F165" s="20" t="n">
        <v>118</v>
      </c>
      <c r="G165" s="20" t="n">
        <v>156</v>
      </c>
      <c r="H165" s="20" t="n">
        <v>357</v>
      </c>
      <c r="I165" s="20" t="n">
        <v>208</v>
      </c>
      <c r="J165" s="20" t="n">
        <v>137</v>
      </c>
      <c r="K165" s="20" t="n">
        <v>163</v>
      </c>
      <c r="L165" s="20" t="n">
        <v>157</v>
      </c>
      <c r="M165" s="20" t="n">
        <v>156</v>
      </c>
      <c r="V165" s="20" t="n">
        <v>118</v>
      </c>
      <c r="W165" s="20" t="n">
        <v>137</v>
      </c>
    </row>
    <row r="166">
      <c r="A166" s="18" t="inlineStr">
        <is>
          <t>SoftwareDevelopmentRelatedServicesReportableSegmentMember · 부문 간 내부매출·대체</t>
        </is>
      </c>
      <c r="C166" s="20" t="n">
        <v>692</v>
      </c>
      <c r="D166" s="20" t="n">
        <v>688</v>
      </c>
      <c r="E166" s="20" t="n">
        <v>693</v>
      </c>
      <c r="F166" s="20" t="n">
        <v>619</v>
      </c>
      <c r="G166" s="20" t="n">
        <v>621</v>
      </c>
      <c r="H166" s="20" t="n">
        <v>680</v>
      </c>
      <c r="I166" s="20" t="n">
        <v>805</v>
      </c>
      <c r="J166" s="20" t="n">
        <v>904</v>
      </c>
      <c r="K166" s="20" t="n">
        <v>910</v>
      </c>
      <c r="L166" s="20" t="n">
        <v>993</v>
      </c>
      <c r="M166" s="20" t="n">
        <v>960</v>
      </c>
      <c r="V166" s="20" t="n">
        <v>619</v>
      </c>
      <c r="W166" s="20" t="n">
        <v>904</v>
      </c>
    </row>
    <row r="167">
      <c r="A167" s="18" t="inlineStr">
        <is>
          <t>OtherProximateServicesReportableSegmentMember · 부문 간 내부매출·대체</t>
        </is>
      </c>
      <c r="C167" s="20" t="n">
        <v>268</v>
      </c>
      <c r="D167" s="20" t="n">
        <v>249</v>
      </c>
      <c r="E167" s="20" t="n">
        <v>282</v>
      </c>
      <c r="F167" s="20" t="n">
        <v>350</v>
      </c>
      <c r="G167" s="20" t="n">
        <v>343</v>
      </c>
      <c r="H167" s="20" t="n">
        <v>374</v>
      </c>
      <c r="I167" s="20" t="n">
        <v>363</v>
      </c>
      <c r="J167" s="20" t="n">
        <v>397</v>
      </c>
      <c r="K167" s="20" t="n">
        <v>429</v>
      </c>
      <c r="L167" s="20" t="n">
        <v>407</v>
      </c>
      <c r="M167" s="20" t="n">
        <v>380</v>
      </c>
      <c r="V167" s="20" t="n">
        <v>350</v>
      </c>
      <c r="W167" s="20" t="n">
        <v>397</v>
      </c>
    </row>
    <row r="168">
      <c r="A168" s="9" t="inlineStr">
        <is>
          <t>외부 고객 매출</t>
        </is>
      </c>
      <c r="C168" s="12" t="n">
        <v>25073</v>
      </c>
      <c r="D168" s="12" t="n">
        <v>27232</v>
      </c>
      <c r="E168" s="12" t="n">
        <v>28838</v>
      </c>
      <c r="F168" s="12" t="n">
        <v>29484</v>
      </c>
      <c r="G168" s="12" t="n">
        <v>30174</v>
      </c>
      <c r="H168" s="12" t="n">
        <v>31514</v>
      </c>
      <c r="I168" s="12" t="n">
        <v>33724</v>
      </c>
      <c r="J168" s="12" t="n">
        <v>34407</v>
      </c>
      <c r="V168" s="12" t="n">
        <v>29484</v>
      </c>
      <c r="W168" s="12" t="n">
        <v>34407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</row>
    <row r="170">
      <c r="A170" s="18" t="inlineStr">
        <is>
          <t>보고부문 합계 · 부문 간 내부매출·대체</t>
        </is>
      </c>
      <c r="E170" s="20" t="n">
        <v>1016</v>
      </c>
      <c r="F170" s="20" t="n">
        <v>1086</v>
      </c>
      <c r="I170" s="20" t="n">
        <v>1376</v>
      </c>
      <c r="J170" s="20" t="n">
        <v>-648</v>
      </c>
      <c r="M170" s="20" t="n">
        <v>1497</v>
      </c>
      <c r="N170" s="20" t="n">
        <v>-688</v>
      </c>
      <c r="V170" s="20" t="n">
        <v>1086</v>
      </c>
      <c r="W170" s="20" t="n">
        <v>-648</v>
      </c>
      <c r="X170" s="20" t="n">
        <v>-688</v>
      </c>
    </row>
    <row r="171">
      <c r="A171" s="18" t="inlineStr">
        <is>
          <t>합계 · 부문 간 내부매출·대체</t>
        </is>
      </c>
      <c r="C171" s="20" t="n">
        <v>989</v>
      </c>
      <c r="G171" s="20" t="n">
        <v>1122</v>
      </c>
      <c r="K171" s="20" t="n">
        <v>1503</v>
      </c>
    </row>
    <row r="172">
      <c r="A172" s="18" t="inlineStr">
        <is>
          <t>조정액 · 부문 간 내부매출·대체</t>
        </is>
      </c>
      <c r="C172" s="20" t="n">
        <v>-989</v>
      </c>
      <c r="D172" s="20" t="n">
        <v>-959</v>
      </c>
      <c r="E172" s="20" t="n">
        <v>-1016</v>
      </c>
      <c r="F172" s="20" t="n">
        <v>-1086</v>
      </c>
      <c r="G172" s="20" t="n">
        <v>-1122</v>
      </c>
      <c r="H172" s="20" t="n">
        <v>-1410</v>
      </c>
      <c r="I172" s="20" t="n">
        <v>-1376</v>
      </c>
      <c r="J172" s="20" t="n">
        <v>-498</v>
      </c>
      <c r="K172" s="20" t="n">
        <v>-1503</v>
      </c>
      <c r="L172" s="20" t="n">
        <v>-1557</v>
      </c>
      <c r="M172" s="20" t="n">
        <v>-1497</v>
      </c>
      <c r="N172" s="20" t="n">
        <v>-725</v>
      </c>
      <c r="V172" s="20" t="n">
        <v>-1086</v>
      </c>
      <c r="W172" s="20" t="n">
        <v>-498</v>
      </c>
      <c r="X172" s="20" t="n">
        <v>-725</v>
      </c>
    </row>
    <row r="173">
      <c r="A173" s="18" t="inlineStr">
        <is>
          <t>EntityTotalMember · 부문 간 내부매출·대체</t>
        </is>
      </c>
      <c r="G173" s="20" t="n">
        <v>0</v>
      </c>
      <c r="K173" s="20" t="n">
        <v>0</v>
      </c>
    </row>
    <row r="174">
      <c r="A174" s="18" t="inlineStr">
        <is>
          <t>SoftwareTestingRelatedServicesReportableSegmentMember · 계</t>
        </is>
      </c>
      <c r="C174" s="20" t="n">
        <v>16359</v>
      </c>
      <c r="D174" s="20" t="n">
        <v>17485</v>
      </c>
      <c r="E174" s="20" t="n">
        <v>18586</v>
      </c>
      <c r="F174" s="20" t="n">
        <v>18912</v>
      </c>
      <c r="G174" s="20" t="n">
        <v>19279</v>
      </c>
      <c r="H174" s="20" t="n">
        <v>20327</v>
      </c>
      <c r="I174" s="20" t="n">
        <v>22267</v>
      </c>
      <c r="J174" s="20" t="n">
        <v>22422</v>
      </c>
      <c r="K174" s="20" t="n">
        <v>22649</v>
      </c>
      <c r="L174" s="20" t="n">
        <v>24682</v>
      </c>
      <c r="M174" s="20" t="n">
        <v>27203</v>
      </c>
      <c r="V174" s="20" t="n">
        <v>18912</v>
      </c>
      <c r="W174" s="20" t="n">
        <v>22422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SoftwareDevelopmentRelatedServicesReportableSegmentMember · 계</t>
        </is>
      </c>
      <c r="C176" s="20" t="n">
        <v>8135</v>
      </c>
      <c r="D176" s="20" t="n">
        <v>8634</v>
      </c>
      <c r="E176" s="20" t="n">
        <v>8934</v>
      </c>
      <c r="F176" s="20" t="n">
        <v>9305</v>
      </c>
      <c r="G176" s="20" t="n">
        <v>9696</v>
      </c>
      <c r="H176" s="20" t="n">
        <v>10037</v>
      </c>
      <c r="I176" s="20" t="n">
        <v>10071</v>
      </c>
      <c r="J176" s="20" t="n">
        <v>10324</v>
      </c>
      <c r="K176" s="20" t="n">
        <v>10471</v>
      </c>
      <c r="L176" s="20" t="n">
        <v>10842</v>
      </c>
      <c r="M176" s="20" t="n">
        <v>14665</v>
      </c>
      <c r="V176" s="20" t="n">
        <v>9305</v>
      </c>
      <c r="W176" s="20" t="n">
        <v>10324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</row>
    <row r="178">
      <c r="A178" s="18" t="inlineStr">
        <is>
          <t>OtherProximateServicesReportableSegmentMember · 계</t>
        </is>
      </c>
      <c r="C178" s="20" t="n">
        <v>1568</v>
      </c>
      <c r="D178" s="20" t="n">
        <v>2071</v>
      </c>
      <c r="E178" s="20" t="n">
        <v>2335</v>
      </c>
      <c r="F178" s="20" t="n">
        <v>2353</v>
      </c>
      <c r="G178" s="20" t="n">
        <v>2321</v>
      </c>
      <c r="H178" s="20" t="n">
        <v>2560</v>
      </c>
      <c r="I178" s="20" t="n">
        <v>2761</v>
      </c>
      <c r="J178" s="20" t="n">
        <v>3099</v>
      </c>
      <c r="K178" s="20" t="n">
        <v>3227</v>
      </c>
      <c r="L178" s="20" t="n">
        <v>3223</v>
      </c>
      <c r="M178" s="20" t="n">
        <v>3442</v>
      </c>
      <c r="V178" s="20" t="n">
        <v>2353</v>
      </c>
      <c r="W178" s="20" t="n">
        <v>3099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</row>
    <row r="180">
      <c r="A180" s="18" t="inlineStr">
        <is>
          <t>부문 간 내부매출·대체</t>
        </is>
      </c>
      <c r="C180" s="20" t="n">
        <v>0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0</v>
      </c>
      <c r="V180" s="20" t="n">
        <v>0</v>
      </c>
      <c r="W180" s="20" t="n">
        <v>0</v>
      </c>
    </row>
    <row r="181">
      <c r="A181" s="18" t="inlineStr">
        <is>
          <t>보고부문 합계 · 계</t>
        </is>
      </c>
      <c r="E181" s="20" t="n">
        <v>29855</v>
      </c>
      <c r="F181" s="20" t="n">
        <v>30570</v>
      </c>
      <c r="I181" s="20" t="n">
        <v>35099</v>
      </c>
      <c r="J181" s="20" t="n">
        <v>24849</v>
      </c>
      <c r="M181" s="20" t="n">
        <v>45310</v>
      </c>
      <c r="N181" s="20" t="n">
        <v>34144</v>
      </c>
      <c r="V181" s="20" t="n">
        <v>30570</v>
      </c>
      <c r="W181" s="20" t="n">
        <v>24849</v>
      </c>
      <c r="X181" s="20" t="n">
        <v>34144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합계 · 계</t>
        </is>
      </c>
      <c r="C183" s="20" t="n">
        <v>26063</v>
      </c>
      <c r="G183" s="20" t="n">
        <v>31297</v>
      </c>
      <c r="K183" s="20" t="n">
        <v>36349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K184" s="15">
        <f>IF(OR(K183="",G183=""),"",IF(G183&lt;=0,"",IFERROR(K183/G183-1,"")))</f>
        <v/>
      </c>
    </row>
    <row r="185">
      <c r="A185" s="18" t="inlineStr">
        <is>
          <t>조정액 · 계</t>
        </is>
      </c>
      <c r="C185" s="20" t="n">
        <v>-989</v>
      </c>
      <c r="D185" s="20" t="n">
        <v>-959</v>
      </c>
      <c r="E185" s="20" t="n">
        <v>-1016</v>
      </c>
      <c r="F185" s="20" t="n">
        <v>-1086</v>
      </c>
      <c r="G185" s="20" t="n">
        <v>-1122</v>
      </c>
      <c r="H185" s="20" t="n">
        <v>-1410</v>
      </c>
      <c r="I185" s="20" t="n">
        <v>-1376</v>
      </c>
      <c r="J185" s="20" t="n">
        <v>-437</v>
      </c>
      <c r="K185" s="20" t="n">
        <v>-1503</v>
      </c>
      <c r="L185" s="20" t="n">
        <v>-1557</v>
      </c>
      <c r="M185" s="20" t="n">
        <v>-1497</v>
      </c>
      <c r="N185" s="20" t="n">
        <v>-611</v>
      </c>
      <c r="V185" s="20" t="n">
        <v>-1086</v>
      </c>
      <c r="W185" s="20" t="n">
        <v>-437</v>
      </c>
      <c r="X185" s="20" t="n">
        <v>-611</v>
      </c>
    </row>
    <row r="186">
      <c r="A186" s="18" t="inlineStr">
        <is>
          <t>EntityTotalMember · 계</t>
        </is>
      </c>
      <c r="G186" s="20" t="n">
        <v>30174</v>
      </c>
      <c r="K186" s="20" t="n">
        <v>34845</v>
      </c>
    </row>
    <row r="187">
      <c r="A187" s="18" t="inlineStr">
        <is>
          <t>SoftwareTestingRelatedServicesReportableSegmentMember · 부문 이익</t>
        </is>
      </c>
      <c r="C187" s="20" t="n">
        <v>3363</v>
      </c>
      <c r="D187" s="20" t="n">
        <v>4152</v>
      </c>
      <c r="E187" s="20" t="n">
        <v>3885</v>
      </c>
      <c r="F187" s="20" t="n">
        <v>4766</v>
      </c>
      <c r="G187" s="20" t="n">
        <v>4760</v>
      </c>
      <c r="H187" s="20" t="n">
        <v>5756</v>
      </c>
      <c r="I187" s="20" t="n">
        <v>5644</v>
      </c>
      <c r="J187" s="20" t="n">
        <v>5358</v>
      </c>
      <c r="K187" s="20" t="n">
        <v>4262</v>
      </c>
      <c r="L187" s="20" t="n">
        <v>5469</v>
      </c>
      <c r="M187" s="20" t="n">
        <v>5931</v>
      </c>
      <c r="V187" s="20" t="n">
        <v>4766</v>
      </c>
      <c r="W187" s="20" t="n">
        <v>5358</v>
      </c>
    </row>
    <row r="188">
      <c r="A188" s="43" t="inlineStr">
        <is>
          <t>OPM</t>
        </is>
      </c>
      <c r="B188" s="3" t="inlineStr">
        <is>
          <t>영업이익 ÷ 매출</t>
        </is>
      </c>
      <c r="C188" s="15">
        <f>IF(OR(C187="",C174=""),"",IF(C174&lt;=0,"",IFERROR(C187/C174,"")))</f>
        <v/>
      </c>
      <c r="D188" s="15">
        <f>IF(OR(D187="",D174=""),"",IF(D174&lt;=0,"",IFERROR(D187/D174,"")))</f>
        <v/>
      </c>
      <c r="E188" s="15">
        <f>IF(OR(E187="",E174=""),"",IF(E174&lt;=0,"",IFERROR(E187/E174,"")))</f>
        <v/>
      </c>
      <c r="F188" s="15">
        <f>IF(OR(F187="",F174=""),"",IF(F174&lt;=0,"",IFERROR(F187/F174,"")))</f>
        <v/>
      </c>
      <c r="G188" s="15">
        <f>IF(OR(G187="",G174=""),"",IF(G174&lt;=0,"",IFERROR(G187/G174,"")))</f>
        <v/>
      </c>
      <c r="H188" s="15">
        <f>IF(OR(H187="",H174=""),"",IF(H174&lt;=0,"",IFERROR(H187/H174,"")))</f>
        <v/>
      </c>
      <c r="I188" s="15">
        <f>IF(OR(I187="",I174=""),"",IF(I174&lt;=0,"",IFERROR(I187/I174,"")))</f>
        <v/>
      </c>
      <c r="J188" s="15">
        <f>IF(OR(J187="",J174=""),"",IF(J174&lt;=0,"",IFERROR(J187/J174,"")))</f>
        <v/>
      </c>
      <c r="K188" s="15">
        <f>IF(OR(K187="",K174=""),"",IF(K174&lt;=0,"",IFERROR(K187/K174,"")))</f>
        <v/>
      </c>
      <c r="L188" s="15">
        <f>IF(OR(L187="",L174=""),"",IF(L174&lt;=0,"",IFERROR(L187/L174,"")))</f>
        <v/>
      </c>
      <c r="M188" s="15">
        <f>IF(OR(M187="",M174=""),"",IF(M174&lt;=0,"",IFERROR(M187/M174,"")))</f>
        <v/>
      </c>
      <c r="V188" s="15">
        <f>IF(OR(V187="",V174=""),"",IF(V174&lt;=0,"",IFERROR(V187/V174,"")))</f>
        <v/>
      </c>
      <c r="W188" s="15">
        <f>IF(OR(W187="",W174=""),"",IF(W174&lt;=0,"",IFERROR(W187/W174,"")))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IF(OR(G187="",C187=""),"",IF(C187&lt;=0,"",IFERROR(G187/C187-1,"")))</f>
        <v/>
      </c>
      <c r="H189" s="15">
        <f>IF(OR(H187="",D187=""),"",IF(D187&lt;=0,"",IFERROR(H187/D187-1,"")))</f>
        <v/>
      </c>
      <c r="I189" s="15">
        <f>IF(OR(I187="",E187=""),"",IF(E187&lt;=0,"",IFERROR(I187/E187-1,"")))</f>
        <v/>
      </c>
      <c r="J189" s="15">
        <f>IF(OR(J187="",F187=""),"",IF(F187&lt;=0,"",IFERROR(J187/F187-1,"")))</f>
        <v/>
      </c>
      <c r="K189" s="15">
        <f>IF(OR(K187="",G187=""),"",IF(G187&lt;=0,"",IFERROR(K187/G187-1,"")))</f>
        <v/>
      </c>
      <c r="L189" s="15">
        <f>IF(OR(L187="",H187=""),"",IF(H187&lt;=0,"",IFERROR(L187/H187-1,"")))</f>
        <v/>
      </c>
      <c r="M189" s="15">
        <f>IF(OR(M187="",I187=""),"",IF(I187&lt;=0,"",IFERROR(M187/I187-1,"")))</f>
        <v/>
      </c>
      <c r="V189" s="15">
        <f>IF(OR(V187="",U187=""),"",IF(U187&lt;=0,"",IFERROR(V187/U187-1,"")))</f>
        <v/>
      </c>
      <c r="W189" s="15">
        <f>IF(OR(W187="",V187=""),"",IF(V187&lt;=0,"",IFERROR(W187/V187-1,"")))</f>
        <v/>
      </c>
    </row>
    <row r="190">
      <c r="A190" s="18" t="inlineStr">
        <is>
          <t>SoftwareDevelopmentRelatedServicesReportableSegmentMember · 부문 이익</t>
        </is>
      </c>
      <c r="C190" s="20" t="n">
        <v>239</v>
      </c>
      <c r="D190" s="20" t="n">
        <v>380</v>
      </c>
      <c r="E190" s="20" t="n">
        <v>445</v>
      </c>
      <c r="F190" s="20" t="n">
        <v>767</v>
      </c>
      <c r="G190" s="20" t="n">
        <v>711</v>
      </c>
      <c r="H190" s="20" t="n">
        <v>870</v>
      </c>
      <c r="I190" s="20" t="n">
        <v>602</v>
      </c>
      <c r="J190" s="20" t="n">
        <v>427</v>
      </c>
      <c r="K190" s="20" t="n">
        <v>438</v>
      </c>
      <c r="L190" s="20" t="n">
        <v>766</v>
      </c>
      <c r="M190" s="20" t="n">
        <v>557</v>
      </c>
      <c r="V190" s="20" t="n">
        <v>767</v>
      </c>
      <c r="W190" s="20" t="n">
        <v>427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IF(OR(C190="",C176=""),"",IF(C176&lt;=0,"",IFERROR(C190/C176,"")))</f>
        <v/>
      </c>
      <c r="D191" s="15">
        <f>IF(OR(D190="",D176=""),"",IF(D176&lt;=0,"",IFERROR(D190/D176,"")))</f>
        <v/>
      </c>
      <c r="E191" s="15">
        <f>IF(OR(E190="",E176=""),"",IF(E176&lt;=0,"",IFERROR(E190/E176,"")))</f>
        <v/>
      </c>
      <c r="F191" s="15">
        <f>IF(OR(F190="",F176=""),"",IF(F176&lt;=0,"",IFERROR(F190/F176,"")))</f>
        <v/>
      </c>
      <c r="G191" s="15">
        <f>IF(OR(G190="",G176=""),"",IF(G176&lt;=0,"",IFERROR(G190/G176,"")))</f>
        <v/>
      </c>
      <c r="H191" s="15">
        <f>IF(OR(H190="",H176=""),"",IF(H176&lt;=0,"",IFERROR(H190/H176,"")))</f>
        <v/>
      </c>
      <c r="I191" s="15">
        <f>IF(OR(I190="",I176=""),"",IF(I176&lt;=0,"",IFERROR(I190/I176,"")))</f>
        <v/>
      </c>
      <c r="J191" s="15">
        <f>IF(OR(J190="",J176=""),"",IF(J176&lt;=0,"",IFERROR(J190/J176,"")))</f>
        <v/>
      </c>
      <c r="K191" s="15">
        <f>IF(OR(K190="",K176=""),"",IF(K176&lt;=0,"",IFERROR(K190/K176,"")))</f>
        <v/>
      </c>
      <c r="L191" s="15">
        <f>IF(OR(L190="",L176=""),"",IF(L176&lt;=0,"",IFERROR(L190/L176,"")))</f>
        <v/>
      </c>
      <c r="M191" s="15">
        <f>IF(OR(M190="",M176=""),"",IF(M176&lt;=0,"",IFERROR(M190/M176,"")))</f>
        <v/>
      </c>
      <c r="V191" s="15">
        <f>IF(OR(V190="",V176=""),"",IF(V176&lt;=0,"",IFERROR(V190/V176,"")))</f>
        <v/>
      </c>
      <c r="W191" s="15">
        <f>IF(OR(W190="",W176=""),"",IF(W176&lt;=0,"",IFERROR(W190/W176,"")))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</row>
    <row r="193">
      <c r="A193" s="18" t="inlineStr">
        <is>
          <t>OtherProximateServicesReportableSegmentMember · 부문 이익</t>
        </is>
      </c>
      <c r="C193" s="20" t="n">
        <v>-122</v>
      </c>
      <c r="D193" s="20" t="n">
        <v>28</v>
      </c>
      <c r="E193" s="20" t="n">
        <v>116</v>
      </c>
      <c r="F193" s="20" t="n">
        <v>148</v>
      </c>
      <c r="G193" s="20" t="n">
        <v>35</v>
      </c>
      <c r="H193" s="20" t="n">
        <v>209</v>
      </c>
      <c r="I193" s="20" t="n">
        <v>159</v>
      </c>
      <c r="J193" s="20" t="n">
        <v>333</v>
      </c>
      <c r="K193" s="20" t="n">
        <v>334</v>
      </c>
      <c r="L193" s="20" t="n">
        <v>222</v>
      </c>
      <c r="M193" s="20" t="n">
        <v>230</v>
      </c>
      <c r="V193" s="20" t="n">
        <v>148</v>
      </c>
      <c r="W193" s="20" t="n">
        <v>333</v>
      </c>
    </row>
    <row r="194">
      <c r="A194" s="43" t="inlineStr">
        <is>
          <t>OPM</t>
        </is>
      </c>
      <c r="B194" s="3" t="inlineStr">
        <is>
          <t>영업이익 ÷ 매출</t>
        </is>
      </c>
      <c r="C194" s="15">
        <f>IF(OR(C193="",C178=""),"",IF(C178&lt;=0,"",IFERROR(C193/C178,"")))</f>
        <v/>
      </c>
      <c r="D194" s="15">
        <f>IF(OR(D193="",D178=""),"",IF(D178&lt;=0,"",IFERROR(D193/D178,"")))</f>
        <v/>
      </c>
      <c r="E194" s="15">
        <f>IF(OR(E193="",E178=""),"",IF(E178&lt;=0,"",IFERROR(E193/E178,"")))</f>
        <v/>
      </c>
      <c r="F194" s="15">
        <f>IF(OR(F193="",F178=""),"",IF(F178&lt;=0,"",IFERROR(F193/F178,"")))</f>
        <v/>
      </c>
      <c r="G194" s="15">
        <f>IF(OR(G193="",G178=""),"",IF(G178&lt;=0,"",IFERROR(G193/G178,"")))</f>
        <v/>
      </c>
      <c r="H194" s="15">
        <f>IF(OR(H193="",H178=""),"",IF(H178&lt;=0,"",IFERROR(H193/H178,"")))</f>
        <v/>
      </c>
      <c r="I194" s="15">
        <f>IF(OR(I193="",I178=""),"",IF(I178&lt;=0,"",IFERROR(I193/I178,"")))</f>
        <v/>
      </c>
      <c r="J194" s="15">
        <f>IF(OR(J193="",J178=""),"",IF(J178&lt;=0,"",IFERROR(J193/J178,"")))</f>
        <v/>
      </c>
      <c r="K194" s="15">
        <f>IF(OR(K193="",K178=""),"",IF(K178&lt;=0,"",IFERROR(K193/K178,"")))</f>
        <v/>
      </c>
      <c r="L194" s="15">
        <f>IF(OR(L193="",L178=""),"",IF(L178&lt;=0,"",IFERROR(L193/L178,"")))</f>
        <v/>
      </c>
      <c r="M194" s="15">
        <f>IF(OR(M193="",M178=""),"",IF(M178&lt;=0,"",IFERROR(M193/M178,"")))</f>
        <v/>
      </c>
      <c r="V194" s="15">
        <f>IF(OR(V193="",V178=""),"",IF(V178&lt;=0,"",IFERROR(V193/V178,"")))</f>
        <v/>
      </c>
      <c r="W194" s="15">
        <f>IF(OR(W193="",W178=""),"",IF(W178&lt;=0,"",IFERROR(W193/W178,"")))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IF(OR(G193="",C193=""),"",IF(C193&lt;=0,"",IFERROR(G193/C193-1,"")))</f>
        <v/>
      </c>
      <c r="H195" s="15">
        <f>IF(OR(H193="",D193=""),"",IF(D193&lt;=0,"",IFERROR(H193/D193-1,"")))</f>
        <v/>
      </c>
      <c r="I195" s="15">
        <f>IF(OR(I193="",E193=""),"",IF(E193&lt;=0,"",IFERROR(I193/E193-1,"")))</f>
        <v/>
      </c>
      <c r="J195" s="15">
        <f>IF(OR(J193="",F193=""),"",IF(F193&lt;=0,"",IFERROR(J193/F193-1,"")))</f>
        <v/>
      </c>
      <c r="K195" s="15">
        <f>IF(OR(K193="",G193=""),"",IF(G193&lt;=0,"",IFERROR(K193/G193-1,"")))</f>
        <v/>
      </c>
      <c r="L195" s="15">
        <f>IF(OR(L193="",H193=""),"",IF(H193&lt;=0,"",IFERROR(L193/H193-1,"")))</f>
        <v/>
      </c>
      <c r="M195" s="15">
        <f>IF(OR(M193="",I193=""),"",IF(I193&lt;=0,"",IFERROR(M193/I193-1,"")))</f>
        <v/>
      </c>
      <c r="V195" s="15">
        <f>IF(OR(V193="",U193=""),"",IF(U193&lt;=0,"",IFERROR(V193/U193-1,"")))</f>
        <v/>
      </c>
      <c r="W195" s="15">
        <f>IF(OR(W193="",V193=""),"",IF(V193&lt;=0,"",IFERROR(W193/V193-1,"")))</f>
        <v/>
      </c>
    </row>
    <row r="196">
      <c r="A196" s="9" t="inlineStr">
        <is>
          <t>계</t>
        </is>
      </c>
      <c r="C196" s="12" t="n">
        <v>25073</v>
      </c>
      <c r="D196" s="12" t="n">
        <v>27232</v>
      </c>
      <c r="E196" s="12" t="n">
        <v>28838</v>
      </c>
      <c r="F196" s="12" t="n">
        <v>29484</v>
      </c>
      <c r="G196" s="12" t="n">
        <v>30174</v>
      </c>
      <c r="H196" s="12" t="n">
        <v>31514</v>
      </c>
      <c r="I196" s="12" t="n">
        <v>33724</v>
      </c>
      <c r="J196" s="12" t="n">
        <v>34407</v>
      </c>
      <c r="V196" s="12" t="n">
        <v>29484</v>
      </c>
      <c r="W196" s="12" t="n">
        <v>34407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IF(OR(G196="",C196=""),"",IF(C196&lt;=0,"",IFERROR(G196/C196-1,"")))</f>
        <v/>
      </c>
      <c r="H197" s="15">
        <f>IF(OR(H196="",D196=""),"",IF(D196&lt;=0,"",IFERROR(H196/D196-1,"")))</f>
        <v/>
      </c>
      <c r="I197" s="15">
        <f>IF(OR(I196="",E196=""),"",IF(E196&lt;=0,"",IFERROR(I196/E196-1,"")))</f>
        <v/>
      </c>
      <c r="J197" s="15">
        <f>IF(OR(J196="",F196=""),"",IF(F196&lt;=0,"",IFERROR(J196/F196-1,"")))</f>
        <v/>
      </c>
      <c r="V197" s="15">
        <f>IF(OR(V196="",U196=""),"",IF(U196&lt;=0,"",IFERROR(V196/U196-1,"")))</f>
        <v/>
      </c>
      <c r="W197" s="15">
        <f>IF(OR(W196="",V196=""),"",IF(V196&lt;=0,"",IFERROR(W196/V196-1,"")))</f>
        <v/>
      </c>
    </row>
    <row r="198">
      <c r="A198" s="18" t="inlineStr">
        <is>
          <t>보고부문 합계 · 부문 이익</t>
        </is>
      </c>
      <c r="E198" s="20" t="n">
        <v>4447</v>
      </c>
      <c r="F198" s="20" t="n">
        <v>5680</v>
      </c>
      <c r="I198" s="20" t="n">
        <v>6405</v>
      </c>
      <c r="J198" s="20" t="n">
        <v>6967</v>
      </c>
      <c r="M198" s="20" t="n">
        <v>6717</v>
      </c>
      <c r="N198" s="20" t="n">
        <v>10416</v>
      </c>
      <c r="V198" s="20" t="n">
        <v>5680</v>
      </c>
      <c r="W198" s="20" t="n">
        <v>6967</v>
      </c>
      <c r="X198" s="20" t="n">
        <v>10416</v>
      </c>
    </row>
    <row r="199">
      <c r="A199" s="43" t="inlineStr">
        <is>
          <t>OPM</t>
        </is>
      </c>
      <c r="B199" s="3" t="inlineStr">
        <is>
          <t>영업이익 ÷ 매출</t>
        </is>
      </c>
      <c r="E199" s="15">
        <f>IF(OR(E198="",E181=""),"",IF(E181&lt;=0,"",IFERROR(E198/E181,"")))</f>
        <v/>
      </c>
      <c r="F199" s="15">
        <f>IF(OR(F198="",F181=""),"",IF(F181&lt;=0,"",IFERROR(F198/F181,"")))</f>
        <v/>
      </c>
      <c r="I199" s="15">
        <f>IF(OR(I198="",I181=""),"",IF(I181&lt;=0,"",IFERROR(I198/I181,"")))</f>
        <v/>
      </c>
      <c r="J199" s="15">
        <f>IF(OR(J198="",J181=""),"",IF(J181&lt;=0,"",IFERROR(J198/J181,"")))</f>
        <v/>
      </c>
      <c r="M199" s="15">
        <f>IF(OR(M198="",M181=""),"",IF(M181&lt;=0,"",IFERROR(M198/M181,"")))</f>
        <v/>
      </c>
      <c r="N199" s="15">
        <f>IF(OR(N198="",N181=""),"",IF(N181&lt;=0,"",IFERROR(N198/N181,"")))</f>
        <v/>
      </c>
      <c r="V199" s="15">
        <f>IF(OR(V198="",V181=""),"",IF(V181&lt;=0,"",IFERROR(V198/V181,"")))</f>
        <v/>
      </c>
      <c r="W199" s="15">
        <f>IF(OR(W198="",W181=""),"",IF(W181&lt;=0,"",IFERROR(W198/W181,"")))</f>
        <v/>
      </c>
      <c r="X199" s="15">
        <f>IF(OR(X198="",X181=""),"",IF(X181&lt;=0,"",IFERROR(X198/X181,"")))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합계 · 부문 이익</t>
        </is>
      </c>
      <c r="C201" s="20" t="n">
        <v>3479</v>
      </c>
      <c r="G201" s="20" t="n">
        <v>5507</v>
      </c>
      <c r="K201" s="20" t="n">
        <v>5036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IF(OR(C201="",C183=""),"",IF(C183&lt;=0,"",IFERROR(C201/C183,"")))</f>
        <v/>
      </c>
      <c r="G202" s="15">
        <f>IF(OR(G201="",G183=""),"",IF(G183&lt;=0,"",IFERROR(G201/G183,"")))</f>
        <v/>
      </c>
      <c r="K202" s="15">
        <f>IF(OR(K201="",K183=""),"",IF(K183&lt;=0,"",IFERROR(K201/K183,"")))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K203" s="15">
        <f>IF(OR(K201="",G201=""),"",IF(G201&lt;=0,"",IFERROR(K201/G201-1,"")))</f>
        <v/>
      </c>
    </row>
    <row r="204">
      <c r="A204" s="18" t="inlineStr">
        <is>
          <t>조정액 · 부문 이익</t>
        </is>
      </c>
      <c r="C204" s="20" t="n">
        <v>-1666</v>
      </c>
      <c r="D204" s="20" t="n">
        <v>-1691</v>
      </c>
      <c r="E204" s="20" t="n">
        <v>-2075</v>
      </c>
      <c r="F204" s="20" t="n">
        <v>-2198</v>
      </c>
      <c r="G204" s="20" t="n">
        <v>-1990</v>
      </c>
      <c r="H204" s="20" t="n">
        <v>-2294</v>
      </c>
      <c r="I204" s="20" t="n">
        <v>-2563</v>
      </c>
      <c r="J204" s="20" t="n">
        <v>-4285</v>
      </c>
      <c r="K204" s="20" t="n">
        <v>-2218</v>
      </c>
      <c r="L204" s="20" t="n">
        <v>-2366</v>
      </c>
      <c r="M204" s="20" t="n">
        <v>-2241</v>
      </c>
      <c r="N204" s="20" t="n">
        <v>-5858</v>
      </c>
      <c r="V204" s="20" t="n">
        <v>-2198</v>
      </c>
      <c r="W204" s="20" t="n">
        <v>-4285</v>
      </c>
      <c r="X204" s="20" t="n">
        <v>-5858</v>
      </c>
    </row>
    <row r="205">
      <c r="A205" s="18" t="inlineStr">
        <is>
          <t>EntityTotalMember · 부문 이익</t>
        </is>
      </c>
      <c r="G205" s="20" t="n">
        <v>3517</v>
      </c>
      <c r="K205" s="20" t="n">
        <v>2817</v>
      </c>
    </row>
    <row r="206">
      <c r="A206" s="9" t="inlineStr">
        <is>
          <t>부문 이익</t>
        </is>
      </c>
      <c r="C206" s="12" t="n">
        <v>1813</v>
      </c>
      <c r="D206" s="12" t="n">
        <v>2870</v>
      </c>
      <c r="E206" s="12" t="n">
        <v>2372</v>
      </c>
      <c r="F206" s="12" t="n">
        <v>3482</v>
      </c>
      <c r="G206" s="12" t="n">
        <v>3517</v>
      </c>
      <c r="H206" s="12" t="n">
        <v>4541</v>
      </c>
      <c r="I206" s="12" t="n">
        <v>3848</v>
      </c>
      <c r="J206" s="12" t="n">
        <v>3722</v>
      </c>
      <c r="V206" s="12" t="n">
        <v>3482</v>
      </c>
      <c r="W206" s="12" t="n">
        <v>3722</v>
      </c>
    </row>
    <row r="207">
      <c r="A207" s="43" t="inlineStr">
        <is>
          <t>OPM</t>
        </is>
      </c>
      <c r="B207" s="3" t="inlineStr">
        <is>
          <t>영업이익 ÷ 매출</t>
        </is>
      </c>
      <c r="C207" s="15">
        <f>IF(OR(C206="",C168=""),"",IF(C168&lt;=0,"",IFERROR(C206/C168,"")))</f>
        <v/>
      </c>
      <c r="D207" s="15">
        <f>IF(OR(D206="",D168=""),"",IF(D168&lt;=0,"",IFERROR(D206/D168,"")))</f>
        <v/>
      </c>
      <c r="E207" s="15">
        <f>IF(OR(E206="",E168=""),"",IF(E168&lt;=0,"",IFERROR(E206/E168,"")))</f>
        <v/>
      </c>
      <c r="F207" s="15">
        <f>IF(OR(F206="",F168=""),"",IF(F168&lt;=0,"",IFERROR(F206/F168,"")))</f>
        <v/>
      </c>
      <c r="G207" s="15">
        <f>IF(OR(G206="",G168=""),"",IF(G168&lt;=0,"",IFERROR(G206/G168,"")))</f>
        <v/>
      </c>
      <c r="H207" s="15">
        <f>IF(OR(H206="",H168=""),"",IF(H168&lt;=0,"",IFERROR(H206/H168,"")))</f>
        <v/>
      </c>
      <c r="I207" s="15">
        <f>IF(OR(I206="",I168=""),"",IF(I168&lt;=0,"",IFERROR(I206/I168,"")))</f>
        <v/>
      </c>
      <c r="J207" s="15">
        <f>IF(OR(J206="",J168=""),"",IF(J168&lt;=0,"",IFERROR(J206/J168,"")))</f>
        <v/>
      </c>
      <c r="V207" s="15">
        <f>IF(OR(V206="",V168=""),"",IF(V168&lt;=0,"",IFERROR(V206/V168,"")))</f>
        <v/>
      </c>
      <c r="W207" s="15">
        <f>IF(OR(W206="",W168=""),"",IF(W168&lt;=0,"",IFERROR(W206/W168,"")))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IF(OR(G206="",C206=""),"",IF(C206&lt;=0,"",IFERROR(G206/C206-1,"")))</f>
        <v/>
      </c>
      <c r="H208" s="15">
        <f>IF(OR(H206="",D206=""),"",IF(D206&lt;=0,"",IFERROR(H206/D206-1,"")))</f>
        <v/>
      </c>
      <c r="I208" s="15">
        <f>IF(OR(I206="",E206=""),"",IF(E206&lt;=0,"",IFERROR(I206/E206-1,"")))</f>
        <v/>
      </c>
      <c r="J208" s="15">
        <f>IF(OR(J206="",F206=""),"",IF(F206&lt;=0,"",IFERROR(J206/F206-1,"")))</f>
        <v/>
      </c>
      <c r="V208" s="15">
        <f>IF(OR(V206="",U206=""),"",IF(U206&lt;=0,"",IFERROR(V206/U206-1,"")))</f>
        <v/>
      </c>
      <c r="W208" s="15">
        <f>IF(OR(W206="",V206=""),"",IF(V206&lt;=0,"",IFERROR(W206/V206-1,"")))</f>
        <v/>
      </c>
    </row>
    <row r="209">
      <c r="A209" s="18" t="inlineStr">
        <is>
          <t>SoftwareTestingRelatedServicesReportableSegmentMember · 외부 고객 매출</t>
        </is>
      </c>
      <c r="C209" s="20" t="n">
        <v>16330</v>
      </c>
      <c r="D209" s="20" t="n">
        <v>17464</v>
      </c>
      <c r="E209" s="20" t="n">
        <v>18544</v>
      </c>
      <c r="F209" s="20" t="n">
        <v>18795</v>
      </c>
      <c r="G209" s="20" t="n">
        <v>19122</v>
      </c>
      <c r="H209" s="20" t="n">
        <v>19970</v>
      </c>
      <c r="I209" s="20" t="n">
        <v>22060</v>
      </c>
      <c r="J209" s="20" t="n">
        <v>22285</v>
      </c>
      <c r="K209" s="20" t="n">
        <v>22486</v>
      </c>
      <c r="L209" s="20" t="n">
        <v>24525</v>
      </c>
      <c r="M209" s="20" t="n">
        <v>27047</v>
      </c>
      <c r="V209" s="20" t="n">
        <v>18795</v>
      </c>
      <c r="W209" s="20" t="n">
        <v>22285</v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IF(OR(G209="",C209=""),"",IF(C209&lt;=0,"",IFERROR(G209/C209-1,"")))</f>
        <v/>
      </c>
      <c r="H210" s="15">
        <f>IF(OR(H209="",D209=""),"",IF(D209&lt;=0,"",IFERROR(H209/D209-1,"")))</f>
        <v/>
      </c>
      <c r="I210" s="15">
        <f>IF(OR(I209="",E209=""),"",IF(E209&lt;=0,"",IFERROR(I209/E209-1,"")))</f>
        <v/>
      </c>
      <c r="J210" s="15">
        <f>IF(OR(J209="",F209=""),"",IF(F209&lt;=0,"",IFERROR(J209/F209-1,"")))</f>
        <v/>
      </c>
      <c r="K210" s="15">
        <f>IF(OR(K209="",G209=""),"",IF(G209&lt;=0,"",IFERROR(K209/G209-1,"")))</f>
        <v/>
      </c>
      <c r="L210" s="15">
        <f>IF(OR(L209="",H209=""),"",IF(H209&lt;=0,"",IFERROR(L209/H209-1,"")))</f>
        <v/>
      </c>
      <c r="M210" s="15">
        <f>IF(OR(M209="",I209=""),"",IF(I209&lt;=0,"",IFERROR(M209/I209-1,"")))</f>
        <v/>
      </c>
      <c r="V210" s="15">
        <f>IF(OR(V209="",U209=""),"",IF(U209&lt;=0,"",IFERROR(V209/U209-1,"")))</f>
        <v/>
      </c>
      <c r="W210" s="15">
        <f>IF(OR(W209="",V209=""),"",IF(V209&lt;=0,"",IFERROR(W209/V209-1,"")))</f>
        <v/>
      </c>
    </row>
    <row r="211">
      <c r="A211" s="18" t="inlineStr">
        <is>
          <t>SoftwareDevelopmentRelatedServicesReportableSegmentMember · 외부 고객 매출</t>
        </is>
      </c>
      <c r="C211" s="20" t="n">
        <v>7442</v>
      </c>
      <c r="D211" s="20" t="n">
        <v>7947</v>
      </c>
      <c r="E211" s="20" t="n">
        <v>8240</v>
      </c>
      <c r="F211" s="20" t="n">
        <v>8687</v>
      </c>
      <c r="G211" s="20" t="n">
        <v>9074</v>
      </c>
      <c r="H211" s="20" t="n">
        <v>9358</v>
      </c>
      <c r="I211" s="20" t="n">
        <v>9265</v>
      </c>
      <c r="J211" s="20" t="n">
        <v>9421</v>
      </c>
      <c r="K211" s="20" t="n">
        <v>9560</v>
      </c>
      <c r="L211" s="20" t="n">
        <v>9850</v>
      </c>
      <c r="M211" s="20" t="n">
        <v>13704</v>
      </c>
      <c r="V211" s="20" t="n">
        <v>8687</v>
      </c>
      <c r="W211" s="20" t="n">
        <v>9421</v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IF(OR(G211="",C211=""),"",IF(C211&lt;=0,"",IFERROR(G211/C211-1,"")))</f>
        <v/>
      </c>
      <c r="H212" s="15">
        <f>IF(OR(H211="",D211=""),"",IF(D211&lt;=0,"",IFERROR(H211/D211-1,"")))</f>
        <v/>
      </c>
      <c r="I212" s="15">
        <f>IF(OR(I211="",E211=""),"",IF(E211&lt;=0,"",IFERROR(I211/E211-1,"")))</f>
        <v/>
      </c>
      <c r="J212" s="15">
        <f>IF(OR(J211="",F211=""),"",IF(F211&lt;=0,"",IFERROR(J211/F211-1,"")))</f>
        <v/>
      </c>
      <c r="K212" s="15">
        <f>IF(OR(K211="",G211=""),"",IF(G211&lt;=0,"",IFERROR(K211/G211-1,"")))</f>
        <v/>
      </c>
      <c r="L212" s="15">
        <f>IF(OR(L211="",H211=""),"",IF(H211&lt;=0,"",IFERROR(L211/H211-1,"")))</f>
        <v/>
      </c>
      <c r="M212" s="15">
        <f>IF(OR(M211="",I211=""),"",IF(I211&lt;=0,"",IFERROR(M211/I211-1,"")))</f>
        <v/>
      </c>
      <c r="V212" s="15">
        <f>IF(OR(V211="",U211=""),"",IF(U211&lt;=0,"",IFERROR(V211/U211-1,"")))</f>
        <v/>
      </c>
      <c r="W212" s="15">
        <f>IF(OR(W211="",V211=""),"",IF(V211&lt;=0,"",IFERROR(W211/V211-1,"")))</f>
        <v/>
      </c>
    </row>
    <row r="213">
      <c r="A213" s="18" t="inlineStr">
        <is>
          <t>OtherProximateServicesReportableSegmentMember · 외부 고객 매출</t>
        </is>
      </c>
      <c r="C213" s="20" t="n">
        <v>1300</v>
      </c>
      <c r="D213" s="20" t="n">
        <v>1821</v>
      </c>
      <c r="E213" s="20" t="n">
        <v>2054</v>
      </c>
      <c r="F213" s="20" t="n">
        <v>2003</v>
      </c>
      <c r="G213" s="20" t="n">
        <v>1977</v>
      </c>
      <c r="H213" s="20" t="n">
        <v>2186</v>
      </c>
      <c r="I213" s="20" t="n">
        <v>2398</v>
      </c>
      <c r="J213" s="20" t="n">
        <v>2703</v>
      </c>
      <c r="K213" s="20" t="n">
        <v>2798</v>
      </c>
      <c r="L213" s="20" t="n">
        <v>2816</v>
      </c>
      <c r="M213" s="20" t="n">
        <v>3061</v>
      </c>
      <c r="V213" s="20" t="n">
        <v>2003</v>
      </c>
      <c r="W213" s="20" t="n">
        <v>2703</v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IF(OR(G213="",C213=""),"",IF(C213&lt;=0,"",IFERROR(G213/C213-1,"")))</f>
        <v/>
      </c>
      <c r="H214" s="15">
        <f>IF(OR(H213="",D213=""),"",IF(D213&lt;=0,"",IFERROR(H213/D213-1,"")))</f>
        <v/>
      </c>
      <c r="I214" s="15">
        <f>IF(OR(I213="",E213=""),"",IF(E213&lt;=0,"",IFERROR(I213/E213-1,"")))</f>
        <v/>
      </c>
      <c r="J214" s="15">
        <f>IF(OR(J213="",F213=""),"",IF(F213&lt;=0,"",IFERROR(J213/F213-1,"")))</f>
        <v/>
      </c>
      <c r="K214" s="15">
        <f>IF(OR(K213="",G213=""),"",IF(G213&lt;=0,"",IFERROR(K213/G213-1,"")))</f>
        <v/>
      </c>
      <c r="L214" s="15">
        <f>IF(OR(L213="",H213=""),"",IF(H213&lt;=0,"",IFERROR(L213/H213-1,"")))</f>
        <v/>
      </c>
      <c r="M214" s="15">
        <f>IF(OR(M213="",I213=""),"",IF(I213&lt;=0,"",IFERROR(M213/I213-1,"")))</f>
        <v/>
      </c>
      <c r="V214" s="15">
        <f>IF(OR(V213="",U213=""),"",IF(U213&lt;=0,"",IFERROR(V213/U213-1,"")))</f>
        <v/>
      </c>
      <c r="W214" s="15">
        <f>IF(OR(W213="",V213=""),"",IF(V213&lt;=0,"",IFERROR(W213/V213-1,"")))</f>
        <v/>
      </c>
    </row>
    <row r="216">
      <c r="A216" s="16" t="inlineStr">
        <is>
          <t>현금흐름표 · 전 항목</t>
        </is>
      </c>
      <c r="B216" s="42" t="inlineStr">
        <is>
          <t>분기 = 결산기 첫날부터 누계(공시 그대로)</t>
        </is>
      </c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</row>
    <row r="217">
      <c r="A217" s="5" t="inlineStr">
        <is>
          <t>항목</t>
        </is>
      </c>
      <c r="B217" s="5" t="inlineStr">
        <is>
          <t>참고</t>
        </is>
      </c>
      <c r="C217" s="5" t="inlineStr">
        <is>
          <t>2024.1Q</t>
        </is>
      </c>
      <c r="D217" s="5" t="inlineStr">
        <is>
          <t>2024.2Q</t>
        </is>
      </c>
      <c r="E217" s="5" t="inlineStr">
        <is>
          <t>2024.3Q</t>
        </is>
      </c>
      <c r="F217" s="5" t="inlineStr">
        <is>
          <t>2024.4Q</t>
        </is>
      </c>
      <c r="G217" s="5" t="inlineStr">
        <is>
          <t>2025.1Q</t>
        </is>
      </c>
      <c r="H217" s="5" t="inlineStr">
        <is>
          <t>2025.2Q</t>
        </is>
      </c>
      <c r="I217" s="5" t="inlineStr">
        <is>
          <t>2025.3Q</t>
        </is>
      </c>
      <c r="J217" s="5" t="inlineStr">
        <is>
          <t>2025.4Q</t>
        </is>
      </c>
      <c r="K217" s="5" t="inlineStr">
        <is>
          <t>2026.1Q</t>
        </is>
      </c>
      <c r="L217" s="5" t="inlineStr">
        <is>
          <t>2026.2Q</t>
        </is>
      </c>
      <c r="M217" s="5" t="inlineStr">
        <is>
          <t>2026.3Q</t>
        </is>
      </c>
      <c r="N217" s="5" t="inlineStr">
        <is>
          <t>2026.4Q</t>
        </is>
      </c>
      <c r="O217" s="5" t="inlineStr">
        <is>
          <t>2017</t>
        </is>
      </c>
      <c r="P217" s="5" t="inlineStr">
        <is>
          <t>2018</t>
        </is>
      </c>
      <c r="Q217" s="5" t="inlineStr">
        <is>
          <t>2019</t>
        </is>
      </c>
      <c r="R217" s="5" t="inlineStr">
        <is>
          <t>2020</t>
        </is>
      </c>
      <c r="S217" s="5" t="inlineStr">
        <is>
          <t>2021</t>
        </is>
      </c>
      <c r="T217" s="5" t="inlineStr">
        <is>
          <t>2022</t>
        </is>
      </c>
      <c r="U217" s="5" t="inlineStr">
        <is>
          <t>2023</t>
        </is>
      </c>
      <c r="V217" s="5" t="inlineStr">
        <is>
          <t>2024</t>
        </is>
      </c>
      <c r="W217" s="5" t="inlineStr">
        <is>
          <t>2025</t>
        </is>
      </c>
      <c r="X217" s="5" t="inlineStr">
        <is>
          <t>2026</t>
        </is>
      </c>
      <c r="Y217" s="5" t="inlineStr">
        <is>
          <t>2027(MW)</t>
        </is>
      </c>
      <c r="Z217" s="5" t="inlineStr">
        <is>
          <t>2028(MW)</t>
        </is>
      </c>
      <c r="AA217" s="5" t="inlineStr">
        <is>
          <t>2029(MW)</t>
        </is>
      </c>
      <c r="AB217" s="5" t="inlineStr">
        <is>
          <t>2030(MW)</t>
        </is>
      </c>
      <c r="AC217" s="5" t="inlineStr">
        <is>
          <t>2031(MW)</t>
        </is>
      </c>
    </row>
    <row r="218">
      <c r="A218" s="9" t="inlineStr">
        <is>
          <t>법인세차감전 순이익</t>
        </is>
      </c>
      <c r="D218" s="12" t="n">
        <v>4831</v>
      </c>
      <c r="F218" s="12" t="n">
        <v>9032</v>
      </c>
      <c r="H218" s="12" t="n">
        <v>7185</v>
      </c>
      <c r="J218" s="12" t="n">
        <v>13674</v>
      </c>
      <c r="L218" s="12" t="n">
        <v>6118</v>
      </c>
      <c r="N218" s="12" t="n">
        <v>12891</v>
      </c>
      <c r="O218" s="12" t="n">
        <v>441.166</v>
      </c>
      <c r="P218" s="12" t="n">
        <v>834.897</v>
      </c>
      <c r="Q218" s="12" t="n">
        <v>1557.69</v>
      </c>
      <c r="R218" s="12" t="n">
        <v>2535.129</v>
      </c>
      <c r="S218" s="12" t="n">
        <v>4525.754</v>
      </c>
      <c r="T218" s="12" t="n">
        <v>7460</v>
      </c>
      <c r="U218" s="12" t="n">
        <v>10153</v>
      </c>
      <c r="V218" s="12" t="n">
        <v>9032</v>
      </c>
      <c r="W218" s="12" t="n">
        <v>13674</v>
      </c>
      <c r="X218" s="12" t="n">
        <v>12891</v>
      </c>
    </row>
    <row r="219">
      <c r="A219" s="18" t="inlineStr">
        <is>
          <t>감가상각비</t>
        </is>
      </c>
      <c r="D219" s="20" t="n">
        <v>506</v>
      </c>
      <c r="F219" s="20" t="n">
        <v>1435</v>
      </c>
      <c r="H219" s="20" t="n">
        <v>883</v>
      </c>
      <c r="J219" s="20" t="n">
        <v>1845</v>
      </c>
      <c r="L219" s="20" t="n">
        <v>999</v>
      </c>
      <c r="N219" s="20" t="n">
        <v>2297</v>
      </c>
      <c r="O219" s="20" t="n">
        <v>104.05</v>
      </c>
      <c r="P219" s="20" t="n">
        <v>127.822</v>
      </c>
      <c r="Q219" s="20" t="n">
        <v>199.546</v>
      </c>
      <c r="R219" s="20" t="n">
        <v>327.977</v>
      </c>
      <c r="S219" s="20" t="n">
        <v>443.097</v>
      </c>
      <c r="T219" s="20" t="n">
        <v>564</v>
      </c>
      <c r="U219" s="20" t="n">
        <v>692</v>
      </c>
      <c r="V219" s="20" t="n">
        <v>1435</v>
      </c>
      <c r="W219" s="20" t="n">
        <v>1845</v>
      </c>
      <c r="X219" s="20" t="n">
        <v>2297</v>
      </c>
    </row>
    <row r="220">
      <c r="A220" s="18" t="inlineStr">
        <is>
          <t>손상차손</t>
        </is>
      </c>
      <c r="D220" s="20" t="n">
        <v>0</v>
      </c>
      <c r="F220" s="20" t="n">
        <v>605</v>
      </c>
      <c r="H220" s="20" t="n">
        <v>573</v>
      </c>
      <c r="J220" s="20" t="n">
        <v>977</v>
      </c>
      <c r="L220" s="20" t="n">
        <v>501</v>
      </c>
      <c r="N220" s="20" t="n">
        <v>556</v>
      </c>
      <c r="R220" s="20" t="n">
        <v>0</v>
      </c>
      <c r="S220" s="20" t="n">
        <v>210.946</v>
      </c>
      <c r="T220" s="20" t="n">
        <v>0</v>
      </c>
      <c r="V220" s="20" t="n">
        <v>605</v>
      </c>
      <c r="W220" s="20" t="n">
        <v>977</v>
      </c>
      <c r="X220" s="20" t="n">
        <v>556</v>
      </c>
    </row>
    <row r="221">
      <c r="A221" s="18" t="inlineStr">
        <is>
          <t>영업권 상각</t>
        </is>
      </c>
      <c r="D221" s="20" t="n">
        <v>699</v>
      </c>
      <c r="F221" s="20" t="n">
        <v>1451</v>
      </c>
      <c r="H221" s="20" t="n">
        <v>710</v>
      </c>
      <c r="J221" s="20" t="n">
        <v>1394</v>
      </c>
      <c r="L221" s="20" t="n">
        <v>683</v>
      </c>
      <c r="N221" s="20" t="n">
        <v>1861</v>
      </c>
      <c r="O221" s="20" t="n">
        <v>68.226</v>
      </c>
      <c r="P221" s="20" t="n">
        <v>83.74299999999999</v>
      </c>
      <c r="Q221" s="20" t="n">
        <v>125.678</v>
      </c>
      <c r="R221" s="20" t="n">
        <v>264.742</v>
      </c>
      <c r="S221" s="20" t="n">
        <v>760.8579999999999</v>
      </c>
      <c r="T221" s="20" t="n">
        <v>892</v>
      </c>
      <c r="U221" s="20" t="n">
        <v>1028</v>
      </c>
      <c r="V221" s="20" t="n">
        <v>1451</v>
      </c>
      <c r="W221" s="20" t="n">
        <v>1394</v>
      </c>
      <c r="X221" s="20" t="n">
        <v>1861</v>
      </c>
    </row>
    <row r="222">
      <c r="A222" s="18" t="inlineStr">
        <is>
          <t>대손충당금 증감</t>
        </is>
      </c>
      <c r="D222" s="20" t="n">
        <v>12</v>
      </c>
      <c r="F222" s="20" t="n">
        <v>10</v>
      </c>
      <c r="H222" s="20" t="n">
        <v>-12</v>
      </c>
      <c r="J222" s="20" t="n">
        <v>72</v>
      </c>
      <c r="L222" s="20" t="n">
        <v>-40</v>
      </c>
      <c r="N222" s="20" t="n">
        <v>-56</v>
      </c>
      <c r="O222" s="20" t="n">
        <v>0.04</v>
      </c>
      <c r="P222" s="20" t="n">
        <v>3.541</v>
      </c>
      <c r="Q222" s="20" t="n">
        <v>4.315</v>
      </c>
      <c r="R222" s="20" t="n">
        <v>3.228</v>
      </c>
      <c r="S222" s="20" t="n">
        <v>6.291</v>
      </c>
      <c r="T222" s="20" t="n">
        <v>22</v>
      </c>
      <c r="U222" s="20" t="n">
        <v>13</v>
      </c>
      <c r="V222" s="20" t="n">
        <v>10</v>
      </c>
      <c r="W222" s="20" t="n">
        <v>72</v>
      </c>
      <c r="X222" s="20" t="n">
        <v>-56</v>
      </c>
    </row>
    <row r="223">
      <c r="A223" s="18" t="inlineStr">
        <is>
          <t>상여충당금 증감</t>
        </is>
      </c>
      <c r="D223" s="20" t="n">
        <v>0</v>
      </c>
      <c r="F223" s="20" t="n">
        <v>-75</v>
      </c>
      <c r="H223" s="20" t="n">
        <v>78</v>
      </c>
      <c r="J223" s="20" t="n">
        <v>-16</v>
      </c>
      <c r="L223" s="20" t="n">
        <v>110</v>
      </c>
      <c r="N223" s="20" t="n">
        <v>-44</v>
      </c>
      <c r="O223" s="20" t="n">
        <v>-5.064</v>
      </c>
      <c r="P223" s="20" t="n">
        <v>-2.171</v>
      </c>
      <c r="Q223" s="20" t="n">
        <v>13.601</v>
      </c>
      <c r="R223" s="20" t="n">
        <v>16.942</v>
      </c>
      <c r="S223" s="20" t="n">
        <v>47.328</v>
      </c>
      <c r="T223" s="20" t="n">
        <v>-65</v>
      </c>
      <c r="U223" s="20" t="n">
        <v>-3</v>
      </c>
      <c r="V223" s="20" t="n">
        <v>-75</v>
      </c>
      <c r="W223" s="20" t="n">
        <v>-16</v>
      </c>
      <c r="X223" s="20" t="n">
        <v>-44</v>
      </c>
    </row>
    <row r="224">
      <c r="A224" s="18" t="inlineStr">
        <is>
          <t>수주손실 충당금 증감</t>
        </is>
      </c>
      <c r="D224" s="20" t="n">
        <v>11</v>
      </c>
      <c r="F224" s="20" t="n">
        <v>0</v>
      </c>
      <c r="H224" s="20" t="n">
        <v>0</v>
      </c>
      <c r="S224" s="20" t="n">
        <v>0</v>
      </c>
      <c r="T224" s="20" t="n">
        <v>34</v>
      </c>
      <c r="U224" s="20" t="n">
        <v>-34</v>
      </c>
      <c r="V224" s="20" t="n">
        <v>0</v>
      </c>
    </row>
    <row r="225">
      <c r="A225" s="18" t="inlineStr">
        <is>
          <t>이자·배당금 수익</t>
        </is>
      </c>
      <c r="D225" s="20" t="n">
        <v>-66</v>
      </c>
      <c r="F225" s="20" t="n">
        <v>-69</v>
      </c>
      <c r="H225" s="20" t="n">
        <v>-8</v>
      </c>
      <c r="J225" s="20" t="n">
        <v>-25</v>
      </c>
      <c r="L225" s="20" t="n">
        <v>-19</v>
      </c>
      <c r="N225" s="20" t="n">
        <v>-78</v>
      </c>
      <c r="O225" s="20" t="n">
        <v>-1.105</v>
      </c>
      <c r="P225" s="20" t="n">
        <v>-0.571</v>
      </c>
      <c r="Q225" s="20" t="n">
        <v>-0.625</v>
      </c>
      <c r="R225" s="20" t="n">
        <v>-93.456</v>
      </c>
      <c r="S225" s="20" t="n">
        <v>-90.589</v>
      </c>
      <c r="T225" s="20" t="n">
        <v>-106</v>
      </c>
      <c r="U225" s="20" t="n">
        <v>-114</v>
      </c>
      <c r="V225" s="20" t="n">
        <v>-69</v>
      </c>
      <c r="W225" s="20" t="n">
        <v>-25</v>
      </c>
      <c r="X225" s="20" t="n">
        <v>-78</v>
      </c>
    </row>
    <row r="226">
      <c r="A226" s="18" t="inlineStr">
        <is>
          <t>이자비용</t>
        </is>
      </c>
      <c r="D226" s="20" t="n">
        <v>16</v>
      </c>
      <c r="F226" s="20" t="n">
        <v>57</v>
      </c>
      <c r="H226" s="20" t="n">
        <v>40</v>
      </c>
      <c r="J226" s="20" t="n">
        <v>117</v>
      </c>
      <c r="L226" s="20" t="n">
        <v>97</v>
      </c>
      <c r="N226" s="20" t="n">
        <v>361</v>
      </c>
      <c r="O226" s="20" t="n">
        <v>6.253</v>
      </c>
      <c r="P226" s="20" t="n">
        <v>6.984</v>
      </c>
      <c r="Q226" s="20" t="n">
        <v>7.346</v>
      </c>
      <c r="R226" s="20" t="n">
        <v>10.299</v>
      </c>
      <c r="S226" s="20" t="n">
        <v>14.428</v>
      </c>
      <c r="T226" s="20" t="n">
        <v>14</v>
      </c>
      <c r="U226" s="20" t="n">
        <v>19</v>
      </c>
      <c r="V226" s="20" t="n">
        <v>57</v>
      </c>
      <c r="W226" s="20" t="n">
        <v>117</v>
      </c>
      <c r="X226" s="20" t="n">
        <v>361</v>
      </c>
    </row>
    <row r="227">
      <c r="A227" s="18" t="inlineStr">
        <is>
          <t>고정자산 매각손실</t>
        </is>
      </c>
      <c r="R227" s="20" t="n">
        <v>0</v>
      </c>
      <c r="S227" s="20" t="n">
        <v>11.3</v>
      </c>
    </row>
    <row r="228">
      <c r="A228" s="18" t="inlineStr">
        <is>
          <t>고정자산 매각손실</t>
        </is>
      </c>
      <c r="S228" s="20" t="n">
        <v>11.3</v>
      </c>
      <c r="T228" s="20" t="n">
        <v>0</v>
      </c>
    </row>
    <row r="229">
      <c r="A229" s="18" t="inlineStr">
        <is>
          <t>보조금 수입</t>
        </is>
      </c>
      <c r="D229" s="20" t="n">
        <v>-50</v>
      </c>
      <c r="F229" s="20" t="n">
        <v>-101</v>
      </c>
      <c r="H229" s="20" t="n">
        <v>-53</v>
      </c>
      <c r="J229" s="20" t="n">
        <v>-138</v>
      </c>
      <c r="L229" s="20" t="n">
        <v>-86</v>
      </c>
      <c r="N229" s="20" t="n">
        <v>-143</v>
      </c>
      <c r="R229" s="20" t="n">
        <v>-90.75</v>
      </c>
      <c r="S229" s="20" t="n">
        <v>-710.197</v>
      </c>
      <c r="T229" s="20" t="n">
        <v>-577</v>
      </c>
      <c r="U229" s="20" t="n">
        <v>-326</v>
      </c>
      <c r="V229" s="20" t="n">
        <v>-101</v>
      </c>
      <c r="W229" s="20" t="n">
        <v>-138</v>
      </c>
      <c r="X229" s="20" t="n">
        <v>-143</v>
      </c>
    </row>
    <row r="230">
      <c r="A230" s="18" t="inlineStr">
        <is>
          <t>외환차손익</t>
        </is>
      </c>
      <c r="D230" s="20" t="n">
        <v>-1</v>
      </c>
      <c r="F230" s="20" t="n">
        <v>0</v>
      </c>
      <c r="H230" s="20" t="n">
        <v>0</v>
      </c>
      <c r="J230" s="20" t="n">
        <v>-2</v>
      </c>
      <c r="L230" s="20" t="n">
        <v>-19</v>
      </c>
      <c r="N230" s="20" t="n">
        <v>-14</v>
      </c>
      <c r="O230" s="20" t="n">
        <v>-10.462</v>
      </c>
      <c r="P230" s="20" t="n">
        <v>-4.957</v>
      </c>
      <c r="Q230" s="20" t="n">
        <v>7.948</v>
      </c>
      <c r="R230" s="20" t="n">
        <v>2.321</v>
      </c>
      <c r="S230" s="20" t="n">
        <v>-4.84</v>
      </c>
      <c r="T230" s="20" t="n">
        <v>-16</v>
      </c>
      <c r="U230" s="20" t="n">
        <v>-8</v>
      </c>
      <c r="V230" s="20" t="n">
        <v>0</v>
      </c>
      <c r="W230" s="20" t="n">
        <v>-2</v>
      </c>
      <c r="X230" s="20" t="n">
        <v>-14</v>
      </c>
    </row>
    <row r="231">
      <c r="A231" s="18" t="inlineStr">
        <is>
          <t>자회사 주식 매각손익</t>
        </is>
      </c>
      <c r="S231" s="20" t="n">
        <v>0</v>
      </c>
      <c r="T231" s="20" t="n">
        <v>-44</v>
      </c>
      <c r="U231" s="20" t="n">
        <v>0</v>
      </c>
    </row>
    <row r="232">
      <c r="A232" s="18" t="inlineStr">
        <is>
          <t>지분법손익</t>
        </is>
      </c>
      <c r="F232" s="20" t="n">
        <v>0</v>
      </c>
      <c r="H232" s="20" t="n">
        <v>0</v>
      </c>
      <c r="J232" s="20" t="n">
        <v>75</v>
      </c>
      <c r="L232" s="20" t="n">
        <v>122</v>
      </c>
      <c r="N232" s="20" t="n">
        <v>3861</v>
      </c>
      <c r="P232" s="20" t="n">
        <v>0</v>
      </c>
      <c r="Q232" s="20" t="n">
        <v>7.035</v>
      </c>
      <c r="R232" s="20" t="n">
        <v>0</v>
      </c>
      <c r="V232" s="20" t="n">
        <v>0</v>
      </c>
      <c r="W232" s="20" t="n">
        <v>75</v>
      </c>
      <c r="X232" s="20" t="n">
        <v>3861</v>
      </c>
    </row>
    <row r="233">
      <c r="A233" s="18" t="inlineStr">
        <is>
          <t>관계회사 주식 매각손익</t>
        </is>
      </c>
      <c r="P233" s="20" t="n">
        <v>0</v>
      </c>
      <c r="Q233" s="20" t="n">
        <v>-3.951</v>
      </c>
      <c r="R233" s="20" t="n">
        <v>0</v>
      </c>
    </row>
    <row r="234">
      <c r="A234" s="18" t="inlineStr">
        <is>
          <t>투자유가증권 평가손익</t>
        </is>
      </c>
      <c r="D234" s="20" t="n">
        <v>0</v>
      </c>
      <c r="F234" s="20" t="n">
        <v>1437</v>
      </c>
      <c r="H234" s="20" t="n">
        <v>163</v>
      </c>
      <c r="J234" s="20" t="n">
        <v>590</v>
      </c>
      <c r="L234" s="20" t="n">
        <v>0</v>
      </c>
      <c r="N234" s="20" t="n">
        <v>302</v>
      </c>
      <c r="O234" s="20" t="n">
        <v>0</v>
      </c>
      <c r="P234" s="20" t="n">
        <v>403.613</v>
      </c>
      <c r="Q234" s="20" t="n">
        <v>0</v>
      </c>
      <c r="S234" s="20" t="n">
        <v>0</v>
      </c>
      <c r="T234" s="20" t="n">
        <v>136</v>
      </c>
      <c r="U234" s="20" t="n">
        <v>1701</v>
      </c>
      <c r="V234" s="20" t="n">
        <v>1437</v>
      </c>
      <c r="W234" s="20" t="n">
        <v>590</v>
      </c>
      <c r="X234" s="20" t="n">
        <v>302</v>
      </c>
    </row>
    <row r="235">
      <c r="A235" s="18" t="inlineStr">
        <is>
          <t>투자유가증권 매각손익</t>
        </is>
      </c>
      <c r="D235" s="20" t="n">
        <v>0</v>
      </c>
      <c r="F235" s="20" t="n">
        <v>-333</v>
      </c>
      <c r="H235" s="20" t="n">
        <v>-54</v>
      </c>
      <c r="J235" s="20" t="n">
        <v>-54</v>
      </c>
      <c r="L235" s="20" t="n">
        <v>0</v>
      </c>
      <c r="N235" s="20" t="n">
        <v>-412</v>
      </c>
      <c r="P235" s="20" t="n">
        <v>0</v>
      </c>
      <c r="Q235" s="20" t="n">
        <v>-0.302</v>
      </c>
      <c r="R235" s="20" t="n">
        <v>0</v>
      </c>
      <c r="T235" s="20" t="n">
        <v>0</v>
      </c>
      <c r="U235" s="20" t="n">
        <v>146</v>
      </c>
      <c r="V235" s="20" t="n">
        <v>-333</v>
      </c>
      <c r="W235" s="20" t="n">
        <v>-54</v>
      </c>
      <c r="X235" s="20" t="n">
        <v>-412</v>
      </c>
    </row>
    <row r="236">
      <c r="A236" s="18" t="inlineStr">
        <is>
          <t>단계적 취득 차손익</t>
        </is>
      </c>
      <c r="P236" s="20" t="n">
        <v>0</v>
      </c>
      <c r="Q236" s="20" t="n">
        <v>-8.57</v>
      </c>
      <c r="R236" s="20" t="n">
        <v>0</v>
      </c>
    </row>
    <row r="237">
      <c r="A237" s="18" t="inlineStr">
        <is>
          <t>출자금 운용손익</t>
        </is>
      </c>
      <c r="D237" s="20" t="n">
        <v>0</v>
      </c>
      <c r="F237" s="20" t="n">
        <v>0</v>
      </c>
      <c r="H237" s="20" t="n">
        <v>227</v>
      </c>
      <c r="J237" s="20" t="n">
        <v>390</v>
      </c>
      <c r="L237" s="20" t="n">
        <v>241</v>
      </c>
      <c r="N237" s="20" t="n">
        <v>239</v>
      </c>
      <c r="V237" s="20" t="n">
        <v>0</v>
      </c>
      <c r="W237" s="20" t="n">
        <v>390</v>
      </c>
      <c r="X237" s="20" t="n">
        <v>239</v>
      </c>
    </row>
    <row r="238">
      <c r="A238" s="18" t="inlineStr">
        <is>
          <t>보험 해약환급금</t>
        </is>
      </c>
      <c r="F238" s="20" t="n">
        <v>-34</v>
      </c>
      <c r="J238" s="20" t="n">
        <v>0</v>
      </c>
      <c r="U238" s="20" t="n">
        <v>0</v>
      </c>
      <c r="V238" s="20" t="n">
        <v>-34</v>
      </c>
      <c r="W238" s="20" t="n">
        <v>0</v>
      </c>
    </row>
    <row r="239">
      <c r="A239" s="18" t="inlineStr">
        <is>
          <t>퇴직급여제도 종료손실</t>
        </is>
      </c>
      <c r="F239" s="20" t="n">
        <v>10</v>
      </c>
      <c r="J239" s="20" t="n">
        <v>0</v>
      </c>
      <c r="V239" s="20" t="n">
        <v>10</v>
      </c>
      <c r="W239" s="20" t="n">
        <v>0</v>
      </c>
    </row>
    <row r="240">
      <c r="A240" s="18" t="inlineStr">
        <is>
          <t>매출채권 증감</t>
        </is>
      </c>
      <c r="D240" s="20" t="n">
        <v>-965</v>
      </c>
      <c r="F240" s="20" t="n">
        <v>-2021</v>
      </c>
      <c r="H240" s="20" t="n">
        <v>-327</v>
      </c>
      <c r="J240" s="20" t="n">
        <v>-1281</v>
      </c>
      <c r="L240" s="20" t="n">
        <v>-1797</v>
      </c>
      <c r="N240" s="20" t="n">
        <v>-1222</v>
      </c>
      <c r="O240" s="20" t="n">
        <v>-73.538</v>
      </c>
      <c r="P240" s="20" t="n">
        <v>-552.928</v>
      </c>
      <c r="Q240" s="20" t="n">
        <v>-866.029</v>
      </c>
      <c r="R240" s="20" t="n">
        <v>-634.5890000000001</v>
      </c>
      <c r="S240" s="20" t="n">
        <v>-1384.743</v>
      </c>
      <c r="T240" s="20" t="n">
        <v>-1999</v>
      </c>
      <c r="U240" s="20" t="n">
        <v>-2459</v>
      </c>
      <c r="V240" s="20" t="n">
        <v>-2021</v>
      </c>
      <c r="W240" s="20" t="n">
        <v>-1281</v>
      </c>
      <c r="X240" s="20" t="n">
        <v>-1222</v>
      </c>
    </row>
    <row r="241">
      <c r="A241" s="18" t="inlineStr">
        <is>
          <t>재고자산 증감</t>
        </is>
      </c>
      <c r="D241" s="20" t="n">
        <v>-360</v>
      </c>
      <c r="F241" s="20" t="n">
        <v>-201</v>
      </c>
      <c r="H241" s="20" t="n">
        <v>-642</v>
      </c>
      <c r="J241" s="20" t="n">
        <v>-557</v>
      </c>
      <c r="L241" s="20" t="n">
        <v>-1044</v>
      </c>
      <c r="N241" s="20" t="n">
        <v>224</v>
      </c>
      <c r="O241" s="20" t="n">
        <v>22.907</v>
      </c>
      <c r="P241" s="20" t="n">
        <v>-16.772</v>
      </c>
      <c r="Q241" s="20" t="n">
        <v>-19.044</v>
      </c>
      <c r="R241" s="20" t="n">
        <v>-96.43000000000001</v>
      </c>
      <c r="S241" s="20" t="n">
        <v>-184.78</v>
      </c>
      <c r="T241" s="20" t="n">
        <v>-237</v>
      </c>
      <c r="U241" s="20" t="n">
        <v>83</v>
      </c>
      <c r="V241" s="20" t="n">
        <v>-201</v>
      </c>
      <c r="W241" s="20" t="n">
        <v>-557</v>
      </c>
      <c r="X241" s="20" t="n">
        <v>224</v>
      </c>
    </row>
    <row r="242">
      <c r="A242" s="18" t="inlineStr">
        <is>
          <t>선급비용 증감</t>
        </is>
      </c>
      <c r="D242" s="20" t="n">
        <v>-270</v>
      </c>
      <c r="F242" s="20" t="n">
        <v>-137</v>
      </c>
      <c r="H242" s="20" t="n">
        <v>-384</v>
      </c>
      <c r="J242" s="20" t="n">
        <v>-777</v>
      </c>
      <c r="L242" s="20" t="n">
        <v>-94</v>
      </c>
      <c r="N242" s="20" t="n">
        <v>105</v>
      </c>
      <c r="O242" s="20" t="n">
        <v>-6.304</v>
      </c>
      <c r="P242" s="20" t="n">
        <v>-39.449</v>
      </c>
      <c r="Q242" s="20" t="n">
        <v>-62.286</v>
      </c>
      <c r="R242" s="20" t="n">
        <v>-17.461</v>
      </c>
      <c r="S242" s="20" t="n">
        <v>-64.94199999999999</v>
      </c>
      <c r="T242" s="20" t="n">
        <v>-187</v>
      </c>
      <c r="U242" s="20" t="n">
        <v>-339</v>
      </c>
      <c r="V242" s="20" t="n">
        <v>-137</v>
      </c>
      <c r="W242" s="20" t="n">
        <v>-777</v>
      </c>
      <c r="X242" s="20" t="n">
        <v>105</v>
      </c>
    </row>
    <row r="243">
      <c r="A243" s="18" t="inlineStr">
        <is>
          <t>매입채무 증감</t>
        </is>
      </c>
      <c r="D243" s="20" t="n">
        <v>-124</v>
      </c>
      <c r="F243" s="20" t="n">
        <v>-284</v>
      </c>
      <c r="H243" s="20" t="n">
        <v>44</v>
      </c>
      <c r="J243" s="20" t="n">
        <v>453</v>
      </c>
      <c r="L243" s="20" t="n">
        <v>-89</v>
      </c>
      <c r="N243" s="20" t="n">
        <v>-25</v>
      </c>
      <c r="O243" s="20" t="n">
        <v>-32.665</v>
      </c>
      <c r="P243" s="20" t="n">
        <v>62.492</v>
      </c>
      <c r="Q243" s="20" t="n">
        <v>24.522</v>
      </c>
      <c r="R243" s="20" t="n">
        <v>-125.578</v>
      </c>
      <c r="S243" s="20" t="n">
        <v>522.826</v>
      </c>
      <c r="T243" s="20" t="n">
        <v>275</v>
      </c>
      <c r="U243" s="20" t="n">
        <v>-173</v>
      </c>
      <c r="V243" s="20" t="n">
        <v>-284</v>
      </c>
      <c r="W243" s="20" t="n">
        <v>453</v>
      </c>
      <c r="X243" s="20" t="n">
        <v>-25</v>
      </c>
    </row>
    <row r="244">
      <c r="A244" s="18" t="inlineStr">
        <is>
          <t>미지급 소비세 증감</t>
        </is>
      </c>
      <c r="D244" s="20" t="n">
        <v>-1210</v>
      </c>
      <c r="F244" s="20" t="n">
        <v>-226</v>
      </c>
      <c r="H244" s="20" t="n">
        <v>-61</v>
      </c>
      <c r="J244" s="20" t="n">
        <v>1083</v>
      </c>
      <c r="L244" s="20" t="n">
        <v>-1110</v>
      </c>
      <c r="N244" s="20" t="n">
        <v>-353</v>
      </c>
      <c r="S244" s="20" t="n">
        <v>160.898</v>
      </c>
      <c r="T244" s="20" t="n">
        <v>678</v>
      </c>
      <c r="U244" s="20" t="n">
        <v>851</v>
      </c>
      <c r="V244" s="20" t="n">
        <v>-226</v>
      </c>
      <c r="W244" s="20" t="n">
        <v>1083</v>
      </c>
      <c r="X244" s="20" t="n">
        <v>-353</v>
      </c>
    </row>
    <row r="245">
      <c r="A245" s="18" t="inlineStr">
        <is>
          <t>미지급금·미지급비용 증감</t>
        </is>
      </c>
      <c r="D245" s="20" t="n">
        <v>65</v>
      </c>
      <c r="F245" s="20" t="n">
        <v>2424</v>
      </c>
      <c r="H245" s="20" t="n">
        <v>-1948</v>
      </c>
      <c r="J245" s="20" t="n">
        <v>1196</v>
      </c>
      <c r="L245" s="20" t="n">
        <v>108</v>
      </c>
      <c r="N245" s="20" t="n">
        <v>-1425</v>
      </c>
      <c r="O245" s="20" t="n">
        <v>51.968</v>
      </c>
      <c r="P245" s="20" t="n">
        <v>361.83</v>
      </c>
      <c r="Q245" s="20" t="n">
        <v>439.491</v>
      </c>
      <c r="R245" s="20" t="n">
        <v>39.625</v>
      </c>
      <c r="S245" s="20" t="n">
        <v>542.444</v>
      </c>
      <c r="T245" s="20" t="n">
        <v>1604</v>
      </c>
      <c r="U245" s="20" t="n">
        <v>1164</v>
      </c>
      <c r="V245" s="20" t="n">
        <v>2424</v>
      </c>
      <c r="W245" s="20" t="n">
        <v>1196</v>
      </c>
      <c r="X245" s="20" t="n">
        <v>-1425</v>
      </c>
    </row>
    <row r="246">
      <c r="A246" s="18" t="inlineStr">
        <is>
          <t>예수금 증감</t>
        </is>
      </c>
      <c r="H246" s="20" t="n">
        <v>-346</v>
      </c>
      <c r="L246" s="20" t="n">
        <v>-364</v>
      </c>
    </row>
    <row r="247">
      <c r="A247" s="18" t="inlineStr">
        <is>
          <t>기타</t>
        </is>
      </c>
      <c r="D247" s="20" t="n">
        <v>264</v>
      </c>
      <c r="F247" s="20" t="n">
        <v>854</v>
      </c>
      <c r="H247" s="20" t="n">
        <v>77</v>
      </c>
      <c r="J247" s="20" t="n">
        <v>665</v>
      </c>
      <c r="L247" s="20" t="n">
        <v>-102</v>
      </c>
      <c r="N247" s="20" t="n">
        <v>788</v>
      </c>
      <c r="O247" s="20" t="n">
        <v>60.267</v>
      </c>
      <c r="P247" s="20" t="n">
        <v>212</v>
      </c>
      <c r="Q247" s="20" t="n">
        <v>408.432</v>
      </c>
      <c r="R247" s="20" t="n">
        <v>767.596</v>
      </c>
      <c r="S247" s="20" t="n">
        <v>359.455</v>
      </c>
      <c r="T247" s="20" t="n">
        <v>441</v>
      </c>
      <c r="U247" s="20" t="n">
        <v>220</v>
      </c>
      <c r="V247" s="20" t="n">
        <v>854</v>
      </c>
      <c r="W247" s="20" t="n">
        <v>665</v>
      </c>
      <c r="X247" s="20" t="n">
        <v>788</v>
      </c>
    </row>
    <row r="248">
      <c r="A248" s="18" t="inlineStr">
        <is>
          <t>소계</t>
        </is>
      </c>
      <c r="D248" s="20" t="n">
        <v>3357</v>
      </c>
      <c r="F248" s="20" t="n">
        <v>13833</v>
      </c>
      <c r="H248" s="20" t="n">
        <v>6146</v>
      </c>
      <c r="J248" s="20" t="n">
        <v>19683</v>
      </c>
      <c r="L248" s="20" t="n">
        <v>4212</v>
      </c>
      <c r="N248" s="20" t="n">
        <v>19715</v>
      </c>
      <c r="O248" s="20" t="n">
        <v>625.74</v>
      </c>
      <c r="P248" s="20" t="n">
        <v>1480.074</v>
      </c>
      <c r="Q248" s="20" t="n">
        <v>1834.799</v>
      </c>
      <c r="R248" s="20" t="n">
        <v>2909.596</v>
      </c>
      <c r="S248" s="20" t="n">
        <v>5165.536</v>
      </c>
      <c r="T248" s="20" t="n">
        <v>8890</v>
      </c>
      <c r="U248" s="20" t="n">
        <v>12613</v>
      </c>
      <c r="V248" s="20" t="n">
        <v>13833</v>
      </c>
      <c r="W248" s="20" t="n">
        <v>19683</v>
      </c>
      <c r="X248" s="20" t="n">
        <v>19715</v>
      </c>
    </row>
    <row r="249">
      <c r="A249" s="18" t="inlineStr">
        <is>
          <t>이자·배당금 수취</t>
        </is>
      </c>
      <c r="D249" s="20" t="n">
        <v>66</v>
      </c>
      <c r="F249" s="20" t="n">
        <v>70</v>
      </c>
      <c r="H249" s="20" t="n">
        <v>7</v>
      </c>
      <c r="J249" s="20" t="n">
        <v>27</v>
      </c>
      <c r="L249" s="20" t="n">
        <v>21</v>
      </c>
      <c r="N249" s="20" t="n">
        <v>246</v>
      </c>
      <c r="O249" s="20" t="n">
        <v>1.105</v>
      </c>
      <c r="P249" s="20" t="n">
        <v>0.571</v>
      </c>
      <c r="Q249" s="20" t="n">
        <v>0.625</v>
      </c>
      <c r="R249" s="20" t="n">
        <v>93.456</v>
      </c>
      <c r="S249" s="20" t="n">
        <v>90.589</v>
      </c>
      <c r="T249" s="20" t="n">
        <v>106</v>
      </c>
      <c r="U249" s="20" t="n">
        <v>114</v>
      </c>
      <c r="V249" s="20" t="n">
        <v>70</v>
      </c>
      <c r="W249" s="20" t="n">
        <v>27</v>
      </c>
      <c r="X249" s="20" t="n">
        <v>246</v>
      </c>
    </row>
    <row r="250">
      <c r="A250" s="18" t="inlineStr">
        <is>
          <t>이자 지급</t>
        </is>
      </c>
      <c r="D250" s="20" t="n">
        <v>-21</v>
      </c>
      <c r="F250" s="20" t="n">
        <v>-59</v>
      </c>
      <c r="H250" s="20" t="n">
        <v>-40</v>
      </c>
      <c r="J250" s="20" t="n">
        <v>-110</v>
      </c>
      <c r="L250" s="20" t="n">
        <v>-114</v>
      </c>
      <c r="N250" s="20" t="n">
        <v>-356</v>
      </c>
      <c r="O250" s="20" t="n">
        <v>-6.253</v>
      </c>
      <c r="P250" s="20" t="n">
        <v>-6.984</v>
      </c>
      <c r="Q250" s="20" t="n">
        <v>-7.346</v>
      </c>
      <c r="R250" s="20" t="n">
        <v>-10.299</v>
      </c>
      <c r="S250" s="20" t="n">
        <v>-14.428</v>
      </c>
      <c r="T250" s="20" t="n">
        <v>-14</v>
      </c>
      <c r="U250" s="20" t="n">
        <v>-16</v>
      </c>
      <c r="V250" s="20" t="n">
        <v>-59</v>
      </c>
      <c r="W250" s="20" t="n">
        <v>-110</v>
      </c>
      <c r="X250" s="20" t="n">
        <v>-356</v>
      </c>
    </row>
    <row r="251">
      <c r="A251" s="18" t="inlineStr">
        <is>
          <t>보조금 수취</t>
        </is>
      </c>
      <c r="D251" s="20" t="n">
        <v>50</v>
      </c>
      <c r="F251" s="20" t="n">
        <v>101</v>
      </c>
      <c r="H251" s="20" t="n">
        <v>53</v>
      </c>
      <c r="J251" s="20" t="n">
        <v>135</v>
      </c>
      <c r="L251" s="20" t="n">
        <v>88</v>
      </c>
      <c r="N251" s="20" t="n">
        <v>145</v>
      </c>
      <c r="R251" s="20" t="n">
        <v>90.75</v>
      </c>
      <c r="S251" s="20" t="n">
        <v>710.197</v>
      </c>
      <c r="T251" s="20" t="n">
        <v>577</v>
      </c>
      <c r="U251" s="20" t="n">
        <v>326</v>
      </c>
      <c r="V251" s="20" t="n">
        <v>101</v>
      </c>
      <c r="W251" s="20" t="n">
        <v>135</v>
      </c>
      <c r="X251" s="20" t="n">
        <v>145</v>
      </c>
    </row>
    <row r="252">
      <c r="A252" s="18" t="inlineStr">
        <is>
          <t>법인세 납부</t>
        </is>
      </c>
      <c r="D252" s="20" t="n">
        <v>-2907</v>
      </c>
      <c r="F252" s="20" t="n">
        <v>-4891</v>
      </c>
      <c r="H252" s="20" t="n">
        <v>-2124</v>
      </c>
      <c r="J252" s="20" t="n">
        <v>-4083</v>
      </c>
      <c r="L252" s="20" t="n">
        <v>-3077</v>
      </c>
      <c r="N252" s="20" t="n">
        <v>-6027</v>
      </c>
      <c r="O252" s="20" t="n">
        <v>-226.351</v>
      </c>
      <c r="P252" s="20" t="n">
        <v>-226.148</v>
      </c>
      <c r="Q252" s="20" t="n">
        <v>-694.204</v>
      </c>
      <c r="R252" s="20" t="n">
        <v>-832.943</v>
      </c>
      <c r="S252" s="20" t="n">
        <v>-1193.89</v>
      </c>
      <c r="T252" s="20" t="n">
        <v>-2167</v>
      </c>
      <c r="U252" s="20" t="n">
        <v>-2789</v>
      </c>
      <c r="V252" s="20" t="n">
        <v>-4891</v>
      </c>
      <c r="W252" s="20" t="n">
        <v>-4083</v>
      </c>
      <c r="X252" s="20" t="n">
        <v>-6027</v>
      </c>
    </row>
    <row r="253">
      <c r="A253" s="18" t="inlineStr">
        <is>
          <t>보험 해약환급금 수취</t>
        </is>
      </c>
      <c r="F253" s="20" t="n">
        <v>34</v>
      </c>
      <c r="J253" s="20" t="n">
        <v>0</v>
      </c>
      <c r="U253" s="20" t="n">
        <v>0</v>
      </c>
      <c r="V253" s="20" t="n">
        <v>34</v>
      </c>
      <c r="W253" s="20" t="n">
        <v>0</v>
      </c>
    </row>
    <row r="254">
      <c r="A254" s="9" t="inlineStr">
        <is>
          <t>영업활동 현금흐름</t>
        </is>
      </c>
      <c r="D254" s="12" t="n">
        <v>546</v>
      </c>
      <c r="F254" s="12" t="n">
        <v>9088</v>
      </c>
      <c r="H254" s="12" t="n">
        <v>4043</v>
      </c>
      <c r="J254" s="12" t="n">
        <v>15652</v>
      </c>
      <c r="L254" s="12" t="n">
        <v>1129</v>
      </c>
      <c r="N254" s="12" t="n">
        <v>13723</v>
      </c>
      <c r="O254" s="12" t="n">
        <v>394.241</v>
      </c>
      <c r="P254" s="12" t="n">
        <v>1247.514</v>
      </c>
      <c r="Q254" s="12" t="n">
        <v>1133.873</v>
      </c>
      <c r="R254" s="12" t="n">
        <v>2250.56</v>
      </c>
      <c r="S254" s="12" t="n">
        <v>4758.005</v>
      </c>
      <c r="T254" s="12" t="n">
        <v>7392</v>
      </c>
      <c r="U254" s="12" t="n">
        <v>10248</v>
      </c>
      <c r="V254" s="12" t="n">
        <v>9088</v>
      </c>
      <c r="W254" s="12" t="n">
        <v>15652</v>
      </c>
      <c r="X254" s="12" t="n">
        <v>13723</v>
      </c>
    </row>
    <row r="255">
      <c r="A255" s="18" t="inlineStr">
        <is>
          <t>장기예금 예입</t>
        </is>
      </c>
      <c r="O255" s="20" t="n">
        <v>-250</v>
      </c>
      <c r="P255" s="20" t="n">
        <v>0</v>
      </c>
    </row>
    <row r="256">
      <c r="A256" s="18" t="inlineStr">
        <is>
          <t>장기예금 인출</t>
        </is>
      </c>
      <c r="O256" s="20" t="n">
        <v>0</v>
      </c>
      <c r="P256" s="20" t="n">
        <v>150</v>
      </c>
      <c r="Q256" s="20" t="n">
        <v>0</v>
      </c>
    </row>
    <row r="257">
      <c r="A257" s="18" t="inlineStr">
        <is>
          <t>정기예금 예입</t>
        </is>
      </c>
      <c r="J257" s="20" t="n">
        <v>-2</v>
      </c>
      <c r="N257" s="20" t="n">
        <v>-109</v>
      </c>
      <c r="W257" s="20" t="n">
        <v>-2</v>
      </c>
      <c r="X257" s="20" t="n">
        <v>-109</v>
      </c>
    </row>
    <row r="258">
      <c r="A258" s="18" t="inlineStr">
        <is>
          <t>정기예금 인출</t>
        </is>
      </c>
      <c r="D258" s="20" t="n">
        <v>160</v>
      </c>
      <c r="F258" s="20" t="n">
        <v>163</v>
      </c>
      <c r="H258" s="20" t="n">
        <v>5</v>
      </c>
      <c r="J258" s="20" t="n">
        <v>20</v>
      </c>
      <c r="L258" s="20" t="n">
        <v>0</v>
      </c>
      <c r="N258" s="20" t="n">
        <v>109</v>
      </c>
      <c r="S258" s="20" t="n">
        <v>0</v>
      </c>
      <c r="T258" s="20" t="n">
        <v>100</v>
      </c>
      <c r="U258" s="20" t="n">
        <v>0</v>
      </c>
      <c r="V258" s="20" t="n">
        <v>163</v>
      </c>
      <c r="W258" s="20" t="n">
        <v>20</v>
      </c>
      <c r="X258" s="20" t="n">
        <v>109</v>
      </c>
    </row>
    <row r="259">
      <c r="A259" s="18" t="inlineStr">
        <is>
          <t>유형자산 취득(설비투자)</t>
        </is>
      </c>
      <c r="D259" s="20" t="n">
        <v>-2340</v>
      </c>
      <c r="F259" s="20" t="n">
        <v>-5652</v>
      </c>
      <c r="H259" s="20" t="n">
        <v>-555</v>
      </c>
      <c r="J259" s="20" t="n">
        <v>-1323</v>
      </c>
      <c r="L259" s="20" t="n">
        <v>-549</v>
      </c>
      <c r="N259" s="20" t="n">
        <v>-1095</v>
      </c>
      <c r="O259" s="20" t="n">
        <v>-84.077</v>
      </c>
      <c r="P259" s="20" t="n">
        <v>-130.908</v>
      </c>
      <c r="Q259" s="20" t="n">
        <v>-213.858</v>
      </c>
      <c r="R259" s="20" t="n">
        <v>-411.593</v>
      </c>
      <c r="S259" s="20" t="n">
        <v>-372.068</v>
      </c>
      <c r="T259" s="20" t="n">
        <v>-651</v>
      </c>
      <c r="U259" s="20" t="n">
        <v>-1145</v>
      </c>
      <c r="V259" s="20" t="n">
        <v>-5652</v>
      </c>
      <c r="W259" s="20" t="n">
        <v>-1323</v>
      </c>
      <c r="X259" s="20" t="n">
        <v>-1095</v>
      </c>
    </row>
    <row r="260">
      <c r="A260" s="18" t="inlineStr">
        <is>
          <t>유형자산 매각</t>
        </is>
      </c>
      <c r="P260" s="20" t="n">
        <v>0</v>
      </c>
      <c r="Q260" s="20" t="n">
        <v>22.552</v>
      </c>
      <c r="R260" s="20" t="n">
        <v>0</v>
      </c>
    </row>
    <row r="261">
      <c r="A261" s="18" t="inlineStr">
        <is>
          <t>무형자산 취득</t>
        </is>
      </c>
      <c r="D261" s="20" t="n">
        <v>-18</v>
      </c>
      <c r="F261" s="20" t="n">
        <v>-59</v>
      </c>
      <c r="H261" s="20" t="n">
        <v>-82</v>
      </c>
      <c r="J261" s="20" t="n">
        <v>-155</v>
      </c>
      <c r="L261" s="20" t="n">
        <v>-165</v>
      </c>
      <c r="N261" s="20" t="n">
        <v>-568</v>
      </c>
      <c r="O261" s="20" t="n">
        <v>-53.448</v>
      </c>
      <c r="P261" s="20" t="n">
        <v>-70.099</v>
      </c>
      <c r="Q261" s="20" t="n">
        <v>-66.038</v>
      </c>
      <c r="R261" s="20" t="n">
        <v>-71.997</v>
      </c>
      <c r="S261" s="20" t="n">
        <v>-63.635</v>
      </c>
      <c r="T261" s="20" t="n">
        <v>-117</v>
      </c>
      <c r="U261" s="20" t="n">
        <v>-111</v>
      </c>
      <c r="V261" s="20" t="n">
        <v>-59</v>
      </c>
      <c r="W261" s="20" t="n">
        <v>-155</v>
      </c>
      <c r="X261" s="20" t="n">
        <v>-568</v>
      </c>
    </row>
    <row r="262">
      <c r="A262" s="18" t="inlineStr">
        <is>
          <t>관계회사 주식 매각</t>
        </is>
      </c>
      <c r="P262" s="20" t="n">
        <v>0</v>
      </c>
      <c r="Q262" s="20" t="n">
        <v>16.351</v>
      </c>
      <c r="R262" s="20" t="n">
        <v>0</v>
      </c>
    </row>
    <row r="263">
      <c r="A263" s="18" t="inlineStr">
        <is>
          <t>투자유가증권 취득</t>
        </is>
      </c>
      <c r="D263" s="20" t="n">
        <v>-299</v>
      </c>
      <c r="F263" s="20" t="n">
        <v>-299</v>
      </c>
      <c r="H263" s="20" t="n">
        <v>0</v>
      </c>
      <c r="J263" s="20" t="n">
        <v>-998</v>
      </c>
      <c r="L263" s="20" t="n">
        <v>-18</v>
      </c>
      <c r="N263" s="20" t="n">
        <v>-17</v>
      </c>
      <c r="O263" s="20" t="n">
        <v>-360.463</v>
      </c>
      <c r="P263" s="20" t="n">
        <v>-60.48</v>
      </c>
      <c r="Q263" s="20" t="n">
        <v>0</v>
      </c>
      <c r="R263" s="20" t="n">
        <v>-2697.869</v>
      </c>
      <c r="S263" s="20" t="n">
        <v>-420.01</v>
      </c>
      <c r="T263" s="20" t="n">
        <v>-4195</v>
      </c>
      <c r="U263" s="20" t="n">
        <v>-10</v>
      </c>
      <c r="V263" s="20" t="n">
        <v>-299</v>
      </c>
      <c r="W263" s="20" t="n">
        <v>-998</v>
      </c>
      <c r="X263" s="20" t="n">
        <v>-17</v>
      </c>
    </row>
    <row r="264">
      <c r="A264" s="18" t="inlineStr">
        <is>
          <t>투자유가증권 매각</t>
        </is>
      </c>
      <c r="D264" s="20" t="n">
        <v>0</v>
      </c>
      <c r="F264" s="20" t="n">
        <v>645</v>
      </c>
      <c r="H264" s="20" t="n">
        <v>54</v>
      </c>
      <c r="J264" s="20" t="n">
        <v>54</v>
      </c>
      <c r="L264" s="20" t="n">
        <v>0</v>
      </c>
      <c r="N264" s="20" t="n">
        <v>544</v>
      </c>
      <c r="P264" s="20" t="n">
        <v>0</v>
      </c>
      <c r="Q264" s="20" t="n">
        <v>0.5</v>
      </c>
      <c r="R264" s="20" t="n">
        <v>0</v>
      </c>
      <c r="T264" s="20" t="n">
        <v>0</v>
      </c>
      <c r="U264" s="20" t="n">
        <v>2490</v>
      </c>
      <c r="V264" s="20" t="n">
        <v>645</v>
      </c>
      <c r="W264" s="20" t="n">
        <v>54</v>
      </c>
      <c r="X264" s="20" t="n">
        <v>544</v>
      </c>
    </row>
    <row r="265">
      <c r="A265" s="18" t="inlineStr">
        <is>
          <t>출자금 납입</t>
        </is>
      </c>
      <c r="D265" s="20" t="n">
        <v>0</v>
      </c>
      <c r="F265" s="20" t="n">
        <v>0</v>
      </c>
      <c r="H265" s="20" t="n">
        <v>-376</v>
      </c>
      <c r="J265" s="20" t="n">
        <v>-376</v>
      </c>
      <c r="L265" s="20" t="n">
        <v>-5</v>
      </c>
      <c r="N265" s="20" t="n">
        <v>-6</v>
      </c>
      <c r="V265" s="20" t="n">
        <v>0</v>
      </c>
      <c r="W265" s="20" t="n">
        <v>-376</v>
      </c>
      <c r="X265" s="20" t="n">
        <v>-6</v>
      </c>
    </row>
    <row r="266">
      <c r="A266" s="18" t="inlineStr">
        <is>
          <t>관계회사 주식 취득</t>
        </is>
      </c>
      <c r="F266" s="20" t="n">
        <v>0</v>
      </c>
      <c r="J266" s="20" t="n">
        <v>-7668</v>
      </c>
      <c r="N266" s="20" t="n">
        <v>0</v>
      </c>
      <c r="V266" s="20" t="n">
        <v>0</v>
      </c>
      <c r="W266" s="20" t="n">
        <v>-7668</v>
      </c>
      <c r="X266" s="20" t="n">
        <v>0</v>
      </c>
    </row>
    <row r="267">
      <c r="A267" s="18" t="inlineStr">
        <is>
          <t>연결범위 변경 자회사 주식 취득</t>
        </is>
      </c>
      <c r="D267" s="20" t="n">
        <v>-4624</v>
      </c>
      <c r="F267" s="20" t="n">
        <v>-4624</v>
      </c>
      <c r="H267" s="20" t="n">
        <v>-272</v>
      </c>
      <c r="J267" s="20" t="n">
        <v>-1017</v>
      </c>
      <c r="L267" s="20" t="n">
        <v>-824</v>
      </c>
      <c r="N267" s="20" t="n">
        <v>-20982</v>
      </c>
      <c r="O267" s="20" t="n">
        <v>-547.0839999999999</v>
      </c>
      <c r="P267" s="20" t="n">
        <v>-1.829</v>
      </c>
      <c r="Q267" s="20" t="n">
        <v>-1059.733</v>
      </c>
      <c r="R267" s="20" t="n">
        <v>-2650.717</v>
      </c>
      <c r="S267" s="20" t="n">
        <v>-4511.712</v>
      </c>
      <c r="T267" s="20" t="n">
        <v>-52</v>
      </c>
      <c r="U267" s="20" t="n">
        <v>-2864</v>
      </c>
      <c r="V267" s="20" t="n">
        <v>-4624</v>
      </c>
      <c r="W267" s="20" t="n">
        <v>-1017</v>
      </c>
      <c r="X267" s="20" t="n">
        <v>-20982</v>
      </c>
    </row>
    <row r="268">
      <c r="A268" s="18" t="inlineStr">
        <is>
          <t>연결범위 변경 자회사 주식 취득(수입)</t>
        </is>
      </c>
      <c r="P268" s="20" t="n">
        <v>0</v>
      </c>
      <c r="Q268" s="20" t="n">
        <v>75.61</v>
      </c>
      <c r="R268" s="20" t="n">
        <v>0</v>
      </c>
    </row>
    <row r="269">
      <c r="A269" s="18" t="inlineStr">
        <is>
          <t>연결범위 변경 자회사 주식 매각(지출)</t>
        </is>
      </c>
      <c r="T269" s="20" t="n">
        <v>-19</v>
      </c>
      <c r="U269" s="20" t="n">
        <v>0</v>
      </c>
    </row>
    <row r="270">
      <c r="A270" s="18" t="inlineStr">
        <is>
          <t>임차보증금 납입</t>
        </is>
      </c>
      <c r="D270" s="20" t="n">
        <v>-18</v>
      </c>
      <c r="O270" s="20" t="n">
        <v>-15.197</v>
      </c>
      <c r="P270" s="20" t="n">
        <v>-173.68</v>
      </c>
      <c r="Q270" s="20" t="n">
        <v>-143.091</v>
      </c>
      <c r="R270" s="20" t="n">
        <v>-134.944</v>
      </c>
      <c r="S270" s="20" t="n">
        <v>-59.477</v>
      </c>
      <c r="T270" s="20" t="n">
        <v>-427</v>
      </c>
      <c r="U270" s="20" t="n">
        <v>-1184</v>
      </c>
    </row>
    <row r="271">
      <c r="A271" s="18" t="inlineStr">
        <is>
          <t>임차보증금 회수</t>
        </is>
      </c>
      <c r="D271" s="20" t="n">
        <v>386</v>
      </c>
      <c r="O271" s="20" t="n">
        <v>0.635</v>
      </c>
      <c r="P271" s="20" t="n">
        <v>1.319</v>
      </c>
      <c r="Q271" s="20" t="n">
        <v>6.954</v>
      </c>
      <c r="R271" s="20" t="n">
        <v>5.656</v>
      </c>
      <c r="S271" s="20" t="n">
        <v>11.652</v>
      </c>
      <c r="T271" s="20" t="n">
        <v>16</v>
      </c>
      <c r="U271" s="20" t="n">
        <v>15</v>
      </c>
    </row>
    <row r="272">
      <c r="A272" s="18" t="inlineStr">
        <is>
          <t>사업양수 지출</t>
        </is>
      </c>
      <c r="F272" s="20" t="n">
        <v>0</v>
      </c>
      <c r="S272" s="20" t="n">
        <v>0</v>
      </c>
      <c r="T272" s="20" t="n">
        <v>-260</v>
      </c>
      <c r="U272" s="20" t="n">
        <v>-1000</v>
      </c>
      <c r="V272" s="20" t="n">
        <v>0</v>
      </c>
    </row>
    <row r="273">
      <c r="A273" s="18" t="inlineStr">
        <is>
          <t>임차보증금·보증금 납입</t>
        </is>
      </c>
      <c r="D273" s="20" t="n">
        <v>-18</v>
      </c>
      <c r="F273" s="20" t="n">
        <v>-121</v>
      </c>
      <c r="H273" s="20" t="n">
        <v>-271</v>
      </c>
      <c r="J273" s="20" t="n">
        <v>-376</v>
      </c>
      <c r="L273" s="20" t="n">
        <v>-161</v>
      </c>
      <c r="N273" s="20" t="n">
        <v>-206</v>
      </c>
      <c r="U273" s="20" t="n">
        <v>-1184</v>
      </c>
      <c r="V273" s="20" t="n">
        <v>-121</v>
      </c>
      <c r="W273" s="20" t="n">
        <v>-376</v>
      </c>
      <c r="X273" s="20" t="n">
        <v>-206</v>
      </c>
    </row>
    <row r="274">
      <c r="A274" s="18" t="inlineStr">
        <is>
          <t>임차보증금·보증금 회수</t>
        </is>
      </c>
      <c r="D274" s="20" t="n">
        <v>386</v>
      </c>
      <c r="F274" s="20" t="n">
        <v>391</v>
      </c>
      <c r="H274" s="20" t="n">
        <v>18</v>
      </c>
      <c r="J274" s="20" t="n">
        <v>79</v>
      </c>
      <c r="L274" s="20" t="n">
        <v>24</v>
      </c>
      <c r="N274" s="20" t="n">
        <v>130</v>
      </c>
      <c r="U274" s="20" t="n">
        <v>15</v>
      </c>
      <c r="V274" s="20" t="n">
        <v>391</v>
      </c>
      <c r="W274" s="20" t="n">
        <v>79</v>
      </c>
      <c r="X274" s="20" t="n">
        <v>130</v>
      </c>
    </row>
    <row r="275">
      <c r="A275" s="18" t="inlineStr">
        <is>
          <t>기타</t>
        </is>
      </c>
      <c r="D275" s="20" t="n">
        <v>-70</v>
      </c>
      <c r="F275" s="20" t="n">
        <v>-388</v>
      </c>
      <c r="H275" s="20" t="n">
        <v>14</v>
      </c>
      <c r="J275" s="20" t="n">
        <v>66</v>
      </c>
      <c r="L275" s="20" t="n">
        <v>-107</v>
      </c>
      <c r="N275" s="20" t="n">
        <v>-174</v>
      </c>
      <c r="O275" s="20" t="n">
        <v>54.17</v>
      </c>
      <c r="P275" s="20" t="n">
        <v>13.548</v>
      </c>
      <c r="Q275" s="20" t="n">
        <v>208.248</v>
      </c>
      <c r="R275" s="20" t="n">
        <v>35.111</v>
      </c>
      <c r="S275" s="20" t="n">
        <v>-17.608</v>
      </c>
      <c r="T275" s="20" t="n">
        <v>1</v>
      </c>
      <c r="U275" s="20" t="n">
        <v>7</v>
      </c>
      <c r="V275" s="20" t="n">
        <v>-388</v>
      </c>
      <c r="W275" s="20" t="n">
        <v>66</v>
      </c>
      <c r="X275" s="20" t="n">
        <v>-174</v>
      </c>
    </row>
    <row r="276">
      <c r="A276" s="9" t="inlineStr">
        <is>
          <t>투자활동 현금흐름</t>
        </is>
      </c>
      <c r="D276" s="12" t="n">
        <v>-6826</v>
      </c>
      <c r="F276" s="12" t="n">
        <v>-9946</v>
      </c>
      <c r="H276" s="12" t="n">
        <v>-1465</v>
      </c>
      <c r="J276" s="12" t="n">
        <v>-11697</v>
      </c>
      <c r="L276" s="12" t="n">
        <v>-1808</v>
      </c>
      <c r="N276" s="12" t="n">
        <v>-22376</v>
      </c>
      <c r="O276" s="12" t="n">
        <v>-1255.466</v>
      </c>
      <c r="P276" s="12" t="n">
        <v>-272.13</v>
      </c>
      <c r="Q276" s="12" t="n">
        <v>-1152.505</v>
      </c>
      <c r="R276" s="12" t="n">
        <v>-5926.354</v>
      </c>
      <c r="S276" s="12" t="n">
        <v>-5432.861</v>
      </c>
      <c r="T276" s="12" t="n">
        <v>-5605</v>
      </c>
      <c r="U276" s="12" t="n">
        <v>-3802</v>
      </c>
      <c r="V276" s="12" t="n">
        <v>-9946</v>
      </c>
      <c r="W276" s="12" t="n">
        <v>-11697</v>
      </c>
      <c r="X276" s="12" t="n">
        <v>-22376</v>
      </c>
    </row>
    <row r="277">
      <c r="A277" s="18" t="inlineStr">
        <is>
          <t>단기차입금 순증감</t>
        </is>
      </c>
      <c r="D277" s="20" t="n">
        <v>3500</v>
      </c>
      <c r="F277" s="20" t="n">
        <v>-2420</v>
      </c>
      <c r="H277" s="20" t="n">
        <v>5600</v>
      </c>
      <c r="J277" s="20" t="n">
        <v>-231</v>
      </c>
      <c r="L277" s="20" t="n">
        <v>10000</v>
      </c>
      <c r="S277" s="20" t="n">
        <v>-25</v>
      </c>
      <c r="T277" s="20" t="n">
        <v>10</v>
      </c>
      <c r="U277" s="20" t="n">
        <v>2445</v>
      </c>
      <c r="V277" s="20" t="n">
        <v>-2420</v>
      </c>
      <c r="W277" s="20" t="n">
        <v>-231</v>
      </c>
    </row>
    <row r="278">
      <c r="A278" s="18" t="inlineStr">
        <is>
          <t>단기차입</t>
        </is>
      </c>
      <c r="J278" s="20" t="n">
        <v>160</v>
      </c>
      <c r="N278" s="20" t="n">
        <v>32700</v>
      </c>
      <c r="W278" s="20" t="n">
        <v>160</v>
      </c>
      <c r="X278" s="20" t="n">
        <v>32700</v>
      </c>
    </row>
    <row r="279">
      <c r="A279" s="18" t="inlineStr">
        <is>
          <t>단기차입금 상환</t>
        </is>
      </c>
      <c r="J279" s="20" t="n">
        <v>-391</v>
      </c>
      <c r="N279" s="20" t="n">
        <v>-32700</v>
      </c>
      <c r="W279" s="20" t="n">
        <v>-391</v>
      </c>
      <c r="X279" s="20" t="n">
        <v>-32700</v>
      </c>
    </row>
    <row r="280">
      <c r="A280" s="18" t="inlineStr">
        <is>
          <t>장기차입</t>
        </is>
      </c>
      <c r="D280" s="20" t="n">
        <v>5800</v>
      </c>
      <c r="F280" s="20" t="n">
        <v>9300</v>
      </c>
      <c r="H280" s="20" t="n">
        <v>0</v>
      </c>
      <c r="J280" s="20" t="n">
        <v>5000</v>
      </c>
      <c r="N280" s="20" t="n">
        <v>27400</v>
      </c>
      <c r="O280" s="20" t="n">
        <v>1400</v>
      </c>
      <c r="P280" s="20" t="n">
        <v>0</v>
      </c>
      <c r="Q280" s="20" t="n">
        <v>1550</v>
      </c>
      <c r="R280" s="20" t="n">
        <v>2600</v>
      </c>
      <c r="S280" s="20" t="n">
        <v>660.004</v>
      </c>
      <c r="T280" s="20" t="n">
        <v>1000</v>
      </c>
      <c r="U280" s="20" t="n">
        <v>0</v>
      </c>
      <c r="V280" s="20" t="n">
        <v>9300</v>
      </c>
      <c r="W280" s="20" t="n">
        <v>5000</v>
      </c>
      <c r="X280" s="20" t="n">
        <v>27400</v>
      </c>
    </row>
    <row r="281">
      <c r="A281" s="18" t="inlineStr">
        <is>
          <t>장기차입금 상환</t>
        </is>
      </c>
      <c r="D281" s="20" t="n">
        <v>-801</v>
      </c>
      <c r="F281" s="20" t="n">
        <v>-2275</v>
      </c>
      <c r="H281" s="20" t="n">
        <v>-1510</v>
      </c>
      <c r="J281" s="20" t="n">
        <v>-3029</v>
      </c>
      <c r="L281" s="20" t="n">
        <v>-1976</v>
      </c>
      <c r="N281" s="20" t="n">
        <v>-4723</v>
      </c>
      <c r="O281" s="20" t="n">
        <v>-204.761</v>
      </c>
      <c r="P281" s="20" t="n">
        <v>-342.883</v>
      </c>
      <c r="Q281" s="20" t="n">
        <v>-547.832</v>
      </c>
      <c r="R281" s="20" t="n">
        <v>-981.155</v>
      </c>
      <c r="S281" s="20" t="n">
        <v>-1157.917</v>
      </c>
      <c r="T281" s="20" t="n">
        <v>-1695</v>
      </c>
      <c r="U281" s="20" t="n">
        <v>-1252</v>
      </c>
      <c r="V281" s="20" t="n">
        <v>-2275</v>
      </c>
      <c r="W281" s="20" t="n">
        <v>-3029</v>
      </c>
      <c r="X281" s="20" t="n">
        <v>-4723</v>
      </c>
    </row>
    <row r="282">
      <c r="A282" s="18" t="inlineStr">
        <is>
          <t>주식 발행</t>
        </is>
      </c>
      <c r="D282" s="20" t="n">
        <v>1</v>
      </c>
      <c r="F282" s="20" t="n">
        <v>9</v>
      </c>
      <c r="H282" s="20" t="n">
        <v>0</v>
      </c>
      <c r="J282" s="20" t="n">
        <v>0</v>
      </c>
      <c r="O282" s="20" t="n">
        <v>6.8</v>
      </c>
      <c r="P282" s="20" t="n">
        <v>14.85</v>
      </c>
      <c r="Q282" s="20" t="n">
        <v>5320.148</v>
      </c>
      <c r="R282" s="20" t="n">
        <v>241.335</v>
      </c>
      <c r="S282" s="20" t="n">
        <v>9746.870000000001</v>
      </c>
      <c r="T282" s="20" t="n">
        <v>248</v>
      </c>
      <c r="U282" s="20" t="n">
        <v>3</v>
      </c>
      <c r="V282" s="20" t="n">
        <v>9</v>
      </c>
      <c r="W282" s="20" t="n">
        <v>0</v>
      </c>
    </row>
    <row r="283">
      <c r="A283" s="18" t="inlineStr">
        <is>
          <t>비지배주주 납입</t>
        </is>
      </c>
      <c r="J283" s="20" t="n">
        <v>0</v>
      </c>
      <c r="N283" s="20" t="n">
        <v>186</v>
      </c>
      <c r="O283" s="20" t="n">
        <v>7.07</v>
      </c>
      <c r="P283" s="20" t="n">
        <v>0</v>
      </c>
      <c r="W283" s="20" t="n">
        <v>0</v>
      </c>
      <c r="X283" s="20" t="n">
        <v>186</v>
      </c>
    </row>
    <row r="284">
      <c r="A284" s="18" t="inlineStr">
        <is>
          <t>금융리스부채 상환</t>
        </is>
      </c>
      <c r="H284" s="20" t="n">
        <v>-3</v>
      </c>
      <c r="J284" s="20" t="n">
        <v>-13</v>
      </c>
      <c r="L284" s="20" t="n">
        <v>-115</v>
      </c>
      <c r="N284" s="20" t="n">
        <v>-269</v>
      </c>
      <c r="W284" s="20" t="n">
        <v>-13</v>
      </c>
      <c r="X284" s="20" t="n">
        <v>-269</v>
      </c>
    </row>
    <row r="285">
      <c r="A285" s="18" t="inlineStr">
        <is>
          <t>자기주식 취득</t>
        </is>
      </c>
      <c r="D285" s="20" t="n">
        <v>-2</v>
      </c>
      <c r="F285" s="20" t="n">
        <v>-2</v>
      </c>
      <c r="H285" s="20" t="n">
        <v>-999</v>
      </c>
      <c r="J285" s="20" t="n">
        <v>-999</v>
      </c>
      <c r="L285" s="20" t="n">
        <v>-6547</v>
      </c>
      <c r="N285" s="20" t="n">
        <v>-6547</v>
      </c>
      <c r="O285" s="20" t="n">
        <v>-0.143</v>
      </c>
      <c r="P285" s="20" t="n">
        <v>0</v>
      </c>
      <c r="R285" s="20" t="n">
        <v>-0.555</v>
      </c>
      <c r="S285" s="20" t="n">
        <v>-930.967</v>
      </c>
      <c r="T285" s="20" t="n">
        <v>-1999</v>
      </c>
      <c r="U285" s="20" t="n">
        <v>-2001</v>
      </c>
      <c r="V285" s="20" t="n">
        <v>-2</v>
      </c>
      <c r="W285" s="20" t="n">
        <v>-999</v>
      </c>
      <c r="X285" s="20" t="n">
        <v>-6547</v>
      </c>
    </row>
    <row r="286">
      <c r="A286" s="18" t="inlineStr">
        <is>
          <t>연결범위 변경 없는 자회사 주식 취득</t>
        </is>
      </c>
      <c r="D286" s="20" t="n">
        <v>-434</v>
      </c>
      <c r="F286" s="20" t="n">
        <v>-434</v>
      </c>
      <c r="H286" s="20" t="n">
        <v>-1600</v>
      </c>
      <c r="J286" s="20" t="n">
        <v>-1900</v>
      </c>
      <c r="L286" s="20" t="n">
        <v>0</v>
      </c>
      <c r="N286" s="20" t="n">
        <v>0</v>
      </c>
      <c r="Q286" s="20" t="n">
        <v>0</v>
      </c>
      <c r="R286" s="20" t="n">
        <v>-316.049</v>
      </c>
      <c r="S286" s="20" t="n">
        <v>0</v>
      </c>
      <c r="T286" s="20" t="n">
        <v>-640</v>
      </c>
      <c r="U286" s="20" t="n">
        <v>-980</v>
      </c>
      <c r="V286" s="20" t="n">
        <v>-434</v>
      </c>
      <c r="W286" s="20" t="n">
        <v>-1900</v>
      </c>
      <c r="X286" s="20" t="n">
        <v>0</v>
      </c>
    </row>
    <row r="287">
      <c r="A287" s="18" t="inlineStr">
        <is>
          <t>기타</t>
        </is>
      </c>
      <c r="D287" s="20" t="n">
        <v>-9</v>
      </c>
      <c r="F287" s="20" t="n">
        <v>-22</v>
      </c>
      <c r="H287" s="20" t="n">
        <v>-7</v>
      </c>
      <c r="J287" s="20" t="n">
        <v>-18</v>
      </c>
      <c r="L287" s="20" t="n">
        <v>10</v>
      </c>
      <c r="N287" s="20" t="n">
        <v>-77</v>
      </c>
      <c r="O287" s="20" t="n">
        <v>-13.383</v>
      </c>
      <c r="P287" s="20" t="n">
        <v>-27.841</v>
      </c>
      <c r="Q287" s="20" t="n">
        <v>-74.42400000000001</v>
      </c>
      <c r="R287" s="20" t="n">
        <v>-32.651</v>
      </c>
      <c r="S287" s="20" t="n">
        <v>-6.821</v>
      </c>
      <c r="T287" s="20" t="n">
        <v>-6</v>
      </c>
      <c r="U287" s="20" t="n">
        <v>-10</v>
      </c>
      <c r="V287" s="20" t="n">
        <v>-22</v>
      </c>
      <c r="W287" s="20" t="n">
        <v>-18</v>
      </c>
      <c r="X287" s="20" t="n">
        <v>-77</v>
      </c>
    </row>
    <row r="288">
      <c r="A288" s="9" t="inlineStr">
        <is>
          <t>재무활동 현금흐름</t>
        </is>
      </c>
      <c r="D288" s="12" t="n">
        <v>8052</v>
      </c>
      <c r="F288" s="12" t="n">
        <v>4154</v>
      </c>
      <c r="H288" s="12" t="n">
        <v>1478</v>
      </c>
      <c r="J288" s="12" t="n">
        <v>-1192</v>
      </c>
      <c r="L288" s="12" t="n">
        <v>1371</v>
      </c>
      <c r="N288" s="12" t="n">
        <v>15967</v>
      </c>
      <c r="O288" s="12" t="n">
        <v>1195.581</v>
      </c>
      <c r="P288" s="12" t="n">
        <v>-355.875</v>
      </c>
      <c r="Q288" s="12" t="n">
        <v>6247.891</v>
      </c>
      <c r="R288" s="12" t="n">
        <v>1510.923</v>
      </c>
      <c r="S288" s="12" t="n">
        <v>8286.168</v>
      </c>
      <c r="T288" s="12" t="n">
        <v>-3082</v>
      </c>
      <c r="U288" s="12" t="n">
        <v>-1797</v>
      </c>
      <c r="V288" s="12" t="n">
        <v>4154</v>
      </c>
      <c r="W288" s="12" t="n">
        <v>-1192</v>
      </c>
      <c r="X288" s="12" t="n">
        <v>15967</v>
      </c>
    </row>
    <row r="289">
      <c r="A289" s="18" t="inlineStr">
        <is>
          <t>현금성자산 환산차이</t>
        </is>
      </c>
      <c r="D289" s="20" t="n">
        <v>-0</v>
      </c>
      <c r="F289" s="20" t="n">
        <v>-3</v>
      </c>
      <c r="H289" s="20" t="n">
        <v>0</v>
      </c>
      <c r="J289" s="20" t="n">
        <v>-5</v>
      </c>
      <c r="L289" s="20" t="n">
        <v>23</v>
      </c>
      <c r="N289" s="20" t="n">
        <v>19</v>
      </c>
      <c r="O289" s="20" t="n">
        <v>7.016</v>
      </c>
      <c r="P289" s="20" t="n">
        <v>2.218</v>
      </c>
      <c r="Q289" s="20" t="n">
        <v>-12.437</v>
      </c>
      <c r="R289" s="20" t="n">
        <v>-2.351</v>
      </c>
      <c r="S289" s="20" t="n">
        <v>12.159</v>
      </c>
      <c r="T289" s="20" t="n">
        <v>47</v>
      </c>
      <c r="U289" s="20" t="n">
        <v>3</v>
      </c>
      <c r="V289" s="20" t="n">
        <v>-3</v>
      </c>
      <c r="W289" s="20" t="n">
        <v>-5</v>
      </c>
      <c r="X289" s="20" t="n">
        <v>19</v>
      </c>
    </row>
    <row r="290">
      <c r="A290" s="18" t="inlineStr">
        <is>
          <t>현금성자산 증감</t>
        </is>
      </c>
      <c r="D290" s="20" t="n">
        <v>1772</v>
      </c>
      <c r="F290" s="20" t="n">
        <v>3292</v>
      </c>
      <c r="H290" s="20" t="n">
        <v>4056</v>
      </c>
      <c r="J290" s="20" t="n">
        <v>2755</v>
      </c>
      <c r="L290" s="20" t="n">
        <v>715</v>
      </c>
      <c r="N290" s="20" t="n">
        <v>7334</v>
      </c>
      <c r="O290" s="20" t="n">
        <v>341.372</v>
      </c>
      <c r="P290" s="20" t="n">
        <v>621.726</v>
      </c>
      <c r="Q290" s="20" t="n">
        <v>6216.822</v>
      </c>
      <c r="R290" s="20" t="n">
        <v>-2167.222</v>
      </c>
      <c r="S290" s="20" t="n">
        <v>7623.471</v>
      </c>
      <c r="T290" s="20" t="n">
        <v>-1248</v>
      </c>
      <c r="U290" s="20" t="n">
        <v>4652</v>
      </c>
      <c r="V290" s="20" t="n">
        <v>3292</v>
      </c>
      <c r="W290" s="20" t="n">
        <v>2755</v>
      </c>
      <c r="X290" s="20" t="n">
        <v>7334</v>
      </c>
    </row>
    <row r="291">
      <c r="A291" s="18" t="inlineStr">
        <is>
          <t>연결범위 변경에 따른 현금성자산 증감</t>
        </is>
      </c>
      <c r="O291" s="20" t="n">
        <v>0</v>
      </c>
      <c r="P291" s="20" t="n">
        <v>-124.354</v>
      </c>
      <c r="Q291" s="20" t="n">
        <v>0</v>
      </c>
      <c r="S291" s="20" t="n">
        <v>0</v>
      </c>
      <c r="T291" s="20" t="n">
        <v>-19.303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SHIFT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43123</v>
      </c>
      <c r="D5" s="12" t="n">
        <v>45092</v>
      </c>
      <c r="E5" s="12" t="n">
        <v>46993</v>
      </c>
      <c r="F5" s="12" t="n">
        <v>60424</v>
      </c>
      <c r="G5" s="12" t="n">
        <v>61300</v>
      </c>
      <c r="H5" s="11" t="n">
        <v>22423</v>
      </c>
      <c r="I5" s="12" t="n">
        <v>30513</v>
      </c>
      <c r="J5" s="12" t="n">
        <v>37022</v>
      </c>
      <c r="K5" s="12" t="n">
        <v>43123</v>
      </c>
      <c r="L5" s="12" t="n">
        <v>61300</v>
      </c>
    </row>
    <row r="6">
      <c r="A6" s="18" t="inlineStr">
        <is>
          <t>현금및현금성자산</t>
        </is>
      </c>
      <c r="B6" s="10" t="n"/>
      <c r="C6" s="19" t="n">
        <v>23726</v>
      </c>
      <c r="D6" s="20" t="n">
        <v>25318</v>
      </c>
      <c r="E6" s="20" t="n">
        <v>24440</v>
      </c>
      <c r="F6" s="20" t="n">
        <v>33751</v>
      </c>
      <c r="G6" s="20" t="n">
        <v>31097</v>
      </c>
      <c r="H6" s="19" t="n">
        <v>12921</v>
      </c>
      <c r="I6" s="20" t="n">
        <v>17591</v>
      </c>
      <c r="J6" s="20" t="n">
        <v>20869</v>
      </c>
      <c r="K6" s="20" t="n">
        <v>23726</v>
      </c>
      <c r="L6" s="20" t="n">
        <v>31097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15400</v>
      </c>
      <c r="D8" s="20" t="n">
        <v>15230</v>
      </c>
      <c r="E8" s="20" t="n">
        <v>17266</v>
      </c>
      <c r="F8" s="20" t="n">
        <v>20479</v>
      </c>
      <c r="G8" s="20" t="n">
        <v>24527</v>
      </c>
      <c r="H8" s="19" t="n">
        <v>7981</v>
      </c>
      <c r="I8" s="20" t="n">
        <v>11048</v>
      </c>
      <c r="J8" s="20" t="n">
        <v>13805</v>
      </c>
      <c r="K8" s="20" t="n">
        <v>15400</v>
      </c>
      <c r="L8" s="20" t="n">
        <v>24527</v>
      </c>
    </row>
    <row r="9">
      <c r="A9" s="18" t="inlineStr">
        <is>
          <t>재고자산</t>
        </is>
      </c>
      <c r="B9" s="10" t="n"/>
      <c r="C9" s="19" t="n">
        <v>1626</v>
      </c>
      <c r="D9" s="20" t="n">
        <v>2145</v>
      </c>
      <c r="E9" s="20" t="n">
        <v>2733</v>
      </c>
      <c r="F9" s="20" t="n">
        <v>1971</v>
      </c>
      <c r="G9" s="20" t="n">
        <v>1832</v>
      </c>
      <c r="H9" s="19" t="n">
        <v>799</v>
      </c>
      <c r="I9" s="20" t="n">
        <v>733</v>
      </c>
      <c r="J9" s="20" t="n">
        <v>977</v>
      </c>
      <c r="K9" s="20" t="n">
        <v>1626</v>
      </c>
      <c r="L9" s="20" t="n">
        <v>1832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33877</v>
      </c>
      <c r="D11" s="12" t="n">
        <v>34009</v>
      </c>
      <c r="E11" s="12" t="n">
        <v>33396</v>
      </c>
      <c r="F11" s="12" t="n">
        <v>44854</v>
      </c>
      <c r="G11" s="12" t="n">
        <v>48384</v>
      </c>
      <c r="H11" s="11" t="n">
        <v>17806</v>
      </c>
      <c r="I11" s="12" t="n">
        <v>19017</v>
      </c>
      <c r="J11" s="12" t="n">
        <v>25695</v>
      </c>
      <c r="K11" s="12" t="n">
        <v>33877</v>
      </c>
      <c r="L11" s="12" t="n">
        <v>48384</v>
      </c>
    </row>
    <row r="12">
      <c r="A12" s="18" t="inlineStr">
        <is>
          <t>유형자산</t>
        </is>
      </c>
      <c r="B12" s="10" t="n"/>
      <c r="C12" s="19" t="n">
        <v>7923</v>
      </c>
      <c r="D12" s="20" t="n">
        <v>8173</v>
      </c>
      <c r="E12" s="20" t="n">
        <v>8191</v>
      </c>
      <c r="F12" s="20" t="n">
        <v>8628</v>
      </c>
      <c r="G12" s="20" t="n">
        <v>8486</v>
      </c>
      <c r="H12" s="19" t="n">
        <v>1194</v>
      </c>
      <c r="I12" s="20" t="n">
        <v>1961</v>
      </c>
      <c r="J12" s="20" t="n">
        <v>6818</v>
      </c>
      <c r="K12" s="20" t="n">
        <v>7923</v>
      </c>
      <c r="L12" s="20" t="n">
        <v>8486</v>
      </c>
    </row>
    <row r="13">
      <c r="A13" s="18" t="inlineStr">
        <is>
          <t>무형자산</t>
        </is>
      </c>
      <c r="B13" s="10" t="n"/>
      <c r="C13" s="19" t="n">
        <v>12188</v>
      </c>
      <c r="D13" s="20" t="n">
        <v>11956</v>
      </c>
      <c r="E13" s="20" t="n">
        <v>11673</v>
      </c>
      <c r="F13" s="20" t="n">
        <v>24813</v>
      </c>
      <c r="G13" s="20" t="n">
        <v>27868</v>
      </c>
      <c r="H13" s="19" t="n">
        <v>7461</v>
      </c>
      <c r="I13" s="20" t="n">
        <v>10428</v>
      </c>
      <c r="J13" s="20" t="n">
        <v>13877</v>
      </c>
      <c r="K13" s="20" t="n">
        <v>12188</v>
      </c>
      <c r="L13" s="20" t="n">
        <v>27868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77001</v>
      </c>
      <c r="D16" s="12" t="n">
        <v>79102</v>
      </c>
      <c r="E16" s="12" t="n">
        <v>80389</v>
      </c>
      <c r="F16" s="12" t="n">
        <v>105279</v>
      </c>
      <c r="G16" s="12" t="n">
        <v>109685</v>
      </c>
      <c r="H16" s="11" t="n">
        <v>40230</v>
      </c>
      <c r="I16" s="12" t="n">
        <v>49530</v>
      </c>
      <c r="J16" s="12" t="n">
        <v>62717</v>
      </c>
      <c r="K16" s="12" t="n">
        <v>77001</v>
      </c>
      <c r="L16" s="12" t="n">
        <v>109685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25028</v>
      </c>
      <c r="D18" s="12" t="n">
        <v>26076</v>
      </c>
      <c r="E18" s="12" t="n">
        <v>32829</v>
      </c>
      <c r="F18" s="12" t="n">
        <v>49460</v>
      </c>
      <c r="G18" s="12" t="n">
        <v>33858</v>
      </c>
      <c r="H18" s="11" t="n">
        <v>11726</v>
      </c>
      <c r="I18" s="12" t="n">
        <v>18319</v>
      </c>
      <c r="J18" s="12" t="n">
        <v>19653</v>
      </c>
      <c r="K18" s="12" t="n">
        <v>25028</v>
      </c>
      <c r="L18" s="12" t="n">
        <v>33858</v>
      </c>
    </row>
    <row r="19">
      <c r="A19" s="18" t="inlineStr">
        <is>
          <t>매입채무</t>
        </is>
      </c>
      <c r="B19" s="10" t="n"/>
      <c r="C19" s="19" t="n">
        <v>2054</v>
      </c>
      <c r="D19" s="20" t="n">
        <v>1823</v>
      </c>
      <c r="E19" s="20" t="n">
        <v>1970</v>
      </c>
      <c r="F19" s="20" t="n">
        <v>3745</v>
      </c>
      <c r="G19" s="20" t="n">
        <v>3962</v>
      </c>
      <c r="H19" s="19" t="n">
        <v>1554</v>
      </c>
      <c r="I19" s="20" t="n">
        <v>1530</v>
      </c>
      <c r="J19" s="20" t="n">
        <v>1509</v>
      </c>
      <c r="K19" s="20" t="n">
        <v>2054</v>
      </c>
      <c r="L19" s="20" t="n">
        <v>3962</v>
      </c>
    </row>
    <row r="20">
      <c r="A20" s="18" t="inlineStr">
        <is>
          <t>단기차입금</t>
        </is>
      </c>
      <c r="B20" s="10" t="n"/>
      <c r="C20" s="19" t="n">
        <v>0</v>
      </c>
      <c r="D20" s="20" t="n">
        <v>4000</v>
      </c>
      <c r="E20" s="20" t="n">
        <v>10000</v>
      </c>
      <c r="F20" s="20" t="n">
        <v>18700</v>
      </c>
      <c r="G20" s="20" t="n"/>
      <c r="H20" s="19" t="n">
        <v>20</v>
      </c>
      <c r="I20" s="20" t="n">
        <v>2470</v>
      </c>
      <c r="J20" s="20" t="n">
        <v>50</v>
      </c>
      <c r="K20" s="20" t="n">
        <v>0</v>
      </c>
      <c r="L20" s="20" t="n"/>
    </row>
    <row r="21">
      <c r="A21" s="18" t="inlineStr">
        <is>
          <t>유동성장기부채</t>
        </is>
      </c>
      <c r="B21" s="10" t="n"/>
      <c r="C21" s="19" t="n">
        <v>3532</v>
      </c>
      <c r="D21" s="20" t="n">
        <v>3671</v>
      </c>
      <c r="E21" s="20" t="n">
        <v>3405</v>
      </c>
      <c r="F21" s="20" t="n">
        <v>4672</v>
      </c>
      <c r="G21" s="20" t="n">
        <v>7175</v>
      </c>
      <c r="H21" s="19" t="n">
        <v>1226</v>
      </c>
      <c r="I21" s="20" t="n">
        <v>1066</v>
      </c>
      <c r="J21" s="20" t="n">
        <v>2856</v>
      </c>
      <c r="K21" s="20" t="n">
        <v>3532</v>
      </c>
      <c r="L21" s="20" t="n">
        <v>7175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10935</v>
      </c>
      <c r="D23" s="12" t="n">
        <v>10162</v>
      </c>
      <c r="E23" s="12" t="n">
        <v>8985</v>
      </c>
      <c r="F23" s="12" t="n">
        <v>17184</v>
      </c>
      <c r="G23" s="12" t="n">
        <v>33628</v>
      </c>
      <c r="H23" s="11" t="n">
        <v>2496</v>
      </c>
      <c r="I23" s="12" t="n">
        <v>1632</v>
      </c>
      <c r="J23" s="12" t="n">
        <v>8542</v>
      </c>
      <c r="K23" s="12" t="n">
        <v>10935</v>
      </c>
      <c r="L23" s="12" t="n">
        <v>33628</v>
      </c>
    </row>
    <row r="24">
      <c r="A24" s="18" t="inlineStr">
        <is>
          <t>장기차입금</t>
        </is>
      </c>
      <c r="B24" s="10" t="n"/>
      <c r="C24" s="19" t="n">
        <v>8504</v>
      </c>
      <c r="D24" s="20" t="n">
        <v>7468</v>
      </c>
      <c r="E24" s="20" t="n">
        <v>6653</v>
      </c>
      <c r="F24" s="20" t="n">
        <v>11312</v>
      </c>
      <c r="G24" s="20" t="n">
        <v>27538</v>
      </c>
      <c r="H24" s="19" t="n">
        <v>2306</v>
      </c>
      <c r="I24" s="20" t="n">
        <v>1367</v>
      </c>
      <c r="J24" s="20" t="n">
        <v>6671</v>
      </c>
      <c r="K24" s="20" t="n">
        <v>8504</v>
      </c>
      <c r="L24" s="20" t="n">
        <v>27538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35963</v>
      </c>
      <c r="D27" s="12" t="n">
        <v>36239</v>
      </c>
      <c r="E27" s="12" t="n">
        <v>41815</v>
      </c>
      <c r="F27" s="12" t="n">
        <v>66644</v>
      </c>
      <c r="G27" s="12" t="n">
        <v>67487</v>
      </c>
      <c r="H27" s="11" t="n">
        <v>14222</v>
      </c>
      <c r="I27" s="12" t="n">
        <v>19951</v>
      </c>
      <c r="J27" s="12" t="n">
        <v>28195</v>
      </c>
      <c r="K27" s="12" t="n">
        <v>35963</v>
      </c>
      <c r="L27" s="12" t="n">
        <v>67487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41012</v>
      </c>
      <c r="D31" s="12" t="n">
        <v>42837</v>
      </c>
      <c r="E31" s="12" t="n">
        <v>38524</v>
      </c>
      <c r="F31" s="12" t="n">
        <v>38417</v>
      </c>
      <c r="G31" s="12" t="n">
        <v>42002</v>
      </c>
      <c r="H31" s="11" t="n">
        <v>25632</v>
      </c>
      <c r="I31" s="12" t="n">
        <v>29100</v>
      </c>
      <c r="J31" s="12" t="n">
        <v>34015</v>
      </c>
      <c r="K31" s="12" t="n">
        <v>41012</v>
      </c>
      <c r="L31" s="12" t="n">
        <v>42002</v>
      </c>
    </row>
    <row r="32">
      <c r="A32" s="18" t="inlineStr">
        <is>
          <t>자본금</t>
        </is>
      </c>
      <c r="B32" s="10" t="n"/>
      <c r="C32" s="19" t="n">
        <v>21</v>
      </c>
      <c r="D32" s="20" t="n">
        <v>21</v>
      </c>
      <c r="E32" s="20" t="n">
        <v>21</v>
      </c>
      <c r="F32" s="20" t="n">
        <v>21</v>
      </c>
      <c r="G32" s="20" t="n">
        <v>21</v>
      </c>
      <c r="H32" s="19" t="n">
        <v>77</v>
      </c>
      <c r="I32" s="20" t="n">
        <v>11</v>
      </c>
      <c r="J32" s="20" t="n">
        <v>21</v>
      </c>
      <c r="K32" s="20" t="n">
        <v>21</v>
      </c>
      <c r="L32" s="20" t="n">
        <v>21</v>
      </c>
    </row>
    <row r="33">
      <c r="A33" s="18" t="inlineStr">
        <is>
          <t>이익잉여금</t>
        </is>
      </c>
      <c r="B33" s="10" t="n"/>
      <c r="C33" s="19" t="n">
        <v>31964</v>
      </c>
      <c r="D33" s="20" t="n">
        <v>33759</v>
      </c>
      <c r="E33" s="20" t="n">
        <v>35976</v>
      </c>
      <c r="F33" s="20" t="n">
        <v>35943</v>
      </c>
      <c r="G33" s="20" t="n">
        <v>39394</v>
      </c>
      <c r="H33" s="19" t="n">
        <v>11655</v>
      </c>
      <c r="I33" s="20" t="n">
        <v>17901</v>
      </c>
      <c r="J33" s="20" t="n">
        <v>23029</v>
      </c>
      <c r="K33" s="20" t="n">
        <v>31964</v>
      </c>
      <c r="L33" s="20" t="n">
        <v>39394</v>
      </c>
    </row>
    <row r="34">
      <c r="A34" s="18" t="inlineStr">
        <is>
          <t>비지배지분</t>
        </is>
      </c>
      <c r="B34" s="10" t="n"/>
      <c r="C34" s="19" t="n">
        <v>0</v>
      </c>
      <c r="D34" s="20" t="n"/>
      <c r="E34" s="20" t="n"/>
      <c r="F34" s="20" t="n">
        <v>167</v>
      </c>
      <c r="G34" s="20" t="n">
        <v>145</v>
      </c>
      <c r="H34" s="19" t="n">
        <v>359</v>
      </c>
      <c r="I34" s="20" t="n">
        <v>451</v>
      </c>
      <c r="J34" s="20" t="n">
        <v>482</v>
      </c>
      <c r="K34" s="20" t="n">
        <v>0</v>
      </c>
      <c r="L34" s="20" t="n">
        <v>145</v>
      </c>
    </row>
    <row r="35">
      <c r="A35" s="9" t="inlineStr">
        <is>
          <t>자본총계</t>
        </is>
      </c>
      <c r="B35" s="10" t="n"/>
      <c r="C35" s="11" t="n">
        <v>41037</v>
      </c>
      <c r="D35" s="12" t="n">
        <v>42862</v>
      </c>
      <c r="E35" s="12" t="n">
        <v>38574</v>
      </c>
      <c r="F35" s="12" t="n">
        <v>38634</v>
      </c>
      <c r="G35" s="12" t="n">
        <v>42197</v>
      </c>
      <c r="H35" s="11" t="n">
        <v>26007</v>
      </c>
      <c r="I35" s="12" t="n">
        <v>29578</v>
      </c>
      <c r="J35" s="12" t="n">
        <v>34522</v>
      </c>
      <c r="K35" s="12" t="n">
        <v>41037</v>
      </c>
      <c r="L35" s="12" t="n">
        <v>42197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15652</v>
      </c>
      <c r="D37" s="12" t="n"/>
      <c r="E37" s="12" t="n">
        <v>12738</v>
      </c>
      <c r="F37" s="12" t="n"/>
      <c r="G37" s="12" t="n">
        <v>13723</v>
      </c>
      <c r="H37" s="11" t="n">
        <v>7392</v>
      </c>
      <c r="I37" s="12" t="n">
        <v>10248</v>
      </c>
      <c r="J37" s="12" t="n">
        <v>9088</v>
      </c>
      <c r="K37" s="12" t="n">
        <v>15652</v>
      </c>
      <c r="L37" s="12" t="n">
        <v>13723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1478</v>
      </c>
      <c r="D38" s="20" t="n"/>
      <c r="E38" s="20" t="n">
        <v>1555</v>
      </c>
      <c r="F38" s="20" t="n"/>
      <c r="G38" s="20" t="n">
        <v>1663</v>
      </c>
      <c r="H38" s="19" t="n">
        <v>768</v>
      </c>
      <c r="I38" s="20" t="n">
        <v>1256</v>
      </c>
      <c r="J38" s="20" t="n">
        <v>5711</v>
      </c>
      <c r="K38" s="20" t="n">
        <v>1478</v>
      </c>
      <c r="L38" s="20" t="n">
        <v>1663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IFERROR((IF(COUNT('연간'!G43:J43)&lt;4,"",SUM('연간'!G43:J43)))/(IF(COUNT('연간'!G65:J65)&lt;4,"",SUM('연간'!G65:J65))),"")</f>
        <v/>
      </c>
      <c r="D48" s="31">
        <f>IFERROR((IF(COUNT('연간'!H43:K43)&lt;4,"",SUM('연간'!H43:K43)))/(IF(COUNT('연간'!H65:K65)&lt;4,"",SUM('연간'!H65:K65))),"")</f>
        <v/>
      </c>
      <c r="E48" s="31">
        <f>IFERROR((IF(COUNT('연간'!I43:L43)&lt;4,"",SUM('연간'!I43:L43)))/(IF(COUNT('연간'!I65:L65)&lt;4,"",SUM('연간'!I65:L65))),"")</f>
        <v/>
      </c>
      <c r="F48" s="31">
        <f>IFERROR((IF(COUNT('연간'!J43:M43)&lt;4,"",SUM('연간'!J43:M43)))/(IF(COUNT('연간'!J65:M65)&lt;4,"",SUM('연간'!J65:M65))),"")</f>
        <v/>
      </c>
      <c r="G48" s="31">
        <f>IFERROR((IF(COUNT('연간'!K43:N43)&lt;4,"",SUM('연간'!K43:N43)))/(IF(COUNT('연간'!K65:N65)&lt;4,"",SUM('연간'!K65:N65))),"")</f>
        <v/>
      </c>
      <c r="H48" s="30">
        <f>IFERROR(('연간'!T43)/('연간'!T65),"")</f>
        <v/>
      </c>
      <c r="I48" s="31">
        <f>IFERROR(('연간'!U43)/('연간'!U65),"")</f>
        <v/>
      </c>
      <c r="J48" s="31">
        <f>IFERROR(('연간'!V43)/('연간'!V65),"")</f>
        <v/>
      </c>
      <c r="K48" s="31">
        <f>IFERROR(('연간'!W43)/('연간'!W65),"")</f>
        <v/>
      </c>
      <c r="L48" s="31">
        <f>IFERROR(('연간'!X43)/('연간'!X65),"")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IFERROR(IF((IF(COUNT('연간'!G71:J71)&lt;4,"",SUM('연간'!G71:J71)))&lt;=0,"적자",C28/(IF(COUNT('연간'!G71:J71)&lt;4,"",SUM('연간'!G71:J71)))),"")</f>
        <v/>
      </c>
      <c r="D49" s="47">
        <f>IFERROR(IF((IF(COUNT('연간'!H71:K71)&lt;4,"",SUM('연간'!H71:K71)))&lt;=0,"적자",D28/(IF(COUNT('연간'!H71:K71)&lt;4,"",SUM('연간'!H71:K71)))),"")</f>
        <v/>
      </c>
      <c r="E49" s="47">
        <f>IFERROR(IF((IF(COUNT('연간'!I71:L71)&lt;4,"",SUM('연간'!I71:L71)))&lt;=0,"적자",E28/(IF(COUNT('연간'!I71:L71)&lt;4,"",SUM('연간'!I71:L71)))),"")</f>
        <v/>
      </c>
      <c r="F49" s="47">
        <f>IFERROR(IF((IF(COUNT('연간'!J71:M71)&lt;4,"",SUM('연간'!J71:M71)))&lt;=0,"적자",F28/(IF(COUNT('연간'!J71:M71)&lt;4,"",SUM('연간'!J71:M71)))),"")</f>
        <v/>
      </c>
      <c r="G49" s="47">
        <f>IFERROR(IF((IF(COUNT('연간'!K71:N71)&lt;4,"",SUM('연간'!K71:N71)))&lt;=0,"적자",G28/(IF(COUNT('연간'!K71:N71)&lt;4,"",SUM('연간'!K71:N71)))),"")</f>
        <v/>
      </c>
      <c r="H49" s="46">
        <f>IFERROR(IF(('연간'!T71)&lt;=0,"적자",H28/('연간'!T71)),"")</f>
        <v/>
      </c>
      <c r="I49" s="47">
        <f>IFERROR(IF(('연간'!U71)&lt;=0,"적자",I28/('연간'!U71)),"")</f>
        <v/>
      </c>
      <c r="J49" s="47">
        <f>IFERROR(IF(('연간'!V71)&lt;=0,"적자",J28/('연간'!V71)),"")</f>
        <v/>
      </c>
      <c r="K49" s="47">
        <f>IFERROR(IF(('연간'!W71)&lt;=0,"적자",K28/('연간'!W71)),"")</f>
        <v/>
      </c>
      <c r="L49" s="47">
        <f>IFERROR(IF(('연간'!X71)&lt;=0,"적자",L28/('연간'!X71)),"")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IFERROR((IF(COUNT('연간'!G71:J71)&lt;4,"",SUM('연간'!G71:J71)))/C31,"")</f>
        <v/>
      </c>
      <c r="D51" s="36">
        <f>IFERROR((IF(COUNT('연간'!H71:K71)&lt;4,"",SUM('연간'!H71:K71)))/D31,"")</f>
        <v/>
      </c>
      <c r="E51" s="36">
        <f>IFERROR((IF(COUNT('연간'!I71:L71)&lt;4,"",SUM('연간'!I71:L71)))/E31,"")</f>
        <v/>
      </c>
      <c r="F51" s="36">
        <f>IFERROR((IF(COUNT('연간'!J71:M71)&lt;4,"",SUM('연간'!J71:M71)))/F31,"")</f>
        <v/>
      </c>
      <c r="G51" s="36">
        <f>IFERROR((IF(COUNT('연간'!K71:N71)&lt;4,"",SUM('연간'!K71:N71)))/G31,"")</f>
        <v/>
      </c>
      <c r="H51" s="35">
        <f>IFERROR(('연간'!T71)/H31,"")</f>
        <v/>
      </c>
      <c r="I51" s="36">
        <f>IFERROR(('연간'!U71)/I31,"")</f>
        <v/>
      </c>
      <c r="J51" s="36">
        <f>IFERROR(('연간'!V71)/J31,"")</f>
        <v/>
      </c>
      <c r="K51" s="36">
        <f>IFERROR(('연간'!W71)/K31,"")</f>
        <v/>
      </c>
      <c r="L51" s="36">
        <f>IFERROR(('연간'!X71)/L31,"")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IFERROR((IF(COUNT('연간'!G70:J70)&lt;4,"",SUM('연간'!G70:J70)))/C16,"")</f>
        <v/>
      </c>
      <c r="D52" s="36">
        <f>IFERROR((IF(COUNT('연간'!H70:K70)&lt;4,"",SUM('연간'!H70:K70)))/D16,"")</f>
        <v/>
      </c>
      <c r="E52" s="36">
        <f>IFERROR((IF(COUNT('연간'!I70:L70)&lt;4,"",SUM('연간'!I70:L70)))/E16,"")</f>
        <v/>
      </c>
      <c r="F52" s="36">
        <f>IFERROR((IF(COUNT('연간'!J70:M70)&lt;4,"",SUM('연간'!J70:M70)))/F16,"")</f>
        <v/>
      </c>
      <c r="G52" s="36">
        <f>IFERROR((IF(COUNT('연간'!K70:N70)&lt;4,"",SUM('연간'!K70:N70)))/G16,"")</f>
        <v/>
      </c>
      <c r="H52" s="35">
        <f>IFERROR(('연간'!T70)/H16,"")</f>
        <v/>
      </c>
      <c r="I52" s="36">
        <f>IFERROR(('연간'!U70)/I16,"")</f>
        <v/>
      </c>
      <c r="J52" s="36">
        <f>IFERROR(('연간'!V70)/J16,"")</f>
        <v/>
      </c>
      <c r="K52" s="36">
        <f>IFERROR(('연간'!W70)/K16,"")</f>
        <v/>
      </c>
      <c r="L52" s="36">
        <f>IFERROR(('연간'!X70)/L16,"")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IFERROR((IF(COUNT('연간'!G43:J43)&lt;4,"",SUM('연간'!G43:J43)))*(1-0.3)/(C35+C29),"")</f>
        <v/>
      </c>
      <c r="D53" s="36">
        <f>IFERROR((IF(COUNT('연간'!H43:K43)&lt;4,"",SUM('연간'!H43:K43)))*(1-0.3)/(D35+D29),"")</f>
        <v/>
      </c>
      <c r="E53" s="36">
        <f>IFERROR((IF(COUNT('연간'!I43:L43)&lt;4,"",SUM('연간'!I43:L43)))*(1-0.3)/(E35+E29),"")</f>
        <v/>
      </c>
      <c r="F53" s="36">
        <f>IFERROR((IF(COUNT('연간'!J43:M43)&lt;4,"",SUM('연간'!J43:M43)))*(1-0.3)/(F35+F29),"")</f>
        <v/>
      </c>
      <c r="G53" s="36">
        <f>IFERROR((IF(COUNT('연간'!K43:N43)&lt;4,"",SUM('연간'!K43:N43)))*(1-0.3)/(G35+G29),"")</f>
        <v/>
      </c>
      <c r="H53" s="35">
        <f>IFERROR(('연간'!T43)*(1-0.3)/(H35+H29),"")</f>
        <v/>
      </c>
      <c r="I53" s="36">
        <f>IFERROR(('연간'!U43)*(1-0.3)/(I35+I29),"")</f>
        <v/>
      </c>
      <c r="J53" s="36">
        <f>IFERROR(('연간'!V43)*(1-0.3)/(J35+J29),"")</f>
        <v/>
      </c>
      <c r="K53" s="36">
        <f>IFERROR(('연간'!W43)*(1-0.3)/(K35+K29),"")</f>
        <v/>
      </c>
      <c r="L53" s="36">
        <f>IFERROR(('연간'!X43)*(1-0.3)/(L35+L29),"")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IFERROR((IF(COUNT('연간'!G39:J39)&lt;4,"",SUM('연간'!G39:J39)))/(IF(COUNT('연간'!G4:J4)&lt;4,"",SUM('연간'!G4:J4))),"")</f>
        <v/>
      </c>
      <c r="D54" s="36">
        <f>IFERROR((IF(COUNT('연간'!H39:K39)&lt;4,"",SUM('연간'!H39:K39)))/(IF(COUNT('연간'!H4:K4)&lt;4,"",SUM('연간'!H4:K4))),"")</f>
        <v/>
      </c>
      <c r="E54" s="36">
        <f>IFERROR((IF(COUNT('연간'!I39:L39)&lt;4,"",SUM('연간'!I39:L39)))/(IF(COUNT('연간'!I4:L4)&lt;4,"",SUM('연간'!I4:L4))),"")</f>
        <v/>
      </c>
      <c r="F54" s="36">
        <f>IFERROR((IF(COUNT('연간'!J39:M39)&lt;4,"",SUM('연간'!J39:M39)))/(IF(COUNT('연간'!J4:M4)&lt;4,"",SUM('연간'!J4:M4))),"")</f>
        <v/>
      </c>
      <c r="G54" s="36">
        <f>IFERROR((IF(COUNT('연간'!K39:N39)&lt;4,"",SUM('연간'!K39:N39)))/(IF(COUNT('연간'!K4:N4)&lt;4,"",SUM('연간'!K4:N4))),"")</f>
        <v/>
      </c>
      <c r="H54" s="35">
        <f>IFERROR(('연간'!T39)/('연간'!T4),"")</f>
        <v/>
      </c>
      <c r="I54" s="36">
        <f>IFERROR(('연간'!U39)/('연간'!U4),"")</f>
        <v/>
      </c>
      <c r="J54" s="36">
        <f>IFERROR(('연간'!V39)/('연간'!V4),"")</f>
        <v/>
      </c>
      <c r="K54" s="36">
        <f>IFERROR(('연간'!W39)/('연간'!W4),"")</f>
        <v/>
      </c>
      <c r="L54" s="36">
        <f>IFERROR(('연간'!X39)/('연간'!X4),"")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IFERROR((IF(COUNT('연간'!G43:J43)&lt;4,"",SUM('연간'!G43:J43)))/(IF(COUNT('연간'!G4:J4)&lt;4,"",SUM('연간'!G4:J4))),"")</f>
        <v/>
      </c>
      <c r="D55" s="36">
        <f>IFERROR((IF(COUNT('연간'!H43:K43)&lt;4,"",SUM('연간'!H43:K43)))/(IF(COUNT('연간'!H4:K4)&lt;4,"",SUM('연간'!H4:K4))),"")</f>
        <v/>
      </c>
      <c r="E55" s="36">
        <f>IFERROR((IF(COUNT('연간'!I43:L43)&lt;4,"",SUM('연간'!I43:L43)))/(IF(COUNT('연간'!I4:L4)&lt;4,"",SUM('연간'!I4:L4))),"")</f>
        <v/>
      </c>
      <c r="F55" s="36">
        <f>IFERROR((IF(COUNT('연간'!J43:M43)&lt;4,"",SUM('연간'!J43:M43)))/(IF(COUNT('연간'!J4:M4)&lt;4,"",SUM('연간'!J4:M4))),"")</f>
        <v/>
      </c>
      <c r="G55" s="36">
        <f>IFERROR((IF(COUNT('연간'!K43:N43)&lt;4,"",SUM('연간'!K43:N43)))/(IF(COUNT('연간'!K4:N4)&lt;4,"",SUM('연간'!K4:N4))),"")</f>
        <v/>
      </c>
      <c r="H55" s="35">
        <f>IFERROR(('연간'!T43)/('연간'!T4),"")</f>
        <v/>
      </c>
      <c r="I55" s="36">
        <f>IFERROR(('연간'!U43)/('연간'!U4),"")</f>
        <v/>
      </c>
      <c r="J55" s="36">
        <f>IFERROR(('연간'!V43)/('연간'!V4),"")</f>
        <v/>
      </c>
      <c r="K55" s="36">
        <f>IFERROR(('연간'!W43)/('연간'!W4),"")</f>
        <v/>
      </c>
      <c r="L55" s="36">
        <f>IFERROR(('연간'!X43)/('연간'!X4),"")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IFERROR((IF(COUNT('연간'!G70:J70)&lt;4,"",SUM('연간'!G70:J70)))/(IF(COUNT('연간'!G4:J4)&lt;4,"",SUM('연간'!G4:J4))),"")</f>
        <v/>
      </c>
      <c r="D56" s="36">
        <f>IFERROR((IF(COUNT('연간'!H70:K70)&lt;4,"",SUM('연간'!H70:K70)))/(IF(COUNT('연간'!H4:K4)&lt;4,"",SUM('연간'!H4:K4))),"")</f>
        <v/>
      </c>
      <c r="E56" s="36">
        <f>IFERROR((IF(COUNT('연간'!I70:L70)&lt;4,"",SUM('연간'!I70:L70)))/(IF(COUNT('연간'!I4:L4)&lt;4,"",SUM('연간'!I4:L4))),"")</f>
        <v/>
      </c>
      <c r="F56" s="36">
        <f>IFERROR((IF(COUNT('연간'!J70:M70)&lt;4,"",SUM('연간'!J70:M70)))/(IF(COUNT('연간'!J4:M4)&lt;4,"",SUM('연간'!J4:M4))),"")</f>
        <v/>
      </c>
      <c r="G56" s="36">
        <f>IFERROR((IF(COUNT('연간'!K70:N70)&lt;4,"",SUM('연간'!K70:N70)))/(IF(COUNT('연간'!K4:N4)&lt;4,"",SUM('연간'!K4:N4))),"")</f>
        <v/>
      </c>
      <c r="H56" s="35">
        <f>IFERROR(('연간'!T70)/('연간'!T4),"")</f>
        <v/>
      </c>
      <c r="I56" s="36">
        <f>IFERROR(('연간'!U70)/('연간'!U4),"")</f>
        <v/>
      </c>
      <c r="J56" s="36">
        <f>IFERROR(('연간'!V70)/('연간'!V4),"")</f>
        <v/>
      </c>
      <c r="K56" s="36">
        <f>IFERROR(('연간'!W70)/('연간'!W4),"")</f>
        <v/>
      </c>
      <c r="L56" s="36">
        <f>IFERROR(('연간'!X70)/('연간'!X4),"")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IFERROR(C9/(IF(COUNT('연간'!G38:J38)&lt;4,"",SUM('연간'!G38:J38)))*365,"")</f>
        <v/>
      </c>
      <c r="D60" s="49">
        <f>IFERROR(D9/(IF(COUNT('연간'!H38:K38)&lt;4,"",SUM('연간'!H38:K38)))*365,"")</f>
        <v/>
      </c>
      <c r="E60" s="49">
        <f>IFERROR(E9/(IF(COUNT('연간'!I38:L38)&lt;4,"",SUM('연간'!I38:L38)))*365,"")</f>
        <v/>
      </c>
      <c r="F60" s="49">
        <f>IFERROR(F9/(IF(COUNT('연간'!J38:M38)&lt;4,"",SUM('연간'!J38:M38)))*365,"")</f>
        <v/>
      </c>
      <c r="G60" s="49">
        <f>IFERROR(G9/(IF(COUNT('연간'!K38:N38)&lt;4,"",SUM('연간'!K38:N38)))*365,"")</f>
        <v/>
      </c>
      <c r="H60" s="48">
        <f>IFERROR(H9/('연간'!T38)*365,"")</f>
        <v/>
      </c>
      <c r="I60" s="49">
        <f>IFERROR(I9/('연간'!U38)*365,"")</f>
        <v/>
      </c>
      <c r="J60" s="49">
        <f>IFERROR(J9/('연간'!V38)*365,"")</f>
        <v/>
      </c>
      <c r="K60" s="49">
        <f>IFERROR(K9/('연간'!W38)*365,"")</f>
        <v/>
      </c>
      <c r="L60" s="49">
        <f>IFERROR(L9/('연간'!X38)*365,"")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IFERROR(C19/(IF(COUNT('연간'!G38:J38)&lt;4,"",SUM('연간'!G38:J38)))*365,"")</f>
        <v/>
      </c>
      <c r="D61" s="49">
        <f>IFERROR(D19/(IF(COUNT('연간'!H38:K38)&lt;4,"",SUM('연간'!H38:K38)))*365,"")</f>
        <v/>
      </c>
      <c r="E61" s="49">
        <f>IFERROR(E19/(IF(COUNT('연간'!I38:L38)&lt;4,"",SUM('연간'!I38:L38)))*365,"")</f>
        <v/>
      </c>
      <c r="F61" s="49">
        <f>IFERROR(F19/(IF(COUNT('연간'!J38:M38)&lt;4,"",SUM('연간'!J38:M38)))*365,"")</f>
        <v/>
      </c>
      <c r="G61" s="49">
        <f>IFERROR(G19/(IF(COUNT('연간'!K38:N38)&lt;4,"",SUM('연간'!K38:N38)))*365,"")</f>
        <v/>
      </c>
      <c r="H61" s="48">
        <f>IFERROR(H19/('연간'!T38)*365,"")</f>
        <v/>
      </c>
      <c r="I61" s="49">
        <f>IFERROR(I19/('연간'!U38)*365,"")</f>
        <v/>
      </c>
      <c r="J61" s="49">
        <f>IFERROR(J19/('연간'!V38)*365,"")</f>
        <v/>
      </c>
      <c r="K61" s="49">
        <f>IFERROR(K19/('연간'!W38)*365,"")</f>
        <v/>
      </c>
      <c r="L61" s="49">
        <f>IFERROR(L19/('연간'!X38)*365,"")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IF(C37="","",IFERROR(C37/(IF(COUNT('연간'!G70:J70)&lt;4,"",SUM('연간'!G70:J70))),""))</f>
        <v/>
      </c>
      <c r="D64" s="31">
        <f>IF(D37="","",IFERROR(D37/(IF(COUNT('연간'!H70:K70)&lt;4,"",SUM('연간'!H70:K70))),""))</f>
        <v/>
      </c>
      <c r="E64" s="31">
        <f>IF(E37="","",IFERROR(E37/(IF(COUNT('연간'!I70:L70)&lt;4,"",SUM('연간'!I70:L70))),""))</f>
        <v/>
      </c>
      <c r="F64" s="31">
        <f>IF(F37="","",IFERROR(F37/(IF(COUNT('연간'!J70:M70)&lt;4,"",SUM('연간'!J70:M70))),""))</f>
        <v/>
      </c>
      <c r="G64" s="31">
        <f>IF(G37="","",IFERROR(G37/(IF(COUNT('연간'!K70:N70)&lt;4,"",SUM('연간'!K70:N70))),""))</f>
        <v/>
      </c>
      <c r="H64" s="30">
        <f>IF(H37="","",IFERROR(H37/('연간'!T70),""))</f>
        <v/>
      </c>
      <c r="I64" s="31">
        <f>IF(I37="","",IFERROR(I37/('연간'!U70),""))</f>
        <v/>
      </c>
      <c r="J64" s="31">
        <f>IF(J37="","",IFERROR(J37/('연간'!V70),""))</f>
        <v/>
      </c>
      <c r="K64" s="31">
        <f>IF(K37="","",IFERROR(K37/('연간'!W70),""))</f>
        <v/>
      </c>
      <c r="L64" s="31">
        <f>IF(L37="","",IFERROR(L37/('연간'!X70),""))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IF(C40="","",IFERROR(C40/(IF(COUNT('연간'!G71:J71)&lt;4,"",SUM('연간'!G71:J71))),""))</f>
        <v/>
      </c>
      <c r="D67" s="36">
        <f>IF(D40="","",IFERROR(D40/(IF(COUNT('연간'!H71:K71)&lt;4,"",SUM('연간'!H71:K71))),""))</f>
        <v/>
      </c>
      <c r="E67" s="36">
        <f>IF(E40="","",IFERROR(E40/(IF(COUNT('연간'!I71:L71)&lt;4,"",SUM('연간'!I71:L71))),""))</f>
        <v/>
      </c>
      <c r="F67" s="36">
        <f>IF(F40="","",IFERROR(F40/(IF(COUNT('연간'!J71:M71)&lt;4,"",SUM('연간'!J71:M71))),""))</f>
        <v/>
      </c>
      <c r="G67" s="36">
        <f>IF(G40="","",IFERROR(G40/(IF(COUNT('연간'!K71:N71)&lt;4,"",SUM('연간'!K71:N71))),""))</f>
        <v/>
      </c>
      <c r="H67" s="35">
        <f>IF(H40="","",IFERROR(H40/('연간'!T71),""))</f>
        <v/>
      </c>
      <c r="I67" s="36">
        <f>IF(I40="","",IFERROR(I40/('연간'!U71),""))</f>
        <v/>
      </c>
      <c r="J67" s="36">
        <f>IF(J40="","",IFERROR(J40/('연간'!V71),""))</f>
        <v/>
      </c>
      <c r="K67" s="36">
        <f>IF(K40="","",IFERROR(K40/('연간'!W71),""))</f>
        <v/>
      </c>
      <c r="L67" s="36">
        <f>IF(L40="","",IFERROR(L40/('연간'!X71),""))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23726</v>
      </c>
      <c r="D71" s="20" t="n">
        <v>25318</v>
      </c>
      <c r="E71" s="20" t="n">
        <v>24440</v>
      </c>
      <c r="F71" s="20" t="n">
        <v>33751</v>
      </c>
      <c r="G71" s="20" t="n">
        <v>31097</v>
      </c>
      <c r="H71" s="20" t="n">
        <v>12921</v>
      </c>
      <c r="I71" s="20" t="n">
        <v>17591</v>
      </c>
      <c r="J71" s="20" t="n">
        <v>20869</v>
      </c>
      <c r="K71" s="20" t="n">
        <v>23726</v>
      </c>
      <c r="L71" s="20" t="n">
        <v>31097</v>
      </c>
    </row>
    <row r="72">
      <c r="A72" s="18" t="inlineStr">
        <is>
          <t>매출채권</t>
        </is>
      </c>
      <c r="H72" s="20" t="n">
        <v>0</v>
      </c>
    </row>
    <row r="73">
      <c r="A73" s="18" t="inlineStr">
        <is>
          <t>매출채권·계약자산</t>
        </is>
      </c>
      <c r="H73" s="20" t="n">
        <v>7981</v>
      </c>
    </row>
    <row r="74">
      <c r="A74" s="18" t="inlineStr">
        <is>
          <t>매출채권·계약자산</t>
        </is>
      </c>
      <c r="H74" s="20" t="n">
        <v>7981</v>
      </c>
    </row>
    <row r="75">
      <c r="A75" s="18" t="inlineStr">
        <is>
          <t>매출채권·계약자산</t>
        </is>
      </c>
      <c r="H75" s="20" t="n">
        <v>7981</v>
      </c>
    </row>
    <row r="76">
      <c r="A76" s="18" t="inlineStr">
        <is>
          <t>받을어음·매출채권·계약자산</t>
        </is>
      </c>
      <c r="C76" s="20" t="n">
        <v>15400</v>
      </c>
      <c r="D76" s="20" t="n">
        <v>15230</v>
      </c>
      <c r="E76" s="20" t="n">
        <v>17266</v>
      </c>
      <c r="F76" s="20" t="n">
        <v>20479</v>
      </c>
      <c r="G76" s="20" t="n">
        <v>24527</v>
      </c>
      <c r="H76" s="20" t="n">
        <v>7981</v>
      </c>
      <c r="I76" s="20" t="n">
        <v>11048</v>
      </c>
      <c r="J76" s="20" t="n">
        <v>13805</v>
      </c>
      <c r="K76" s="20" t="n">
        <v>15400</v>
      </c>
      <c r="L76" s="20" t="n">
        <v>24527</v>
      </c>
    </row>
    <row r="77">
      <c r="A77" s="18" t="inlineStr">
        <is>
          <t>재고자산</t>
        </is>
      </c>
      <c r="C77" s="20" t="n">
        <v>1626</v>
      </c>
      <c r="D77" s="20" t="n">
        <v>2145</v>
      </c>
      <c r="E77" s="20" t="n">
        <v>2733</v>
      </c>
      <c r="F77" s="20" t="n">
        <v>1971</v>
      </c>
      <c r="G77" s="20" t="n">
        <v>1832</v>
      </c>
      <c r="H77" s="20" t="n">
        <v>799</v>
      </c>
      <c r="I77" s="20" t="n">
        <v>733</v>
      </c>
      <c r="J77" s="20" t="n">
        <v>977</v>
      </c>
      <c r="K77" s="20" t="n">
        <v>1626</v>
      </c>
      <c r="L77" s="20" t="n">
        <v>1832</v>
      </c>
    </row>
    <row r="78">
      <c r="A78" s="18" t="inlineStr">
        <is>
          <t>기타</t>
        </is>
      </c>
      <c r="C78" s="20" t="n">
        <v>2390</v>
      </c>
      <c r="D78" s="20" t="n">
        <v>2455</v>
      </c>
      <c r="E78" s="20" t="n">
        <v>2611</v>
      </c>
      <c r="F78" s="20" t="n">
        <v>4253</v>
      </c>
      <c r="G78" s="20" t="n">
        <v>3868</v>
      </c>
      <c r="H78" s="20" t="n">
        <v>723</v>
      </c>
      <c r="I78" s="20" t="n">
        <v>1149</v>
      </c>
      <c r="J78" s="20" t="n">
        <v>1382</v>
      </c>
      <c r="K78" s="20" t="n">
        <v>2390</v>
      </c>
      <c r="L78" s="20" t="n">
        <v>3868</v>
      </c>
    </row>
    <row r="79">
      <c r="A79" s="18" t="inlineStr">
        <is>
          <t>대손충당금</t>
        </is>
      </c>
      <c r="C79" s="20" t="n">
        <v>-20</v>
      </c>
      <c r="D79" s="20" t="n">
        <v>-55</v>
      </c>
      <c r="E79" s="20" t="n">
        <v>-58</v>
      </c>
      <c r="F79" s="20" t="n">
        <v>-32</v>
      </c>
      <c r="G79" s="20" t="n">
        <v>-25</v>
      </c>
      <c r="H79" s="20" t="n">
        <v>-2</v>
      </c>
      <c r="I79" s="20" t="n">
        <v>-9</v>
      </c>
      <c r="J79" s="20" t="n">
        <v>-13</v>
      </c>
      <c r="K79" s="20" t="n">
        <v>-20</v>
      </c>
      <c r="L79" s="20" t="n">
        <v>-25</v>
      </c>
    </row>
    <row r="80">
      <c r="A80" s="9" t="inlineStr">
        <is>
          <t>유동자산 합계</t>
        </is>
      </c>
      <c r="C80" s="12" t="n">
        <v>43123</v>
      </c>
      <c r="D80" s="12" t="n">
        <v>45092</v>
      </c>
      <c r="E80" s="12" t="n">
        <v>46993</v>
      </c>
      <c r="F80" s="12" t="n">
        <v>60424</v>
      </c>
      <c r="G80" s="12" t="n">
        <v>61300</v>
      </c>
      <c r="H80" s="12" t="n">
        <v>22423</v>
      </c>
      <c r="I80" s="12" t="n">
        <v>30513</v>
      </c>
      <c r="J80" s="12" t="n">
        <v>37022</v>
      </c>
      <c r="K80" s="12" t="n">
        <v>43123</v>
      </c>
      <c r="L80" s="12" t="n">
        <v>61300</v>
      </c>
    </row>
    <row r="81">
      <c r="A81" s="18" t="inlineStr">
        <is>
          <t>건물(순액)</t>
        </is>
      </c>
      <c r="H81" s="20" t="n">
        <v>320</v>
      </c>
      <c r="I81" s="20" t="n">
        <v>625</v>
      </c>
      <c r="J81" s="20" t="n">
        <v>3969</v>
      </c>
    </row>
    <row r="82">
      <c r="A82" s="18" t="inlineStr">
        <is>
          <t>건물·구축물(순액)</t>
        </is>
      </c>
      <c r="C82" s="20" t="n">
        <v>4096</v>
      </c>
      <c r="G82" s="20" t="n">
        <v>4506</v>
      </c>
      <c r="J82" s="20" t="n">
        <v>3969</v>
      </c>
      <c r="K82" s="20" t="n">
        <v>4096</v>
      </c>
      <c r="L82" s="20" t="n">
        <v>4506</v>
      </c>
    </row>
    <row r="83">
      <c r="A83" s="18" t="inlineStr">
        <is>
          <t>공구·기구·비품(순액)</t>
        </is>
      </c>
      <c r="C83" s="20" t="n">
        <v>2605</v>
      </c>
      <c r="G83" s="20" t="n">
        <v>2228</v>
      </c>
      <c r="H83" s="20" t="n">
        <v>698</v>
      </c>
      <c r="I83" s="20" t="n">
        <v>1051</v>
      </c>
      <c r="J83" s="20" t="n">
        <v>2760</v>
      </c>
      <c r="K83" s="20" t="n">
        <v>2605</v>
      </c>
      <c r="L83" s="20" t="n">
        <v>2228</v>
      </c>
    </row>
    <row r="84">
      <c r="A84" s="18" t="inlineStr">
        <is>
          <t>토지</t>
        </is>
      </c>
      <c r="C84" s="20" t="n">
        <v>931</v>
      </c>
      <c r="G84" s="20" t="n">
        <v>931</v>
      </c>
      <c r="J84" s="20" t="n">
        <v>34</v>
      </c>
      <c r="K84" s="20" t="n">
        <v>931</v>
      </c>
      <c r="L84" s="20" t="n">
        <v>931</v>
      </c>
    </row>
    <row r="85">
      <c r="A85" s="18" t="inlineStr">
        <is>
          <t>리스자산(순액)</t>
        </is>
      </c>
      <c r="C85" s="20" t="n">
        <v>240</v>
      </c>
      <c r="G85" s="20" t="n">
        <v>782</v>
      </c>
      <c r="H85" s="20" t="n">
        <v>17</v>
      </c>
      <c r="I85" s="20" t="n">
        <v>11</v>
      </c>
      <c r="J85" s="20" t="n">
        <v>5</v>
      </c>
      <c r="K85" s="20" t="n">
        <v>240</v>
      </c>
      <c r="L85" s="20" t="n">
        <v>782</v>
      </c>
    </row>
    <row r="86">
      <c r="A86" s="18" t="inlineStr">
        <is>
          <t>기타(순액)</t>
        </is>
      </c>
      <c r="C86" s="20" t="n">
        <v>48</v>
      </c>
      <c r="G86" s="20" t="n">
        <v>36</v>
      </c>
      <c r="H86" s="20" t="n">
        <v>157</v>
      </c>
      <c r="I86" s="20" t="n">
        <v>273</v>
      </c>
      <c r="J86" s="20" t="n">
        <v>48</v>
      </c>
      <c r="K86" s="20" t="n">
        <v>48</v>
      </c>
      <c r="L86" s="20" t="n">
        <v>36</v>
      </c>
    </row>
    <row r="87">
      <c r="A87" s="18" t="inlineStr">
        <is>
          <t>유형자산 합계</t>
        </is>
      </c>
      <c r="C87" s="20" t="n">
        <v>7923</v>
      </c>
      <c r="D87" s="20" t="n">
        <v>8173</v>
      </c>
      <c r="E87" s="20" t="n">
        <v>8191</v>
      </c>
      <c r="F87" s="20" t="n">
        <v>8628</v>
      </c>
      <c r="G87" s="20" t="n">
        <v>8486</v>
      </c>
      <c r="H87" s="20" t="n">
        <v>1194</v>
      </c>
      <c r="I87" s="20" t="n">
        <v>1961</v>
      </c>
      <c r="J87" s="20" t="n">
        <v>6818</v>
      </c>
      <c r="K87" s="20" t="n">
        <v>7923</v>
      </c>
      <c r="L87" s="20" t="n">
        <v>8486</v>
      </c>
    </row>
    <row r="88">
      <c r="A88" s="18" t="inlineStr">
        <is>
          <t>영업권</t>
        </is>
      </c>
      <c r="C88" s="20" t="n">
        <v>7866</v>
      </c>
      <c r="D88" s="20" t="n">
        <v>7674</v>
      </c>
      <c r="E88" s="20" t="n">
        <v>7458</v>
      </c>
      <c r="F88" s="20" t="n">
        <v>19296</v>
      </c>
      <c r="G88" s="20" t="n">
        <v>22344</v>
      </c>
      <c r="H88" s="20" t="n">
        <v>6488</v>
      </c>
      <c r="I88" s="20" t="n">
        <v>8997</v>
      </c>
      <c r="J88" s="20" t="n">
        <v>9262</v>
      </c>
      <c r="K88" s="20" t="n">
        <v>7866</v>
      </c>
      <c r="L88" s="20" t="n">
        <v>22344</v>
      </c>
    </row>
    <row r="89">
      <c r="A89" s="18" t="inlineStr">
        <is>
          <t>고객관계자산</t>
        </is>
      </c>
      <c r="C89" s="20" t="n">
        <v>3921</v>
      </c>
      <c r="G89" s="20" t="n">
        <v>3851</v>
      </c>
      <c r="I89" s="20" t="n">
        <v>1189</v>
      </c>
      <c r="J89" s="20" t="n">
        <v>4347</v>
      </c>
      <c r="K89" s="20" t="n">
        <v>3921</v>
      </c>
      <c r="L89" s="20" t="n">
        <v>3851</v>
      </c>
    </row>
    <row r="90">
      <c r="A90" s="18" t="inlineStr">
        <is>
          <t>기타</t>
        </is>
      </c>
      <c r="C90" s="20" t="n">
        <v>400</v>
      </c>
      <c r="D90" s="20" t="n">
        <v>4282</v>
      </c>
      <c r="E90" s="20" t="n">
        <v>4215</v>
      </c>
      <c r="F90" s="20" t="n">
        <v>5516</v>
      </c>
      <c r="G90" s="20" t="n">
        <v>1673</v>
      </c>
      <c r="H90" s="20" t="n">
        <v>972</v>
      </c>
      <c r="I90" s="20" t="n">
        <v>242</v>
      </c>
      <c r="J90" s="20" t="n">
        <v>268</v>
      </c>
      <c r="K90" s="20" t="n">
        <v>400</v>
      </c>
      <c r="L90" s="20" t="n">
        <v>1673</v>
      </c>
    </row>
    <row r="91">
      <c r="A91" s="18" t="inlineStr">
        <is>
          <t>무형자산 합계</t>
        </is>
      </c>
      <c r="C91" s="20" t="n">
        <v>12188</v>
      </c>
      <c r="D91" s="20" t="n">
        <v>11956</v>
      </c>
      <c r="E91" s="20" t="n">
        <v>11673</v>
      </c>
      <c r="F91" s="20" t="n">
        <v>24813</v>
      </c>
      <c r="G91" s="20" t="n">
        <v>27868</v>
      </c>
      <c r="H91" s="20" t="n">
        <v>7461</v>
      </c>
      <c r="I91" s="20" t="n">
        <v>10428</v>
      </c>
      <c r="J91" s="20" t="n">
        <v>13877</v>
      </c>
      <c r="K91" s="20" t="n">
        <v>12188</v>
      </c>
      <c r="L91" s="20" t="n">
        <v>27868</v>
      </c>
    </row>
    <row r="92">
      <c r="A92" s="18" t="inlineStr">
        <is>
          <t>투자유가증권</t>
        </is>
      </c>
      <c r="C92" s="20" t="n">
        <v>9583</v>
      </c>
      <c r="D92" s="20" t="n">
        <v>9515</v>
      </c>
      <c r="E92" s="20" t="n">
        <v>9352</v>
      </c>
      <c r="F92" s="20" t="n">
        <v>4999</v>
      </c>
      <c r="G92" s="20" t="n">
        <v>4961</v>
      </c>
      <c r="H92" s="20" t="n">
        <v>7469</v>
      </c>
      <c r="I92" s="20" t="n">
        <v>3081</v>
      </c>
      <c r="J92" s="20" t="n">
        <v>1145</v>
      </c>
      <c r="K92" s="20" t="n">
        <v>9583</v>
      </c>
      <c r="L92" s="20" t="n">
        <v>4961</v>
      </c>
    </row>
    <row r="93">
      <c r="A93" s="18" t="inlineStr">
        <is>
          <t>퇴직급여자산</t>
        </is>
      </c>
      <c r="C93" s="20" t="n">
        <v>0</v>
      </c>
      <c r="G93" s="20" t="n">
        <v>289</v>
      </c>
      <c r="K93" s="20" t="n">
        <v>0</v>
      </c>
      <c r="L93" s="20" t="n">
        <v>289</v>
      </c>
    </row>
    <row r="94">
      <c r="A94" s="18" t="inlineStr">
        <is>
          <t>이연법인세자산</t>
        </is>
      </c>
      <c r="C94" s="20" t="n">
        <v>1527</v>
      </c>
      <c r="G94" s="20" t="n">
        <v>3491</v>
      </c>
      <c r="H94" s="20" t="n">
        <v>521</v>
      </c>
      <c r="I94" s="20" t="n">
        <v>1165</v>
      </c>
      <c r="J94" s="20" t="n">
        <v>1300</v>
      </c>
      <c r="K94" s="20" t="n">
        <v>1527</v>
      </c>
      <c r="L94" s="20" t="n">
        <v>3491</v>
      </c>
    </row>
    <row r="95">
      <c r="A95" s="18" t="inlineStr">
        <is>
          <t>장기예금</t>
        </is>
      </c>
      <c r="H95" s="20" t="n">
        <v>0</v>
      </c>
    </row>
    <row r="96">
      <c r="A96" s="18" t="inlineStr">
        <is>
          <t>임차보증금·보증금</t>
        </is>
      </c>
      <c r="C96" s="20" t="n">
        <v>2382</v>
      </c>
      <c r="G96" s="20" t="n">
        <v>3087</v>
      </c>
      <c r="H96" s="20" t="n">
        <v>1068</v>
      </c>
      <c r="I96" s="20" t="n">
        <v>2256</v>
      </c>
      <c r="J96" s="20" t="n">
        <v>2088</v>
      </c>
      <c r="K96" s="20" t="n">
        <v>2382</v>
      </c>
      <c r="L96" s="20" t="n">
        <v>3087</v>
      </c>
    </row>
    <row r="97">
      <c r="A97" s="18" t="inlineStr">
        <is>
          <t>기타</t>
        </is>
      </c>
      <c r="C97" s="20" t="n">
        <v>406</v>
      </c>
      <c r="D97" s="20" t="n">
        <v>4420</v>
      </c>
      <c r="E97" s="20" t="n">
        <v>4235</v>
      </c>
      <c r="F97" s="20" t="n">
        <v>6473</v>
      </c>
      <c r="G97" s="20" t="n">
        <v>275</v>
      </c>
      <c r="H97" s="20" t="n">
        <v>140</v>
      </c>
      <c r="I97" s="20" t="n">
        <v>181</v>
      </c>
      <c r="J97" s="20" t="n">
        <v>532</v>
      </c>
      <c r="K97" s="20" t="n">
        <v>406</v>
      </c>
      <c r="L97" s="20" t="n">
        <v>275</v>
      </c>
    </row>
    <row r="98">
      <c r="A98" s="18" t="inlineStr">
        <is>
          <t>대손충당금</t>
        </is>
      </c>
      <c r="C98" s="20" t="n">
        <v>-134</v>
      </c>
      <c r="D98" s="20" t="n">
        <v>-57</v>
      </c>
      <c r="E98" s="20" t="n">
        <v>-56</v>
      </c>
      <c r="F98" s="20" t="n">
        <v>-59</v>
      </c>
      <c r="G98" s="20" t="n">
        <v>-75</v>
      </c>
      <c r="H98" s="20" t="n">
        <v>-49</v>
      </c>
      <c r="I98" s="20" t="n">
        <v>-56</v>
      </c>
      <c r="J98" s="20" t="n">
        <v>-68</v>
      </c>
      <c r="K98" s="20" t="n">
        <v>-134</v>
      </c>
      <c r="L98" s="20" t="n">
        <v>-75</v>
      </c>
    </row>
    <row r="99">
      <c r="A99" s="18" t="inlineStr">
        <is>
          <t>투자 및 기타자산 합계</t>
        </is>
      </c>
      <c r="C99" s="20" t="n">
        <v>13765</v>
      </c>
      <c r="D99" s="20" t="n">
        <v>13878</v>
      </c>
      <c r="E99" s="20" t="n">
        <v>13531</v>
      </c>
      <c r="F99" s="20" t="n">
        <v>11413</v>
      </c>
      <c r="G99" s="20" t="n">
        <v>12029</v>
      </c>
      <c r="H99" s="20" t="n">
        <v>9150</v>
      </c>
      <c r="I99" s="20" t="n">
        <v>6627</v>
      </c>
      <c r="J99" s="20" t="n">
        <v>4998</v>
      </c>
      <c r="K99" s="20" t="n">
        <v>13765</v>
      </c>
      <c r="L99" s="20" t="n">
        <v>12029</v>
      </c>
    </row>
    <row r="100">
      <c r="A100" s="9" t="inlineStr">
        <is>
          <t>비유동자산 합계</t>
        </is>
      </c>
      <c r="C100" s="12" t="n">
        <v>33877</v>
      </c>
      <c r="D100" s="12" t="n">
        <v>34009</v>
      </c>
      <c r="E100" s="12" t="n">
        <v>33396</v>
      </c>
      <c r="F100" s="12" t="n">
        <v>44854</v>
      </c>
      <c r="G100" s="12" t="n">
        <v>48384</v>
      </c>
      <c r="H100" s="12" t="n">
        <v>17806</v>
      </c>
      <c r="I100" s="12" t="n">
        <v>19017</v>
      </c>
      <c r="J100" s="12" t="n">
        <v>25695</v>
      </c>
      <c r="K100" s="12" t="n">
        <v>33877</v>
      </c>
      <c r="L100" s="12" t="n">
        <v>48384</v>
      </c>
    </row>
    <row r="101">
      <c r="A101" s="9" t="inlineStr">
        <is>
          <t>자산 합계</t>
        </is>
      </c>
      <c r="C101" s="12" t="n">
        <v>77001</v>
      </c>
      <c r="D101" s="12" t="n">
        <v>79102</v>
      </c>
      <c r="E101" s="12" t="n">
        <v>80389</v>
      </c>
      <c r="F101" s="12" t="n">
        <v>105279</v>
      </c>
      <c r="G101" s="12" t="n">
        <v>109685</v>
      </c>
      <c r="H101" s="12" t="n">
        <v>40230</v>
      </c>
      <c r="I101" s="12" t="n">
        <v>49530</v>
      </c>
      <c r="J101" s="12" t="n">
        <v>62717</v>
      </c>
      <c r="K101" s="12" t="n">
        <v>77001</v>
      </c>
      <c r="L101" s="12" t="n">
        <v>109685</v>
      </c>
    </row>
    <row r="102">
      <c r="A102" s="18" t="inlineStr">
        <is>
          <t>매입채무</t>
        </is>
      </c>
      <c r="C102" s="20" t="n">
        <v>2054</v>
      </c>
      <c r="D102" s="20" t="n">
        <v>1823</v>
      </c>
      <c r="E102" s="20" t="n">
        <v>1970</v>
      </c>
      <c r="F102" s="20" t="n">
        <v>3745</v>
      </c>
      <c r="G102" s="20" t="n">
        <v>3962</v>
      </c>
      <c r="H102" s="20" t="n">
        <v>1554</v>
      </c>
      <c r="I102" s="20" t="n">
        <v>1530</v>
      </c>
      <c r="J102" s="20" t="n">
        <v>1509</v>
      </c>
      <c r="K102" s="20" t="n">
        <v>2054</v>
      </c>
      <c r="L102" s="20" t="n">
        <v>3962</v>
      </c>
    </row>
    <row r="103">
      <c r="A103" s="18" t="inlineStr">
        <is>
          <t>단기차입금</t>
        </is>
      </c>
      <c r="C103" s="20" t="n">
        <v>0</v>
      </c>
      <c r="D103" s="20" t="n">
        <v>4000</v>
      </c>
      <c r="E103" s="20" t="n">
        <v>10000</v>
      </c>
      <c r="F103" s="20" t="n">
        <v>18700</v>
      </c>
      <c r="H103" s="20" t="n">
        <v>20</v>
      </c>
      <c r="I103" s="20" t="n">
        <v>2470</v>
      </c>
      <c r="J103" s="20" t="n">
        <v>50</v>
      </c>
      <c r="K103" s="20" t="n">
        <v>0</v>
      </c>
    </row>
    <row r="104">
      <c r="A104" s="18" t="inlineStr">
        <is>
          <t>1년 내 상환 장기차입금</t>
        </is>
      </c>
      <c r="C104" s="20" t="n">
        <v>3532</v>
      </c>
      <c r="D104" s="20" t="n">
        <v>3671</v>
      </c>
      <c r="E104" s="20" t="n">
        <v>3405</v>
      </c>
      <c r="F104" s="20" t="n">
        <v>4672</v>
      </c>
      <c r="G104" s="20" t="n">
        <v>7175</v>
      </c>
      <c r="H104" s="20" t="n">
        <v>1226</v>
      </c>
      <c r="I104" s="20" t="n">
        <v>1066</v>
      </c>
      <c r="J104" s="20" t="n">
        <v>2856</v>
      </c>
      <c r="K104" s="20" t="n">
        <v>3532</v>
      </c>
      <c r="L104" s="20" t="n">
        <v>7175</v>
      </c>
    </row>
    <row r="105">
      <c r="A105" s="18" t="inlineStr">
        <is>
          <t>미지급비용</t>
        </is>
      </c>
      <c r="C105" s="20" t="n">
        <v>7308</v>
      </c>
      <c r="D105" s="20" t="n">
        <v>6994</v>
      </c>
      <c r="E105" s="20" t="n">
        <v>7347</v>
      </c>
      <c r="F105" s="20" t="n">
        <v>7870</v>
      </c>
      <c r="G105" s="20" t="n">
        <v>7142</v>
      </c>
      <c r="H105" s="20" t="n">
        <v>2856</v>
      </c>
      <c r="I105" s="20" t="n">
        <v>3891</v>
      </c>
      <c r="J105" s="20" t="n">
        <v>6367</v>
      </c>
      <c r="K105" s="20" t="n">
        <v>7308</v>
      </c>
      <c r="L105" s="20" t="n">
        <v>7142</v>
      </c>
    </row>
    <row r="106">
      <c r="A106" s="18" t="inlineStr">
        <is>
          <t>미지급법인세</t>
        </is>
      </c>
      <c r="C106" s="20" t="n">
        <v>3158</v>
      </c>
      <c r="D106" s="20" t="n">
        <v>1016</v>
      </c>
      <c r="E106" s="20" t="n">
        <v>2160</v>
      </c>
      <c r="F106" s="20" t="n">
        <v>907</v>
      </c>
      <c r="G106" s="20" t="n">
        <v>3881</v>
      </c>
      <c r="H106" s="20" t="n">
        <v>1523</v>
      </c>
      <c r="I106" s="20" t="n">
        <v>2807</v>
      </c>
      <c r="J106" s="20" t="n">
        <v>2012</v>
      </c>
      <c r="K106" s="20" t="n">
        <v>3158</v>
      </c>
      <c r="L106" s="20" t="n">
        <v>3881</v>
      </c>
    </row>
    <row r="107">
      <c r="A107" s="18" t="inlineStr">
        <is>
          <t>미지급 소비세</t>
        </is>
      </c>
      <c r="C107" s="20" t="n">
        <v>3236</v>
      </c>
      <c r="G107" s="20" t="n">
        <v>3386</v>
      </c>
      <c r="H107" s="20" t="n">
        <v>1886</v>
      </c>
      <c r="I107" s="20" t="n">
        <v>2797</v>
      </c>
      <c r="J107" s="20" t="n">
        <v>2246</v>
      </c>
      <c r="K107" s="20" t="n">
        <v>3236</v>
      </c>
      <c r="L107" s="20" t="n">
        <v>3386</v>
      </c>
    </row>
    <row r="108">
      <c r="A108" s="18" t="inlineStr">
        <is>
          <t>상여충당금</t>
        </is>
      </c>
      <c r="C108" s="20" t="n">
        <v>423</v>
      </c>
      <c r="D108" s="20" t="n">
        <v>622</v>
      </c>
      <c r="E108" s="20" t="n">
        <v>538</v>
      </c>
      <c r="F108" s="20" t="n">
        <v>2153</v>
      </c>
      <c r="G108" s="20" t="n">
        <v>1369</v>
      </c>
      <c r="H108" s="20" t="n">
        <v>184</v>
      </c>
      <c r="I108" s="20" t="n">
        <v>341</v>
      </c>
      <c r="J108" s="20" t="n">
        <v>339</v>
      </c>
      <c r="K108" s="20" t="n">
        <v>423</v>
      </c>
      <c r="L108" s="20" t="n">
        <v>1369</v>
      </c>
    </row>
    <row r="109">
      <c r="A109" s="18" t="inlineStr">
        <is>
          <t>수주손실 충당금</t>
        </is>
      </c>
      <c r="H109" s="20" t="n">
        <v>34</v>
      </c>
      <c r="I109" s="20" t="n">
        <v>0</v>
      </c>
      <c r="J109" s="20" t="n">
        <v>0</v>
      </c>
    </row>
    <row r="110">
      <c r="A110" s="18" t="inlineStr">
        <is>
          <t>주식보상 충당금</t>
        </is>
      </c>
      <c r="C110" s="20" t="n">
        <v>80</v>
      </c>
      <c r="D110" s="20" t="n">
        <v>75</v>
      </c>
      <c r="E110" s="20" t="n">
        <v>30</v>
      </c>
      <c r="F110" s="20" t="n">
        <v>30</v>
      </c>
      <c r="G110" s="20" t="n">
        <v>19</v>
      </c>
      <c r="J110" s="20" t="n">
        <v>0</v>
      </c>
      <c r="K110" s="20" t="n">
        <v>80</v>
      </c>
      <c r="L110" s="20" t="n">
        <v>19</v>
      </c>
    </row>
    <row r="111">
      <c r="A111" s="18" t="inlineStr">
        <is>
          <t>기타 충당금</t>
        </is>
      </c>
      <c r="C111" s="20" t="n">
        <v>16</v>
      </c>
      <c r="D111" s="20" t="n">
        <v>5</v>
      </c>
      <c r="E111" s="20" t="n">
        <v>0</v>
      </c>
      <c r="F111" s="20" t="n">
        <v>0</v>
      </c>
      <c r="G111" s="20" t="n">
        <v>0</v>
      </c>
      <c r="J111" s="20" t="n">
        <v>0</v>
      </c>
      <c r="K111" s="20" t="n">
        <v>16</v>
      </c>
      <c r="L111" s="20" t="n">
        <v>0</v>
      </c>
    </row>
    <row r="112">
      <c r="A112" s="18" t="inlineStr">
        <is>
          <t>기타</t>
        </is>
      </c>
      <c r="C112" s="20" t="n">
        <v>5217</v>
      </c>
      <c r="D112" s="20" t="n">
        <v>7868</v>
      </c>
      <c r="E112" s="20" t="n">
        <v>7376</v>
      </c>
      <c r="F112" s="20" t="n">
        <v>11379</v>
      </c>
      <c r="G112" s="20" t="n">
        <v>6921</v>
      </c>
      <c r="H112" s="20" t="n">
        <v>2439</v>
      </c>
      <c r="I112" s="20" t="n">
        <v>3415</v>
      </c>
      <c r="J112" s="20" t="n">
        <v>4271</v>
      </c>
      <c r="K112" s="20" t="n">
        <v>5217</v>
      </c>
      <c r="L112" s="20" t="n">
        <v>6921</v>
      </c>
    </row>
    <row r="113">
      <c r="A113" s="9" t="inlineStr">
        <is>
          <t>유동부채 합계</t>
        </is>
      </c>
      <c r="C113" s="12" t="n">
        <v>25028</v>
      </c>
      <c r="D113" s="12" t="n">
        <v>26076</v>
      </c>
      <c r="E113" s="12" t="n">
        <v>32829</v>
      </c>
      <c r="F113" s="12" t="n">
        <v>49460</v>
      </c>
      <c r="G113" s="12" t="n">
        <v>33858</v>
      </c>
      <c r="H113" s="12" t="n">
        <v>11726</v>
      </c>
      <c r="I113" s="12" t="n">
        <v>18319</v>
      </c>
      <c r="J113" s="12" t="n">
        <v>19653</v>
      </c>
      <c r="K113" s="12" t="n">
        <v>25028</v>
      </c>
      <c r="L113" s="12" t="n">
        <v>33858</v>
      </c>
    </row>
    <row r="114">
      <c r="A114" s="18" t="inlineStr">
        <is>
          <t>장기차입금</t>
        </is>
      </c>
      <c r="C114" s="20" t="n">
        <v>8504</v>
      </c>
      <c r="D114" s="20" t="n">
        <v>7468</v>
      </c>
      <c r="E114" s="20" t="n">
        <v>6653</v>
      </c>
      <c r="F114" s="20" t="n">
        <v>11312</v>
      </c>
      <c r="G114" s="20" t="n">
        <v>27538</v>
      </c>
      <c r="H114" s="20" t="n">
        <v>2306</v>
      </c>
      <c r="I114" s="20" t="n">
        <v>1367</v>
      </c>
      <c r="J114" s="20" t="n">
        <v>6671</v>
      </c>
      <c r="K114" s="20" t="n">
        <v>8504</v>
      </c>
      <c r="L114" s="20" t="n">
        <v>27538</v>
      </c>
    </row>
    <row r="115">
      <c r="A115" s="18" t="inlineStr">
        <is>
          <t>이연법인세부채</t>
        </is>
      </c>
      <c r="C115" s="20" t="n">
        <v>1194</v>
      </c>
      <c r="G115" s="20" t="n">
        <v>915</v>
      </c>
      <c r="I115" s="20" t="n">
        <v>135</v>
      </c>
      <c r="J115" s="20" t="n">
        <v>1177</v>
      </c>
      <c r="K115" s="20" t="n">
        <v>1194</v>
      </c>
      <c r="L115" s="20" t="n">
        <v>915</v>
      </c>
    </row>
    <row r="116">
      <c r="A116" s="18" t="inlineStr">
        <is>
          <t>퇴직급여부채</t>
        </is>
      </c>
      <c r="C116" s="20" t="n">
        <v>136</v>
      </c>
      <c r="D116" s="20" t="n">
        <v>130</v>
      </c>
      <c r="E116" s="20" t="n">
        <v>131</v>
      </c>
      <c r="F116" s="20" t="n">
        <v>3377</v>
      </c>
      <c r="G116" s="20" t="n">
        <v>3477</v>
      </c>
      <c r="H116" s="20" t="n">
        <v>0</v>
      </c>
      <c r="I116" s="20" t="n">
        <v>34</v>
      </c>
      <c r="J116" s="20" t="n">
        <v>33</v>
      </c>
      <c r="K116" s="20" t="n">
        <v>136</v>
      </c>
      <c r="L116" s="20" t="n">
        <v>3477</v>
      </c>
    </row>
    <row r="117">
      <c r="A117" s="18" t="inlineStr">
        <is>
          <t>자산복구부채</t>
        </is>
      </c>
      <c r="C117" s="20" t="n">
        <v>705</v>
      </c>
      <c r="D117" s="20" t="n">
        <v>707</v>
      </c>
      <c r="E117" s="20" t="n">
        <v>710</v>
      </c>
      <c r="F117" s="20" t="n">
        <v>1042</v>
      </c>
      <c r="G117" s="20" t="n">
        <v>1169</v>
      </c>
      <c r="J117" s="20" t="n">
        <v>627</v>
      </c>
      <c r="K117" s="20" t="n">
        <v>705</v>
      </c>
      <c r="L117" s="20" t="n">
        <v>1169</v>
      </c>
    </row>
    <row r="118">
      <c r="A118" s="18" t="inlineStr">
        <is>
          <t>기타</t>
        </is>
      </c>
      <c r="C118" s="20" t="n">
        <v>395</v>
      </c>
      <c r="D118" s="20" t="n">
        <v>1856</v>
      </c>
      <c r="E118" s="20" t="n">
        <v>1490</v>
      </c>
      <c r="F118" s="20" t="n">
        <v>1452</v>
      </c>
      <c r="G118" s="20" t="n">
        <v>528</v>
      </c>
      <c r="H118" s="20" t="n">
        <v>189</v>
      </c>
      <c r="I118" s="20" t="n">
        <v>95</v>
      </c>
      <c r="J118" s="20" t="n">
        <v>31</v>
      </c>
      <c r="K118" s="20" t="n">
        <v>395</v>
      </c>
      <c r="L118" s="20" t="n">
        <v>528</v>
      </c>
    </row>
    <row r="119">
      <c r="A119" s="9" t="inlineStr">
        <is>
          <t>비유동부채 합계</t>
        </is>
      </c>
      <c r="C119" s="12" t="n">
        <v>10935</v>
      </c>
      <c r="D119" s="12" t="n">
        <v>10162</v>
      </c>
      <c r="E119" s="12" t="n">
        <v>8985</v>
      </c>
      <c r="F119" s="12" t="n">
        <v>17184</v>
      </c>
      <c r="G119" s="12" t="n">
        <v>33628</v>
      </c>
      <c r="H119" s="12" t="n">
        <v>2496</v>
      </c>
      <c r="I119" s="12" t="n">
        <v>1632</v>
      </c>
      <c r="J119" s="12" t="n">
        <v>8542</v>
      </c>
      <c r="K119" s="12" t="n">
        <v>10935</v>
      </c>
      <c r="L119" s="12" t="n">
        <v>33628</v>
      </c>
    </row>
    <row r="120">
      <c r="A120" s="9" t="inlineStr">
        <is>
          <t>부채 합계</t>
        </is>
      </c>
      <c r="C120" s="12" t="n">
        <v>35963</v>
      </c>
      <c r="D120" s="12" t="n">
        <v>36239</v>
      </c>
      <c r="E120" s="12" t="n">
        <v>41815</v>
      </c>
      <c r="F120" s="12" t="n">
        <v>66644</v>
      </c>
      <c r="G120" s="12" t="n">
        <v>67487</v>
      </c>
      <c r="H120" s="12" t="n">
        <v>14222</v>
      </c>
      <c r="I120" s="12" t="n">
        <v>19951</v>
      </c>
      <c r="J120" s="12" t="n">
        <v>28195</v>
      </c>
      <c r="K120" s="12" t="n">
        <v>35963</v>
      </c>
      <c r="L120" s="12" t="n">
        <v>67487</v>
      </c>
    </row>
    <row r="121">
      <c r="A121" s="18" t="inlineStr">
        <is>
          <t>자본금</t>
        </is>
      </c>
      <c r="C121" s="20" t="n">
        <v>21</v>
      </c>
      <c r="D121" s="20" t="n">
        <v>21</v>
      </c>
      <c r="E121" s="20" t="n">
        <v>21</v>
      </c>
      <c r="F121" s="20" t="n">
        <v>21</v>
      </c>
      <c r="G121" s="20" t="n">
        <v>21</v>
      </c>
      <c r="H121" s="20" t="n">
        <v>77</v>
      </c>
      <c r="I121" s="20" t="n">
        <v>11</v>
      </c>
      <c r="J121" s="20" t="n">
        <v>21</v>
      </c>
      <c r="K121" s="20" t="n">
        <v>21</v>
      </c>
      <c r="L121" s="20" t="n">
        <v>21</v>
      </c>
    </row>
    <row r="122">
      <c r="A122" s="18" t="inlineStr">
        <is>
          <t>자본잉여금</t>
        </is>
      </c>
      <c r="C122" s="20" t="n">
        <v>14365</v>
      </c>
      <c r="D122" s="20" t="n">
        <v>14365</v>
      </c>
      <c r="E122" s="20" t="n">
        <v>14466</v>
      </c>
      <c r="F122" s="20" t="n">
        <v>14466</v>
      </c>
      <c r="G122" s="20" t="n">
        <v>14466</v>
      </c>
      <c r="H122" s="20" t="n">
        <v>16616</v>
      </c>
      <c r="I122" s="20" t="n">
        <v>15844</v>
      </c>
      <c r="J122" s="20" t="n">
        <v>15854</v>
      </c>
      <c r="K122" s="20" t="n">
        <v>14365</v>
      </c>
      <c r="L122" s="20" t="n">
        <v>14466</v>
      </c>
    </row>
    <row r="123">
      <c r="A123" s="18" t="inlineStr">
        <is>
          <t>이익잉여금</t>
        </is>
      </c>
      <c r="C123" s="20" t="n">
        <v>31964</v>
      </c>
      <c r="D123" s="20" t="n">
        <v>33759</v>
      </c>
      <c r="E123" s="20" t="n">
        <v>35976</v>
      </c>
      <c r="F123" s="20" t="n">
        <v>35943</v>
      </c>
      <c r="G123" s="20" t="n">
        <v>39394</v>
      </c>
      <c r="H123" s="20" t="n">
        <v>11655</v>
      </c>
      <c r="I123" s="20" t="n">
        <v>17901</v>
      </c>
      <c r="J123" s="20" t="n">
        <v>23029</v>
      </c>
      <c r="K123" s="20" t="n">
        <v>31964</v>
      </c>
      <c r="L123" s="20" t="n">
        <v>39394</v>
      </c>
    </row>
    <row r="124">
      <c r="A124" s="18" t="inlineStr">
        <is>
          <t>자기주식</t>
        </is>
      </c>
      <c r="C124" s="20" t="n">
        <v>-5834</v>
      </c>
      <c r="D124" s="20" t="n">
        <v>-5829</v>
      </c>
      <c r="E124" s="20" t="n">
        <v>-12176</v>
      </c>
      <c r="F124" s="20" t="n">
        <v>-12176</v>
      </c>
      <c r="G124" s="20" t="n">
        <v>-12165</v>
      </c>
      <c r="H124" s="20" t="n">
        <v>-2963</v>
      </c>
      <c r="I124" s="20" t="n">
        <v>-4948</v>
      </c>
      <c r="J124" s="20" t="n">
        <v>-4940</v>
      </c>
      <c r="K124" s="20" t="n">
        <v>-5834</v>
      </c>
      <c r="L124" s="20" t="n">
        <v>-12165</v>
      </c>
    </row>
    <row r="125">
      <c r="A125" s="9" t="inlineStr">
        <is>
          <t>주주자본 합계</t>
        </is>
      </c>
      <c r="C125" s="12" t="n">
        <v>40516</v>
      </c>
      <c r="D125" s="12" t="n">
        <v>42316</v>
      </c>
      <c r="E125" s="12" t="n">
        <v>38287</v>
      </c>
      <c r="F125" s="12" t="n">
        <v>38255</v>
      </c>
      <c r="G125" s="12" t="n">
        <v>41716</v>
      </c>
      <c r="H125" s="12" t="n">
        <v>25386</v>
      </c>
      <c r="I125" s="12" t="n">
        <v>28809</v>
      </c>
      <c r="J125" s="12" t="n">
        <v>33964</v>
      </c>
      <c r="K125" s="12" t="n">
        <v>40516</v>
      </c>
      <c r="L125" s="12" t="n">
        <v>41716</v>
      </c>
    </row>
    <row r="126">
      <c r="A126" s="18" t="inlineStr">
        <is>
          <t>기타유가증권 평가차액</t>
        </is>
      </c>
      <c r="C126" s="20" t="n">
        <v>71</v>
      </c>
      <c r="D126" s="20" t="n">
        <v>8</v>
      </c>
      <c r="E126" s="20" t="n">
        <v>-99</v>
      </c>
      <c r="F126" s="20" t="n">
        <v>-233</v>
      </c>
      <c r="G126" s="20" t="n">
        <v>-195</v>
      </c>
      <c r="H126" s="20" t="n">
        <v>174</v>
      </c>
      <c r="I126" s="20" t="n">
        <v>118</v>
      </c>
      <c r="J126" s="20" t="n">
        <v>-304</v>
      </c>
      <c r="K126" s="20" t="n">
        <v>71</v>
      </c>
      <c r="L126" s="20" t="n">
        <v>-195</v>
      </c>
    </row>
    <row r="127">
      <c r="A127" s="18" t="inlineStr">
        <is>
          <t>해외사업환산조정</t>
        </is>
      </c>
      <c r="C127" s="20" t="n">
        <v>10</v>
      </c>
      <c r="D127" s="20" t="n">
        <v>22</v>
      </c>
      <c r="E127" s="20" t="n">
        <v>22</v>
      </c>
      <c r="F127" s="20" t="n">
        <v>17</v>
      </c>
      <c r="G127" s="20" t="n">
        <v>24</v>
      </c>
      <c r="H127" s="20" t="n">
        <v>32</v>
      </c>
      <c r="I127" s="20" t="n">
        <v>30</v>
      </c>
      <c r="J127" s="20" t="n">
        <v>24</v>
      </c>
      <c r="K127" s="20" t="n">
        <v>10</v>
      </c>
      <c r="L127" s="20" t="n">
        <v>24</v>
      </c>
    </row>
    <row r="128">
      <c r="A128" s="18" t="inlineStr">
        <is>
          <t>퇴직급여 조정누계액</t>
        </is>
      </c>
      <c r="C128" s="20" t="n">
        <v>0</v>
      </c>
      <c r="G128" s="20" t="n">
        <v>13</v>
      </c>
      <c r="K128" s="20" t="n">
        <v>0</v>
      </c>
      <c r="L128" s="20" t="n">
        <v>13</v>
      </c>
    </row>
    <row r="129">
      <c r="A129" s="18" t="inlineStr">
        <is>
          <t>기타포괄손익누계액 합계</t>
        </is>
      </c>
      <c r="C129" s="20" t="n">
        <v>81</v>
      </c>
      <c r="D129" s="20" t="n">
        <v>30</v>
      </c>
      <c r="E129" s="20" t="n">
        <v>-77</v>
      </c>
      <c r="F129" s="20" t="n">
        <v>-216</v>
      </c>
      <c r="G129" s="20" t="n">
        <v>-157</v>
      </c>
      <c r="H129" s="20" t="n">
        <v>206</v>
      </c>
      <c r="I129" s="20" t="n">
        <v>148</v>
      </c>
      <c r="J129" s="20" t="n">
        <v>-279</v>
      </c>
      <c r="K129" s="20" t="n">
        <v>81</v>
      </c>
      <c r="L129" s="20" t="n">
        <v>-157</v>
      </c>
    </row>
    <row r="130">
      <c r="A130" s="18" t="inlineStr">
        <is>
          <t>주식인수권</t>
        </is>
      </c>
      <c r="C130" s="20" t="n">
        <v>413</v>
      </c>
      <c r="E130" s="20" t="n">
        <v>312</v>
      </c>
      <c r="F130" s="20" t="n">
        <v>377</v>
      </c>
      <c r="H130" s="20" t="n">
        <v>37</v>
      </c>
      <c r="I130" s="20" t="n">
        <v>140</v>
      </c>
      <c r="J130" s="20" t="n">
        <v>328</v>
      </c>
      <c r="K130" s="20" t="n">
        <v>413</v>
      </c>
    </row>
    <row r="131">
      <c r="A131" s="18" t="inlineStr">
        <is>
          <t>주식인수권</t>
        </is>
      </c>
      <c r="C131" s="20" t="n">
        <v>413</v>
      </c>
      <c r="D131" s="20" t="n">
        <v>489</v>
      </c>
      <c r="G131" s="20" t="n">
        <v>442</v>
      </c>
      <c r="H131" s="20" t="n">
        <v>37</v>
      </c>
      <c r="I131" s="20" t="n">
        <v>140</v>
      </c>
      <c r="J131" s="20" t="n">
        <v>328</v>
      </c>
      <c r="K131" s="20" t="n">
        <v>413</v>
      </c>
      <c r="L131" s="20" t="n">
        <v>442</v>
      </c>
    </row>
    <row r="132">
      <c r="A132" s="18" t="inlineStr">
        <is>
          <t>신주예약권</t>
        </is>
      </c>
      <c r="C132" s="20" t="n">
        <v>25</v>
      </c>
      <c r="D132" s="20" t="n">
        <v>25</v>
      </c>
      <c r="E132" s="20" t="n">
        <v>50</v>
      </c>
      <c r="F132" s="20" t="n">
        <v>50</v>
      </c>
      <c r="G132" s="20" t="n">
        <v>50</v>
      </c>
      <c r="H132" s="20" t="n">
        <v>16</v>
      </c>
      <c r="I132" s="20" t="n">
        <v>27</v>
      </c>
      <c r="J132" s="20" t="n">
        <v>25</v>
      </c>
      <c r="K132" s="20" t="n">
        <v>25</v>
      </c>
      <c r="L132" s="20" t="n">
        <v>50</v>
      </c>
    </row>
    <row r="133">
      <c r="A133" s="18" t="inlineStr">
        <is>
          <t>비지배지분</t>
        </is>
      </c>
      <c r="C133" s="20" t="n">
        <v>0</v>
      </c>
      <c r="F133" s="20" t="n">
        <v>167</v>
      </c>
      <c r="G133" s="20" t="n">
        <v>145</v>
      </c>
      <c r="H133" s="20" t="n">
        <v>359</v>
      </c>
      <c r="I133" s="20" t="n">
        <v>451</v>
      </c>
      <c r="J133" s="20" t="n">
        <v>482</v>
      </c>
      <c r="K133" s="20" t="n">
        <v>0</v>
      </c>
      <c r="L133" s="20" t="n">
        <v>145</v>
      </c>
    </row>
    <row r="134">
      <c r="A134" s="9" t="inlineStr">
        <is>
          <t>순자산 합계</t>
        </is>
      </c>
      <c r="C134" s="12" t="n">
        <v>41037</v>
      </c>
      <c r="D134" s="12" t="n">
        <v>42862</v>
      </c>
      <c r="E134" s="12" t="n">
        <v>38574</v>
      </c>
      <c r="F134" s="12" t="n">
        <v>38634</v>
      </c>
      <c r="G134" s="12" t="n">
        <v>42197</v>
      </c>
      <c r="H134" s="12" t="n">
        <v>26007</v>
      </c>
      <c r="I134" s="12" t="n">
        <v>29578</v>
      </c>
      <c r="J134" s="12" t="n">
        <v>34522</v>
      </c>
      <c r="K134" s="12" t="n">
        <v>41037</v>
      </c>
      <c r="L134" s="12" t="n">
        <v>42197</v>
      </c>
    </row>
    <row r="135">
      <c r="A135" s="9" t="inlineStr">
        <is>
          <t>부채·순자산 합계</t>
        </is>
      </c>
      <c r="C135" s="12" t="n">
        <v>77001</v>
      </c>
      <c r="D135" s="12" t="n">
        <v>79102</v>
      </c>
      <c r="E135" s="12" t="n">
        <v>80389</v>
      </c>
      <c r="F135" s="12" t="n">
        <v>105279</v>
      </c>
      <c r="G135" s="12" t="n">
        <v>109685</v>
      </c>
      <c r="H135" s="12" t="n">
        <v>40230</v>
      </c>
      <c r="I135" s="12" t="n">
        <v>49530</v>
      </c>
      <c r="J135" s="12" t="n">
        <v>62717</v>
      </c>
      <c r="K135" s="12" t="n">
        <v>77001</v>
      </c>
      <c r="L135" s="12" t="n">
        <v>109685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SHIFT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guidance · FY8/27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1900</v>
      </c>
      <c r="C6" s="56" t="inlineStr">
        <is>
          <t>2단계 보고서 자료(회사 설명회 자료·공시)</t>
        </is>
      </c>
    </row>
    <row r="7">
      <c r="A7" s="54" t="inlineStr">
        <is>
          <t>EPS</t>
        </is>
      </c>
      <c r="B7" s="57" t="n">
        <v>52.16</v>
      </c>
    </row>
    <row r="8">
      <c r="A8" s="54" t="inlineStr">
        <is>
          <t>dps</t>
        </is>
      </c>
      <c r="B8" s="57" t="n">
        <v>5.2</v>
      </c>
    </row>
    <row r="10">
      <c r="A10" s="52" t="inlineStr">
        <is>
          <t>컨센서스</t>
        </is>
      </c>
      <c r="B10" s="52" t="n"/>
      <c r="C10" s="52" t="n"/>
    </row>
    <row r="11">
      <c r="A11" s="53" t="inlineStr">
        <is>
          <t>항목</t>
        </is>
      </c>
      <c r="B11" s="53" t="inlineStr">
        <is>
          <t>값</t>
        </is>
      </c>
      <c r="C11" s="53" t="inlineStr">
        <is>
          <t>출처</t>
        </is>
      </c>
    </row>
    <row r="12">
      <c r="A12" s="54" t="inlineStr">
        <is>
          <t>목표주가 평균</t>
        </is>
      </c>
      <c r="B12" s="55" t="n">
        <v>984</v>
      </c>
      <c r="C12" s="56" t="inlineStr">
        <is>
          <t>야후 2026-10-22</t>
        </is>
      </c>
    </row>
    <row r="13">
      <c r="A13" s="54" t="inlineStr">
        <is>
          <t>4Q EPS 추정</t>
        </is>
      </c>
      <c r="B13" s="57" t="n">
        <v>16.42</v>
      </c>
    </row>
    <row r="14">
      <c r="A14" s="54" t="inlineStr">
        <is>
          <t>4Q EPS act</t>
        </is>
      </c>
      <c r="B14" s="57" t="n">
        <v>13.4</v>
      </c>
    </row>
    <row r="16">
      <c r="A16" s="52" t="inlineStr">
        <is>
          <t>consensus · FY8/27</t>
        </is>
      </c>
      <c r="B16" s="52" t="n"/>
      <c r="C16" s="52" t="n"/>
    </row>
    <row r="17">
      <c r="A17" s="53" t="inlineStr">
        <is>
          <t>항목</t>
        </is>
      </c>
      <c r="B17" s="53" t="inlineStr">
        <is>
          <t>값</t>
        </is>
      </c>
      <c r="C17" s="53" t="inlineStr">
        <is>
          <t>출처</t>
        </is>
      </c>
    </row>
    <row r="18">
      <c r="A18" s="54" t="inlineStr">
        <is>
          <t>매출 avg</t>
        </is>
      </c>
      <c r="B18" s="57" t="n">
        <v>1830.4</v>
      </c>
      <c r="C18" s="56" t="inlineStr">
        <is>
          <t>야후 2026-10-22</t>
        </is>
      </c>
    </row>
    <row r="19">
      <c r="A19" s="54" t="inlineStr">
        <is>
          <t>매출 애널리스트 수</t>
        </is>
      </c>
      <c r="B19" s="55" t="n">
        <v>6</v>
      </c>
    </row>
    <row r="20">
      <c r="A20" s="54" t="inlineStr">
        <is>
          <t>EPS avg</t>
        </is>
      </c>
      <c r="B20" s="57" t="n">
        <v>54.06</v>
      </c>
    </row>
    <row r="21">
      <c r="A21" s="54" t="inlineStr">
        <is>
          <t>EPS 애널리스트 수</t>
        </is>
      </c>
      <c r="B21" s="55" t="n">
        <v>2</v>
      </c>
    </row>
    <row r="23">
      <c r="A23" s="52" t="inlineStr">
        <is>
          <t>consensus · FY8/28</t>
        </is>
      </c>
      <c r="B23" s="52" t="n"/>
      <c r="C23" s="52" t="n"/>
    </row>
    <row r="24">
      <c r="A24" s="53" t="inlineStr">
        <is>
          <t>항목</t>
        </is>
      </c>
      <c r="B24" s="53" t="inlineStr">
        <is>
          <t>값</t>
        </is>
      </c>
      <c r="C24" s="53" t="inlineStr">
        <is>
          <t>출처</t>
        </is>
      </c>
    </row>
    <row r="25">
      <c r="A25" s="54" t="inlineStr">
        <is>
          <t>매출 avg</t>
        </is>
      </c>
      <c r="B25" s="57" t="n">
        <v>2103.2</v>
      </c>
      <c r="C25" s="56" t="inlineStr">
        <is>
          <t>야후 2026-10-22</t>
        </is>
      </c>
    </row>
    <row r="26">
      <c r="A26" s="54" t="inlineStr">
        <is>
          <t>EPS avg</t>
        </is>
      </c>
      <c r="B26" s="57" t="n">
        <v>65.89</v>
      </c>
    </row>
    <row r="28">
      <c r="A28" s="52" t="inlineStr">
        <is>
          <t>peers · 4442 바르테스</t>
        </is>
      </c>
      <c r="B28" s="52" t="n"/>
      <c r="C28" s="52" t="n"/>
    </row>
    <row r="29">
      <c r="A29" s="53" t="inlineStr">
        <is>
          <t>항목</t>
        </is>
      </c>
      <c r="B29" s="53" t="inlineStr">
        <is>
          <t>값</t>
        </is>
      </c>
      <c r="C29" s="53" t="inlineStr">
        <is>
          <t>출처</t>
        </is>
      </c>
    </row>
    <row r="30">
      <c r="A30" s="54" t="inlineStr">
        <is>
          <t>fc EPS</t>
        </is>
      </c>
      <c r="B30" s="57" t="n">
        <v>30.76</v>
      </c>
      <c r="C30" s="56" t="inlineStr">
        <is>
          <t>2단계 보고서 자료(회사 설명회 자료·공시)</t>
        </is>
      </c>
    </row>
    <row r="31">
      <c r="A31" s="54" t="inlineStr">
        <is>
          <t>가격</t>
        </is>
      </c>
      <c r="B31" s="55" t="n">
        <v>544</v>
      </c>
    </row>
    <row r="33">
      <c r="A33" s="52" t="inlineStr">
        <is>
          <t>peers · 3676 디지털하츠</t>
        </is>
      </c>
      <c r="B33" s="52" t="n"/>
      <c r="C33" s="52" t="n"/>
    </row>
    <row r="34">
      <c r="A34" s="53" t="inlineStr">
        <is>
          <t>항목</t>
        </is>
      </c>
      <c r="B34" s="53" t="inlineStr">
        <is>
          <t>값</t>
        </is>
      </c>
      <c r="C34" s="53" t="inlineStr">
        <is>
          <t>출처</t>
        </is>
      </c>
    </row>
    <row r="35">
      <c r="A35" s="54" t="inlineStr">
        <is>
          <t>fc EPS</t>
        </is>
      </c>
      <c r="B35" s="57" t="n">
        <v>82.95999999999999</v>
      </c>
      <c r="C35" s="56" t="inlineStr">
        <is>
          <t>2단계 보고서 자료(회사 설명회 자료·공시)</t>
        </is>
      </c>
    </row>
    <row r="36">
      <c r="A36" s="54" t="inlineStr">
        <is>
          <t>가격</t>
        </is>
      </c>
      <c r="B36" s="55" t="n">
        <v>1075</v>
      </c>
    </row>
    <row r="38">
      <c r="A38" s="52" t="inlineStr">
        <is>
          <t>peers · 2317 시스테나</t>
        </is>
      </c>
      <c r="B38" s="52" t="n"/>
      <c r="C38" s="52" t="n"/>
    </row>
    <row r="39">
      <c r="A39" s="53" t="inlineStr">
        <is>
          <t>항목</t>
        </is>
      </c>
      <c r="B39" s="53" t="inlineStr">
        <is>
          <t>값</t>
        </is>
      </c>
      <c r="C39" s="53" t="inlineStr">
        <is>
          <t>출처</t>
        </is>
      </c>
    </row>
    <row r="40">
      <c r="A40" s="54" t="inlineStr">
        <is>
          <t>fc EPS</t>
        </is>
      </c>
      <c r="B40" s="57" t="n">
        <v>29.74</v>
      </c>
      <c r="C40" s="56" t="inlineStr">
        <is>
          <t>2단계 보고서 자료(회사 설명회 자료·공시)</t>
        </is>
      </c>
    </row>
    <row r="41">
      <c r="A41" s="54" t="inlineStr">
        <is>
          <t>가격</t>
        </is>
      </c>
      <c r="B41" s="55" t="n">
        <v>460</v>
      </c>
    </row>
    <row r="43">
      <c r="A43" s="52" t="inlineStr">
        <is>
          <t>peers · 6532 베이커런트</t>
        </is>
      </c>
      <c r="B43" s="52" t="n"/>
      <c r="C43" s="52" t="n"/>
    </row>
    <row r="44">
      <c r="A44" s="53" t="inlineStr">
        <is>
          <t>항목</t>
        </is>
      </c>
      <c r="B44" s="53" t="inlineStr">
        <is>
          <t>값</t>
        </is>
      </c>
      <c r="C44" s="53" t="inlineStr">
        <is>
          <t>출처</t>
        </is>
      </c>
    </row>
    <row r="45">
      <c r="A45" s="54" t="inlineStr">
        <is>
          <t>fc EPS</t>
        </is>
      </c>
      <c r="B45" s="57" t="n">
        <v>323.79</v>
      </c>
      <c r="C45" s="56" t="inlineStr">
        <is>
          <t>2단계 보고서 자료(회사 설명회 자료·공시)</t>
        </is>
      </c>
    </row>
    <row r="46">
      <c r="A46" s="54" t="inlineStr">
        <is>
          <t>가격</t>
        </is>
      </c>
      <c r="B46" s="55" t="n">
        <v>11495</v>
      </c>
    </row>
    <row r="48">
      <c r="A48" s="52" t="inlineStr">
        <is>
          <t>비교 기업 · 9759 NSD</t>
        </is>
      </c>
      <c r="B48" s="52" t="n"/>
      <c r="C48" s="52" t="n"/>
    </row>
    <row r="49">
      <c r="A49" s="53" t="inlineStr">
        <is>
          <t>항목</t>
        </is>
      </c>
      <c r="B49" s="53" t="inlineStr">
        <is>
          <t>값</t>
        </is>
      </c>
      <c r="C49" s="53" t="inlineStr">
        <is>
          <t>출처</t>
        </is>
      </c>
    </row>
    <row r="50">
      <c r="A50" s="54" t="inlineStr">
        <is>
          <t>fc EPS</t>
        </is>
      </c>
      <c r="B50" s="57" t="n">
        <v>173.67</v>
      </c>
      <c r="C50" s="56" t="inlineStr">
        <is>
          <t>2단계 보고서 자료(회사 설명회 자료·공시)</t>
        </is>
      </c>
    </row>
    <row r="51">
      <c r="A51" s="54" t="inlineStr">
        <is>
          <t>가격</t>
        </is>
      </c>
      <c r="B51" s="55" t="n">
        <v>3230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https://www2.jpx.co.jp/disc/36970/140120261015551188.pdf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https://www2.jpx.co.jp/disc/36970/140120260715594578.pdf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https://www2.jpx.co.jp/disc/36970/140120260414503657.pdf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https://www2.jpx.co.jp/disc/36970/140120260114533653.pdf</t>
        </is>
      </c>
    </row>
    <row r="8">
      <c r="A8" t="inlineStr">
        <is>
          <t>2025-10-14</t>
        </is>
      </c>
      <c r="B8" t="inlineStr">
        <is>
          <t>2025년 8월 결산기 연간 결산단신</t>
        </is>
      </c>
      <c r="C8" t="inlineStr">
        <is>
          <t>https://www2.jpx.co.jp/disc/36970/140120251014572712.pdf</t>
        </is>
      </c>
    </row>
    <row r="9">
      <c r="A9" t="inlineStr">
        <is>
          <t>2025-07-09</t>
        </is>
      </c>
      <c r="B9" t="inlineStr">
        <is>
          <t>2025년 8월 결산기 ３분기 결산단신</t>
        </is>
      </c>
      <c r="C9" t="inlineStr">
        <is>
          <t>https://www2.jpx.co.jp/disc/36970/140120250709510601.pdf</t>
        </is>
      </c>
    </row>
    <row r="10">
      <c r="A10" t="inlineStr">
        <is>
          <t>2025-04-10</t>
        </is>
      </c>
      <c r="B10" t="inlineStr">
        <is>
          <t>2025년 8월 결산기 ２분기 결산단신</t>
        </is>
      </c>
      <c r="C10" t="inlineStr">
        <is>
          <t>https://www2.jpx.co.jp/disc/36970/140120250410512548.pdf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https://www2.jpx.co.jp/disc/36970/140120250114550207.pdf</t>
        </is>
      </c>
    </row>
    <row r="12">
      <c r="A12" t="inlineStr">
        <is>
          <t>2024-10-10</t>
        </is>
      </c>
      <c r="B12" t="inlineStr">
        <is>
          <t>2024년 8월 결산기 연간 결산단신</t>
        </is>
      </c>
      <c r="C12" t="inlineStr">
        <is>
          <t>https://www2.jpx.co.jp/disc/36970/140120241010596269.pdf</t>
        </is>
      </c>
    </row>
    <row r="13">
      <c r="A13" t="inlineStr">
        <is>
          <t>2024-07-10</t>
        </is>
      </c>
      <c r="B13" t="inlineStr">
        <is>
          <t>2024년 8월 결산기 ３분기 결산단신</t>
        </is>
      </c>
      <c r="C13" t="inlineStr">
        <is>
          <t>https://www2.jpx.co.jp/disc/36970/140120240710546846.pdf</t>
        </is>
      </c>
    </row>
    <row r="14">
      <c r="A14" t="inlineStr">
        <is>
          <t>2024-04-11</t>
        </is>
      </c>
      <c r="B14" t="inlineStr">
        <is>
          <t>2024년 8월 결산기 ２분기 결산단신</t>
        </is>
      </c>
      <c r="C14" t="inlineStr">
        <is>
          <t>https://www2.jpx.co.jp/disc/36970/140120240411568859.pdf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https://www2.jpx.co.jp/disc/36970/140120240111513409.pdf</t>
        </is>
      </c>
    </row>
    <row r="16">
      <c r="A16" t="inlineStr">
        <is>
          <t>2023-10-12</t>
        </is>
      </c>
      <c r="B16" t="inlineStr">
        <is>
          <t>2023년 8월 결산기 연간 결산단신</t>
        </is>
      </c>
      <c r="C16" t="inlineStr">
        <is>
          <t>https://www2.jpx.co.jp/disc/36970/140120231012565742.pdf</t>
        </is>
      </c>
    </row>
    <row r="17">
      <c r="A17" t="inlineStr">
        <is>
          <t>2023-07-13</t>
        </is>
      </c>
      <c r="B17" t="inlineStr">
        <is>
          <t>2023년 8월 결산기 ３분기 결산단신</t>
        </is>
      </c>
      <c r="C17" t="inlineStr">
        <is>
          <t>https://www2.jpx.co.jp/disc/36970/140120230713521444.pdf</t>
        </is>
      </c>
    </row>
    <row r="18">
      <c r="A18" t="inlineStr">
        <is>
          <t>2023-04-10</t>
        </is>
      </c>
      <c r="B18" t="inlineStr">
        <is>
          <t>2023년 8월 결산기 ２분기 결산단신</t>
        </is>
      </c>
      <c r="C18" t="inlineStr">
        <is>
          <t>https://www2.jpx.co.jp/disc/36970/140120230410544464.pdf</t>
        </is>
      </c>
    </row>
    <row r="19">
      <c r="A19" t="inlineStr">
        <is>
          <t>2023-01-12</t>
        </is>
      </c>
      <c r="B19" t="inlineStr">
        <is>
          <t>2023년 8월 결산기 １분기 결산단신</t>
        </is>
      </c>
      <c r="C19" t="inlineStr">
        <is>
          <t>https://www2.jpx.co.jp/disc/36970/140120230112587997.pdf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https://www2.jpx.co.jp/disc/36970/140120221014544294.pdf</t>
        </is>
      </c>
    </row>
    <row r="21">
      <c r="A21" t="inlineStr">
        <is>
          <t>2021-10-12</t>
        </is>
      </c>
      <c r="B21" t="inlineStr">
        <is>
          <t>2021년 8월 결산기 연간 결산단신</t>
        </is>
      </c>
      <c r="C21" t="inlineStr">
        <is>
          <t>https://www2.jpx.co.jp/disc/36970/140120211012409444.pdf</t>
        </is>
      </c>
    </row>
    <row r="22">
      <c r="A22" t="inlineStr">
        <is>
          <t>2020-10-08</t>
        </is>
      </c>
      <c r="B22" t="inlineStr">
        <is>
          <t>2020년 8월 결산기 연간 결산단신</t>
        </is>
      </c>
      <c r="C22" t="inlineStr">
        <is>
          <t>https://www2.jpx.co.jp/disc/36970/140120201008401276.pdf</t>
        </is>
      </c>
    </row>
    <row r="23">
      <c r="A23" t="inlineStr">
        <is>
          <t>2019-10-10</t>
        </is>
      </c>
      <c r="B23" t="inlineStr">
        <is>
          <t>2019년 8월 결산기 연간 결산단신</t>
        </is>
      </c>
      <c r="C23" t="inlineStr">
        <is>
          <t>https://www2.jpx.co.jp/disc/36970/140120191010406785.pdf</t>
        </is>
      </c>
    </row>
    <row r="24">
      <c r="A24" t="inlineStr">
        <is>
          <t>2018-10-11</t>
        </is>
      </c>
      <c r="B24" t="inlineStr">
        <is>
          <t>2018년 8월 결산기 연간 결산단신</t>
        </is>
      </c>
      <c r="C24" t="inlineStr">
        <is>
          <t>https://www2.jpx.co.jp/disc/36970/140120181011416348.pdf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2026-10-26T10:53:43Z</dcterms:created>
  <dcterms:modified xmlns:dcterms="http://purl.org/dc/terms/" xmlns:xsi="http://www.w3.org/2001/XMLSchema-instance" xsi:type="dcterms:W3CDTF">2026-10-26T10:53:43Z</dcterms:modified>
</cp:coreProperties>
</file>