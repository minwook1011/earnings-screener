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SHIFT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25073</v>
      </c>
      <c r="D4" s="12" t="n">
        <v>27232</v>
      </c>
      <c r="E4" s="12" t="n">
        <v>28838</v>
      </c>
      <c r="F4" s="12" t="n">
        <v>29484</v>
      </c>
      <c r="G4" s="12" t="n">
        <v>30174</v>
      </c>
      <c r="H4" s="12" t="n">
        <v>31514</v>
      </c>
      <c r="I4" s="12" t="n">
        <v>33724</v>
      </c>
      <c r="J4" s="12" t="n">
        <v>34407</v>
      </c>
      <c r="K4" s="12" t="n">
        <v>34845</v>
      </c>
      <c r="L4" s="12" t="n">
        <v>37190</v>
      </c>
      <c r="M4" s="12" t="n">
        <v>43813</v>
      </c>
      <c r="N4" s="12" t="n">
        <v>45752</v>
      </c>
      <c r="O4" s="11" t="n">
        <v>8174.062</v>
      </c>
      <c r="P4" s="12" t="n">
        <v>12792.68</v>
      </c>
      <c r="Q4" s="12" t="n">
        <v>19531.96</v>
      </c>
      <c r="R4" s="12" t="n">
        <v>28712.177</v>
      </c>
      <c r="S4" s="12" t="n">
        <v>46004.569</v>
      </c>
      <c r="T4" s="12" t="n">
        <v>64873</v>
      </c>
      <c r="U4" s="12" t="n">
        <v>88030</v>
      </c>
      <c r="V4" s="12" t="n">
        <v>110627</v>
      </c>
      <c r="W4" s="12" t="n">
        <v>129819</v>
      </c>
      <c r="X4" s="12" t="n">
        <v>161600</v>
      </c>
      <c r="Y4" s="11">
        <f>IF(COUNT(Y7,Y10,Y13,Y16,Y19,Y22,Y25,Y28,Y31,Y34)=0,"",SUM(Y7,Y10,Y13,Y16,Y19,Y22,Y25,Y28,Y31,Y34))</f>
        <v/>
      </c>
      <c r="Z4" s="12">
        <f>IF(COUNT(Z7,Z10,Z13,Z16,Z19,Z22,Z25,Z28,Z31,Z34)=0,"",SUM(Z7,Z10,Z13,Z16,Z19,Z22,Z25,Z28,Z31,Z34))</f>
        <v/>
      </c>
      <c r="AA4" s="12">
        <f>IF(COUNT(AA7,AA10,AA13,AA16,AA19,AA22,AA25,AA28,AA31,AA34)=0,"",SUM(AA7,AA10,AA13,AA16,AA19,AA22,AA25,AA28,AA31,AA34))</f>
        <v/>
      </c>
      <c r="AB4" s="12">
        <f>IF(COUNT(AB7,AB10,AB13,AB16,AB19,AB22,AB25,AB28,AB31,AB34)=0,"",SUM(AB7,AB10,AB13,AB16,AB19,AB22,AB25,AB28,AB31,AB34))</f>
        <v/>
      </c>
      <c r="AC4" s="12">
        <f>IF(COUNT(AC7,AC10,AC13,AC16,AC19,AC22,AC25,AC28,AC31,AC34)=0,"",SUM(AC7,AC10,AC13,AC16,AC19,AC22,AC25,AC28,AC31,AC34))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ConsultingReportableSegmentMember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14554</v>
      </c>
      <c r="X7" s="20" t="n">
        <v>18892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DevelopmentReportableSegmentMember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45480</v>
      </c>
      <c r="X10" s="20" t="n">
        <v>62193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TestingReportableSegmentMember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57455</v>
      </c>
      <c r="X13" s="20" t="n">
        <v>64130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BPaaSReportableSegmentMember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3418</v>
      </c>
      <c r="X16" s="20" t="n">
        <v>4825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InvestmentPlatformReportableSegmentMember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0</v>
      </c>
      <c r="X19" s="20" t="n">
        <v>638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>
        <v>8850</v>
      </c>
      <c r="X22" s="20" t="n">
        <v>10806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EntityTotalMember</t>
        </is>
      </c>
      <c r="B25" s="10" t="n"/>
      <c r="C25" s="19" t="n"/>
      <c r="D25" s="20" t="n"/>
      <c r="E25" s="20" t="n"/>
      <c r="F25" s="20" t="n"/>
      <c r="G25" s="20" t="n">
        <v>30174</v>
      </c>
      <c r="H25" s="20" t="n"/>
      <c r="I25" s="20" t="n"/>
      <c r="J25" s="20" t="n"/>
      <c r="K25" s="20" t="n">
        <v>34845</v>
      </c>
      <c r="L25" s="20" t="n"/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SoftwareTestingRelatedServicesReportableSegmentMember</t>
        </is>
      </c>
      <c r="B28" s="10" t="n"/>
      <c r="C28" s="19" t="n">
        <v>16359</v>
      </c>
      <c r="D28" s="20" t="n">
        <v>17485</v>
      </c>
      <c r="E28" s="20" t="n">
        <v>18586</v>
      </c>
      <c r="F28" s="20" t="n">
        <v>18912</v>
      </c>
      <c r="G28" s="20" t="n">
        <v>19279</v>
      </c>
      <c r="H28" s="20" t="n">
        <v>20327</v>
      </c>
      <c r="I28" s="20" t="n">
        <v>22267</v>
      </c>
      <c r="J28" s="20" t="n">
        <v>22422</v>
      </c>
      <c r="K28" s="20" t="n">
        <v>22649</v>
      </c>
      <c r="L28" s="20" t="n">
        <v>24682</v>
      </c>
      <c r="M28" s="20" t="n">
        <v>27203</v>
      </c>
      <c r="N28" s="20" t="n"/>
      <c r="O28" s="19" t="n"/>
      <c r="P28" s="20" t="n"/>
      <c r="Q28" s="20" t="n"/>
      <c r="R28" s="20" t="n"/>
      <c r="S28" s="20" t="n"/>
      <c r="T28" s="20" t="n"/>
      <c r="U28" s="20" t="n">
        <v>58285</v>
      </c>
      <c r="V28" s="20" t="n">
        <v>71342</v>
      </c>
      <c r="W28" s="20" t="n">
        <v>84295</v>
      </c>
      <c r="X28" s="20" t="n"/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8" t="inlineStr">
        <is>
          <t>SoftwareDevelopmentRelatedServicesReportableSegmentMember</t>
        </is>
      </c>
      <c r="B31" s="10" t="n"/>
      <c r="C31" s="19" t="n">
        <v>8135</v>
      </c>
      <c r="D31" s="20" t="n">
        <v>8634</v>
      </c>
      <c r="E31" s="20" t="n">
        <v>8934</v>
      </c>
      <c r="F31" s="20" t="n">
        <v>9305</v>
      </c>
      <c r="G31" s="20" t="n">
        <v>9696</v>
      </c>
      <c r="H31" s="20" t="n">
        <v>10037</v>
      </c>
      <c r="I31" s="20" t="n">
        <v>10071</v>
      </c>
      <c r="J31" s="20" t="n">
        <v>10324</v>
      </c>
      <c r="K31" s="20" t="n">
        <v>10471</v>
      </c>
      <c r="L31" s="20" t="n">
        <v>10842</v>
      </c>
      <c r="M31" s="20" t="n">
        <v>14665</v>
      </c>
      <c r="N31" s="20" t="n"/>
      <c r="O31" s="19" t="n"/>
      <c r="P31" s="20" t="n"/>
      <c r="Q31" s="20" t="n"/>
      <c r="R31" s="20" t="n"/>
      <c r="S31" s="20" t="n"/>
      <c r="T31" s="20" t="n"/>
      <c r="U31" s="20" t="n">
        <v>27089</v>
      </c>
      <c r="V31" s="20" t="n">
        <v>35008</v>
      </c>
      <c r="W31" s="20" t="n">
        <v>40128</v>
      </c>
      <c r="X31" s="20" t="n"/>
      <c r="Y31" s="21" t="n"/>
      <c r="Z31" s="22" t="n"/>
      <c r="AA31" s="22" t="n"/>
      <c r="AB31" s="22" t="n"/>
      <c r="AC31" s="22" t="n"/>
    </row>
    <row r="32">
      <c r="A32" s="13" t="inlineStr">
        <is>
          <t>비중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8" t="inlineStr">
        <is>
          <t>OtherProximateServicesReportableSegmentMember</t>
        </is>
      </c>
      <c r="B34" s="10" t="n"/>
      <c r="C34" s="19" t="n">
        <v>1568</v>
      </c>
      <c r="D34" s="20" t="n">
        <v>2071</v>
      </c>
      <c r="E34" s="20" t="n">
        <v>2335</v>
      </c>
      <c r="F34" s="20" t="n">
        <v>2353</v>
      </c>
      <c r="G34" s="20" t="n">
        <v>2321</v>
      </c>
      <c r="H34" s="20" t="n">
        <v>2560</v>
      </c>
      <c r="I34" s="20" t="n">
        <v>2761</v>
      </c>
      <c r="J34" s="20" t="n">
        <v>3099</v>
      </c>
      <c r="K34" s="20" t="n">
        <v>3227</v>
      </c>
      <c r="L34" s="20" t="n">
        <v>3223</v>
      </c>
      <c r="M34" s="20" t="n">
        <v>3442</v>
      </c>
      <c r="N34" s="20" t="n"/>
      <c r="O34" s="19" t="n"/>
      <c r="P34" s="20" t="n"/>
      <c r="Q34" s="20" t="n"/>
      <c r="R34" s="20" t="n"/>
      <c r="S34" s="20" t="n"/>
      <c r="T34" s="20" t="n"/>
      <c r="U34" s="20" t="n">
        <v>6457</v>
      </c>
      <c r="V34" s="20" t="n">
        <v>8327</v>
      </c>
      <c r="W34" s="20" t="n">
        <v>10741</v>
      </c>
      <c r="X34" s="20" t="n"/>
      <c r="Y34" s="21" t="n"/>
      <c r="Z34" s="22" t="n"/>
      <c r="AA34" s="22" t="n"/>
      <c r="AB34" s="22" t="n"/>
      <c r="AC34" s="22" t="n"/>
    </row>
    <row r="35">
      <c r="A35" s="13" t="inlineStr">
        <is>
          <t>비중</t>
        </is>
      </c>
      <c r="B35" s="10" t="n"/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>
        <f>IF(OR(Y34="",Y4=""),"",IFERROR(Y34/Y4,""))</f>
        <v/>
      </c>
      <c r="Z35" s="15">
        <f>IF(OR(Z34="",Z4=""),"",IFERROR(Z34/Z4,""))</f>
        <v/>
      </c>
      <c r="AA35" s="15">
        <f>IF(OR(AA34="",AA4=""),"",IFERROR(AA34/AA4,""))</f>
        <v/>
      </c>
      <c r="AB35" s="15">
        <f>IF(OR(AB34="",AB4=""),"",IFERROR(AB34/AB4,""))</f>
        <v/>
      </c>
      <c r="AC35" s="15">
        <f>IF(OR(AC34="",AC4=""),"",IFERROR(AC34/AC4,""))</f>
        <v/>
      </c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매출원가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전체 매출원가</t>
        </is>
      </c>
      <c r="B38" s="10" t="n"/>
      <c r="C38" s="19" t="n">
        <v>17267</v>
      </c>
      <c r="D38" s="20" t="n">
        <v>18474</v>
      </c>
      <c r="E38" s="20" t="n">
        <v>19692</v>
      </c>
      <c r="F38" s="20" t="n">
        <v>19834</v>
      </c>
      <c r="G38" s="20" t="n">
        <v>20150</v>
      </c>
      <c r="H38" s="20" t="n">
        <v>20333</v>
      </c>
      <c r="I38" s="20" t="n">
        <v>21887</v>
      </c>
      <c r="J38" s="20" t="n">
        <v>22433</v>
      </c>
      <c r="K38" s="20" t="n">
        <v>23525</v>
      </c>
      <c r="L38" s="20" t="n">
        <v>24411</v>
      </c>
      <c r="M38" s="20" t="n">
        <v>29554</v>
      </c>
      <c r="N38" s="20" t="n">
        <v>29908</v>
      </c>
      <c r="O38" s="19" t="n">
        <v>5894.917</v>
      </c>
      <c r="P38" s="20" t="n">
        <v>8900.938</v>
      </c>
      <c r="Q38" s="20" t="n">
        <v>13315.898</v>
      </c>
      <c r="R38" s="20" t="n">
        <v>19762.042</v>
      </c>
      <c r="S38" s="20" t="n">
        <v>32091.598</v>
      </c>
      <c r="T38" s="20" t="n">
        <v>43773</v>
      </c>
      <c r="U38" s="20" t="n">
        <v>58086</v>
      </c>
      <c r="V38" s="20" t="n">
        <v>75267</v>
      </c>
      <c r="W38" s="20" t="n">
        <v>84803</v>
      </c>
      <c r="X38" s="20" t="n">
        <v>107398</v>
      </c>
      <c r="Y38" s="19" t="n"/>
      <c r="Z38" s="20" t="n"/>
      <c r="AA38" s="20" t="n"/>
      <c r="AB38" s="20" t="n"/>
      <c r="AC38" s="20" t="n"/>
    </row>
    <row r="39">
      <c r="A39" s="13" t="inlineStr">
        <is>
          <t>YoY</t>
        </is>
      </c>
      <c r="B39" s="10" t="n"/>
      <c r="C39" s="14" t="n"/>
      <c r="D39" s="15" t="n"/>
      <c r="E39" s="15" t="n"/>
      <c r="F39" s="15" t="n"/>
      <c r="G39" s="15">
        <f>IF(OR(G38="",C38=""),"",IF(C38&lt;=0,"",IFERROR(G38/C38-1,"")))</f>
        <v/>
      </c>
      <c r="H39" s="15">
        <f>IF(OR(H38="",D38=""),"",IF(D38&lt;=0,"",IFERROR(H38/D38-1,"")))</f>
        <v/>
      </c>
      <c r="I39" s="15">
        <f>IF(OR(I38="",E38=""),"",IF(E38&lt;=0,"",IFERROR(I38/E38-1,"")))</f>
        <v/>
      </c>
      <c r="J39" s="15">
        <f>IF(OR(J38="",F38=""),"",IF(F38&lt;=0,"",IFERROR(J38/F38-1,"")))</f>
        <v/>
      </c>
      <c r="K39" s="15">
        <f>IF(OR(K38="",G38=""),"",IF(G38&lt;=0,"",IFERROR(K38/G38-1,"")))</f>
        <v/>
      </c>
      <c r="L39" s="15">
        <f>IF(OR(L38="",H38=""),"",IF(H38&lt;=0,"",IFERROR(L38/H38-1,"")))</f>
        <v/>
      </c>
      <c r="M39" s="15">
        <f>IF(OR(M38="",I38=""),"",IF(I38&lt;=0,"",IFERROR(M38/I38-1,"")))</f>
        <v/>
      </c>
      <c r="N39" s="15">
        <f>IF(OR(N38="",J38=""),"",IF(J38&lt;=0,"",IFERROR(N38/J38-1,"")))</f>
        <v/>
      </c>
      <c r="O39" s="14" t="n"/>
      <c r="P39" s="15">
        <f>IF(OR(P38="",O38=""),"",IF(O38&lt;=0,"",IFERROR(P38/O38-1,"")))</f>
        <v/>
      </c>
      <c r="Q39" s="15">
        <f>IF(OR(Q38="",P38=""),"",IF(P38&lt;=0,"",IFERROR(Q38/P38-1,"")))</f>
        <v/>
      </c>
      <c r="R39" s="15">
        <f>IF(OR(R38="",Q38=""),"",IF(Q38&lt;=0,"",IFERROR(R38/Q38-1,"")))</f>
        <v/>
      </c>
      <c r="S39" s="15">
        <f>IF(OR(S38="",R38=""),"",IF(R38&lt;=0,"",IFERROR(S38/R38-1,"")))</f>
        <v/>
      </c>
      <c r="T39" s="15">
        <f>IF(OR(T38="",S38=""),"",IF(S38&lt;=0,"",IFERROR(T38/S38-1,"")))</f>
        <v/>
      </c>
      <c r="U39" s="15">
        <f>IF(OR(U38="",T38=""),"",IF(T38&lt;=0,"",IFERROR(U38/T38-1,"")))</f>
        <v/>
      </c>
      <c r="V39" s="15">
        <f>IF(OR(V38="",U38=""),"",IF(U38&lt;=0,"",IFERROR(V38/U38-1,"")))</f>
        <v/>
      </c>
      <c r="W39" s="15">
        <f>IF(OR(W38="",V38=""),"",IF(V38&lt;=0,"",IFERROR(W38/V38-1,"")))</f>
        <v/>
      </c>
      <c r="X39" s="15">
        <f>IF(OR(X38="",W38=""),"",IF(W38&lt;=0,"",IFERROR(X38/W38-1,"")))</f>
        <v/>
      </c>
      <c r="Y39" s="14">
        <f>IF(OR(Y38="",X38=""),"",IF(X38&lt;=0,"",IFERROR(Y38/X38-1,"")))</f>
        <v/>
      </c>
      <c r="Z39" s="15">
        <f>IF(OR(Z38="",Y38=""),"",IF(Y38&lt;=0,"",IFERROR(Z38/Y38-1,"")))</f>
        <v/>
      </c>
      <c r="AA39" s="15">
        <f>IF(OR(AA38="",Z38=""),"",IF(Z38&lt;=0,"",IFERROR(AA38/Z38-1,"")))</f>
        <v/>
      </c>
      <c r="AB39" s="15">
        <f>IF(OR(AB38="",AA38=""),"",IF(AA38&lt;=0,"",IFERROR(AB38/AA38-1,"")))</f>
        <v/>
      </c>
      <c r="AC39" s="15">
        <f>IF(OR(AC38="",AB38=""),"",IF(AB38&lt;=0,"",IFERROR(AC38/AB38-1,"")))</f>
        <v/>
      </c>
    </row>
    <row r="40">
      <c r="A40" s="18" t="inlineStr">
        <is>
          <t>매출총이익</t>
        </is>
      </c>
      <c r="B40" s="10" t="n"/>
      <c r="C40" s="19">
        <f>IF(OR(C4="",C38=""),"",IFERROR(C4-C38,""))</f>
        <v/>
      </c>
      <c r="D40" s="20">
        <f>IF(OR(D4="",D38=""),"",IFERROR(D4-D38,""))</f>
        <v/>
      </c>
      <c r="E40" s="20">
        <f>IF(OR(E4="",E38=""),"",IFERROR(E4-E38,""))</f>
        <v/>
      </c>
      <c r="F40" s="20">
        <f>IF(OR(F4="",F38=""),"",IFERROR(F4-F38,""))</f>
        <v/>
      </c>
      <c r="G40" s="20">
        <f>IF(OR(G4="",G38=""),"",IFERROR(G4-G38,""))</f>
        <v/>
      </c>
      <c r="H40" s="20">
        <f>IF(OR(H4="",H38=""),"",IFERROR(H4-H38,""))</f>
        <v/>
      </c>
      <c r="I40" s="20">
        <f>IF(OR(I4="",I38=""),"",IFERROR(I4-I38,""))</f>
        <v/>
      </c>
      <c r="J40" s="20">
        <f>IF(OR(J4="",J38=""),"",IFERROR(J4-J38,""))</f>
        <v/>
      </c>
      <c r="K40" s="20">
        <f>IF(OR(K4="",K38=""),"",IFERROR(K4-K38,""))</f>
        <v/>
      </c>
      <c r="L40" s="20">
        <f>IF(OR(L4="",L38=""),"",IFERROR(L4-L38,""))</f>
        <v/>
      </c>
      <c r="M40" s="20">
        <f>IF(OR(M4="",M38=""),"",IFERROR(M4-M38,""))</f>
        <v/>
      </c>
      <c r="N40" s="20">
        <f>IF(OR(N4="",N38=""),"",IFERROR(N4-N38,""))</f>
        <v/>
      </c>
      <c r="O40" s="19">
        <f>IF(OR(O4="",O38=""),"",IFERROR(O4-O38,""))</f>
        <v/>
      </c>
      <c r="P40" s="20">
        <f>IF(OR(P4="",P38=""),"",IFERROR(P4-P38,""))</f>
        <v/>
      </c>
      <c r="Q40" s="20">
        <f>IF(OR(Q4="",Q38=""),"",IFERROR(Q4-Q38,""))</f>
        <v/>
      </c>
      <c r="R40" s="20">
        <f>IF(OR(R4="",R38=""),"",IFERROR(R4-R38,""))</f>
        <v/>
      </c>
      <c r="S40" s="20">
        <f>IF(OR(S4="",S38=""),"",IFERROR(S4-S38,""))</f>
        <v/>
      </c>
      <c r="T40" s="20">
        <f>IF(OR(T4="",T38=""),"",IFERROR(T4-T38,""))</f>
        <v/>
      </c>
      <c r="U40" s="20">
        <f>IF(OR(U4="",U38=""),"",IFERROR(U4-U38,""))</f>
        <v/>
      </c>
      <c r="V40" s="20">
        <f>IF(OR(V4="",V38=""),"",IFERROR(V4-V38,""))</f>
        <v/>
      </c>
      <c r="W40" s="20">
        <f>IF(OR(W4="",W38=""),"",IFERROR(W4-W38,""))</f>
        <v/>
      </c>
      <c r="X40" s="20">
        <f>IF(OR(X4="",X38=""),"",IFERROR(X4-X38,""))</f>
        <v/>
      </c>
      <c r="Y40" s="19" t="n"/>
      <c r="Z40" s="20" t="n"/>
      <c r="AA40" s="20" t="n"/>
      <c r="AB40" s="20" t="n"/>
      <c r="AC40" s="20" t="n"/>
    </row>
    <row r="41">
      <c r="A41" s="13" t="inlineStr">
        <is>
          <t>GPM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>
        <f>IF(OR(Y40="",Y4=""),"",IFERROR(Y40/Y4,""))</f>
        <v/>
      </c>
      <c r="Z41" s="15">
        <f>IF(OR(Z40="",Z4=""),"",IFERROR(Z40/Z4,""))</f>
        <v/>
      </c>
      <c r="AA41" s="15">
        <f>IF(OR(AA40="",AA4=""),"",IFERROR(AA40/AA4,""))</f>
        <v/>
      </c>
      <c r="AB41" s="15">
        <f>IF(OR(AB40="",AB4=""),"",IFERROR(AB40/AB4,""))</f>
        <v/>
      </c>
      <c r="AC41" s="15">
        <f>IF(OR(AC40="",AC4=""),"",IFERROR(AC40/AC4,""))</f>
        <v/>
      </c>
    </row>
    <row r="42">
      <c r="A42" s="13" t="inlineStr">
        <is>
          <t>YoY</t>
        </is>
      </c>
      <c r="B42" s="10" t="n"/>
      <c r="C42" s="14" t="n"/>
      <c r="D42" s="15" t="n"/>
      <c r="E42" s="15" t="n"/>
      <c r="F42" s="15" t="n"/>
      <c r="G42" s="15">
        <f>IF(OR(G40="",C40=""),"",IF(C40&lt;=0,"",IFERROR(G40/C40-1,"")))</f>
        <v/>
      </c>
      <c r="H42" s="15">
        <f>IF(OR(H40="",D40=""),"",IF(D40&lt;=0,"",IFERROR(H40/D40-1,"")))</f>
        <v/>
      </c>
      <c r="I42" s="15">
        <f>IF(OR(I40="",E40=""),"",IF(E40&lt;=0,"",IFERROR(I40/E40-1,"")))</f>
        <v/>
      </c>
      <c r="J42" s="15">
        <f>IF(OR(J40="",F40=""),"",IF(F40&lt;=0,"",IFERROR(J40/F40-1,"")))</f>
        <v/>
      </c>
      <c r="K42" s="15">
        <f>IF(OR(K40="",G40=""),"",IF(G40&lt;=0,"",IFERROR(K40/G40-1,"")))</f>
        <v/>
      </c>
      <c r="L42" s="15">
        <f>IF(OR(L40="",H40=""),"",IF(H40&lt;=0,"",IFERROR(L40/H40-1,"")))</f>
        <v/>
      </c>
      <c r="M42" s="15">
        <f>IF(OR(M40="",I40=""),"",IF(I40&lt;=0,"",IFERROR(M40/I40-1,"")))</f>
        <v/>
      </c>
      <c r="N42" s="15">
        <f>IF(OR(N40="",J40=""),"",IF(J40&lt;=0,"",IFERROR(N40/J40-1,"")))</f>
        <v/>
      </c>
      <c r="O42" s="14" t="n"/>
      <c r="P42" s="15">
        <f>IF(OR(P40="",O40=""),"",IF(O40&lt;=0,"",IFERROR(P40/O40-1,"")))</f>
        <v/>
      </c>
      <c r="Q42" s="15">
        <f>IF(OR(Q40="",P40=""),"",IF(P40&lt;=0,"",IFERROR(Q40/P40-1,"")))</f>
        <v/>
      </c>
      <c r="R42" s="15">
        <f>IF(OR(R40="",Q40=""),"",IF(Q40&lt;=0,"",IFERROR(R40/Q40-1,"")))</f>
        <v/>
      </c>
      <c r="S42" s="15">
        <f>IF(OR(S40="",R40=""),"",IF(R40&lt;=0,"",IFERROR(S40/R40-1,"")))</f>
        <v/>
      </c>
      <c r="T42" s="15">
        <f>IF(OR(T40="",S40=""),"",IF(S40&lt;=0,"",IFERROR(T40/S40-1,"")))</f>
        <v/>
      </c>
      <c r="U42" s="15">
        <f>IF(OR(U40="",T40=""),"",IF(T40&lt;=0,"",IFERROR(U40/T40-1,"")))</f>
        <v/>
      </c>
      <c r="V42" s="15">
        <f>IF(OR(V40="",U40=""),"",IF(U40&lt;=0,"",IFERROR(V40/U40-1,"")))</f>
        <v/>
      </c>
      <c r="W42" s="15">
        <f>IF(OR(W40="",V40=""),"",IF(V40&lt;=0,"",IFERROR(W40/V40-1,"")))</f>
        <v/>
      </c>
      <c r="X42" s="15">
        <f>IF(OR(X40="",W40=""),"",IF(W40&lt;=0,"",IFERROR(X40/W40-1,"")))</f>
        <v/>
      </c>
      <c r="Y42" s="14">
        <f>IF(OR(Y40="",X40=""),"",IF(X40&lt;=0,"",IFERROR(Y40/X40-1,"")))</f>
        <v/>
      </c>
      <c r="Z42" s="15">
        <f>IF(OR(Z40="",Y40=""),"",IF(Y40&lt;=0,"",IFERROR(Z40/Y40-1,"")))</f>
        <v/>
      </c>
      <c r="AA42" s="15">
        <f>IF(OR(AA40="",Z40=""),"",IF(Z40&lt;=0,"",IFERROR(AA40/Z40-1,"")))</f>
        <v/>
      </c>
      <c r="AB42" s="15">
        <f>IF(OR(AB40="",AA40=""),"",IF(AA40&lt;=0,"",IFERROR(AB40/AA40-1,"")))</f>
        <v/>
      </c>
      <c r="AC42" s="15">
        <f>IF(OR(AC40="",AB40=""),"",IF(AB40&lt;=0,"",IFERROR(AC40/AB40-1,"")))</f>
        <v/>
      </c>
    </row>
    <row r="43">
      <c r="A43" s="23" t="inlineStr">
        <is>
          <t>판매관리비</t>
        </is>
      </c>
      <c r="B43" s="23" t="n"/>
      <c r="C43" s="24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4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4" t="n"/>
      <c r="Z43" s="23" t="n"/>
      <c r="AA43" s="23" t="n"/>
      <c r="AB43" s="23" t="n"/>
      <c r="AC43" s="23" t="n"/>
    </row>
    <row r="44">
      <c r="A44" s="18" t="inlineStr">
        <is>
          <t>전체 판관비</t>
        </is>
      </c>
      <c r="B44" s="10" t="n"/>
      <c r="C44" s="19" t="n">
        <v>5993</v>
      </c>
      <c r="D44" s="20" t="n">
        <v>5887</v>
      </c>
      <c r="E44" s="20" t="n">
        <v>6773</v>
      </c>
      <c r="F44" s="20" t="n">
        <v>6170</v>
      </c>
      <c r="G44" s="20" t="n">
        <v>6507</v>
      </c>
      <c r="H44" s="20" t="n">
        <v>6639</v>
      </c>
      <c r="I44" s="20" t="n">
        <v>7995</v>
      </c>
      <c r="J44" s="20" t="n">
        <v>8246</v>
      </c>
      <c r="K44" s="20" t="n">
        <v>8502</v>
      </c>
      <c r="L44" s="20" t="n">
        <v>8689</v>
      </c>
      <c r="M44" s="20" t="n">
        <v>9783</v>
      </c>
      <c r="N44" s="20" t="n">
        <v>9782</v>
      </c>
      <c r="O44" s="19" t="n">
        <v>1887.665</v>
      </c>
      <c r="P44" s="20" t="n">
        <v>2690.839</v>
      </c>
      <c r="Q44" s="20" t="n">
        <v>4675.448</v>
      </c>
      <c r="R44" s="20" t="n">
        <v>6596.758</v>
      </c>
      <c r="S44" s="20" t="n">
        <v>9918.044</v>
      </c>
      <c r="T44" s="20" t="n">
        <v>14186</v>
      </c>
      <c r="U44" s="20" t="n">
        <v>18378</v>
      </c>
      <c r="V44" s="20" t="n">
        <v>24823</v>
      </c>
      <c r="W44" s="20" t="n">
        <v>29387</v>
      </c>
      <c r="X44" s="20" t="n">
        <v>36756</v>
      </c>
      <c r="Y44" s="19" t="n"/>
      <c r="Z44" s="20" t="n"/>
      <c r="AA44" s="20" t="n"/>
      <c r="AB44" s="20" t="n"/>
      <c r="AC44" s="20" t="n"/>
    </row>
    <row r="45">
      <c r="A45" s="13" t="inlineStr">
        <is>
          <t>YoY</t>
        </is>
      </c>
      <c r="B45" s="10" t="n"/>
      <c r="C45" s="14" t="n"/>
      <c r="D45" s="15" t="n"/>
      <c r="E45" s="15" t="n"/>
      <c r="F45" s="15" t="n"/>
      <c r="G45" s="15">
        <f>IF(OR(G44="",C44=""),"",IF(C44&lt;=0,"",IFERROR(G44/C44-1,"")))</f>
        <v/>
      </c>
      <c r="H45" s="15">
        <f>IF(OR(H44="",D44=""),"",IF(D44&lt;=0,"",IFERROR(H44/D44-1,"")))</f>
        <v/>
      </c>
      <c r="I45" s="15">
        <f>IF(OR(I44="",E44=""),"",IF(E44&lt;=0,"",IFERROR(I44/E44-1,"")))</f>
        <v/>
      </c>
      <c r="J45" s="15">
        <f>IF(OR(J44="",F44=""),"",IF(F44&lt;=0,"",IFERROR(J44/F44-1,"")))</f>
        <v/>
      </c>
      <c r="K45" s="15">
        <f>IF(OR(K44="",G44=""),"",IF(G44&lt;=0,"",IFERROR(K44/G44-1,"")))</f>
        <v/>
      </c>
      <c r="L45" s="15">
        <f>IF(OR(L44="",H44=""),"",IF(H44&lt;=0,"",IFERROR(L44/H44-1,"")))</f>
        <v/>
      </c>
      <c r="M45" s="15">
        <f>IF(OR(M44="",I44=""),"",IF(I44&lt;=0,"",IFERROR(M44/I44-1,"")))</f>
        <v/>
      </c>
      <c r="N45" s="15">
        <f>IF(OR(N44="",J44=""),"",IF(J44&lt;=0,"",IFERROR(N44/J44-1,"")))</f>
        <v/>
      </c>
      <c r="O45" s="14" t="n"/>
      <c r="P45" s="15">
        <f>IF(OR(P44="",O44=""),"",IF(O44&lt;=0,"",IFERROR(P44/O44-1,"")))</f>
        <v/>
      </c>
      <c r="Q45" s="15">
        <f>IF(OR(Q44="",P44=""),"",IF(P44&lt;=0,"",IFERROR(Q44/P44-1,"")))</f>
        <v/>
      </c>
      <c r="R45" s="15">
        <f>IF(OR(R44="",Q44=""),"",IF(Q44&lt;=0,"",IFERROR(R44/Q44-1,"")))</f>
        <v/>
      </c>
      <c r="S45" s="15">
        <f>IF(OR(S44="",R44=""),"",IF(R44&lt;=0,"",IFERROR(S44/R44-1,"")))</f>
        <v/>
      </c>
      <c r="T45" s="15">
        <f>IF(OR(T44="",S44=""),"",IF(S44&lt;=0,"",IFERROR(T44/S44-1,"")))</f>
        <v/>
      </c>
      <c r="U45" s="15">
        <f>IF(OR(U44="",T44=""),"",IF(T44&lt;=0,"",IFERROR(U44/T44-1,"")))</f>
        <v/>
      </c>
      <c r="V45" s="15">
        <f>IF(OR(V44="",U44=""),"",IF(U44&lt;=0,"",IFERROR(V44/U44-1,"")))</f>
        <v/>
      </c>
      <c r="W45" s="15">
        <f>IF(OR(W44="",V44=""),"",IF(V44&lt;=0,"",IFERROR(W44/V44-1,"")))</f>
        <v/>
      </c>
      <c r="X45" s="15">
        <f>IF(OR(X44="",W44=""),"",IF(W44&lt;=0,"",IFERROR(X44/W44-1,"")))</f>
        <v/>
      </c>
      <c r="Y45" s="14">
        <f>IF(OR(Y44="",X44=""),"",IF(X44&lt;=0,"",IFERROR(Y44/X44-1,"")))</f>
        <v/>
      </c>
      <c r="Z45" s="15">
        <f>IF(OR(Z44="",Y44=""),"",IF(Y44&lt;=0,"",IFERROR(Z44/Y44-1,"")))</f>
        <v/>
      </c>
      <c r="AA45" s="15">
        <f>IF(OR(AA44="",Z44=""),"",IF(Z44&lt;=0,"",IFERROR(AA44/Z44-1,"")))</f>
        <v/>
      </c>
      <c r="AB45" s="15">
        <f>IF(OR(AB44="",AA44=""),"",IF(AA44&lt;=0,"",IFERROR(AB44/AA44-1,"")))</f>
        <v/>
      </c>
      <c r="AC45" s="15">
        <f>IF(OR(AC44="",AB44=""),"",IF(AB44&lt;=0,"",IFERROR(AC44/AB44-1,"")))</f>
        <v/>
      </c>
    </row>
    <row r="46">
      <c r="A46" s="9" t="inlineStr">
        <is>
          <t>영업이익</t>
        </is>
      </c>
      <c r="B46" s="10" t="inlineStr">
        <is>
          <t>MW = 매출 × OPM</t>
        </is>
      </c>
      <c r="C46" s="11" t="n">
        <v>1813</v>
      </c>
      <c r="D46" s="12" t="n">
        <v>2870</v>
      </c>
      <c r="E46" s="12" t="n">
        <v>2372</v>
      </c>
      <c r="F46" s="12" t="n">
        <v>3482</v>
      </c>
      <c r="G46" s="12" t="n">
        <v>3517</v>
      </c>
      <c r="H46" s="12" t="n">
        <v>4541</v>
      </c>
      <c r="I46" s="12" t="n">
        <v>3841</v>
      </c>
      <c r="J46" s="12" t="n">
        <v>3729</v>
      </c>
      <c r="K46" s="12" t="n">
        <v>2817</v>
      </c>
      <c r="L46" s="12" t="n">
        <v>4090</v>
      </c>
      <c r="M46" s="12" t="n">
        <v>4476</v>
      </c>
      <c r="N46" s="12" t="n">
        <v>6062</v>
      </c>
      <c r="O46" s="11" t="n">
        <v>391.479</v>
      </c>
      <c r="P46" s="12" t="n">
        <v>1200.902</v>
      </c>
      <c r="Q46" s="12" t="n">
        <v>1540.613</v>
      </c>
      <c r="R46" s="12" t="n">
        <v>2353.376</v>
      </c>
      <c r="S46" s="12" t="n">
        <v>3994.926</v>
      </c>
      <c r="T46" s="12" t="n">
        <v>6913</v>
      </c>
      <c r="U46" s="12" t="n">
        <v>11565</v>
      </c>
      <c r="V46" s="12" t="n">
        <v>10537</v>
      </c>
      <c r="W46" s="12" t="n">
        <v>15628</v>
      </c>
      <c r="X46" s="12" t="n">
        <v>17445</v>
      </c>
      <c r="Y46" s="11">
        <f>IF(OR(Y4="",Y47=""),"",IFERROR(Y4*Y47,""))</f>
        <v/>
      </c>
      <c r="Z46" s="12">
        <f>IF(OR(Z4="",Z47=""),"",IFERROR(Z4*Z47,""))</f>
        <v/>
      </c>
      <c r="AA46" s="12">
        <f>IF(OR(AA4="",AA47=""),"",IFERROR(AA4*AA47,""))</f>
        <v/>
      </c>
      <c r="AB46" s="12">
        <f>IF(OR(AB4="",AB47=""),"",IFERROR(AB4*AB47,""))</f>
        <v/>
      </c>
      <c r="AC46" s="12">
        <f>IF(OR(AC4="",AC47=""),"",IFERROR(AC4*AC47,""))</f>
        <v/>
      </c>
    </row>
    <row r="47">
      <c r="A47" s="13" t="inlineStr">
        <is>
          <t>OPM</t>
        </is>
      </c>
      <c r="B47" s="10" t="inlineStr">
        <is>
          <t>MW 입력</t>
        </is>
      </c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 t="n"/>
      <c r="Z47" s="26" t="n"/>
      <c r="AA47" s="26" t="n"/>
      <c r="AB47" s="26" t="n"/>
      <c r="AC47" s="26" t="n"/>
    </row>
    <row r="48">
      <c r="A48" s="13" t="inlineStr">
        <is>
          <t>증가율</t>
        </is>
      </c>
      <c r="B48" s="10" t="n"/>
      <c r="C48" s="14" t="n"/>
      <c r="D48" s="15" t="n"/>
      <c r="E48" s="15" t="n"/>
      <c r="F48" s="15" t="n"/>
      <c r="G48" s="15">
        <f>IF(OR(G46="",C46=""),"",IFERROR(G46/C46-1,""))</f>
        <v/>
      </c>
      <c r="H48" s="15">
        <f>IF(OR(H46="",D46=""),"",IFERROR(H46/D46-1,""))</f>
        <v/>
      </c>
      <c r="I48" s="15">
        <f>IF(OR(I46="",E46=""),"",IFERROR(I46/E46-1,""))</f>
        <v/>
      </c>
      <c r="J48" s="15">
        <f>IF(OR(J46="",F46=""),"",IFERROR(J46/F46-1,""))</f>
        <v/>
      </c>
      <c r="K48" s="15">
        <f>IF(OR(K46="",G46=""),"",IFERROR(K46/G46-1,""))</f>
        <v/>
      </c>
      <c r="L48" s="15">
        <f>IF(OR(L46="",H46=""),"",IFERROR(L46/H46-1,""))</f>
        <v/>
      </c>
      <c r="M48" s="15">
        <f>IF(OR(M46="",I46=""),"",IFERROR(M46/I46-1,""))</f>
        <v/>
      </c>
      <c r="N48" s="15">
        <f>IF(OR(N46="",J46=""),"",IFERROR(N46/J46-1,""))</f>
        <v/>
      </c>
      <c r="O48" s="14" t="n"/>
      <c r="P48" s="15">
        <f>IF(OR(P46="",O46=""),"",IFERROR(P46/O46-1,""))</f>
        <v/>
      </c>
      <c r="Q48" s="15">
        <f>IF(OR(Q46="",P46=""),"",IFERROR(Q46/P46-1,""))</f>
        <v/>
      </c>
      <c r="R48" s="15">
        <f>IF(OR(R46="",Q46=""),"",IFERROR(R46/Q46-1,""))</f>
        <v/>
      </c>
      <c r="S48" s="15">
        <f>IF(OR(S46="",R46=""),"",IFERROR(S46/R46-1,""))</f>
        <v/>
      </c>
      <c r="T48" s="15">
        <f>IF(OR(T46="",S46=""),"",IFERROR(T46/S46-1,""))</f>
        <v/>
      </c>
      <c r="U48" s="15">
        <f>IF(OR(U46="",T46=""),"",IFERROR(U46/T46-1,""))</f>
        <v/>
      </c>
      <c r="V48" s="15">
        <f>IF(OR(V46="",U46=""),"",IFERROR(V46/U46-1,""))</f>
        <v/>
      </c>
      <c r="W48" s="15">
        <f>IF(OR(W46="",V46=""),"",IFERROR(W46/V46-1,""))</f>
        <v/>
      </c>
      <c r="X48" s="15">
        <f>IF(OR(X46="",W46=""),"",IFERROR(X46/W46-1,""))</f>
        <v/>
      </c>
      <c r="Y48" s="14">
        <f>IF(OR(Y46="",X46=""),"",IFERROR(Y46/X46-1,""))</f>
        <v/>
      </c>
      <c r="Z48" s="15">
        <f>IF(OR(Z46="",Y46=""),"",IFERROR(Z46/Y46-1,""))</f>
        <v/>
      </c>
      <c r="AA48" s="15">
        <f>IF(OR(AA46="",Z46=""),"",IFERROR(AA46/Z46-1,""))</f>
        <v/>
      </c>
      <c r="AB48" s="15">
        <f>IF(OR(AB46="",AA46=""),"",IFERROR(AB46/AA46-1,""))</f>
        <v/>
      </c>
      <c r="AC48" s="15">
        <f>IF(OR(AC46="",AB46=""),"",IFERROR(AC46/AB46-1,""))</f>
        <v/>
      </c>
    </row>
    <row r="49">
      <c r="A49" s="16" t="inlineStr">
        <is>
          <t>비용의 성격별 분류</t>
        </is>
      </c>
      <c r="B49" s="16" t="inlineStr">
        <is>
          <t>참고 데이터</t>
        </is>
      </c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9" t="inlineStr">
        <is>
          <t>총 판관비</t>
        </is>
      </c>
      <c r="B50" s="10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1">
        <f>IF(O44="","",O44)</f>
        <v/>
      </c>
      <c r="P50" s="12">
        <f>IF(P44="","",P44)</f>
        <v/>
      </c>
      <c r="Q50" s="12">
        <f>IF(Q44="","",Q44)</f>
        <v/>
      </c>
      <c r="R50" s="12">
        <f>IF(R44="","",R44)</f>
        <v/>
      </c>
      <c r="S50" s="12">
        <f>IF(S44="","",S44)</f>
        <v/>
      </c>
      <c r="T50" s="12">
        <f>IF(T44="","",T44)</f>
        <v/>
      </c>
      <c r="U50" s="12">
        <f>IF(U44="","",U44)</f>
        <v/>
      </c>
      <c r="V50" s="12">
        <f>IF(V44="","",V44)</f>
        <v/>
      </c>
      <c r="W50" s="12">
        <f>IF(W44="","",W44)</f>
        <v/>
      </c>
      <c r="X50" s="12">
        <f>IF(X44="","",X44)</f>
        <v/>
      </c>
      <c r="Y50" s="11" t="n"/>
      <c r="Z50" s="12" t="n"/>
      <c r="AA50" s="12" t="n"/>
      <c r="AB50" s="12" t="n"/>
      <c r="AC50" s="12" t="n"/>
    </row>
    <row r="51">
      <c r="A51" s="18" t="inlineStr">
        <is>
          <t>급여</t>
        </is>
      </c>
      <c r="B51" s="10" t="inlineStr">
        <is>
          <t>고정비</t>
        </is>
      </c>
      <c r="C51" s="19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19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19" t="n"/>
      <c r="Z51" s="20" t="n"/>
      <c r="AA51" s="20" t="n"/>
      <c r="AB51" s="20" t="n"/>
      <c r="AC51" s="20" t="n"/>
    </row>
    <row r="52">
      <c r="A52" s="13" t="inlineStr">
        <is>
          <t>% of Sales</t>
        </is>
      </c>
      <c r="B52" s="10" t="n"/>
      <c r="C52" s="14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14" t="n"/>
      <c r="Z52" s="15" t="n"/>
      <c r="AA52" s="15" t="n"/>
      <c r="AB52" s="15" t="n"/>
      <c r="AC52" s="15" t="n"/>
    </row>
    <row r="53">
      <c r="A53" s="18" t="inlineStr">
        <is>
          <t>감가상각비</t>
        </is>
      </c>
      <c r="B53" s="10" t="inlineStr">
        <is>
          <t>고정비</t>
        </is>
      </c>
      <c r="C53" s="19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19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19" t="n"/>
      <c r="Z53" s="20" t="n"/>
      <c r="AA53" s="20" t="n"/>
      <c r="AB53" s="20" t="n"/>
      <c r="AC53" s="20" t="n"/>
    </row>
    <row r="54">
      <c r="A54" s="13" t="inlineStr">
        <is>
          <t>% of Sales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14" t="n"/>
      <c r="Z54" s="15" t="n"/>
      <c r="AA54" s="15" t="n"/>
      <c r="AB54" s="15" t="n"/>
      <c r="AC54" s="15" t="n"/>
    </row>
    <row r="55">
      <c r="A55" s="18" t="inlineStr">
        <is>
          <t>지급수수료</t>
        </is>
      </c>
      <c r="B55" s="10" t="inlineStr">
        <is>
          <t>고정비</t>
        </is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% of Sales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14" t="n"/>
      <c r="Z56" s="15" t="n"/>
      <c r="AA56" s="15" t="n"/>
      <c r="AB56" s="15" t="n"/>
      <c r="AC56" s="15" t="n"/>
    </row>
    <row r="57">
      <c r="A57" s="18" t="inlineStr">
        <is>
          <t>연구개발비</t>
        </is>
      </c>
      <c r="B57" s="10" t="inlineStr">
        <is>
          <t>변동비</t>
        </is>
      </c>
      <c r="C57" s="19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19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19" t="n"/>
      <c r="Z57" s="20" t="n"/>
      <c r="AA57" s="20" t="n"/>
      <c r="AB57" s="20" t="n"/>
      <c r="AC57" s="20" t="n"/>
    </row>
    <row r="58">
      <c r="A58" s="13" t="inlineStr">
        <is>
          <t>% of Sales</t>
        </is>
      </c>
      <c r="B58" s="10" t="n"/>
      <c r="C58" s="14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14" t="n"/>
      <c r="Z58" s="15" t="n"/>
      <c r="AA58" s="15" t="n"/>
      <c r="AB58" s="15" t="n"/>
      <c r="AC58" s="15" t="n"/>
    </row>
    <row r="59">
      <c r="A59" s="18" t="inlineStr">
        <is>
          <t>기타비용</t>
        </is>
      </c>
      <c r="B59" s="10" t="inlineStr">
        <is>
          <t>변동비</t>
        </is>
      </c>
      <c r="C59" s="19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19">
        <f>IF(OR(O50="",O51="",O53="",O55="",O57=""),"",IFERROR(O50-O51-O53-O55-O57,""))</f>
        <v/>
      </c>
      <c r="P59" s="20">
        <f>IF(OR(P50="",P51="",P53="",P55="",P57=""),"",IFERROR(P50-P51-P53-P55-P57,""))</f>
        <v/>
      </c>
      <c r="Q59" s="20">
        <f>IF(OR(Q50="",Q51="",Q53="",Q55="",Q57=""),"",IFERROR(Q50-Q51-Q53-Q55-Q57,""))</f>
        <v/>
      </c>
      <c r="R59" s="20">
        <f>IF(OR(R50="",R51="",R53="",R55="",R57=""),"",IFERROR(R50-R51-R53-R55-R57,""))</f>
        <v/>
      </c>
      <c r="S59" s="20">
        <f>IF(OR(S50="",S51="",S53="",S55="",S57=""),"",IFERROR(S50-S51-S53-S55-S57,""))</f>
        <v/>
      </c>
      <c r="T59" s="20">
        <f>IF(OR(T50="",T51="",T53="",T55="",T57=""),"",IFERROR(T50-T51-T53-T55-T57,""))</f>
        <v/>
      </c>
      <c r="U59" s="20">
        <f>IF(OR(U50="",U51="",U53="",U55="",U57=""),"",IFERROR(U50-U51-U53-U55-U57,""))</f>
        <v/>
      </c>
      <c r="V59" s="20">
        <f>IF(OR(V50="",V51="",V53="",V55="",V57=""),"",IFERROR(V50-V51-V53-V55-V57,""))</f>
        <v/>
      </c>
      <c r="W59" s="20">
        <f>IF(OR(W50="",W51="",W53="",W55="",W57=""),"",IFERROR(W50-W51-W53-W55-W57,""))</f>
        <v/>
      </c>
      <c r="X59" s="20">
        <f>IF(OR(X50="",X51="",X53="",X55="",X57=""),"",IFERROR(X50-X51-X53-X55-X57,""))</f>
        <v/>
      </c>
      <c r="Y59" s="19" t="n"/>
      <c r="Z59" s="20" t="n"/>
      <c r="AA59" s="20" t="n"/>
      <c r="AB59" s="20" t="n"/>
      <c r="AC59" s="20" t="n"/>
    </row>
    <row r="60">
      <c r="A60" s="13" t="inlineStr">
        <is>
          <t>% of Sales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14" t="n"/>
      <c r="Z60" s="15" t="n"/>
      <c r="AA60" s="15" t="n"/>
      <c r="AB60" s="15" t="n"/>
      <c r="AC60" s="15" t="n"/>
    </row>
    <row r="61">
      <c r="A61" s="16" t="inlineStr">
        <is>
          <t>당기순이익 추정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특별이익</t>
        </is>
      </c>
      <c r="B62" s="10" t="n"/>
      <c r="C62" s="19" t="n"/>
      <c r="D62" s="20" t="n"/>
      <c r="E62" s="20" t="n">
        <v>0</v>
      </c>
      <c r="F62" s="20" t="n">
        <v>333</v>
      </c>
      <c r="G62" s="20" t="n">
        <v>0</v>
      </c>
      <c r="H62" s="20" t="n">
        <v>54</v>
      </c>
      <c r="I62" s="20" t="n">
        <v>58</v>
      </c>
      <c r="J62" s="20" t="n">
        <v>4</v>
      </c>
      <c r="K62" s="20" t="n">
        <v>0</v>
      </c>
      <c r="L62" s="20" t="n">
        <v>10</v>
      </c>
      <c r="M62" s="20" t="n">
        <v>288</v>
      </c>
      <c r="N62" s="20" t="n">
        <v>132</v>
      </c>
      <c r="O62" s="19" t="n">
        <v>0.525</v>
      </c>
      <c r="P62" s="20" t="n">
        <v>0</v>
      </c>
      <c r="Q62" s="20" t="n">
        <v>12.824</v>
      </c>
      <c r="R62" s="20" t="n">
        <v>0</v>
      </c>
      <c r="S62" s="20" t="n">
        <v>0</v>
      </c>
      <c r="T62" s="20" t="n">
        <v>44</v>
      </c>
      <c r="U62" s="20" t="n">
        <v>416</v>
      </c>
      <c r="V62" s="20" t="n">
        <v>333</v>
      </c>
      <c r="W62" s="20" t="n">
        <v>116</v>
      </c>
      <c r="X62" s="20" t="n">
        <v>430</v>
      </c>
      <c r="Y62" s="19">
        <f>IF(OR(Y4="",Y63=""),"",IFERROR(Y4*Y63,""))</f>
        <v/>
      </c>
      <c r="Z62" s="20">
        <f>IF(OR(Z4="",Z63=""),"",IFERROR(Z4*Z63,""))</f>
        <v/>
      </c>
      <c r="AA62" s="20">
        <f>IF(OR(AA4="",AA63=""),"",IFERROR(AA4*AA63,""))</f>
        <v/>
      </c>
      <c r="AB62" s="20">
        <f>IF(OR(AB4="",AB63=""),"",IFERROR(AB4*AB63,""))</f>
        <v/>
      </c>
      <c r="AC62" s="20">
        <f>IF(OR(AC4="",AC63=""),"",IFERROR(AC4*AC63,""))</f>
        <v/>
      </c>
    </row>
    <row r="63">
      <c r="A63" s="13" t="inlineStr">
        <is>
          <t>% of Sales</t>
        </is>
      </c>
      <c r="B63" s="10" t="inlineStr">
        <is>
          <t>MW = 최근 3년 평균</t>
        </is>
      </c>
      <c r="C63" s="14">
        <f>IF(OR(C62="",C4=""),"",IFERROR(C62/C4,""))</f>
        <v/>
      </c>
      <c r="D63" s="15">
        <f>IF(OR(D62="",D4=""),"",IFERROR(D62/D4,""))</f>
        <v/>
      </c>
      <c r="E63" s="15">
        <f>IF(OR(E62="",E4=""),"",IFERROR(E62/E4,""))</f>
        <v/>
      </c>
      <c r="F63" s="15">
        <f>IF(OR(F62="",F4=""),"",IFERROR(F62/F4,""))</f>
        <v/>
      </c>
      <c r="G63" s="15">
        <f>IF(OR(G62="",G4=""),"",IFERROR(G62/G4,""))</f>
        <v/>
      </c>
      <c r="H63" s="15">
        <f>IF(OR(H62="",H4=""),"",IFERROR(H62/H4,""))</f>
        <v/>
      </c>
      <c r="I63" s="15">
        <f>IF(OR(I62="",I4=""),"",IFERROR(I62/I4,""))</f>
        <v/>
      </c>
      <c r="J63" s="15">
        <f>IF(OR(J62="",J4=""),"",IFERROR(J62/J4,""))</f>
        <v/>
      </c>
      <c r="K63" s="15">
        <f>IF(OR(K62="",K4=""),"",IFERROR(K62/K4,""))</f>
        <v/>
      </c>
      <c r="L63" s="15">
        <f>IF(OR(L62="",L4=""),"",IFERROR(L62/L4,""))</f>
        <v/>
      </c>
      <c r="M63" s="15">
        <f>IF(OR(M62="",M4=""),"",IFERROR(M62/M4,""))</f>
        <v/>
      </c>
      <c r="N63" s="15">
        <f>IF(OR(N62="",N4=""),"",IFERROR(N62/N4,""))</f>
        <v/>
      </c>
      <c r="O63" s="14">
        <f>IF(OR(O62="",O4=""),"",IFERROR(O62/O4,""))</f>
        <v/>
      </c>
      <c r="P63" s="15">
        <f>IF(OR(P62="",P4=""),"",IFERROR(P62/P4,""))</f>
        <v/>
      </c>
      <c r="Q63" s="15">
        <f>IF(OR(Q62="",Q4=""),"",IFERROR(Q62/Q4,""))</f>
        <v/>
      </c>
      <c r="R63" s="15">
        <f>IF(OR(R62="",R4=""),"",IFERROR(R62/R4,""))</f>
        <v/>
      </c>
      <c r="S63" s="15">
        <f>IF(OR(S62="",S4=""),"",IFERROR(S62/S4,""))</f>
        <v/>
      </c>
      <c r="T63" s="15">
        <f>IF(OR(T62="",T4=""),"",IFERROR(T62/T4,""))</f>
        <v/>
      </c>
      <c r="U63" s="15">
        <f>IF(OR(U62="",U4=""),"",IFERROR(U62/U4,""))</f>
        <v/>
      </c>
      <c r="V63" s="15">
        <f>IF(OR(V62="",V4=""),"",IFERROR(V62/V4,""))</f>
        <v/>
      </c>
      <c r="W63" s="15">
        <f>IF(OR(W62="",W4=""),"",IFERROR(W62/W4,""))</f>
        <v/>
      </c>
      <c r="X63" s="15">
        <f>IF(OR(X62="",X4=""),"",IFERROR(X62/X4,""))</f>
        <v/>
      </c>
      <c r="Y63" s="25">
        <f>IFERROR(AVERAGE(V63,W63,X63),"")</f>
        <v/>
      </c>
      <c r="Z63" s="26">
        <f>Y63</f>
        <v/>
      </c>
      <c r="AA63" s="26">
        <f>Z63</f>
        <v/>
      </c>
      <c r="AB63" s="26">
        <f>AA63</f>
        <v/>
      </c>
      <c r="AC63" s="26">
        <f>AB63</f>
        <v/>
      </c>
    </row>
    <row r="64">
      <c r="A64" s="18" t="inlineStr">
        <is>
          <t>특별손실</t>
        </is>
      </c>
      <c r="B64" s="10" t="n"/>
      <c r="C64" s="19" t="n">
        <v>0</v>
      </c>
      <c r="D64" s="20" t="n">
        <v>0</v>
      </c>
      <c r="E64" s="20" t="n">
        <v>1437</v>
      </c>
      <c r="F64" s="20" t="n">
        <v>616</v>
      </c>
      <c r="G64" s="20" t="n">
        <v>163</v>
      </c>
      <c r="H64" s="20" t="n">
        <v>573</v>
      </c>
      <c r="I64" s="20" t="n">
        <v>888</v>
      </c>
      <c r="J64" s="20" t="n">
        <v>0</v>
      </c>
      <c r="K64" s="20" t="n">
        <v>0</v>
      </c>
      <c r="L64" s="20" t="n">
        <v>501</v>
      </c>
      <c r="M64" s="20" t="n">
        <v>302</v>
      </c>
      <c r="N64" s="20" t="n">
        <v>56</v>
      </c>
      <c r="O64" s="19" t="n">
        <v>0</v>
      </c>
      <c r="P64" s="20" t="n">
        <v>403.613</v>
      </c>
      <c r="Q64" s="20" t="n">
        <v>0</v>
      </c>
      <c r="R64" s="20" t="n">
        <v>0</v>
      </c>
      <c r="S64" s="20" t="n">
        <v>210.946</v>
      </c>
      <c r="T64" s="20" t="n">
        <v>136</v>
      </c>
      <c r="U64" s="20" t="n">
        <v>2263</v>
      </c>
      <c r="V64" s="20" t="n">
        <v>2053</v>
      </c>
      <c r="W64" s="20" t="n">
        <v>1624</v>
      </c>
      <c r="X64" s="20" t="n">
        <v>859</v>
      </c>
      <c r="Y64" s="19">
        <f>IF(OR(Y4="",Y65=""),"",IFERROR(Y4*Y65,""))</f>
        <v/>
      </c>
      <c r="Z64" s="20">
        <f>IF(OR(Z4="",Z65=""),"",IFERROR(Z4*Z65,""))</f>
        <v/>
      </c>
      <c r="AA64" s="20">
        <f>IF(OR(AA4="",AA65=""),"",IFERROR(AA4*AA65,""))</f>
        <v/>
      </c>
      <c r="AB64" s="20">
        <f>IF(OR(AB4="",AB65=""),"",IFERROR(AB4*AB65,""))</f>
        <v/>
      </c>
      <c r="AC64" s="20">
        <f>IF(OR(AC4="",AC65=""),"",IFERROR(AC4*AC65,""))</f>
        <v/>
      </c>
    </row>
    <row r="65">
      <c r="A65" s="13" t="inlineStr">
        <is>
          <t>% of Sales</t>
        </is>
      </c>
      <c r="B65" s="10" t="n"/>
      <c r="C65" s="14">
        <f>IF(OR(C64="",C4=""),"",IFERROR(C64/C4,""))</f>
        <v/>
      </c>
      <c r="D65" s="15">
        <f>IF(OR(D64="",D4=""),"",IFERROR(D64/D4,""))</f>
        <v/>
      </c>
      <c r="E65" s="15">
        <f>IF(OR(E64="",E4=""),"",IFERROR(E64/E4,""))</f>
        <v/>
      </c>
      <c r="F65" s="15">
        <f>IF(OR(F64="",F4=""),"",IFERROR(F64/F4,""))</f>
        <v/>
      </c>
      <c r="G65" s="15">
        <f>IF(OR(G64="",G4=""),"",IFERROR(G64/G4,""))</f>
        <v/>
      </c>
      <c r="H65" s="15">
        <f>IF(OR(H64="",H4=""),"",IFERROR(H64/H4,""))</f>
        <v/>
      </c>
      <c r="I65" s="15">
        <f>IF(OR(I64="",I4=""),"",IFERROR(I64/I4,""))</f>
        <v/>
      </c>
      <c r="J65" s="15">
        <f>IF(OR(J64="",J4=""),"",IFERROR(J64/J4,""))</f>
        <v/>
      </c>
      <c r="K65" s="15">
        <f>IF(OR(K64="",K4=""),"",IFERROR(K64/K4,""))</f>
        <v/>
      </c>
      <c r="L65" s="15">
        <f>IF(OR(L64="",L4=""),"",IFERROR(L64/L4,""))</f>
        <v/>
      </c>
      <c r="M65" s="15">
        <f>IF(OR(M64="",M4=""),"",IFERROR(M64/M4,""))</f>
        <v/>
      </c>
      <c r="N65" s="15">
        <f>IF(OR(N64="",N4=""),"",IFERROR(N64/N4,""))</f>
        <v/>
      </c>
      <c r="O65" s="14">
        <f>IF(OR(O64="",O4=""),"",IFERROR(O64/O4,""))</f>
        <v/>
      </c>
      <c r="P65" s="15">
        <f>IF(OR(P64="",P4=""),"",IFERROR(P64/P4,""))</f>
        <v/>
      </c>
      <c r="Q65" s="15">
        <f>IF(OR(Q64="",Q4=""),"",IFERROR(Q64/Q4,""))</f>
        <v/>
      </c>
      <c r="R65" s="15">
        <f>IF(OR(R64="",R4=""),"",IFERROR(R64/R4,""))</f>
        <v/>
      </c>
      <c r="S65" s="15">
        <f>IF(OR(S64="",S4=""),"",IFERROR(S64/S4,""))</f>
        <v/>
      </c>
      <c r="T65" s="15">
        <f>IF(OR(T64="",T4=""),"",IFERROR(T64/T4,""))</f>
        <v/>
      </c>
      <c r="U65" s="15">
        <f>IF(OR(U64="",U4=""),"",IFERROR(U64/U4,""))</f>
        <v/>
      </c>
      <c r="V65" s="15">
        <f>IF(OR(V64="",V4=""),"",IFERROR(V64/V4,""))</f>
        <v/>
      </c>
      <c r="W65" s="15">
        <f>IF(OR(W64="",W4=""),"",IFERROR(W64/W4,""))</f>
        <v/>
      </c>
      <c r="X65" s="15">
        <f>IF(OR(X64="",X4=""),"",IFERROR(X64/X4,""))</f>
        <v/>
      </c>
      <c r="Y65" s="25">
        <f>IFERROR(AVERAGE(V65,W65,X65),"")</f>
        <v/>
      </c>
      <c r="Z65" s="26">
        <f>Y65</f>
        <v/>
      </c>
      <c r="AA65" s="26">
        <f>Z65</f>
        <v/>
      </c>
      <c r="AB65" s="26">
        <f>AA65</f>
        <v/>
      </c>
      <c r="AC65" s="26">
        <f>AB65</f>
        <v/>
      </c>
    </row>
    <row r="66">
      <c r="A66" s="18" t="inlineStr">
        <is>
          <t>영업외수익</t>
        </is>
      </c>
      <c r="B66" s="10" t="n"/>
      <c r="C66" s="19" t="n">
        <v>80</v>
      </c>
      <c r="D66" s="20" t="n">
        <v>96</v>
      </c>
      <c r="E66" s="20" t="n">
        <v>78</v>
      </c>
      <c r="F66" s="20" t="n">
        <v>37</v>
      </c>
      <c r="G66" s="20" t="n">
        <v>40</v>
      </c>
      <c r="H66" s="20" t="n">
        <v>52</v>
      </c>
      <c r="I66" s="20" t="n">
        <v>94</v>
      </c>
      <c r="J66" s="20" t="n">
        <v>62</v>
      </c>
      <c r="K66" s="20" t="n">
        <v>100</v>
      </c>
      <c r="L66" s="20" t="n">
        <v>90</v>
      </c>
      <c r="M66" s="20" t="n">
        <v>106</v>
      </c>
      <c r="N66" s="20" t="n">
        <v>125</v>
      </c>
      <c r="O66" s="19" t="n">
        <v>57.261</v>
      </c>
      <c r="P66" s="20" t="n">
        <v>45.408</v>
      </c>
      <c r="Q66" s="20" t="n">
        <v>58.104</v>
      </c>
      <c r="R66" s="20" t="n">
        <v>199.076</v>
      </c>
      <c r="S66" s="20" t="n">
        <v>834.806</v>
      </c>
      <c r="T66" s="20" t="n">
        <v>763</v>
      </c>
      <c r="U66" s="20" t="n">
        <v>477</v>
      </c>
      <c r="V66" s="20" t="n">
        <v>291</v>
      </c>
      <c r="W66" s="20" t="n">
        <v>248</v>
      </c>
      <c r="X66" s="20" t="n">
        <v>421</v>
      </c>
      <c r="Y66" s="19">
        <f>IF(OR(Y4="",Y67=""),"",IFERROR(Y4*Y67,""))</f>
        <v/>
      </c>
      <c r="Z66" s="20">
        <f>IF(OR(Z4="",Z67=""),"",IFERROR(Z4*Z67,""))</f>
        <v/>
      </c>
      <c r="AA66" s="20">
        <f>IF(OR(AA4="",AA67=""),"",IFERROR(AA4*AA67,""))</f>
        <v/>
      </c>
      <c r="AB66" s="20">
        <f>IF(OR(AB4="",AB67=""),"",IFERROR(AB4*AB67,""))</f>
        <v/>
      </c>
      <c r="AC66" s="20">
        <f>IF(OR(AC4="",AC67=""),"",IFERROR(AC4*AC67,""))</f>
        <v/>
      </c>
    </row>
    <row r="67">
      <c r="A67" s="13" t="inlineStr">
        <is>
          <t>% of Sales</t>
        </is>
      </c>
      <c r="B67" s="10" t="n"/>
      <c r="C67" s="14">
        <f>IF(OR(C66="",C4=""),"",IFERROR(C66/C4,""))</f>
        <v/>
      </c>
      <c r="D67" s="15">
        <f>IF(OR(D66="",D4=""),"",IFERROR(D66/D4,""))</f>
        <v/>
      </c>
      <c r="E67" s="15">
        <f>IF(OR(E66="",E4=""),"",IFERROR(E66/E4,""))</f>
        <v/>
      </c>
      <c r="F67" s="15">
        <f>IF(OR(F66="",F4=""),"",IFERROR(F66/F4,""))</f>
        <v/>
      </c>
      <c r="G67" s="15">
        <f>IF(OR(G66="",G4=""),"",IFERROR(G66/G4,""))</f>
        <v/>
      </c>
      <c r="H67" s="15">
        <f>IF(OR(H66="",H4=""),"",IFERROR(H66/H4,""))</f>
        <v/>
      </c>
      <c r="I67" s="15">
        <f>IF(OR(I66="",I4=""),"",IFERROR(I66/I4,""))</f>
        <v/>
      </c>
      <c r="J67" s="15">
        <f>IF(OR(J66="",J4=""),"",IFERROR(J66/J4,""))</f>
        <v/>
      </c>
      <c r="K67" s="15">
        <f>IF(OR(K66="",K4=""),"",IFERROR(K66/K4,""))</f>
        <v/>
      </c>
      <c r="L67" s="15">
        <f>IF(OR(L66="",L4=""),"",IFERROR(L66/L4,""))</f>
        <v/>
      </c>
      <c r="M67" s="15">
        <f>IF(OR(M66="",M4=""),"",IFERROR(M66/M4,""))</f>
        <v/>
      </c>
      <c r="N67" s="15">
        <f>IF(OR(N66="",N4=""),"",IFERROR(N66/N4,""))</f>
        <v/>
      </c>
      <c r="O67" s="14">
        <f>IF(OR(O66="",O4=""),"",IFERROR(O66/O4,""))</f>
        <v/>
      </c>
      <c r="P67" s="15">
        <f>IF(OR(P66="",P4=""),"",IFERROR(P66/P4,""))</f>
        <v/>
      </c>
      <c r="Q67" s="15">
        <f>IF(OR(Q66="",Q4=""),"",IFERROR(Q66/Q4,""))</f>
        <v/>
      </c>
      <c r="R67" s="15">
        <f>IF(OR(R66="",R4=""),"",IFERROR(R66/R4,""))</f>
        <v/>
      </c>
      <c r="S67" s="15">
        <f>IF(OR(S66="",S4=""),"",IFERROR(S66/S4,""))</f>
        <v/>
      </c>
      <c r="T67" s="15">
        <f>IF(OR(T66="",T4=""),"",IFERROR(T66/T4,""))</f>
        <v/>
      </c>
      <c r="U67" s="15">
        <f>IF(OR(U66="",U4=""),"",IFERROR(U66/U4,""))</f>
        <v/>
      </c>
      <c r="V67" s="15">
        <f>IF(OR(V66="",V4=""),"",IFERROR(V66/V4,""))</f>
        <v/>
      </c>
      <c r="W67" s="15">
        <f>IF(OR(W66="",W4=""),"",IFERROR(W66/W4,""))</f>
        <v/>
      </c>
      <c r="X67" s="15">
        <f>IF(OR(X66="",X4=""),"",IFERROR(X66/X4,""))</f>
        <v/>
      </c>
      <c r="Y67" s="25">
        <f>IFERROR(AVERAGE(V67,W67,X67),"")</f>
        <v/>
      </c>
      <c r="Z67" s="26">
        <f>Y67</f>
        <v/>
      </c>
      <c r="AA67" s="26">
        <f>Z67</f>
        <v/>
      </c>
      <c r="AB67" s="26">
        <f>AA67</f>
        <v/>
      </c>
      <c r="AC67" s="26">
        <f>AB67</f>
        <v/>
      </c>
    </row>
    <row r="68">
      <c r="A68" s="18" t="inlineStr">
        <is>
          <t>영업외비용</t>
        </is>
      </c>
      <c r="B68" s="10" t="n"/>
      <c r="C68" s="19" t="n">
        <v>11</v>
      </c>
      <c r="D68" s="20" t="n">
        <v>17</v>
      </c>
      <c r="E68" s="20" t="n">
        <v>26</v>
      </c>
      <c r="F68" s="20" t="n">
        <v>21</v>
      </c>
      <c r="G68" s="20" t="n">
        <v>243</v>
      </c>
      <c r="H68" s="20" t="n">
        <v>39</v>
      </c>
      <c r="I68" s="20" t="n">
        <v>175</v>
      </c>
      <c r="J68" s="20" t="n">
        <v>238</v>
      </c>
      <c r="K68" s="20" t="n">
        <v>139</v>
      </c>
      <c r="L68" s="20" t="n">
        <v>349</v>
      </c>
      <c r="M68" s="20" t="n">
        <v>3880</v>
      </c>
      <c r="N68" s="20" t="n">
        <v>177</v>
      </c>
      <c r="O68" s="19" t="n">
        <v>8.099</v>
      </c>
      <c r="P68" s="20" t="n">
        <v>7.799</v>
      </c>
      <c r="Q68" s="20" t="n">
        <v>53.851</v>
      </c>
      <c r="R68" s="20" t="n">
        <v>17.322</v>
      </c>
      <c r="S68" s="20" t="n">
        <v>93.032</v>
      </c>
      <c r="T68" s="20" t="n">
        <v>124</v>
      </c>
      <c r="U68" s="20" t="n">
        <v>41</v>
      </c>
      <c r="V68" s="20" t="n">
        <v>75</v>
      </c>
      <c r="W68" s="20" t="n">
        <v>695</v>
      </c>
      <c r="X68" s="20" t="n">
        <v>4545</v>
      </c>
      <c r="Y68" s="19">
        <f>IF(OR(Y4="",Y69=""),"",IFERROR(Y4*Y69,""))</f>
        <v/>
      </c>
      <c r="Z68" s="20">
        <f>IF(OR(Z4="",Z69=""),"",IFERROR(Z4*Z69,""))</f>
        <v/>
      </c>
      <c r="AA68" s="20">
        <f>IF(OR(AA4="",AA69=""),"",IFERROR(AA4*AA69,""))</f>
        <v/>
      </c>
      <c r="AB68" s="20">
        <f>IF(OR(AB4="",AB69=""),"",IFERROR(AB4*AB69,""))</f>
        <v/>
      </c>
      <c r="AC68" s="20">
        <f>IF(OR(AC4="",AC69=""),"",IFERROR(AC4*AC69,""))</f>
        <v/>
      </c>
    </row>
    <row r="69">
      <c r="A69" s="13" t="inlineStr">
        <is>
          <t>% of Sales</t>
        </is>
      </c>
      <c r="B69" s="10" t="n"/>
      <c r="C69" s="14">
        <f>IF(OR(C68="",C4=""),"",IFERROR(C68/C4,""))</f>
        <v/>
      </c>
      <c r="D69" s="15">
        <f>IF(OR(D68="",D4=""),"",IFERROR(D68/D4,""))</f>
        <v/>
      </c>
      <c r="E69" s="15">
        <f>IF(OR(E68="",E4=""),"",IFERROR(E68/E4,""))</f>
        <v/>
      </c>
      <c r="F69" s="15">
        <f>IF(OR(F68="",F4=""),"",IFERROR(F68/F4,""))</f>
        <v/>
      </c>
      <c r="G69" s="15">
        <f>IF(OR(G68="",G4=""),"",IFERROR(G68/G4,""))</f>
        <v/>
      </c>
      <c r="H69" s="15">
        <f>IF(OR(H68="",H4=""),"",IFERROR(H68/H4,""))</f>
        <v/>
      </c>
      <c r="I69" s="15">
        <f>IF(OR(I68="",I4=""),"",IFERROR(I68/I4,""))</f>
        <v/>
      </c>
      <c r="J69" s="15">
        <f>IF(OR(J68="",J4=""),"",IFERROR(J68/J4,""))</f>
        <v/>
      </c>
      <c r="K69" s="15">
        <f>IF(OR(K68="",K4=""),"",IFERROR(K68/K4,""))</f>
        <v/>
      </c>
      <c r="L69" s="15">
        <f>IF(OR(L68="",L4=""),"",IFERROR(L68/L4,""))</f>
        <v/>
      </c>
      <c r="M69" s="15">
        <f>IF(OR(M68="",M4=""),"",IFERROR(M68/M4,""))</f>
        <v/>
      </c>
      <c r="N69" s="15">
        <f>IF(OR(N68="",N4=""),"",IFERROR(N68/N4,""))</f>
        <v/>
      </c>
      <c r="O69" s="14">
        <f>IF(OR(O68="",O4=""),"",IFERROR(O68/O4,""))</f>
        <v/>
      </c>
      <c r="P69" s="15">
        <f>IF(OR(P68="",P4=""),"",IFERROR(P68/P4,""))</f>
        <v/>
      </c>
      <c r="Q69" s="15">
        <f>IF(OR(Q68="",Q4=""),"",IFERROR(Q68/Q4,""))</f>
        <v/>
      </c>
      <c r="R69" s="15">
        <f>IF(OR(R68="",R4=""),"",IFERROR(R68/R4,""))</f>
        <v/>
      </c>
      <c r="S69" s="15">
        <f>IF(OR(S68="",S4=""),"",IFERROR(S68/S4,""))</f>
        <v/>
      </c>
      <c r="T69" s="15">
        <f>IF(OR(T68="",T4=""),"",IFERROR(T68/T4,""))</f>
        <v/>
      </c>
      <c r="U69" s="15">
        <f>IF(OR(U68="",U4=""),"",IFERROR(U68/U4,""))</f>
        <v/>
      </c>
      <c r="V69" s="15">
        <f>IF(OR(V68="",V4=""),"",IFERROR(V68/V4,""))</f>
        <v/>
      </c>
      <c r="W69" s="15">
        <f>IF(OR(W68="",W4=""),"",IFERROR(W68/W4,""))</f>
        <v/>
      </c>
      <c r="X69" s="15">
        <f>IF(OR(X68="",X4=""),"",IFERROR(X68/X4,""))</f>
        <v/>
      </c>
      <c r="Y69" s="25">
        <f>IFERROR(AVERAGE(V69,W69,X69),"")</f>
        <v/>
      </c>
      <c r="Z69" s="26">
        <f>Y69</f>
        <v/>
      </c>
      <c r="AA69" s="26">
        <f>Z69</f>
        <v/>
      </c>
      <c r="AB69" s="26">
        <f>AA69</f>
        <v/>
      </c>
      <c r="AC69" s="26">
        <f>AB69</f>
        <v/>
      </c>
    </row>
    <row r="70">
      <c r="A70" s="9" t="inlineStr">
        <is>
          <t>법인세비용차감전순이익(손실)</t>
        </is>
      </c>
      <c r="B70" s="10" t="n"/>
      <c r="C70" s="11" t="n">
        <v>1882</v>
      </c>
      <c r="D70" s="12" t="n">
        <v>2949</v>
      </c>
      <c r="E70" s="12" t="n">
        <v>986</v>
      </c>
      <c r="F70" s="12" t="n">
        <v>3215</v>
      </c>
      <c r="G70" s="12" t="n">
        <v>3150</v>
      </c>
      <c r="H70" s="12" t="n">
        <v>4035</v>
      </c>
      <c r="I70" s="12" t="n">
        <v>2932</v>
      </c>
      <c r="J70" s="12" t="n">
        <v>3557</v>
      </c>
      <c r="K70" s="12" t="n">
        <v>2778</v>
      </c>
      <c r="L70" s="12" t="n">
        <v>3340</v>
      </c>
      <c r="M70" s="12" t="n">
        <v>688</v>
      </c>
      <c r="N70" s="12" t="n">
        <v>6085</v>
      </c>
      <c r="O70" s="11" t="n">
        <v>441.166</v>
      </c>
      <c r="P70" s="12" t="n">
        <v>834.897</v>
      </c>
      <c r="Q70" s="12" t="n">
        <v>1557.69</v>
      </c>
      <c r="R70" s="12" t="n">
        <v>2535.129</v>
      </c>
      <c r="S70" s="12" t="n">
        <v>4525.754</v>
      </c>
      <c r="T70" s="12" t="n">
        <v>7460</v>
      </c>
      <c r="U70" s="12" t="n">
        <v>10153</v>
      </c>
      <c r="V70" s="12" t="n">
        <v>9032</v>
      </c>
      <c r="W70" s="12" t="n">
        <v>13674</v>
      </c>
      <c r="X70" s="12" t="n">
        <v>12891</v>
      </c>
      <c r="Y70" s="11">
        <f>IF(OR(Y46=""),"",IFERROR(Y46+N(Y62)-N(Y64)+N(Y66)-N(Y68),""))</f>
        <v/>
      </c>
      <c r="Z70" s="12">
        <f>IF(OR(Z46=""),"",IFERROR(Z46+N(Z62)-N(Z64)+N(Z66)-N(Z68),""))</f>
        <v/>
      </c>
      <c r="AA70" s="12">
        <f>IF(OR(AA46=""),"",IFERROR(AA46+N(AA62)-N(AA64)+N(AA66)-N(AA68),""))</f>
        <v/>
      </c>
      <c r="AB70" s="12">
        <f>IF(OR(AB46=""),"",IFERROR(AB46+N(AB62)-N(AB64)+N(AB66)-N(AB68),""))</f>
        <v/>
      </c>
      <c r="AC70" s="12">
        <f>IF(OR(AC46=""),"",IFERROR(AC46+N(AC62)-N(AC64)+N(AC66)-N(AC68),""))</f>
        <v/>
      </c>
    </row>
    <row r="71">
      <c r="A71" s="13" t="inlineStr">
        <is>
          <t>YoY</t>
        </is>
      </c>
      <c r="B71" s="10" t="n"/>
      <c r="C71" s="14" t="n"/>
      <c r="D71" s="15" t="n"/>
      <c r="E71" s="15" t="n"/>
      <c r="F71" s="15" t="n"/>
      <c r="G71" s="15">
        <f>IF(OR(G70="",C70=""),"",IF(C70&lt;=0,"",IFERROR(G70/C70-1,"")))</f>
        <v/>
      </c>
      <c r="H71" s="15">
        <f>IF(OR(H70="",D70=""),"",IF(D70&lt;=0,"",IFERROR(H70/D70-1,"")))</f>
        <v/>
      </c>
      <c r="I71" s="15">
        <f>IF(OR(I70="",E70=""),"",IF(E70&lt;=0,"",IFERROR(I70/E70-1,"")))</f>
        <v/>
      </c>
      <c r="J71" s="15">
        <f>IF(OR(J70="",F70=""),"",IF(F70&lt;=0,"",IFERROR(J70/F70-1,"")))</f>
        <v/>
      </c>
      <c r="K71" s="15">
        <f>IF(OR(K70="",G70=""),"",IF(G70&lt;=0,"",IFERROR(K70/G70-1,"")))</f>
        <v/>
      </c>
      <c r="L71" s="15">
        <f>IF(OR(L70="",H70=""),"",IF(H70&lt;=0,"",IFERROR(L70/H70-1,"")))</f>
        <v/>
      </c>
      <c r="M71" s="15">
        <f>IF(OR(M70="",I70=""),"",IF(I70&lt;=0,"",IFERROR(M70/I70-1,"")))</f>
        <v/>
      </c>
      <c r="N71" s="15">
        <f>IF(OR(N70="",J70=""),"",IF(J70&lt;=0,"",IFERROR(N70/J70-1,"")))</f>
        <v/>
      </c>
      <c r="O71" s="14" t="n"/>
      <c r="P71" s="15">
        <f>IF(OR(P70="",O70=""),"",IF(O70&lt;=0,"",IFERROR(P70/O70-1,"")))</f>
        <v/>
      </c>
      <c r="Q71" s="15">
        <f>IF(OR(Q70="",P70=""),"",IF(P70&lt;=0,"",IFERROR(Q70/P70-1,"")))</f>
        <v/>
      </c>
      <c r="R71" s="15">
        <f>IF(OR(R70="",Q70=""),"",IF(Q70&lt;=0,"",IFERROR(R70/Q70-1,"")))</f>
        <v/>
      </c>
      <c r="S71" s="15">
        <f>IF(OR(S70="",R70=""),"",IF(R70&lt;=0,"",IFERROR(S70/R70-1,"")))</f>
        <v/>
      </c>
      <c r="T71" s="15">
        <f>IF(OR(T70="",S70=""),"",IF(S70&lt;=0,"",IFERROR(T70/S70-1,"")))</f>
        <v/>
      </c>
      <c r="U71" s="15">
        <f>IF(OR(U70="",T70=""),"",IF(T70&lt;=0,"",IFERROR(U70/T70-1,"")))</f>
        <v/>
      </c>
      <c r="V71" s="15">
        <f>IF(OR(V70="",U70=""),"",IF(U70&lt;=0,"",IFERROR(V70/U70-1,"")))</f>
        <v/>
      </c>
      <c r="W71" s="15">
        <f>IF(OR(W70="",V70=""),"",IF(V70&lt;=0,"",IFERROR(W70/V70-1,"")))</f>
        <v/>
      </c>
      <c r="X71" s="15">
        <f>IF(OR(X70="",W70=""),"",IF(W70&lt;=0,"",IFERROR(X70/W70-1,"")))</f>
        <v/>
      </c>
      <c r="Y71" s="14">
        <f>IF(OR(Y70="",X70=""),"",IF(X70&lt;=0,"",IFERROR(Y70/X70-1,"")))</f>
        <v/>
      </c>
      <c r="Z71" s="15">
        <f>IF(OR(Z70="",Y70=""),"",IF(Y70&lt;=0,"",IFERROR(Z70/Y70-1,"")))</f>
        <v/>
      </c>
      <c r="AA71" s="15">
        <f>IF(OR(AA70="",Z70=""),"",IF(Z70&lt;=0,"",IFERROR(AA70/Z70-1,"")))</f>
        <v/>
      </c>
      <c r="AB71" s="15">
        <f>IF(OR(AB70="",AA70=""),"",IF(AA70&lt;=0,"",IFERROR(AB70/AA70-1,"")))</f>
        <v/>
      </c>
      <c r="AC71" s="15">
        <f>IF(OR(AC70="",AB70=""),"",IF(AB70&lt;=0,"",IFERROR(AC70/AB70-1,"")))</f>
        <v/>
      </c>
    </row>
    <row r="72">
      <c r="A72" s="18" t="inlineStr">
        <is>
          <t>법인세비용(수익)</t>
        </is>
      </c>
      <c r="B72" s="10" t="n"/>
      <c r="C72" s="19" t="n">
        <v>766</v>
      </c>
      <c r="D72" s="20" t="n">
        <v>1015</v>
      </c>
      <c r="E72" s="20" t="n">
        <v>634</v>
      </c>
      <c r="F72" s="20" t="n">
        <v>1371</v>
      </c>
      <c r="G72" s="20" t="n">
        <v>1134</v>
      </c>
      <c r="H72" s="20" t="n">
        <v>1488</v>
      </c>
      <c r="I72" s="20" t="n">
        <v>1149</v>
      </c>
      <c r="J72" s="20" t="n">
        <v>898</v>
      </c>
      <c r="K72" s="20" t="n">
        <v>983</v>
      </c>
      <c r="L72" s="20" t="n">
        <v>1123</v>
      </c>
      <c r="M72" s="20" t="n">
        <v>730</v>
      </c>
      <c r="N72" s="20" t="n">
        <v>2665</v>
      </c>
      <c r="O72" s="19" t="n">
        <v>180.755</v>
      </c>
      <c r="P72" s="20" t="n">
        <v>397.523</v>
      </c>
      <c r="Q72" s="20" t="n">
        <v>495.867</v>
      </c>
      <c r="R72" s="20" t="n">
        <v>776.264</v>
      </c>
      <c r="S72" s="20" t="n">
        <v>1708.505</v>
      </c>
      <c r="T72" s="20" t="n">
        <v>2355</v>
      </c>
      <c r="U72" s="20" t="n">
        <v>3667</v>
      </c>
      <c r="V72" s="20" t="n">
        <v>3786</v>
      </c>
      <c r="W72" s="20" t="n">
        <v>4669</v>
      </c>
      <c r="X72" s="20" t="n">
        <v>5501</v>
      </c>
      <c r="Y72" s="19">
        <f>IF(OR(Y70="",Y73=""),"",IFERROR(MAX(Y70,0)*Y73,""))</f>
        <v/>
      </c>
      <c r="Z72" s="20">
        <f>IF(OR(Z70="",Z73=""),"",IFERROR(MAX(Z70,0)*Z73,""))</f>
        <v/>
      </c>
      <c r="AA72" s="20">
        <f>IF(OR(AA70="",AA73=""),"",IFERROR(MAX(AA70,0)*AA73,""))</f>
        <v/>
      </c>
      <c r="AB72" s="20">
        <f>IF(OR(AB70="",AB73=""),"",IFERROR(MAX(AB70,0)*AB73,""))</f>
        <v/>
      </c>
      <c r="AC72" s="20">
        <f>IF(OR(AC70="",AC73=""),"",IFERROR(MAX(AC70,0)*AC73,""))</f>
        <v/>
      </c>
    </row>
    <row r="73">
      <c r="A73" s="13" t="inlineStr">
        <is>
          <t>법인세율</t>
        </is>
      </c>
      <c r="B73" s="10" t="inlineStr">
        <is>
          <t>MW 기본 30%</t>
        </is>
      </c>
      <c r="C73" s="14">
        <f>IF(OR(C72="",C70=""),"",IFERROR(C72/C70,""))</f>
        <v/>
      </c>
      <c r="D73" s="15">
        <f>IF(OR(D72="",D70=""),"",IFERROR(D72/D70,""))</f>
        <v/>
      </c>
      <c r="E73" s="15">
        <f>IF(OR(E72="",E70=""),"",IFERROR(E72/E70,""))</f>
        <v/>
      </c>
      <c r="F73" s="15">
        <f>IF(OR(F72="",F70=""),"",IFERROR(F72/F70,""))</f>
        <v/>
      </c>
      <c r="G73" s="15">
        <f>IF(OR(G72="",G70=""),"",IFERROR(G72/G70,""))</f>
        <v/>
      </c>
      <c r="H73" s="15">
        <f>IF(OR(H72="",H70=""),"",IFERROR(H72/H70,""))</f>
        <v/>
      </c>
      <c r="I73" s="15">
        <f>IF(OR(I72="",I70=""),"",IFERROR(I72/I70,""))</f>
        <v/>
      </c>
      <c r="J73" s="15">
        <f>IF(OR(J72="",J70=""),"",IFERROR(J72/J70,""))</f>
        <v/>
      </c>
      <c r="K73" s="15">
        <f>IF(OR(K72="",K70=""),"",IFERROR(K72/K70,""))</f>
        <v/>
      </c>
      <c r="L73" s="15">
        <f>IF(OR(L72="",L70=""),"",IFERROR(L72/L70,""))</f>
        <v/>
      </c>
      <c r="M73" s="15">
        <f>IF(OR(M72="",M70=""),"",IFERROR(M72/M70,""))</f>
        <v/>
      </c>
      <c r="N73" s="15">
        <f>IF(OR(N72="",N70=""),"",IFERROR(N72/N70,""))</f>
        <v/>
      </c>
      <c r="O73" s="14">
        <f>IF(OR(O72="",O70=""),"",IFERROR(O72/O70,""))</f>
        <v/>
      </c>
      <c r="P73" s="15">
        <f>IF(OR(P72="",P70=""),"",IFERROR(P72/P70,""))</f>
        <v/>
      </c>
      <c r="Q73" s="15">
        <f>IF(OR(Q72="",Q70=""),"",IFERROR(Q72/Q70,""))</f>
        <v/>
      </c>
      <c r="R73" s="15">
        <f>IF(OR(R72="",R70=""),"",IFERROR(R72/R70,""))</f>
        <v/>
      </c>
      <c r="S73" s="15">
        <f>IF(OR(S72="",S70=""),"",IFERROR(S72/S70,""))</f>
        <v/>
      </c>
      <c r="T73" s="15">
        <f>IF(OR(T72="",T70=""),"",IFERROR(T72/T70,""))</f>
        <v/>
      </c>
      <c r="U73" s="15">
        <f>IF(OR(U72="",U70=""),"",IFERROR(U72/U70,""))</f>
        <v/>
      </c>
      <c r="V73" s="15">
        <f>IF(OR(V72="",V70=""),"",IFERROR(V72/V70,""))</f>
        <v/>
      </c>
      <c r="W73" s="15">
        <f>IF(OR(W72="",W70=""),"",IFERROR(W72/W70,""))</f>
        <v/>
      </c>
      <c r="X73" s="15">
        <f>IF(OR(X72="",X70=""),"",IFERROR(X72/X70,""))</f>
        <v/>
      </c>
      <c r="Y73" s="25" t="n">
        <v>0.3</v>
      </c>
      <c r="Z73" s="26" t="n">
        <v>0.3</v>
      </c>
      <c r="AA73" s="26" t="n">
        <v>0.3</v>
      </c>
      <c r="AB73" s="26" t="n">
        <v>0.3</v>
      </c>
      <c r="AC73" s="26" t="n">
        <v>0.3</v>
      </c>
    </row>
    <row r="74">
      <c r="A74" s="9" t="inlineStr">
        <is>
          <t>당기순이익(손실)</t>
        </is>
      </c>
      <c r="B74" s="10" t="n"/>
      <c r="C74" s="11" t="n">
        <v>1115</v>
      </c>
      <c r="D74" s="12" t="n">
        <v>1934</v>
      </c>
      <c r="E74" s="12" t="n">
        <v>353</v>
      </c>
      <c r="F74" s="12" t="n">
        <v>1844</v>
      </c>
      <c r="G74" s="12" t="n">
        <v>2016</v>
      </c>
      <c r="H74" s="12" t="n">
        <v>2547</v>
      </c>
      <c r="I74" s="12" t="n">
        <v>1783</v>
      </c>
      <c r="J74" s="12" t="n">
        <v>2658</v>
      </c>
      <c r="K74" s="12" t="n">
        <v>1795</v>
      </c>
      <c r="L74" s="12" t="n">
        <v>2216</v>
      </c>
      <c r="M74" s="12" t="n">
        <v>-41</v>
      </c>
      <c r="N74" s="12" t="n">
        <v>3420</v>
      </c>
      <c r="O74" s="11" t="n">
        <v>260.411</v>
      </c>
      <c r="P74" s="12" t="n">
        <v>437.373</v>
      </c>
      <c r="Q74" s="12" t="n">
        <v>1061.823</v>
      </c>
      <c r="R74" s="12" t="n">
        <v>1758.865</v>
      </c>
      <c r="S74" s="12" t="n">
        <v>2817.248</v>
      </c>
      <c r="T74" s="12" t="n">
        <v>5105</v>
      </c>
      <c r="U74" s="12" t="n">
        <v>6485</v>
      </c>
      <c r="V74" s="12" t="n">
        <v>5246</v>
      </c>
      <c r="W74" s="12" t="n">
        <v>9004</v>
      </c>
      <c r="X74" s="12" t="n">
        <v>7390</v>
      </c>
      <c r="Y74" s="11">
        <f>IF(OR(Y70=""),"",IFERROR(Y70-Y72,""))</f>
        <v/>
      </c>
      <c r="Z74" s="12">
        <f>IF(OR(Z70=""),"",IFERROR(Z70-Z72,""))</f>
        <v/>
      </c>
      <c r="AA74" s="12">
        <f>IF(OR(AA70=""),"",IFERROR(AA70-AA72,""))</f>
        <v/>
      </c>
      <c r="AB74" s="12">
        <f>IF(OR(AB70=""),"",IFERROR(AB70-AB72,""))</f>
        <v/>
      </c>
      <c r="AC74" s="12">
        <f>IF(OR(AC70=""),"",IFERROR(AC70-AC72,""))</f>
        <v/>
      </c>
    </row>
    <row r="75">
      <c r="A75" s="13" t="inlineStr">
        <is>
          <t>YoY</t>
        </is>
      </c>
      <c r="B75" s="10" t="n"/>
      <c r="C75" s="14" t="n"/>
      <c r="D75" s="15" t="n"/>
      <c r="E75" s="15" t="n"/>
      <c r="F75" s="15" t="n"/>
      <c r="G75" s="15">
        <f>IF(OR(G74="",C74=""),"",IF(C74&lt;=0,"",IFERROR(G74/C74-1,"")))</f>
        <v/>
      </c>
      <c r="H75" s="15">
        <f>IF(OR(H74="",D74=""),"",IF(D74&lt;=0,"",IFERROR(H74/D74-1,"")))</f>
        <v/>
      </c>
      <c r="I75" s="15">
        <f>IF(OR(I74="",E74=""),"",IF(E74&lt;=0,"",IFERROR(I74/E74-1,"")))</f>
        <v/>
      </c>
      <c r="J75" s="15">
        <f>IF(OR(J74="",F74=""),"",IF(F74&lt;=0,"",IFERROR(J74/F74-1,"")))</f>
        <v/>
      </c>
      <c r="K75" s="15">
        <f>IF(OR(K74="",G74=""),"",IF(G74&lt;=0,"",IFERROR(K74/G74-1,"")))</f>
        <v/>
      </c>
      <c r="L75" s="15">
        <f>IF(OR(L74="",H74=""),"",IF(H74&lt;=0,"",IFERROR(L74/H74-1,"")))</f>
        <v/>
      </c>
      <c r="M75" s="15">
        <f>IF(OR(M74="",I74=""),"",IF(I74&lt;=0,"",IFERROR(M74/I74-1,"")))</f>
        <v/>
      </c>
      <c r="N75" s="15">
        <f>IF(OR(N74="",J74=""),"",IF(J74&lt;=0,"",IFERROR(N74/J74-1,"")))</f>
        <v/>
      </c>
      <c r="O75" s="14" t="n"/>
      <c r="P75" s="15">
        <f>IF(OR(P74="",O74=""),"",IF(O74&lt;=0,"",IFERROR(P74/O74-1,"")))</f>
        <v/>
      </c>
      <c r="Q75" s="15">
        <f>IF(OR(Q74="",P74=""),"",IF(P74&lt;=0,"",IFERROR(Q74/P74-1,"")))</f>
        <v/>
      </c>
      <c r="R75" s="15">
        <f>IF(OR(R74="",Q74=""),"",IF(Q74&lt;=0,"",IFERROR(R74/Q74-1,"")))</f>
        <v/>
      </c>
      <c r="S75" s="15">
        <f>IF(OR(S74="",R74=""),"",IF(R74&lt;=0,"",IFERROR(S74/R74-1,"")))</f>
        <v/>
      </c>
      <c r="T75" s="15">
        <f>IF(OR(T74="",S74=""),"",IF(S74&lt;=0,"",IFERROR(T74/S74-1,"")))</f>
        <v/>
      </c>
      <c r="U75" s="15">
        <f>IF(OR(U74="",T74=""),"",IF(T74&lt;=0,"",IFERROR(U74/T74-1,"")))</f>
        <v/>
      </c>
      <c r="V75" s="15">
        <f>IF(OR(V74="",U74=""),"",IF(U74&lt;=0,"",IFERROR(V74/U74-1,"")))</f>
        <v/>
      </c>
      <c r="W75" s="15">
        <f>IF(OR(W74="",V74=""),"",IF(V74&lt;=0,"",IFERROR(W74/V74-1,"")))</f>
        <v/>
      </c>
      <c r="X75" s="15">
        <f>IF(OR(X74="",W74=""),"",IF(W74&lt;=0,"",IFERROR(X74/W74-1,"")))</f>
        <v/>
      </c>
      <c r="Y75" s="14">
        <f>IF(OR(Y74="",X74=""),"",IF(X74&lt;=0,"",IFERROR(Y74/X74-1,"")))</f>
        <v/>
      </c>
      <c r="Z75" s="15">
        <f>IF(OR(Z74="",Y74=""),"",IF(Y74&lt;=0,"",IFERROR(Z74/Y74-1,"")))</f>
        <v/>
      </c>
      <c r="AA75" s="15">
        <f>IF(OR(AA74="",Z74=""),"",IF(Z74&lt;=0,"",IFERROR(AA74/Z74-1,"")))</f>
        <v/>
      </c>
      <c r="AB75" s="15">
        <f>IF(OR(AB74="",AA74=""),"",IF(AA74&lt;=0,"",IFERROR(AB74/AA74-1,"")))</f>
        <v/>
      </c>
      <c r="AC75" s="15">
        <f>IF(OR(AC74="",AB74=""),"",IF(AB74&lt;=0,"",IFERROR(AC74/AB74-1,"")))</f>
        <v/>
      </c>
    </row>
    <row r="76">
      <c r="A76" s="9" t="inlineStr">
        <is>
          <t>지배주주 순이익</t>
        </is>
      </c>
      <c r="B76" s="10" t="n"/>
      <c r="C76" s="11" t="n">
        <v>1093</v>
      </c>
      <c r="D76" s="12" t="n">
        <v>1889</v>
      </c>
      <c r="E76" s="12" t="n">
        <v>333</v>
      </c>
      <c r="F76" s="12" t="n">
        <v>1812</v>
      </c>
      <c r="G76" s="12" t="n">
        <v>1976</v>
      </c>
      <c r="H76" s="12" t="n">
        <v>2517</v>
      </c>
      <c r="I76" s="12" t="n">
        <v>1784</v>
      </c>
      <c r="J76" s="12" t="n">
        <v>2658</v>
      </c>
      <c r="K76" s="12" t="n">
        <v>1795</v>
      </c>
      <c r="L76" s="12" t="n">
        <v>2216</v>
      </c>
      <c r="M76" s="12" t="n">
        <v>-32</v>
      </c>
      <c r="N76" s="12" t="n">
        <v>3451</v>
      </c>
      <c r="O76" s="11" t="n">
        <v>208.692</v>
      </c>
      <c r="P76" s="12" t="n">
        <v>368.239</v>
      </c>
      <c r="Q76" s="12" t="n">
        <v>970.49</v>
      </c>
      <c r="R76" s="12" t="n">
        <v>1648.692</v>
      </c>
      <c r="S76" s="12" t="n">
        <v>2818.609</v>
      </c>
      <c r="T76" s="12" t="n">
        <v>4974</v>
      </c>
      <c r="U76" s="12" t="n">
        <v>6245</v>
      </c>
      <c r="V76" s="12" t="n">
        <v>5127</v>
      </c>
      <c r="W76" s="12" t="n">
        <v>8935</v>
      </c>
      <c r="X76" s="12" t="n">
        <v>7430</v>
      </c>
      <c r="Y76" s="11">
        <f>IF(OR(Y74="",Y77=""),"",IFERROR(Y74*Y77,""))</f>
        <v/>
      </c>
      <c r="Z76" s="12">
        <f>IF(OR(Z74="",Z77=""),"",IFERROR(Z74*Z77,""))</f>
        <v/>
      </c>
      <c r="AA76" s="12">
        <f>IF(OR(AA74="",AA77=""),"",IFERROR(AA74*AA77,""))</f>
        <v/>
      </c>
      <c r="AB76" s="12">
        <f>IF(OR(AB74="",AB77=""),"",IFERROR(AB74*AB77,""))</f>
        <v/>
      </c>
      <c r="AC76" s="12">
        <f>IF(OR(AC74="",AC77=""),"",IFERROR(AC74*AC77,""))</f>
        <v/>
      </c>
    </row>
    <row r="77">
      <c r="A77" s="13" t="inlineStr">
        <is>
          <t>지배주주 순이익률</t>
        </is>
      </c>
      <c r="B77" s="10" t="inlineStr">
        <is>
          <t>MW 기본 100%</t>
        </is>
      </c>
      <c r="C77" s="14">
        <f>IF(OR(C76="",C74=""),"",IFERROR(C76/C74,""))</f>
        <v/>
      </c>
      <c r="D77" s="15">
        <f>IF(OR(D76="",D74=""),"",IFERROR(D76/D74,""))</f>
        <v/>
      </c>
      <c r="E77" s="15">
        <f>IF(OR(E76="",E74=""),"",IFERROR(E76/E74,""))</f>
        <v/>
      </c>
      <c r="F77" s="15">
        <f>IF(OR(F76="",F74=""),"",IFERROR(F76/F74,""))</f>
        <v/>
      </c>
      <c r="G77" s="15">
        <f>IF(OR(G76="",G74=""),"",IFERROR(G76/G74,""))</f>
        <v/>
      </c>
      <c r="H77" s="15">
        <f>IF(OR(H76="",H74=""),"",IFERROR(H76/H74,""))</f>
        <v/>
      </c>
      <c r="I77" s="15">
        <f>IF(OR(I76="",I74=""),"",IFERROR(I76/I74,""))</f>
        <v/>
      </c>
      <c r="J77" s="15">
        <f>IF(OR(J76="",J74=""),"",IFERROR(J76/J74,""))</f>
        <v/>
      </c>
      <c r="K77" s="15">
        <f>IF(OR(K76="",K74=""),"",IFERROR(K76/K74,""))</f>
        <v/>
      </c>
      <c r="L77" s="15">
        <f>IF(OR(L76="",L74=""),"",IFERROR(L76/L74,""))</f>
        <v/>
      </c>
      <c r="M77" s="15">
        <f>IF(OR(M76="",M74=""),"",IFERROR(M76/M74,""))</f>
        <v/>
      </c>
      <c r="N77" s="15">
        <f>IF(OR(N76="",N74=""),"",IFERROR(N76/N74,""))</f>
        <v/>
      </c>
      <c r="O77" s="14">
        <f>IF(OR(O76="",O74=""),"",IFERROR(O76/O74,""))</f>
        <v/>
      </c>
      <c r="P77" s="15">
        <f>IF(OR(P76="",P74=""),"",IFERROR(P76/P74,""))</f>
        <v/>
      </c>
      <c r="Q77" s="15">
        <f>IF(OR(Q76="",Q74=""),"",IFERROR(Q76/Q74,""))</f>
        <v/>
      </c>
      <c r="R77" s="15">
        <f>IF(OR(R76="",R74=""),"",IFERROR(R76/R74,""))</f>
        <v/>
      </c>
      <c r="S77" s="15">
        <f>IF(OR(S76="",S74=""),"",IFERROR(S76/S74,""))</f>
        <v/>
      </c>
      <c r="T77" s="15">
        <f>IF(OR(T76="",T74=""),"",IFERROR(T76/T74,""))</f>
        <v/>
      </c>
      <c r="U77" s="15">
        <f>IF(OR(U76="",U74=""),"",IFERROR(U76/U74,""))</f>
        <v/>
      </c>
      <c r="V77" s="15">
        <f>IF(OR(V76="",V74=""),"",IFERROR(V76/V74,""))</f>
        <v/>
      </c>
      <c r="W77" s="15">
        <f>IF(OR(W76="",W74=""),"",IFERROR(W76/W74,""))</f>
        <v/>
      </c>
      <c r="X77" s="15">
        <f>IF(OR(X76="",X74=""),"",IFERROR(X76/X74,""))</f>
        <v/>
      </c>
      <c r="Y77" s="25" t="n">
        <v>1</v>
      </c>
      <c r="Z77" s="26" t="n">
        <v>1</v>
      </c>
      <c r="AA77" s="26" t="n">
        <v>1</v>
      </c>
      <c r="AB77" s="26" t="n">
        <v>1</v>
      </c>
      <c r="AC77" s="26" t="n">
        <v>1</v>
      </c>
    </row>
    <row r="78">
      <c r="A78" s="13" t="inlineStr">
        <is>
          <t>지배주주 순이익 YoY</t>
        </is>
      </c>
      <c r="B78" s="10" t="n"/>
      <c r="C78" s="14" t="n"/>
      <c r="D78" s="15" t="n"/>
      <c r="E78" s="15" t="n"/>
      <c r="F78" s="15" t="n"/>
      <c r="G78" s="15">
        <f>IF(OR(G76="",C76=""),"",IF(C76&lt;=0,"",IFERROR(G76/C76-1,"")))</f>
        <v/>
      </c>
      <c r="H78" s="15">
        <f>IF(OR(H76="",D76=""),"",IF(D76&lt;=0,"",IFERROR(H76/D76-1,"")))</f>
        <v/>
      </c>
      <c r="I78" s="15">
        <f>IF(OR(I76="",E76=""),"",IF(E76&lt;=0,"",IFERROR(I76/E76-1,"")))</f>
        <v/>
      </c>
      <c r="J78" s="15">
        <f>IF(OR(J76="",F76=""),"",IF(F76&lt;=0,"",IFERROR(J76/F76-1,"")))</f>
        <v/>
      </c>
      <c r="K78" s="15">
        <f>IF(OR(K76="",G76=""),"",IF(G76&lt;=0,"",IFERROR(K76/G76-1,"")))</f>
        <v/>
      </c>
      <c r="L78" s="15">
        <f>IF(OR(L76="",H76=""),"",IF(H76&lt;=0,"",IFERROR(L76/H76-1,"")))</f>
        <v/>
      </c>
      <c r="M78" s="15">
        <f>IF(OR(M76="",I76=""),"",IF(I76&lt;=0,"",IFERROR(M76/I76-1,"")))</f>
        <v/>
      </c>
      <c r="N78" s="15">
        <f>IF(OR(N76="",J76=""),"",IF(J76&lt;=0,"",IFERROR(N76/J76-1,"")))</f>
        <v/>
      </c>
      <c r="O78" s="14" t="n"/>
      <c r="P78" s="15">
        <f>IF(OR(P76="",O76=""),"",IF(O76&lt;=0,"",IFERROR(P76/O76-1,"")))</f>
        <v/>
      </c>
      <c r="Q78" s="15">
        <f>IF(OR(Q76="",P76=""),"",IF(P76&lt;=0,"",IFERROR(Q76/P76-1,"")))</f>
        <v/>
      </c>
      <c r="R78" s="15">
        <f>IF(OR(R76="",Q76=""),"",IF(Q76&lt;=0,"",IFERROR(R76/Q76-1,"")))</f>
        <v/>
      </c>
      <c r="S78" s="15">
        <f>IF(OR(S76="",R76=""),"",IF(R76&lt;=0,"",IFERROR(S76/R76-1,"")))</f>
        <v/>
      </c>
      <c r="T78" s="15">
        <f>IF(OR(T76="",S76=""),"",IF(S76&lt;=0,"",IFERROR(T76/S76-1,"")))</f>
        <v/>
      </c>
      <c r="U78" s="15">
        <f>IF(OR(U76="",T76=""),"",IF(T76&lt;=0,"",IFERROR(U76/T76-1,"")))</f>
        <v/>
      </c>
      <c r="V78" s="15">
        <f>IF(OR(V76="",U76=""),"",IF(U76&lt;=0,"",IFERROR(V76/U76-1,"")))</f>
        <v/>
      </c>
      <c r="W78" s="15">
        <f>IF(OR(W76="",V76=""),"",IF(V76&lt;=0,"",IFERROR(W76/V76-1,"")))</f>
        <v/>
      </c>
      <c r="X78" s="15">
        <f>IF(OR(X76="",W76=""),"",IF(W76&lt;=0,"",IFERROR(X76/W76-1,"")))</f>
        <v/>
      </c>
      <c r="Y78" s="14">
        <f>IF(OR(Y76="",X76=""),"",IF(X76&lt;=0,"",IFERROR(Y76/X76-1,"")))</f>
        <v/>
      </c>
      <c r="Z78" s="15">
        <f>IF(OR(Z76="",Y76=""),"",IF(Y76&lt;=0,"",IFERROR(Z76/Y76-1,"")))</f>
        <v/>
      </c>
      <c r="AA78" s="15">
        <f>IF(OR(AA76="",Z76=""),"",IF(Z76&lt;=0,"",IFERROR(AA76/Z76-1,"")))</f>
        <v/>
      </c>
      <c r="AB78" s="15">
        <f>IF(OR(AB76="",AA76=""),"",IF(AA76&lt;=0,"",IFERROR(AB76/AA76-1,"")))</f>
        <v/>
      </c>
      <c r="AC78" s="15">
        <f>IF(OR(AC76="",AB76=""),"",IF(AB76&lt;=0,"",IFERROR(AC76/AB76-1,"")))</f>
        <v/>
      </c>
    </row>
    <row r="79">
      <c r="A79" s="16" t="inlineStr">
        <is>
          <t>목표주가 산출</t>
        </is>
      </c>
      <c r="B79" s="16" t="n"/>
      <c r="C79" s="17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7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7" t="n"/>
      <c r="Z79" s="16" t="n"/>
      <c r="AA79" s="16" t="n"/>
      <c r="AB79" s="16" t="n"/>
      <c r="AC79" s="16" t="n"/>
    </row>
    <row r="80">
      <c r="A80" s="18" t="inlineStr">
        <is>
          <t>현재 주가 (2026.10.28)</t>
        </is>
      </c>
      <c r="B80" s="27" t="n">
        <v>1146</v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8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8" t="n"/>
      <c r="Z80" s="29" t="n"/>
      <c r="AA80" s="29" t="n"/>
      <c r="AB80" s="29" t="n"/>
      <c r="AC80" s="29" t="n"/>
    </row>
    <row r="81">
      <c r="A81" s="18" t="inlineStr">
        <is>
          <t>발행주식수 (보통주)</t>
        </is>
      </c>
      <c r="B81" s="27" t="n">
        <v>267500670</v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8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8" t="n"/>
      <c r="Z81" s="29" t="n"/>
      <c r="AA81" s="29" t="n"/>
      <c r="AB81" s="29" t="n"/>
      <c r="AC81" s="29" t="n"/>
    </row>
    <row r="82">
      <c r="A82" s="18" t="inlineStr">
        <is>
          <t>시가총액 (백만엔)</t>
        </is>
      </c>
      <c r="B82" s="12">
        <f>IF(OR(B80="",B81=""),"",B80*B81/1000000.0)</f>
        <v/>
      </c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19" t="n"/>
      <c r="Z82" s="20" t="n"/>
      <c r="AA82" s="20" t="n"/>
      <c r="AB82" s="20" t="n"/>
      <c r="AC82" s="20" t="n"/>
    </row>
    <row r="83">
      <c r="A83" s="13" t="inlineStr">
        <is>
          <t>OPM</t>
        </is>
      </c>
      <c r="B83" s="10" t="n"/>
      <c r="C83" s="14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4">
        <f>IF(O47="","",O47)</f>
        <v/>
      </c>
      <c r="P83" s="15">
        <f>IF(P47="","",P47)</f>
        <v/>
      </c>
      <c r="Q83" s="15">
        <f>IF(Q47="","",Q47)</f>
        <v/>
      </c>
      <c r="R83" s="15">
        <f>IF(R47="","",R47)</f>
        <v/>
      </c>
      <c r="S83" s="15">
        <f>IF(S47="","",S47)</f>
        <v/>
      </c>
      <c r="T83" s="15">
        <f>IF(T47="","",T47)</f>
        <v/>
      </c>
      <c r="U83" s="15">
        <f>IF(U47="","",U47)</f>
        <v/>
      </c>
      <c r="V83" s="15">
        <f>IF(V47="","",V47)</f>
        <v/>
      </c>
      <c r="W83" s="15">
        <f>IF(W47="","",W47)</f>
        <v/>
      </c>
      <c r="X83" s="15">
        <f>IF(X47="","",X47)</f>
        <v/>
      </c>
      <c r="Y83" s="14">
        <f>IF(Y47="","",Y47)</f>
        <v/>
      </c>
      <c r="Z83" s="15">
        <f>IF(Z47="","",Z47)</f>
        <v/>
      </c>
      <c r="AA83" s="15">
        <f>IF(AA47="","",AA47)</f>
        <v/>
      </c>
      <c r="AB83" s="15">
        <f>IF(AB47="","",AB47)</f>
        <v/>
      </c>
      <c r="AC83" s="15">
        <f>IF(AC47="","",AC47)</f>
        <v/>
      </c>
    </row>
    <row r="84">
      <c r="A84" s="13" t="inlineStr">
        <is>
          <t>지배주주 순이익 증가율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>
        <f>IF(OR(P76="",O76=""),"",IFERROR(P76/O76-1,""))</f>
        <v/>
      </c>
      <c r="Q84" s="15">
        <f>IF(OR(Q76="",P76=""),"",IFERROR(Q76/P76-1,""))</f>
        <v/>
      </c>
      <c r="R84" s="15">
        <f>IF(OR(R76="",Q76=""),"",IFERROR(R76/Q76-1,""))</f>
        <v/>
      </c>
      <c r="S84" s="15">
        <f>IF(OR(S76="",R76=""),"",IFERROR(S76/R76-1,""))</f>
        <v/>
      </c>
      <c r="T84" s="15">
        <f>IF(OR(T76="",S76=""),"",IFERROR(T76/S76-1,""))</f>
        <v/>
      </c>
      <c r="U84" s="15">
        <f>IF(OR(U76="",T76=""),"",IFERROR(U76/T76-1,""))</f>
        <v/>
      </c>
      <c r="V84" s="15">
        <f>IF(OR(V76="",U76=""),"",IFERROR(V76/U76-1,""))</f>
        <v/>
      </c>
      <c r="W84" s="15">
        <f>IF(OR(W76="",V76=""),"",IFERROR(W76/V76-1,""))</f>
        <v/>
      </c>
      <c r="X84" s="15">
        <f>IF(OR(X76="",W76=""),"",IFERROR(X76/W76-1,""))</f>
        <v/>
      </c>
      <c r="Y84" s="14">
        <f>IF(OR(Y76="",X76=""),"",IFERROR(Y76/X76-1,""))</f>
        <v/>
      </c>
      <c r="Z84" s="15">
        <f>IF(OR(Z76="",Y76=""),"",IFERROR(Z76/Y76-1,""))</f>
        <v/>
      </c>
      <c r="AA84" s="15">
        <f>IF(OR(AA76="",Z76=""),"",IFERROR(AA76/Z76-1,""))</f>
        <v/>
      </c>
      <c r="AB84" s="15">
        <f>IF(OR(AB76="",AA76=""),"",IFERROR(AB76/AA76-1,""))</f>
        <v/>
      </c>
      <c r="AC84" s="15">
        <f>IF(OR(AC76="",AB76=""),"",IFERROR(AC76/AB76-1,""))</f>
        <v/>
      </c>
    </row>
    <row r="85">
      <c r="A85" s="18" t="inlineStr">
        <is>
          <t>P/E (현재 주가)</t>
        </is>
      </c>
      <c r="B85" s="10" t="inlineStr">
        <is>
          <t>시총 ÷ 지배순이익</t>
        </is>
      </c>
      <c r="C85" s="30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0" t="n"/>
      <c r="P85" s="31" t="n"/>
      <c r="Q85" s="31" t="n"/>
      <c r="R85" s="31" t="n"/>
      <c r="S85" s="31" t="n"/>
      <c r="T85" s="31" t="n"/>
      <c r="U85" s="31" t="n"/>
      <c r="V85" s="31" t="n"/>
      <c r="W85" s="31" t="n"/>
      <c r="X85" s="31">
        <f>IF(OR($B$82="",X76=""),"",IFERROR($B$82/X76,""))</f>
        <v/>
      </c>
      <c r="Y85" s="30">
        <f>IF(OR($B$82="",Y76=""),"",IFERROR($B$82/Y76,""))</f>
        <v/>
      </c>
      <c r="Z85" s="31">
        <f>IF(OR($B$82="",Z76=""),"",IFERROR($B$82/Z76,""))</f>
        <v/>
      </c>
      <c r="AA85" s="31">
        <f>IF(OR($B$82="",AA76=""),"",IFERROR($B$82/AA76,""))</f>
        <v/>
      </c>
      <c r="AB85" s="31">
        <f>IF(OR($B$82="",AB76=""),"",IFERROR($B$82/AB76,""))</f>
        <v/>
      </c>
      <c r="AC85" s="31">
        <f>IF(OR($B$82="",AC76=""),"",IFERROR($B$82/AC76,""))</f>
        <v/>
      </c>
    </row>
    <row r="86">
      <c r="A86" s="18" t="inlineStr">
        <is>
          <t>Target P/E</t>
        </is>
      </c>
      <c r="B86" s="10" t="inlineStr">
        <is>
          <t>직접 입력</t>
        </is>
      </c>
      <c r="C86" s="30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1" t="n"/>
      <c r="M86" s="31" t="n"/>
      <c r="N86" s="31" t="n"/>
      <c r="O86" s="30" t="n"/>
      <c r="P86" s="31" t="n"/>
      <c r="Q86" s="31" t="n"/>
      <c r="R86" s="31" t="n"/>
      <c r="S86" s="31" t="n"/>
      <c r="T86" s="31" t="n"/>
      <c r="U86" s="31" t="n"/>
      <c r="V86" s="31" t="n"/>
      <c r="W86" s="31" t="n"/>
      <c r="X86" s="31" t="n"/>
      <c r="Y86" s="32" t="n"/>
      <c r="Z86" s="33" t="n"/>
      <c r="AA86" s="33" t="n"/>
      <c r="AB86" s="33" t="n"/>
      <c r="AC86" s="33" t="n"/>
    </row>
    <row r="87">
      <c r="A87" s="18" t="inlineStr">
        <is>
          <t>EPS</t>
        </is>
      </c>
      <c r="B87" s="10" t="inlineStr">
        <is>
          <t>지배순이익 ÷ 주식수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8">
        <f>IF(OR(O76="",$B$81=""),"",IFERROR(O76*1000000.0/$B$81,""))</f>
        <v/>
      </c>
      <c r="P87" s="29">
        <f>IF(OR(P76="",$B$81=""),"",IFERROR(P76*1000000.0/$B$81,""))</f>
        <v/>
      </c>
      <c r="Q87" s="29">
        <f>IF(OR(Q76="",$B$81=""),"",IFERROR(Q76*1000000.0/$B$81,""))</f>
        <v/>
      </c>
      <c r="R87" s="29">
        <f>IF(OR(R76="",$B$81=""),"",IFERROR(R76*1000000.0/$B$81,""))</f>
        <v/>
      </c>
      <c r="S87" s="29">
        <f>IF(OR(S76="",$B$81=""),"",IFERROR(S76*1000000.0/$B$81,""))</f>
        <v/>
      </c>
      <c r="T87" s="29">
        <f>IF(OR(T76="",$B$81=""),"",IFERROR(T76*1000000.0/$B$81,""))</f>
        <v/>
      </c>
      <c r="U87" s="29">
        <f>IF(OR(U76="",$B$81=""),"",IFERROR(U76*1000000.0/$B$81,""))</f>
        <v/>
      </c>
      <c r="V87" s="29">
        <f>IF(OR(V76="",$B$81=""),"",IFERROR(V76*1000000.0/$B$81,""))</f>
        <v/>
      </c>
      <c r="W87" s="29">
        <f>IF(OR(W76="",$B$81=""),"",IFERROR(W76*1000000.0/$B$81,""))</f>
        <v/>
      </c>
      <c r="X87" s="29">
        <f>IF(OR(X76="",$B$81=""),"",IFERROR(X76*1000000.0/$B$81,""))</f>
        <v/>
      </c>
      <c r="Y87" s="28">
        <f>IF(OR(Y76="",$B$81=""),"",IFERROR(Y76*1000000.0/$B$81,""))</f>
        <v/>
      </c>
      <c r="Z87" s="29">
        <f>IF(OR(Z76="",$B$81=""),"",IFERROR(Z76*1000000.0/$B$81,""))</f>
        <v/>
      </c>
      <c r="AA87" s="29">
        <f>IF(OR(AA76="",$B$81=""),"",IFERROR(AA76*1000000.0/$B$81,""))</f>
        <v/>
      </c>
      <c r="AB87" s="29">
        <f>IF(OR(AB76="",$B$81=""),"",IFERROR(AB76*1000000.0/$B$81,""))</f>
        <v/>
      </c>
      <c r="AC87" s="29">
        <f>IF(OR(AC76="",$B$81=""),"",IFERROR(AC76*1000000.0/$B$81,""))</f>
        <v/>
      </c>
    </row>
    <row r="88">
      <c r="A88" s="9" t="inlineStr">
        <is>
          <t>목표주가</t>
        </is>
      </c>
      <c r="B88" s="10" t="n"/>
      <c r="C88" s="34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34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34">
        <f>IF(OR(Y87="",Y86=""),"",IFERROR(Y87*Y86,""))</f>
        <v/>
      </c>
      <c r="Z88" s="27">
        <f>IF(OR(Z87="",Z86=""),"",IFERROR(Z87*Z86,""))</f>
        <v/>
      </c>
      <c r="AA88" s="27">
        <f>IF(OR(AA87="",AA86=""),"",IFERROR(AA87*AA86,""))</f>
        <v/>
      </c>
      <c r="AB88" s="27">
        <f>IF(OR(AB87="",AB86=""),"",IFERROR(AB87*AB86,""))</f>
        <v/>
      </c>
      <c r="AC88" s="27">
        <f>IF(OR(AC87="",AC86=""),"",IFERROR(AC87*AC86,""))</f>
        <v/>
      </c>
    </row>
    <row r="89">
      <c r="A89" s="18" t="inlineStr">
        <is>
          <t>상승여력</t>
        </is>
      </c>
      <c r="B89" s="10" t="n"/>
      <c r="C89" s="3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5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7">
        <f>IF(OR(Y88="",$B$80=""),"",IFERROR(Y88/$B$80-1,""))</f>
        <v/>
      </c>
      <c r="Z89" s="38">
        <f>IF(OR(Z88="",$B$80=""),"",IFERROR(Z88/$B$80-1,""))</f>
        <v/>
      </c>
      <c r="AA89" s="38">
        <f>IF(OR(AA88="",$B$80=""),"",IFERROR(AA88/$B$80-1,""))</f>
        <v/>
      </c>
      <c r="AB89" s="38">
        <f>IF(OR(AB88="",$B$80=""),"",IFERROR(AB88/$B$80-1,""))</f>
        <v/>
      </c>
      <c r="AC89" s="38">
        <f>IF(OR(AC88="",$B$80=""),"",IFERROR(AC88/$B$80-1,""))</f>
        <v/>
      </c>
    </row>
    <row r="90">
      <c r="A90" s="16" t="inlineStr">
        <is>
          <t>자산가치 산출</t>
        </is>
      </c>
      <c r="B90" s="16" t="inlineStr">
        <is>
          <t>최신 분기 BS</t>
        </is>
      </c>
      <c r="C90" s="17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7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7" t="n"/>
      <c r="Z90" s="16" t="n"/>
      <c r="AA90" s="16" t="n"/>
      <c r="AB90" s="16" t="n"/>
      <c r="AC90" s="16" t="n"/>
    </row>
    <row r="91">
      <c r="A91" s="18" t="inlineStr">
        <is>
          <t>현금및현금성자산</t>
        </is>
      </c>
      <c r="B91" s="10" t="n"/>
      <c r="C91" s="19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19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>
        <f>'재무상태표'!G6</f>
        <v/>
      </c>
      <c r="Y91" s="19">
        <f>'재무상태표'!G6</f>
        <v/>
      </c>
      <c r="Z91" s="20">
        <f>'재무상태표'!G6</f>
        <v/>
      </c>
      <c r="AA91" s="20">
        <f>'재무상태표'!G6</f>
        <v/>
      </c>
      <c r="AB91" s="20">
        <f>'재무상태표'!G6</f>
        <v/>
      </c>
      <c r="AC91" s="20">
        <f>'재무상태표'!G6</f>
        <v/>
      </c>
    </row>
    <row r="92">
      <c r="A92" s="18" t="inlineStr">
        <is>
          <t>단기금융상품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>
        <f>'재무상태표'!G7</f>
        <v/>
      </c>
      <c r="Y92" s="19">
        <f>'재무상태표'!G7</f>
        <v/>
      </c>
      <c r="Z92" s="20">
        <f>'재무상태표'!G7</f>
        <v/>
      </c>
      <c r="AA92" s="20">
        <f>'재무상태표'!G7</f>
        <v/>
      </c>
      <c r="AB92" s="20">
        <f>'재무상태표'!G7</f>
        <v/>
      </c>
      <c r="AC92" s="20">
        <f>'재무상태표'!G7</f>
        <v/>
      </c>
    </row>
    <row r="93">
      <c r="A93" s="18" t="inlineStr">
        <is>
          <t>투자부동산</t>
        </is>
      </c>
      <c r="B93" s="10" t="n"/>
      <c r="C93" s="19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19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>
        <f>'재무상태표'!G14</f>
        <v/>
      </c>
      <c r="Y93" s="19">
        <f>'재무상태표'!G14</f>
        <v/>
      </c>
      <c r="Z93" s="20">
        <f>'재무상태표'!G14</f>
        <v/>
      </c>
      <c r="AA93" s="20">
        <f>'재무상태표'!G14</f>
        <v/>
      </c>
      <c r="AB93" s="20">
        <f>'재무상태표'!G14</f>
        <v/>
      </c>
      <c r="AC93" s="20">
        <f>'재무상태표'!G14</f>
        <v/>
      </c>
    </row>
    <row r="94">
      <c r="A94" s="18" t="inlineStr">
        <is>
          <t>지배자본</t>
        </is>
      </c>
      <c r="B94" s="10" t="n"/>
      <c r="C94" s="19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19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>
        <f>'재무상태표'!G31</f>
        <v/>
      </c>
      <c r="Y94" s="19">
        <f>'재무상태표'!G31</f>
        <v/>
      </c>
      <c r="Z94" s="20">
        <f>'재무상태표'!G31</f>
        <v/>
      </c>
      <c r="AA94" s="20">
        <f>'재무상태표'!G31</f>
        <v/>
      </c>
      <c r="AB94" s="20">
        <f>'재무상태표'!G31</f>
        <v/>
      </c>
      <c r="AC94" s="20">
        <f>'재무상태표'!G31</f>
        <v/>
      </c>
    </row>
    <row r="95">
      <c r="A95" s="18" t="inlineStr">
        <is>
          <t>부채</t>
        </is>
      </c>
      <c r="B95" s="10" t="n"/>
      <c r="C95" s="19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19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>
        <f>'재무상태표'!G27</f>
        <v/>
      </c>
      <c r="Y95" s="19">
        <f>'재무상태표'!G27</f>
        <v/>
      </c>
      <c r="Z95" s="20">
        <f>'재무상태표'!G27</f>
        <v/>
      </c>
      <c r="AA95" s="20">
        <f>'재무상태표'!G27</f>
        <v/>
      </c>
      <c r="AB95" s="20">
        <f>'재무상태표'!G27</f>
        <v/>
      </c>
      <c r="AC95" s="20">
        <f>'재무상태표'!G27</f>
        <v/>
      </c>
    </row>
    <row r="96">
      <c r="A96" s="13" t="inlineStr">
        <is>
          <t>부채비율</t>
        </is>
      </c>
      <c r="B96" s="10" t="n"/>
      <c r="C96" s="14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4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>
        <f>IF(OR(X95="",X94=""),"",IFERROR(X95/X94,""))</f>
        <v/>
      </c>
      <c r="Y96" s="14">
        <f>IF(OR(Y95="",Y94=""),"",IFERROR(Y95/Y94,""))</f>
        <v/>
      </c>
      <c r="Z96" s="15">
        <f>IF(OR(Z95="",Z94=""),"",IFERROR(Z95/Z94,""))</f>
        <v/>
      </c>
      <c r="AA96" s="15">
        <f>IF(OR(AA95="",AA94=""),"",IFERROR(AA95/AA94,""))</f>
        <v/>
      </c>
      <c r="AB96" s="15">
        <f>IF(OR(AB95="",AB94=""),"",IFERROR(AB95/AB94,""))</f>
        <v/>
      </c>
      <c r="AC96" s="15">
        <f>IF(OR(AC95="",AC94=""),"",IFERROR(AC95/AC94,""))</f>
        <v/>
      </c>
    </row>
    <row r="97">
      <c r="A97" s="9" t="inlineStr">
        <is>
          <t>자산가치</t>
        </is>
      </c>
      <c r="B97" s="10" t="inlineStr">
        <is>
          <t>현금+단기금융+투자부동산</t>
        </is>
      </c>
      <c r="C97" s="11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1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>
        <f>SUM(X91,X92,X93)</f>
        <v/>
      </c>
      <c r="Y97" s="11">
        <f>SUM(Y91,Y92,Y93)</f>
        <v/>
      </c>
      <c r="Z97" s="12">
        <f>SUM(Z91,Z92,Z93)</f>
        <v/>
      </c>
      <c r="AA97" s="12">
        <f>SUM(AA91,AA92,AA93)</f>
        <v/>
      </c>
      <c r="AB97" s="12">
        <f>SUM(AB91,AB92,AB93)</f>
        <v/>
      </c>
      <c r="AC97" s="12">
        <f>SUM(AC91,AC92,AC93)</f>
        <v/>
      </c>
    </row>
    <row r="98">
      <c r="A98" s="16" t="inlineStr">
        <is>
          <t>기업가치 산출</t>
        </is>
      </c>
      <c r="B98" s="16" t="n"/>
      <c r="C98" s="17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7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7" t="n"/>
      <c r="Z98" s="16" t="n"/>
      <c r="AA98" s="16" t="n"/>
      <c r="AB98" s="16" t="n"/>
      <c r="AC98" s="16" t="n"/>
    </row>
    <row r="99">
      <c r="A99" s="18" t="inlineStr">
        <is>
          <t>목표 시가총액 (P/E)</t>
        </is>
      </c>
      <c r="B99" s="10" t="inlineStr">
        <is>
          <t>지배순이익 × Target P/E</t>
        </is>
      </c>
      <c r="C99" s="19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19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19">
        <f>IF(OR(Y76="",Y86=""),"",IFERROR(Y76*Y86,""))</f>
        <v/>
      </c>
      <c r="Z99" s="20">
        <f>IF(OR(Z76="",Z86=""),"",IFERROR(Z76*Z86,""))</f>
        <v/>
      </c>
      <c r="AA99" s="20">
        <f>IF(OR(AA76="",AA86=""),"",IFERROR(AA76*AA86,""))</f>
        <v/>
      </c>
      <c r="AB99" s="20">
        <f>IF(OR(AB76="",AB86=""),"",IFERROR(AB76*AB86,""))</f>
        <v/>
      </c>
      <c r="AC99" s="20">
        <f>IF(OR(AC76="",AC86=""),"",IFERROR(AC76*AC86,""))</f>
        <v/>
      </c>
    </row>
    <row r="100">
      <c r="A100" s="9" t="inlineStr">
        <is>
          <t>기업가치</t>
        </is>
      </c>
      <c r="B100" s="10" t="inlineStr">
        <is>
          <t>목표시총 + 자산가치</t>
        </is>
      </c>
      <c r="C100" s="11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1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1">
        <f>IF(OR(Y99=""),"",IFERROR(Y99+Y97,""))</f>
        <v/>
      </c>
      <c r="Z100" s="12">
        <f>IF(OR(Z99=""),"",IFERROR(Z99+Z97,""))</f>
        <v/>
      </c>
      <c r="AA100" s="12">
        <f>IF(OR(AA99=""),"",IFERROR(AA99+AA97,""))</f>
        <v/>
      </c>
      <c r="AB100" s="12">
        <f>IF(OR(AB99=""),"",IFERROR(AB99+AB97,""))</f>
        <v/>
      </c>
      <c r="AC100" s="12">
        <f>IF(OR(AC99=""),"",IFERROR(AC99+AC97,""))</f>
        <v/>
      </c>
    </row>
    <row r="101">
      <c r="A101" s="18" t="inlineStr">
        <is>
          <t>현재 시가총액</t>
        </is>
      </c>
      <c r="B101" s="10" t="n"/>
      <c r="C101" s="19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19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19">
        <f>$B$82</f>
        <v/>
      </c>
      <c r="Z101" s="20">
        <f>$B$82</f>
        <v/>
      </c>
      <c r="AA101" s="20">
        <f>$B$82</f>
        <v/>
      </c>
      <c r="AB101" s="20">
        <f>$B$82</f>
        <v/>
      </c>
      <c r="AC101" s="20">
        <f>$B$82</f>
        <v/>
      </c>
    </row>
    <row r="102">
      <c r="A102" s="18" t="inlineStr">
        <is>
          <t>상승여력</t>
        </is>
      </c>
      <c r="B102" s="10" t="n"/>
      <c r="C102" s="35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5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7">
        <f>IF(OR(Y100="",Y101=""),"",IFERROR(Y100/Y101-1,""))</f>
        <v/>
      </c>
      <c r="Z102" s="38">
        <f>IF(OR(Z100="",Z101=""),"",IFERROR(Z100/Z101-1,""))</f>
        <v/>
      </c>
      <c r="AA102" s="38">
        <f>IF(OR(AA100="",AA101=""),"",IFERROR(AA100/AA101-1,""))</f>
        <v/>
      </c>
      <c r="AB102" s="38">
        <f>IF(OR(AB100="",AB101=""),"",IFERROR(AB100/AB101-1,""))</f>
        <v/>
      </c>
      <c r="AC102" s="38">
        <f>IF(OR(AC100="",AC101=""),"",IFERROR(AC100/AC101-1,""))</f>
        <v/>
      </c>
    </row>
    <row r="103">
      <c r="C103" s="39" t="n"/>
      <c r="O103" s="39" t="n"/>
      <c r="Y103" s="39" t="n"/>
    </row>
    <row r="104">
      <c r="A104" s="40" t="inlineStr">
        <is>
          <t>출처</t>
        </is>
      </c>
      <c r="C104" s="39" t="n"/>
      <c r="O104" s="39" t="n"/>
      <c r="Y104" s="39" t="n"/>
    </row>
    <row r="105">
      <c r="A105" s="41" t="inlineStr">
        <is>
          <t>결산단신 XBRL(TDnet·JPX 보관소) — 쓴 문서는 '출처' 시트</t>
        </is>
      </c>
      <c r="C105" s="39" t="n"/>
      <c r="O105" s="39" t="n"/>
      <c r="Y105" s="39" t="n"/>
    </row>
    <row r="106">
      <c r="A106" s="41" t="inlineStr">
        <is>
          <t>분기 = 누계에서 앞 분기를 뺀 3개월 값</t>
        </is>
      </c>
      <c r="C106" s="39" t="n"/>
      <c r="O106" s="39" t="n"/>
      <c r="Y106" s="39" t="n"/>
    </row>
    <row r="107">
      <c r="A107" s="41" t="inlineStr">
        <is>
          <t>주가: 야후 파이낸스 일봉 2026.10.28</t>
        </is>
      </c>
      <c r="C107" s="39" t="n"/>
      <c r="O107" s="39" t="n"/>
      <c r="Y107" s="39" t="n"/>
    </row>
    <row r="109">
      <c r="A109" s="16" t="inlineStr">
        <is>
          <t>손익계산서 · 전 항목</t>
        </is>
      </c>
      <c r="B109" s="42" t="inlineStr">
        <is>
          <t>분기 = 3개월 단독</t>
        </is>
      </c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</row>
    <row r="110">
      <c r="A110" s="5" t="inlineStr">
        <is>
          <t>항목</t>
        </is>
      </c>
      <c r="B110" s="5" t="inlineStr">
        <is>
          <t>참고</t>
        </is>
      </c>
      <c r="C110" s="5" t="inlineStr">
        <is>
          <t>2024.1Q</t>
        </is>
      </c>
      <c r="D110" s="5" t="inlineStr">
        <is>
          <t>2024.2Q</t>
        </is>
      </c>
      <c r="E110" s="5" t="inlineStr">
        <is>
          <t>2024.3Q</t>
        </is>
      </c>
      <c r="F110" s="5" t="inlineStr">
        <is>
          <t>2024.4Q</t>
        </is>
      </c>
      <c r="G110" s="5" t="inlineStr">
        <is>
          <t>2025.1Q</t>
        </is>
      </c>
      <c r="H110" s="5" t="inlineStr">
        <is>
          <t>2025.2Q</t>
        </is>
      </c>
      <c r="I110" s="5" t="inlineStr">
        <is>
          <t>2025.3Q</t>
        </is>
      </c>
      <c r="J110" s="5" t="inlineStr">
        <is>
          <t>2025.4Q</t>
        </is>
      </c>
      <c r="K110" s="5" t="inlineStr">
        <is>
          <t>2026.1Q</t>
        </is>
      </c>
      <c r="L110" s="5" t="inlineStr">
        <is>
          <t>2026.2Q</t>
        </is>
      </c>
      <c r="M110" s="5" t="inlineStr">
        <is>
          <t>2026.3Q</t>
        </is>
      </c>
      <c r="N110" s="5" t="inlineStr">
        <is>
          <t>2026.4Q</t>
        </is>
      </c>
      <c r="O110" s="5" t="inlineStr">
        <is>
          <t>2017</t>
        </is>
      </c>
      <c r="P110" s="5" t="inlineStr">
        <is>
          <t>2018</t>
        </is>
      </c>
      <c r="Q110" s="5" t="inlineStr">
        <is>
          <t>2019</t>
        </is>
      </c>
      <c r="R110" s="5" t="inlineStr">
        <is>
          <t>2020</t>
        </is>
      </c>
      <c r="S110" s="5" t="inlineStr">
        <is>
          <t>2021</t>
        </is>
      </c>
      <c r="T110" s="5" t="inlineStr">
        <is>
          <t>2022</t>
        </is>
      </c>
      <c r="U110" s="5" t="inlineStr">
        <is>
          <t>2023</t>
        </is>
      </c>
      <c r="V110" s="5" t="inlineStr">
        <is>
          <t>2024</t>
        </is>
      </c>
      <c r="W110" s="5" t="inlineStr">
        <is>
          <t>2025</t>
        </is>
      </c>
      <c r="X110" s="5" t="inlineStr">
        <is>
          <t>2026</t>
        </is>
      </c>
      <c r="Y110" s="5" t="inlineStr">
        <is>
          <t>2027(MW)</t>
        </is>
      </c>
      <c r="Z110" s="5" t="inlineStr">
        <is>
          <t>2028(MW)</t>
        </is>
      </c>
      <c r="AA110" s="5" t="inlineStr">
        <is>
          <t>2029(MW)</t>
        </is>
      </c>
      <c r="AB110" s="5" t="inlineStr">
        <is>
          <t>2030(MW)</t>
        </is>
      </c>
      <c r="AC110" s="5" t="inlineStr">
        <is>
          <t>2031(MW)</t>
        </is>
      </c>
    </row>
    <row r="111">
      <c r="A111" s="9" t="inlineStr">
        <is>
          <t>매출액</t>
        </is>
      </c>
      <c r="C111" s="12" t="n">
        <v>25073</v>
      </c>
      <c r="D111" s="12" t="n">
        <v>27232</v>
      </c>
      <c r="E111" s="12" t="n">
        <v>28838</v>
      </c>
      <c r="F111" s="12" t="n">
        <v>29484</v>
      </c>
      <c r="G111" s="12" t="n">
        <v>30174</v>
      </c>
      <c r="H111" s="12" t="n">
        <v>31514</v>
      </c>
      <c r="I111" s="12" t="n">
        <v>33724</v>
      </c>
      <c r="J111" s="12" t="n">
        <v>34407</v>
      </c>
      <c r="K111" s="12" t="n">
        <v>34845</v>
      </c>
      <c r="L111" s="12" t="n">
        <v>37190</v>
      </c>
      <c r="M111" s="12" t="n">
        <v>43813</v>
      </c>
      <c r="N111" s="12" t="n">
        <v>45752</v>
      </c>
      <c r="T111" s="12" t="n">
        <v>17869</v>
      </c>
      <c r="U111" s="12" t="n">
        <v>24675</v>
      </c>
      <c r="V111" s="12" t="n">
        <v>29484</v>
      </c>
      <c r="W111" s="12" t="n">
        <v>34407</v>
      </c>
      <c r="X111" s="12" t="n">
        <v>45752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IF(OR(G111="",C111=""),"",IF(C111&lt;=0,"",IFERROR(G111/C111-1,"")))</f>
        <v/>
      </c>
      <c r="H112" s="15">
        <f>IF(OR(H111="",D111=""),"",IF(D111&lt;=0,"",IFERROR(H111/D111-1,"")))</f>
        <v/>
      </c>
      <c r="I112" s="15">
        <f>IF(OR(I111="",E111=""),"",IF(E111&lt;=0,"",IFERROR(I111/E111-1,"")))</f>
        <v/>
      </c>
      <c r="J112" s="15">
        <f>IF(OR(J111="",F111=""),"",IF(F111&lt;=0,"",IFERROR(J111/F111-1,"")))</f>
        <v/>
      </c>
      <c r="K112" s="15">
        <f>IF(OR(K111="",G111=""),"",IF(G111&lt;=0,"",IFERROR(K111/G111-1,"")))</f>
        <v/>
      </c>
      <c r="L112" s="15">
        <f>IF(OR(L111="",H111=""),"",IF(H111&lt;=0,"",IFERROR(L111/H111-1,"")))</f>
        <v/>
      </c>
      <c r="M112" s="15">
        <f>IF(OR(M111="",I111=""),"",IF(I111&lt;=0,"",IFERROR(M111/I111-1,"")))</f>
        <v/>
      </c>
      <c r="N112" s="15">
        <f>IF(OR(N111="",J111=""),"",IF(J111&lt;=0,"",IFERROR(N111/J111-1,"")))</f>
        <v/>
      </c>
      <c r="T112" s="15">
        <f>IF(OR(T111="",S111=""),"",IF(S111&lt;=0,"",IFERROR(T111/S111-1,"")))</f>
        <v/>
      </c>
      <c r="U112" s="15">
        <f>IF(OR(U111="",T111=""),"",IF(T111&lt;=0,"",IFERROR(U111/T111-1,"")))</f>
        <v/>
      </c>
      <c r="V112" s="15">
        <f>IF(OR(V111="",U111=""),"",IF(U111&lt;=0,"",IFERROR(V111/U111-1,"")))</f>
        <v/>
      </c>
      <c r="W112" s="15">
        <f>IF(OR(W111="",V111=""),"",IF(V111&lt;=0,"",IFERROR(W111/V111-1,"")))</f>
        <v/>
      </c>
      <c r="X112" s="15">
        <f>IF(OR(X111="",W111=""),"",IF(W111&lt;=0,"",IFERROR(X111/W111-1,"")))</f>
        <v/>
      </c>
    </row>
    <row r="113">
      <c r="A113" s="18" t="inlineStr">
        <is>
          <t>매출원가</t>
        </is>
      </c>
      <c r="C113" s="20" t="n">
        <v>17267</v>
      </c>
      <c r="D113" s="20" t="n">
        <v>18474</v>
      </c>
      <c r="E113" s="20" t="n">
        <v>19692</v>
      </c>
      <c r="F113" s="20" t="n">
        <v>19834</v>
      </c>
      <c r="G113" s="20" t="n">
        <v>20150</v>
      </c>
      <c r="H113" s="20" t="n">
        <v>20333</v>
      </c>
      <c r="I113" s="20" t="n">
        <v>21887</v>
      </c>
      <c r="J113" s="20" t="n">
        <v>22433</v>
      </c>
      <c r="K113" s="20" t="n">
        <v>23525</v>
      </c>
      <c r="L113" s="20" t="n">
        <v>24411</v>
      </c>
      <c r="M113" s="20" t="n">
        <v>29554</v>
      </c>
      <c r="N113" s="20" t="n">
        <v>29908</v>
      </c>
      <c r="T113" s="20" t="n">
        <v>12414</v>
      </c>
      <c r="U113" s="20" t="n">
        <v>16100</v>
      </c>
      <c r="V113" s="20" t="n">
        <v>19834</v>
      </c>
      <c r="W113" s="20" t="n">
        <v>22433</v>
      </c>
      <c r="X113" s="20" t="n">
        <v>29908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매출총이익</t>
        </is>
      </c>
      <c r="C115" s="12" t="n">
        <v>7806</v>
      </c>
      <c r="D115" s="12" t="n">
        <v>8757</v>
      </c>
      <c r="E115" s="12" t="n">
        <v>9146</v>
      </c>
      <c r="F115" s="12" t="n">
        <v>9651</v>
      </c>
      <c r="G115" s="12" t="n">
        <v>10024</v>
      </c>
      <c r="H115" s="12" t="n">
        <v>11181</v>
      </c>
      <c r="I115" s="12" t="n">
        <v>11836</v>
      </c>
      <c r="J115" s="12" t="n">
        <v>11975</v>
      </c>
      <c r="K115" s="12" t="n">
        <v>11319</v>
      </c>
      <c r="L115" s="12" t="n">
        <v>12780</v>
      </c>
      <c r="M115" s="12" t="n">
        <v>14259</v>
      </c>
      <c r="N115" s="12" t="n">
        <v>15844</v>
      </c>
      <c r="T115" s="12" t="n">
        <v>5455</v>
      </c>
      <c r="U115" s="12" t="n">
        <v>8576</v>
      </c>
      <c r="V115" s="12" t="n">
        <v>9651</v>
      </c>
      <c r="W115" s="12" t="n">
        <v>11975</v>
      </c>
      <c r="X115" s="12" t="n">
        <v>15844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판매비와 관리비</t>
        </is>
      </c>
      <c r="C117" s="20" t="n">
        <v>5993</v>
      </c>
      <c r="D117" s="20" t="n">
        <v>5887</v>
      </c>
      <c r="E117" s="20" t="n">
        <v>6773</v>
      </c>
      <c r="F117" s="20" t="n">
        <v>6170</v>
      </c>
      <c r="G117" s="20" t="n">
        <v>6507</v>
      </c>
      <c r="H117" s="20" t="n">
        <v>6639</v>
      </c>
      <c r="I117" s="20" t="n">
        <v>7995</v>
      </c>
      <c r="J117" s="20" t="n">
        <v>8246</v>
      </c>
      <c r="K117" s="20" t="n">
        <v>8502</v>
      </c>
      <c r="L117" s="20" t="n">
        <v>8689</v>
      </c>
      <c r="M117" s="20" t="n">
        <v>9783</v>
      </c>
      <c r="N117" s="20" t="n">
        <v>9782</v>
      </c>
      <c r="T117" s="20" t="n">
        <v>3817</v>
      </c>
      <c r="U117" s="20" t="n">
        <v>5245</v>
      </c>
      <c r="V117" s="20" t="n">
        <v>6170</v>
      </c>
      <c r="W117" s="20" t="n">
        <v>8246</v>
      </c>
      <c r="X117" s="20" t="n">
        <v>9782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9" t="inlineStr">
        <is>
          <t>영업이익</t>
        </is>
      </c>
      <c r="C119" s="12" t="n">
        <v>1813</v>
      </c>
      <c r="D119" s="12" t="n">
        <v>2870</v>
      </c>
      <c r="E119" s="12" t="n">
        <v>2372</v>
      </c>
      <c r="F119" s="12" t="n">
        <v>3482</v>
      </c>
      <c r="G119" s="12" t="n">
        <v>3517</v>
      </c>
      <c r="H119" s="12" t="n">
        <v>4541</v>
      </c>
      <c r="I119" s="12" t="n">
        <v>3841</v>
      </c>
      <c r="J119" s="12" t="n">
        <v>3729</v>
      </c>
      <c r="K119" s="12" t="n">
        <v>2817</v>
      </c>
      <c r="L119" s="12" t="n">
        <v>4090</v>
      </c>
      <c r="M119" s="12" t="n">
        <v>4476</v>
      </c>
      <c r="N119" s="12" t="n">
        <v>6062</v>
      </c>
      <c r="T119" s="12" t="n">
        <v>1637</v>
      </c>
      <c r="U119" s="12" t="n">
        <v>3331</v>
      </c>
      <c r="V119" s="12" t="n">
        <v>3482</v>
      </c>
      <c r="W119" s="12" t="n">
        <v>3729</v>
      </c>
      <c r="X119" s="12" t="n">
        <v>6062</v>
      </c>
    </row>
    <row r="120">
      <c r="A120" s="43" t="inlineStr">
        <is>
          <t>OPM</t>
        </is>
      </c>
      <c r="B120" s="3" t="inlineStr">
        <is>
          <t>영업이익 ÷ 매출</t>
        </is>
      </c>
      <c r="C120" s="15">
        <f>IF(OR(C119="",C111=""),"",IF(C111&lt;=0,"",IFERROR(C119/C111,"")))</f>
        <v/>
      </c>
      <c r="D120" s="15">
        <f>IF(OR(D119="",D111=""),"",IF(D111&lt;=0,"",IFERROR(D119/D111,"")))</f>
        <v/>
      </c>
      <c r="E120" s="15">
        <f>IF(OR(E119="",E111=""),"",IF(E111&lt;=0,"",IFERROR(E119/E111,"")))</f>
        <v/>
      </c>
      <c r="F120" s="15">
        <f>IF(OR(F119="",F111=""),"",IF(F111&lt;=0,"",IFERROR(F119/F111,"")))</f>
        <v/>
      </c>
      <c r="G120" s="15">
        <f>IF(OR(G119="",G111=""),"",IF(G111&lt;=0,"",IFERROR(G119/G111,"")))</f>
        <v/>
      </c>
      <c r="H120" s="15">
        <f>IF(OR(H119="",H111=""),"",IF(H111&lt;=0,"",IFERROR(H119/H111,"")))</f>
        <v/>
      </c>
      <c r="I120" s="15">
        <f>IF(OR(I119="",I111=""),"",IF(I111&lt;=0,"",IFERROR(I119/I111,"")))</f>
        <v/>
      </c>
      <c r="J120" s="15">
        <f>IF(OR(J119="",J111=""),"",IF(J111&lt;=0,"",IFERROR(J119/J111,"")))</f>
        <v/>
      </c>
      <c r="K120" s="15">
        <f>IF(OR(K119="",K111=""),"",IF(K111&lt;=0,"",IFERROR(K119/K111,"")))</f>
        <v/>
      </c>
      <c r="L120" s="15">
        <f>IF(OR(L119="",L111=""),"",IF(L111&lt;=0,"",IFERROR(L119/L111,"")))</f>
        <v/>
      </c>
      <c r="M120" s="15">
        <f>IF(OR(M119="",M111=""),"",IF(M111&lt;=0,"",IFERROR(M119/M111,"")))</f>
        <v/>
      </c>
      <c r="N120" s="15">
        <f>IF(OR(N119="",N111=""),"",IF(N111&lt;=0,"",IFERROR(N119/N111,"")))</f>
        <v/>
      </c>
      <c r="T120" s="15">
        <f>IF(OR(T119="",T111=""),"",IF(T111&lt;=0,"",IFERROR(T119/T111,"")))</f>
        <v/>
      </c>
      <c r="U120" s="15">
        <f>IF(OR(U119="",U111=""),"",IF(U111&lt;=0,"",IFERROR(U119/U111,"")))</f>
        <v/>
      </c>
      <c r="V120" s="15">
        <f>IF(OR(V119="",V111=""),"",IF(V111&lt;=0,"",IFERROR(V119/V111,"")))</f>
        <v/>
      </c>
      <c r="W120" s="15">
        <f>IF(OR(W119="",W111=""),"",IF(W111&lt;=0,"",IFERROR(W119/W111,"")))</f>
        <v/>
      </c>
      <c r="X120" s="15">
        <f>IF(OR(X119="",X111=""),"",IF(X111&lt;=0,"",IFERROR(X119/X111,"")))</f>
        <v/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IF(OR(G119="",C119=""),"",IF(C119&lt;=0,"",IFERROR(G119/C119-1,"")))</f>
        <v/>
      </c>
      <c r="H121" s="15">
        <f>IF(OR(H119="",D119=""),"",IF(D119&lt;=0,"",IFERROR(H119/D119-1,"")))</f>
        <v/>
      </c>
      <c r="I121" s="15">
        <f>IF(OR(I119="",E119=""),"",IF(E119&lt;=0,"",IFERROR(I119/E119-1,"")))</f>
        <v/>
      </c>
      <c r="J121" s="15">
        <f>IF(OR(J119="",F119=""),"",IF(F119&lt;=0,"",IFERROR(J119/F119-1,"")))</f>
        <v/>
      </c>
      <c r="K121" s="15">
        <f>IF(OR(K119="",G119=""),"",IF(G119&lt;=0,"",IFERROR(K119/G119-1,"")))</f>
        <v/>
      </c>
      <c r="L121" s="15">
        <f>IF(OR(L119="",H119=""),"",IF(H119&lt;=0,"",IFERROR(L119/H119-1,"")))</f>
        <v/>
      </c>
      <c r="M121" s="15">
        <f>IF(OR(M119="",I119=""),"",IF(I119&lt;=0,"",IFERROR(M119/I119-1,"")))</f>
        <v/>
      </c>
      <c r="N121" s="15">
        <f>IF(OR(N119="",J119=""),"",IF(J119&lt;=0,"",IFERROR(N119/J119-1,"")))</f>
        <v/>
      </c>
      <c r="T121" s="15">
        <f>IF(OR(T119="",S119=""),"",IF(S119&lt;=0,"",IFERROR(T119/S119-1,"")))</f>
        <v/>
      </c>
      <c r="U121" s="15">
        <f>IF(OR(U119="",T119=""),"",IF(T119&lt;=0,"",IFERROR(U119/T119-1,"")))</f>
        <v/>
      </c>
      <c r="V121" s="15">
        <f>IF(OR(V119="",U119=""),"",IF(U119&lt;=0,"",IFERROR(V119/U119-1,"")))</f>
        <v/>
      </c>
      <c r="W121" s="15">
        <f>IF(OR(W119="",V119=""),"",IF(V119&lt;=0,"",IFERROR(W119/V119-1,"")))</f>
        <v/>
      </c>
      <c r="X121" s="15">
        <f>IF(OR(X119="",W119=""),"",IF(W119&lt;=0,"",IFERROR(X119/W119-1,"")))</f>
        <v/>
      </c>
    </row>
    <row r="122">
      <c r="A122" s="18" t="inlineStr">
        <is>
          <t>이자수익</t>
        </is>
      </c>
      <c r="C122" s="20" t="n">
        <v>0</v>
      </c>
      <c r="D122" s="20" t="n">
        <v>0</v>
      </c>
      <c r="E122" s="20" t="n">
        <v>0</v>
      </c>
      <c r="F122" s="20" t="n">
        <v>2</v>
      </c>
      <c r="G122" s="20" t="n">
        <v>0</v>
      </c>
      <c r="H122" s="20" t="n">
        <v>7</v>
      </c>
      <c r="I122" s="20" t="n">
        <v>1</v>
      </c>
      <c r="J122" s="20" t="n">
        <v>16</v>
      </c>
      <c r="K122" s="20" t="n">
        <v>1</v>
      </c>
      <c r="L122" s="20" t="n">
        <v>17</v>
      </c>
      <c r="M122" s="20" t="n">
        <v>2</v>
      </c>
      <c r="N122" s="20" t="n">
        <v>31</v>
      </c>
      <c r="T122" s="20" t="n">
        <v>0</v>
      </c>
      <c r="U122" s="20" t="n">
        <v>0</v>
      </c>
      <c r="V122" s="20" t="n">
        <v>2</v>
      </c>
      <c r="W122" s="20" t="n">
        <v>16</v>
      </c>
      <c r="X122" s="20" t="n">
        <v>31</v>
      </c>
    </row>
    <row r="123">
      <c r="A123" s="18" t="inlineStr">
        <is>
          <t>배당금수익</t>
        </is>
      </c>
      <c r="C123" s="20" t="n">
        <v>41</v>
      </c>
      <c r="D123" s="20" t="n">
        <v>25</v>
      </c>
      <c r="E123" s="20" t="n">
        <v>0</v>
      </c>
      <c r="F123" s="20" t="n">
        <v>1</v>
      </c>
      <c r="G123" s="20" t="n">
        <v>0</v>
      </c>
      <c r="H123" s="20" t="n">
        <v>0</v>
      </c>
      <c r="I123" s="20" t="n">
        <v>0</v>
      </c>
      <c r="J123" s="20" t="n">
        <v>1</v>
      </c>
      <c r="M123" s="20" t="n">
        <v>18</v>
      </c>
      <c r="N123" s="20" t="n">
        <v>7</v>
      </c>
      <c r="T123" s="20" t="n">
        <v>17</v>
      </c>
      <c r="U123" s="20" t="n">
        <v>19</v>
      </c>
      <c r="V123" s="20" t="n">
        <v>1</v>
      </c>
      <c r="W123" s="20" t="n">
        <v>1</v>
      </c>
      <c r="X123" s="20" t="n">
        <v>7</v>
      </c>
    </row>
    <row r="124">
      <c r="A124" s="18" t="inlineStr">
        <is>
          <t>보조금 수입</t>
        </is>
      </c>
      <c r="C124" s="20" t="n">
        <v>23</v>
      </c>
      <c r="D124" s="20" t="n">
        <v>27</v>
      </c>
      <c r="E124" s="20" t="n">
        <v>40</v>
      </c>
      <c r="F124" s="20" t="n">
        <v>11</v>
      </c>
      <c r="G124" s="20" t="n">
        <v>25</v>
      </c>
      <c r="H124" s="20" t="n">
        <v>28</v>
      </c>
      <c r="I124" s="20" t="n">
        <v>67</v>
      </c>
      <c r="J124" s="20" t="n">
        <v>18</v>
      </c>
      <c r="K124" s="20" t="n">
        <v>33</v>
      </c>
      <c r="L124" s="20" t="n">
        <v>53</v>
      </c>
      <c r="M124" s="20" t="n">
        <v>20</v>
      </c>
      <c r="N124" s="20" t="n">
        <v>37</v>
      </c>
      <c r="T124" s="20" t="n">
        <v>137</v>
      </c>
      <c r="U124" s="20" t="n">
        <v>15</v>
      </c>
      <c r="V124" s="20" t="n">
        <v>11</v>
      </c>
      <c r="W124" s="20" t="n">
        <v>18</v>
      </c>
      <c r="X124" s="20" t="n">
        <v>37</v>
      </c>
    </row>
    <row r="125">
      <c r="A125" s="18" t="inlineStr">
        <is>
          <t>대손충당금 환입</t>
        </is>
      </c>
      <c r="G125" s="20" t="n">
        <v>0</v>
      </c>
      <c r="H125" s="20" t="n">
        <v>1</v>
      </c>
      <c r="I125" s="20" t="n">
        <v>1</v>
      </c>
      <c r="J125" s="20" t="n">
        <v>-2</v>
      </c>
      <c r="K125" s="20" t="n">
        <v>45</v>
      </c>
      <c r="L125" s="20" t="n">
        <v>1</v>
      </c>
      <c r="M125" s="20" t="n">
        <v>33</v>
      </c>
      <c r="N125" s="20" t="n">
        <v>2</v>
      </c>
      <c r="W125" s="20" t="n">
        <v>-2</v>
      </c>
      <c r="X125" s="20" t="n">
        <v>2</v>
      </c>
    </row>
    <row r="126">
      <c r="A126" s="18" t="inlineStr">
        <is>
          <t>기타</t>
        </is>
      </c>
      <c r="C126" s="20" t="n">
        <v>15</v>
      </c>
      <c r="D126" s="20" t="n">
        <v>44</v>
      </c>
      <c r="E126" s="20" t="n">
        <v>37</v>
      </c>
      <c r="F126" s="20" t="n">
        <v>-28</v>
      </c>
      <c r="G126" s="20" t="n">
        <v>14</v>
      </c>
      <c r="H126" s="20" t="n">
        <v>15</v>
      </c>
      <c r="I126" s="20" t="n">
        <v>25</v>
      </c>
      <c r="J126" s="20" t="n">
        <v>3</v>
      </c>
      <c r="K126" s="20" t="n">
        <v>19</v>
      </c>
      <c r="L126" s="20" t="n">
        <v>19</v>
      </c>
      <c r="M126" s="20" t="n">
        <v>32</v>
      </c>
      <c r="N126" s="20" t="n">
        <v>20</v>
      </c>
      <c r="T126" s="20" t="n">
        <v>40</v>
      </c>
      <c r="U126" s="20" t="n">
        <v>19</v>
      </c>
      <c r="V126" s="20" t="n">
        <v>-28</v>
      </c>
      <c r="W126" s="20" t="n">
        <v>3</v>
      </c>
      <c r="X126" s="20" t="n">
        <v>20</v>
      </c>
    </row>
    <row r="127">
      <c r="A127" s="18" t="inlineStr">
        <is>
          <t>영업외수익 합계</t>
        </is>
      </c>
      <c r="C127" s="20" t="n">
        <v>80</v>
      </c>
      <c r="D127" s="20" t="n">
        <v>96</v>
      </c>
      <c r="E127" s="20" t="n">
        <v>78</v>
      </c>
      <c r="F127" s="20" t="n">
        <v>37</v>
      </c>
      <c r="G127" s="20" t="n">
        <v>40</v>
      </c>
      <c r="H127" s="20" t="n">
        <v>52</v>
      </c>
      <c r="I127" s="20" t="n">
        <v>94</v>
      </c>
      <c r="J127" s="20" t="n">
        <v>62</v>
      </c>
      <c r="K127" s="20" t="n">
        <v>100</v>
      </c>
      <c r="L127" s="20" t="n">
        <v>90</v>
      </c>
      <c r="M127" s="20" t="n">
        <v>106</v>
      </c>
      <c r="N127" s="20" t="n">
        <v>125</v>
      </c>
      <c r="T127" s="20" t="n">
        <v>194</v>
      </c>
      <c r="U127" s="20" t="n">
        <v>54</v>
      </c>
      <c r="V127" s="20" t="n">
        <v>37</v>
      </c>
      <c r="W127" s="20" t="n">
        <v>62</v>
      </c>
      <c r="X127" s="20" t="n">
        <v>125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18" t="inlineStr">
        <is>
          <t>이자비용</t>
        </is>
      </c>
      <c r="C129" s="20" t="n">
        <v>4</v>
      </c>
      <c r="D129" s="20" t="n">
        <v>12</v>
      </c>
      <c r="E129" s="20" t="n">
        <v>21</v>
      </c>
      <c r="F129" s="20" t="n">
        <v>20</v>
      </c>
      <c r="G129" s="20" t="n">
        <v>15</v>
      </c>
      <c r="H129" s="20" t="n">
        <v>25</v>
      </c>
      <c r="I129" s="20" t="n">
        <v>36</v>
      </c>
      <c r="J129" s="20" t="n">
        <v>41</v>
      </c>
      <c r="K129" s="20" t="n">
        <v>38</v>
      </c>
      <c r="L129" s="20" t="n">
        <v>59</v>
      </c>
      <c r="M129" s="20" t="n">
        <v>106</v>
      </c>
      <c r="N129" s="20" t="n">
        <v>158</v>
      </c>
      <c r="T129" s="20" t="n">
        <v>2</v>
      </c>
      <c r="U129" s="20" t="n">
        <v>7</v>
      </c>
      <c r="V129" s="20" t="n">
        <v>20</v>
      </c>
      <c r="W129" s="20" t="n">
        <v>41</v>
      </c>
      <c r="X129" s="20" t="n">
        <v>158</v>
      </c>
    </row>
    <row r="130">
      <c r="A130" s="18" t="inlineStr">
        <is>
          <t>외환차손</t>
        </is>
      </c>
      <c r="E130" s="20" t="n">
        <v>2</v>
      </c>
      <c r="F130" s="20" t="n">
        <v>-4</v>
      </c>
      <c r="I130" s="20" t="n">
        <v>-7</v>
      </c>
      <c r="M130" s="20" t="n">
        <v>3</v>
      </c>
      <c r="T130" s="20" t="n">
        <v>0</v>
      </c>
      <c r="U130" s="20" t="n">
        <v>1</v>
      </c>
      <c r="V130" s="20" t="n">
        <v>-4</v>
      </c>
    </row>
    <row r="131">
      <c r="A131" s="18" t="inlineStr">
        <is>
          <t>지급수수료</t>
        </is>
      </c>
      <c r="C131" s="20" t="n">
        <v>0</v>
      </c>
      <c r="D131" s="20" t="n">
        <v>1</v>
      </c>
      <c r="E131" s="20" t="n">
        <v>1</v>
      </c>
      <c r="F131" s="20" t="n">
        <v>4</v>
      </c>
      <c r="G131" s="20" t="n">
        <v>1</v>
      </c>
      <c r="H131" s="20" t="n">
        <v>1</v>
      </c>
      <c r="I131" s="20" t="n">
        <v>2</v>
      </c>
      <c r="J131" s="20" t="n">
        <v>4</v>
      </c>
      <c r="K131" s="20" t="n">
        <v>1</v>
      </c>
      <c r="L131" s="20" t="n">
        <v>8</v>
      </c>
      <c r="M131" s="20" t="n">
        <v>10</v>
      </c>
      <c r="N131" s="20" t="n">
        <v>-1</v>
      </c>
      <c r="T131" s="20" t="n">
        <v>45</v>
      </c>
      <c r="U131" s="20" t="n">
        <v>2</v>
      </c>
      <c r="V131" s="20" t="n">
        <v>4</v>
      </c>
      <c r="W131" s="20" t="n">
        <v>4</v>
      </c>
      <c r="X131" s="20" t="n">
        <v>-1</v>
      </c>
    </row>
    <row r="132">
      <c r="A132" s="18" t="inlineStr">
        <is>
          <t>지분법손실</t>
        </is>
      </c>
      <c r="G132" s="20" t="n">
        <v>0</v>
      </c>
      <c r="H132" s="20" t="n">
        <v>0</v>
      </c>
      <c r="I132" s="20" t="n">
        <v>0</v>
      </c>
      <c r="J132" s="20" t="n">
        <v>75</v>
      </c>
      <c r="K132" s="20" t="n">
        <v>64</v>
      </c>
      <c r="L132" s="20" t="n">
        <v>58</v>
      </c>
      <c r="M132" s="20" t="n">
        <v>3750</v>
      </c>
      <c r="N132" s="20" t="n">
        <v>-11</v>
      </c>
      <c r="W132" s="20" t="n">
        <v>75</v>
      </c>
      <c r="X132" s="20" t="n">
        <v>-11</v>
      </c>
    </row>
    <row r="133">
      <c r="A133" s="18" t="inlineStr">
        <is>
          <t>출자금 운용손실</t>
        </is>
      </c>
      <c r="C133" s="20" t="n">
        <v>0</v>
      </c>
      <c r="D133" s="20" t="n">
        <v>0</v>
      </c>
      <c r="E133" s="20" t="n">
        <v>0</v>
      </c>
      <c r="F133" s="20" t="n">
        <v>0</v>
      </c>
      <c r="G133" s="20" t="n">
        <v>224</v>
      </c>
      <c r="H133" s="20" t="n">
        <v>3</v>
      </c>
      <c r="I133" s="20" t="n">
        <v>142</v>
      </c>
      <c r="J133" s="20" t="n">
        <v>21</v>
      </c>
      <c r="K133" s="20" t="n">
        <v>20</v>
      </c>
      <c r="L133" s="20" t="n">
        <v>221</v>
      </c>
      <c r="M133" s="20" t="n">
        <v>-7</v>
      </c>
      <c r="N133" s="20" t="n">
        <v>5</v>
      </c>
      <c r="V133" s="20" t="n">
        <v>0</v>
      </c>
      <c r="W133" s="20" t="n">
        <v>21</v>
      </c>
      <c r="X133" s="20" t="n">
        <v>5</v>
      </c>
    </row>
    <row r="134">
      <c r="A134" s="18" t="inlineStr">
        <is>
          <t>사무소 이전비용</t>
        </is>
      </c>
      <c r="C134" s="20" t="n">
        <v>5</v>
      </c>
      <c r="D134" s="20" t="n">
        <v>0</v>
      </c>
      <c r="E134" s="20" t="n">
        <v>0</v>
      </c>
      <c r="F134" s="20" t="n">
        <v>0</v>
      </c>
      <c r="G134" s="20" t="n">
        <v>0</v>
      </c>
      <c r="H134" s="20" t="n">
        <v>0</v>
      </c>
      <c r="I134" s="20" t="n">
        <v>0</v>
      </c>
      <c r="J134" s="20" t="n">
        <v>0</v>
      </c>
      <c r="U134" s="20" t="n">
        <v>6</v>
      </c>
      <c r="V134" s="20" t="n">
        <v>0</v>
      </c>
      <c r="W134" s="20" t="n">
        <v>0</v>
      </c>
    </row>
    <row r="135">
      <c r="A135" s="18" t="inlineStr">
        <is>
          <t>기타</t>
        </is>
      </c>
      <c r="C135" s="20" t="n">
        <v>1</v>
      </c>
      <c r="D135" s="20" t="n">
        <v>1</v>
      </c>
      <c r="E135" s="20" t="n">
        <v>3</v>
      </c>
      <c r="F135" s="20" t="n">
        <v>1</v>
      </c>
      <c r="G135" s="20" t="n">
        <v>2</v>
      </c>
      <c r="H135" s="20" t="n">
        <v>2</v>
      </c>
      <c r="I135" s="20" t="n">
        <v>2</v>
      </c>
      <c r="J135" s="20" t="n">
        <v>97</v>
      </c>
      <c r="K135" s="20" t="n">
        <v>14</v>
      </c>
      <c r="L135" s="20" t="n">
        <v>-12</v>
      </c>
      <c r="M135" s="20" t="n">
        <v>17</v>
      </c>
      <c r="N135" s="20" t="n">
        <v>45</v>
      </c>
      <c r="T135" s="20" t="n">
        <v>6</v>
      </c>
      <c r="U135" s="20" t="n">
        <v>1</v>
      </c>
      <c r="V135" s="20" t="n">
        <v>1</v>
      </c>
      <c r="W135" s="20" t="n">
        <v>97</v>
      </c>
      <c r="X135" s="20" t="n">
        <v>45</v>
      </c>
    </row>
    <row r="136">
      <c r="A136" s="18" t="inlineStr">
        <is>
          <t>영업외비용 합계</t>
        </is>
      </c>
      <c r="C136" s="20" t="n">
        <v>11</v>
      </c>
      <c r="D136" s="20" t="n">
        <v>17</v>
      </c>
      <c r="E136" s="20" t="n">
        <v>26</v>
      </c>
      <c r="F136" s="20" t="n">
        <v>21</v>
      </c>
      <c r="G136" s="20" t="n">
        <v>243</v>
      </c>
      <c r="H136" s="20" t="n">
        <v>39</v>
      </c>
      <c r="I136" s="20" t="n">
        <v>175</v>
      </c>
      <c r="J136" s="20" t="n">
        <v>238</v>
      </c>
      <c r="K136" s="20" t="n">
        <v>139</v>
      </c>
      <c r="L136" s="20" t="n">
        <v>349</v>
      </c>
      <c r="M136" s="20" t="n">
        <v>3880</v>
      </c>
      <c r="N136" s="20" t="n">
        <v>177</v>
      </c>
      <c r="T136" s="20" t="n">
        <v>101</v>
      </c>
      <c r="U136" s="20" t="n">
        <v>18</v>
      </c>
      <c r="V136" s="20" t="n">
        <v>21</v>
      </c>
      <c r="W136" s="20" t="n">
        <v>238</v>
      </c>
      <c r="X136" s="20" t="n">
        <v>177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IF(OR(G136="",C136=""),"",IF(G136*C136&lt;=0,"",IFERROR(G136/C136-1,"")))</f>
        <v/>
      </c>
      <c r="H137" s="15">
        <f>IF(OR(H136="",D136=""),"",IF(H136*D136&lt;=0,"",IFERROR(H136/D136-1,"")))</f>
        <v/>
      </c>
      <c r="I137" s="15">
        <f>IF(OR(I136="",E136=""),"",IF(I136*E136&lt;=0,"",IFERROR(I136/E136-1,"")))</f>
        <v/>
      </c>
      <c r="J137" s="15">
        <f>IF(OR(J136="",F136=""),"",IF(J136*F136&lt;=0,"",IFERROR(J136/F136-1,"")))</f>
        <v/>
      </c>
      <c r="K137" s="15">
        <f>IF(OR(K136="",G136=""),"",IF(K136*G136&lt;=0,"",IFERROR(K136/G136-1,"")))</f>
        <v/>
      </c>
      <c r="L137" s="15">
        <f>IF(OR(L136="",H136=""),"",IF(L136*H136&lt;=0,"",IFERROR(L136/H136-1,"")))</f>
        <v/>
      </c>
      <c r="M137" s="15">
        <f>IF(OR(M136="",I136=""),"",IF(M136*I136&lt;=0,"",IFERROR(M136/I136-1,"")))</f>
        <v/>
      </c>
      <c r="N137" s="15">
        <f>IF(OR(N136="",J136=""),"",IF(N136*J136&lt;=0,"",IFERROR(N136/J136-1,"")))</f>
        <v/>
      </c>
      <c r="T137" s="15">
        <f>IF(OR(T136="",S136=""),"",IF(T136*S136&lt;=0,"",IFERROR(T136/S136-1,"")))</f>
        <v/>
      </c>
      <c r="U137" s="15">
        <f>IF(OR(U136="",T136=""),"",IF(U136*T136&lt;=0,"",IFERROR(U136/T136-1,"")))</f>
        <v/>
      </c>
      <c r="V137" s="15">
        <f>IF(OR(V136="",U136=""),"",IF(V136*U136&lt;=0,"",IFERROR(V136/U136-1,"")))</f>
        <v/>
      </c>
      <c r="W137" s="15">
        <f>IF(OR(W136="",V136=""),"",IF(W136*V136&lt;=0,"",IFERROR(W136/V136-1,"")))</f>
        <v/>
      </c>
      <c r="X137" s="15">
        <f>IF(OR(X136="",W136=""),"",IF(X136*W136&lt;=0,"",IFERROR(X136/W136-1,"")))</f>
        <v/>
      </c>
    </row>
    <row r="138">
      <c r="A138" s="9" t="inlineStr">
        <is>
          <t>경상이익</t>
        </is>
      </c>
      <c r="C138" s="12" t="n">
        <v>1882</v>
      </c>
      <c r="D138" s="12" t="n">
        <v>2949</v>
      </c>
      <c r="E138" s="12" t="n">
        <v>2424</v>
      </c>
      <c r="F138" s="12" t="n">
        <v>3498</v>
      </c>
      <c r="G138" s="12" t="n">
        <v>3313</v>
      </c>
      <c r="H138" s="12" t="n">
        <v>4555</v>
      </c>
      <c r="I138" s="12" t="n">
        <v>3761</v>
      </c>
      <c r="J138" s="12" t="n">
        <v>3552</v>
      </c>
      <c r="K138" s="12" t="n">
        <v>2778</v>
      </c>
      <c r="L138" s="12" t="n">
        <v>3831</v>
      </c>
      <c r="M138" s="12" t="n">
        <v>703</v>
      </c>
      <c r="N138" s="12" t="n">
        <v>6008</v>
      </c>
      <c r="T138" s="12" t="n">
        <v>1731</v>
      </c>
      <c r="U138" s="12" t="n">
        <v>3365</v>
      </c>
      <c r="V138" s="12" t="n">
        <v>3498</v>
      </c>
      <c r="W138" s="12" t="n">
        <v>3552</v>
      </c>
      <c r="X138" s="12" t="n">
        <v>6008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지분변동이익</t>
        </is>
      </c>
      <c r="G140" s="20" t="n">
        <v>0</v>
      </c>
      <c r="H140" s="20" t="n">
        <v>0</v>
      </c>
      <c r="I140" s="20" t="n">
        <v>0</v>
      </c>
      <c r="J140" s="20" t="n">
        <v>4</v>
      </c>
      <c r="K140" s="20" t="n">
        <v>0</v>
      </c>
      <c r="L140" s="20" t="n">
        <v>10</v>
      </c>
      <c r="M140" s="20" t="n">
        <v>8</v>
      </c>
      <c r="N140" s="20" t="n">
        <v>-1</v>
      </c>
      <c r="W140" s="20" t="n">
        <v>4</v>
      </c>
      <c r="X140" s="20" t="n">
        <v>-1</v>
      </c>
    </row>
    <row r="141">
      <c r="A141" s="18" t="inlineStr">
        <is>
          <t>투자유가증권 매각이익</t>
        </is>
      </c>
      <c r="E141" s="20" t="n">
        <v>0</v>
      </c>
      <c r="F141" s="20" t="n">
        <v>333</v>
      </c>
      <c r="I141" s="20" t="n">
        <v>0</v>
      </c>
      <c r="J141" s="20" t="n">
        <v>0</v>
      </c>
      <c r="M141" s="20" t="n">
        <v>280</v>
      </c>
      <c r="N141" s="20" t="n">
        <v>132</v>
      </c>
      <c r="V141" s="20" t="n">
        <v>333</v>
      </c>
      <c r="W141" s="20" t="n">
        <v>0</v>
      </c>
      <c r="X141" s="20" t="n">
        <v>132</v>
      </c>
    </row>
    <row r="142">
      <c r="A142" s="18" t="inlineStr">
        <is>
          <t>부의 영업권 발생이익</t>
        </is>
      </c>
      <c r="F142" s="20" t="n">
        <v>0</v>
      </c>
      <c r="J142" s="20" t="n">
        <v>0</v>
      </c>
      <c r="N142" s="20" t="n">
        <v>0</v>
      </c>
      <c r="V142" s="20" t="n">
        <v>0</v>
      </c>
      <c r="W142" s="20" t="n">
        <v>0</v>
      </c>
      <c r="X142" s="20" t="n">
        <v>0</v>
      </c>
    </row>
    <row r="143">
      <c r="A143" s="18" t="inlineStr">
        <is>
          <t>보조금 수입</t>
        </is>
      </c>
      <c r="F143" s="20" t="n">
        <v>0</v>
      </c>
      <c r="J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18" t="inlineStr">
        <is>
          <t>특별이익 합계</t>
        </is>
      </c>
      <c r="E144" s="20" t="n">
        <v>0</v>
      </c>
      <c r="F144" s="20" t="n">
        <v>333</v>
      </c>
      <c r="G144" s="20" t="n">
        <v>0</v>
      </c>
      <c r="H144" s="20" t="n">
        <v>54</v>
      </c>
      <c r="I144" s="20" t="n">
        <v>58</v>
      </c>
      <c r="J144" s="20" t="n">
        <v>4</v>
      </c>
      <c r="K144" s="20" t="n">
        <v>0</v>
      </c>
      <c r="L144" s="20" t="n">
        <v>10</v>
      </c>
      <c r="M144" s="20" t="n">
        <v>288</v>
      </c>
      <c r="N144" s="20" t="n">
        <v>132</v>
      </c>
      <c r="V144" s="20" t="n">
        <v>333</v>
      </c>
      <c r="W144" s="20" t="n">
        <v>4</v>
      </c>
      <c r="X144" s="20" t="n">
        <v>132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IF(OR(G144="",C144=""),"",IF(G144*C144&lt;=0,"",IFERROR(G144/C144-1,"")))</f>
        <v/>
      </c>
      <c r="H145" s="15">
        <f>IF(OR(H144="",D144=""),"",IF(H144*D144&lt;=0,"",IFERROR(H144/D144-1,"")))</f>
        <v/>
      </c>
      <c r="I145" s="15">
        <f>IF(OR(I144="",E144=""),"",IF(I144*E144&lt;=0,"",IFERROR(I144/E144-1,"")))</f>
        <v/>
      </c>
      <c r="J145" s="15">
        <f>IF(OR(J144="",F144=""),"",IF(J144*F144&lt;=0,"",IFERROR(J144/F144-1,"")))</f>
        <v/>
      </c>
      <c r="K145" s="15">
        <f>IF(OR(K144="",G144=""),"",IF(K144*G144&lt;=0,"",IFERROR(K144/G144-1,"")))</f>
        <v/>
      </c>
      <c r="L145" s="15">
        <f>IF(OR(L144="",H144=""),"",IF(L144*H144&lt;=0,"",IFERROR(L144/H144-1,"")))</f>
        <v/>
      </c>
      <c r="M145" s="15">
        <f>IF(OR(M144="",I144=""),"",IF(M144*I144&lt;=0,"",IFERROR(M144/I144-1,"")))</f>
        <v/>
      </c>
      <c r="N145" s="15">
        <f>IF(OR(N144="",J144=""),"",IF(N144*J144&lt;=0,"",IFERROR(N144/J144-1,"")))</f>
        <v/>
      </c>
      <c r="V145" s="15">
        <f>IF(OR(V144="",U144=""),"",IF(V144*U144&lt;=0,"",IFERROR(V144/U144-1,"")))</f>
        <v/>
      </c>
      <c r="W145" s="15">
        <f>IF(OR(W144="",V144=""),"",IF(W144*V144&lt;=0,"",IFERROR(W144/V144-1,"")))</f>
        <v/>
      </c>
      <c r="X145" s="15">
        <f>IF(OR(X144="",W144=""),"",IF(X144*W144&lt;=0,"",IFERROR(X144/W144-1,"")))</f>
        <v/>
      </c>
    </row>
    <row r="146">
      <c r="A146" s="18" t="inlineStr">
        <is>
          <t>손상차손</t>
        </is>
      </c>
      <c r="E146" s="20" t="n">
        <v>0</v>
      </c>
      <c r="F146" s="20" t="n">
        <v>605</v>
      </c>
      <c r="I146" s="20" t="n">
        <v>404</v>
      </c>
      <c r="J146" s="20" t="n">
        <v>0</v>
      </c>
      <c r="M146" s="20" t="n">
        <v>0</v>
      </c>
      <c r="N146" s="20" t="n">
        <v>55</v>
      </c>
      <c r="V146" s="20" t="n">
        <v>605</v>
      </c>
      <c r="W146" s="20" t="n">
        <v>0</v>
      </c>
      <c r="X146" s="20" t="n">
        <v>55</v>
      </c>
    </row>
    <row r="147">
      <c r="A147" s="18" t="inlineStr">
        <is>
          <t>고정자산 압축손실</t>
        </is>
      </c>
      <c r="F147" s="20" t="n">
        <v>0</v>
      </c>
      <c r="J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투자유가증권 평가손실</t>
        </is>
      </c>
      <c r="C148" s="20" t="n">
        <v>0</v>
      </c>
      <c r="D148" s="20" t="n">
        <v>0</v>
      </c>
      <c r="E148" s="20" t="n">
        <v>1437</v>
      </c>
      <c r="F148" s="20" t="n">
        <v>0</v>
      </c>
      <c r="G148" s="20" t="n">
        <v>163</v>
      </c>
      <c r="H148" s="20" t="n">
        <v>0</v>
      </c>
      <c r="I148" s="20" t="n">
        <v>427</v>
      </c>
      <c r="J148" s="20" t="n">
        <v>0</v>
      </c>
      <c r="K148" s="20" t="n">
        <v>0</v>
      </c>
      <c r="L148" s="20" t="n">
        <v>0</v>
      </c>
      <c r="M148" s="20" t="n">
        <v>302</v>
      </c>
      <c r="N148" s="20" t="n">
        <v>0</v>
      </c>
      <c r="T148" s="20" t="n">
        <v>136</v>
      </c>
      <c r="U148" s="20" t="n">
        <v>0</v>
      </c>
      <c r="V148" s="20" t="n">
        <v>0</v>
      </c>
      <c r="W148" s="20" t="n">
        <v>0</v>
      </c>
      <c r="X148" s="20" t="n">
        <v>0</v>
      </c>
    </row>
    <row r="149">
      <c r="A149" s="18" t="inlineStr">
        <is>
          <t>특별손실 합계</t>
        </is>
      </c>
      <c r="C149" s="20" t="n">
        <v>0</v>
      </c>
      <c r="D149" s="20" t="n">
        <v>0</v>
      </c>
      <c r="E149" s="20" t="n">
        <v>1437</v>
      </c>
      <c r="F149" s="20" t="n">
        <v>616</v>
      </c>
      <c r="G149" s="20" t="n">
        <v>163</v>
      </c>
      <c r="H149" s="20" t="n">
        <v>573</v>
      </c>
      <c r="I149" s="20" t="n">
        <v>888</v>
      </c>
      <c r="J149" s="20" t="n">
        <v>0</v>
      </c>
      <c r="K149" s="20" t="n">
        <v>0</v>
      </c>
      <c r="L149" s="20" t="n">
        <v>501</v>
      </c>
      <c r="M149" s="20" t="n">
        <v>302</v>
      </c>
      <c r="N149" s="20" t="n">
        <v>56</v>
      </c>
      <c r="T149" s="20" t="n">
        <v>136</v>
      </c>
      <c r="U149" s="20" t="n">
        <v>562</v>
      </c>
      <c r="V149" s="20" t="n">
        <v>616</v>
      </c>
      <c r="W149" s="20" t="n">
        <v>0</v>
      </c>
      <c r="X149" s="20" t="n">
        <v>56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IF(OR(G149="",C149=""),"",IF(G149*C149&lt;=0,"",IFERROR(G149/C149-1,"")))</f>
        <v/>
      </c>
      <c r="H150" s="15">
        <f>IF(OR(H149="",D149=""),"",IF(H149*D149&lt;=0,"",IFERROR(H149/D149-1,"")))</f>
        <v/>
      </c>
      <c r="I150" s="15">
        <f>IF(OR(I149="",E149=""),"",IF(I149*E149&lt;=0,"",IFERROR(I149/E149-1,"")))</f>
        <v/>
      </c>
      <c r="J150" s="15">
        <f>IF(OR(J149="",F149=""),"",IF(J149*F149&lt;=0,"",IFERROR(J149/F149-1,"")))</f>
        <v/>
      </c>
      <c r="K150" s="15">
        <f>IF(OR(K149="",G149=""),"",IF(K149*G149&lt;=0,"",IFERROR(K149/G149-1,"")))</f>
        <v/>
      </c>
      <c r="L150" s="15">
        <f>IF(OR(L149="",H149=""),"",IF(L149*H149&lt;=0,"",IFERROR(L149/H149-1,"")))</f>
        <v/>
      </c>
      <c r="M150" s="15">
        <f>IF(OR(M149="",I149=""),"",IF(M149*I149&lt;=0,"",IFERROR(M149/I149-1,"")))</f>
        <v/>
      </c>
      <c r="N150" s="15">
        <f>IF(OR(N149="",J149=""),"",IF(N149*J149&lt;=0,"",IFERROR(N149/J149-1,"")))</f>
        <v/>
      </c>
      <c r="T150" s="15">
        <f>IF(OR(T149="",S149=""),"",IF(T149*S149&lt;=0,"",IFERROR(T149/S149-1,"")))</f>
        <v/>
      </c>
      <c r="U150" s="15">
        <f>IF(OR(U149="",T149=""),"",IF(U149*T149&lt;=0,"",IFERROR(U149/T149-1,"")))</f>
        <v/>
      </c>
      <c r="V150" s="15">
        <f>IF(OR(V149="",U149=""),"",IF(V149*U149&lt;=0,"",IFERROR(V149/U149-1,"")))</f>
        <v/>
      </c>
      <c r="W150" s="15">
        <f>IF(OR(W149="",V149=""),"",IF(W149*V149&lt;=0,"",IFERROR(W149/V149-1,"")))</f>
        <v/>
      </c>
      <c r="X150" s="15">
        <f>IF(OR(X149="",W149=""),"",IF(X149*W149&lt;=0,"",IFERROR(X149/W149-1,"")))</f>
        <v/>
      </c>
    </row>
    <row r="151">
      <c r="A151" s="9" t="inlineStr">
        <is>
          <t>법인세차감전 순이익</t>
        </is>
      </c>
      <c r="C151" s="12" t="n">
        <v>1882</v>
      </c>
      <c r="D151" s="12" t="n">
        <v>2949</v>
      </c>
      <c r="E151" s="12" t="n">
        <v>986</v>
      </c>
      <c r="F151" s="12" t="n">
        <v>3215</v>
      </c>
      <c r="G151" s="12" t="n">
        <v>3150</v>
      </c>
      <c r="H151" s="12" t="n">
        <v>4035</v>
      </c>
      <c r="I151" s="12" t="n">
        <v>2932</v>
      </c>
      <c r="J151" s="12" t="n">
        <v>3557</v>
      </c>
      <c r="K151" s="12" t="n">
        <v>2778</v>
      </c>
      <c r="L151" s="12" t="n">
        <v>3340</v>
      </c>
      <c r="M151" s="12" t="n">
        <v>688</v>
      </c>
      <c r="N151" s="12" t="n">
        <v>6085</v>
      </c>
      <c r="T151" s="12" t="n">
        <v>1639</v>
      </c>
      <c r="U151" s="12" t="n">
        <v>3220</v>
      </c>
      <c r="V151" s="12" t="n">
        <v>3215</v>
      </c>
      <c r="W151" s="12" t="n">
        <v>3557</v>
      </c>
      <c r="X151" s="12" t="n">
        <v>6085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T152" s="15">
        <f>IF(OR(T151="",S151=""),"",IF(S151&lt;=0,"",IFERROR(T151/S151-1,"")))</f>
        <v/>
      </c>
      <c r="U152" s="15">
        <f>IF(OR(U151="",T151=""),"",IF(T151&lt;=0,"",IFERROR(U151/T151-1,"")))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법인세 등 합계</t>
        </is>
      </c>
      <c r="C153" s="20" t="n">
        <v>766</v>
      </c>
      <c r="D153" s="20" t="n">
        <v>1015</v>
      </c>
      <c r="E153" s="20" t="n">
        <v>634</v>
      </c>
      <c r="F153" s="20" t="n">
        <v>1371</v>
      </c>
      <c r="G153" s="20" t="n">
        <v>1134</v>
      </c>
      <c r="H153" s="20" t="n">
        <v>1488</v>
      </c>
      <c r="I153" s="20" t="n">
        <v>1149</v>
      </c>
      <c r="J153" s="20" t="n">
        <v>898</v>
      </c>
      <c r="K153" s="20" t="n">
        <v>983</v>
      </c>
      <c r="L153" s="20" t="n">
        <v>1123</v>
      </c>
      <c r="M153" s="20" t="n">
        <v>730</v>
      </c>
      <c r="N153" s="20" t="n">
        <v>2665</v>
      </c>
      <c r="T153" s="20" t="n">
        <v>334</v>
      </c>
      <c r="U153" s="20" t="n">
        <v>921</v>
      </c>
      <c r="V153" s="20" t="n">
        <v>1371</v>
      </c>
      <c r="W153" s="20" t="n">
        <v>898</v>
      </c>
      <c r="X153" s="20" t="n">
        <v>2665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IF(OR(G153="",C153=""),"",IF(G153*C153&lt;=0,"",IFERROR(G153/C153-1,"")))</f>
        <v/>
      </c>
      <c r="H154" s="15">
        <f>IF(OR(H153="",D153=""),"",IF(H153*D153&lt;=0,"",IFERROR(H153/D153-1,"")))</f>
        <v/>
      </c>
      <c r="I154" s="15">
        <f>IF(OR(I153="",E153=""),"",IF(I153*E153&lt;=0,"",IFERROR(I153/E153-1,"")))</f>
        <v/>
      </c>
      <c r="J154" s="15">
        <f>IF(OR(J153="",F153=""),"",IF(J153*F153&lt;=0,"",IFERROR(J153/F153-1,"")))</f>
        <v/>
      </c>
      <c r="K154" s="15">
        <f>IF(OR(K153="",G153=""),"",IF(K153*G153&lt;=0,"",IFERROR(K153/G153-1,"")))</f>
        <v/>
      </c>
      <c r="L154" s="15">
        <f>IF(OR(L153="",H153=""),"",IF(L153*H153&lt;=0,"",IFERROR(L153/H153-1,"")))</f>
        <v/>
      </c>
      <c r="M154" s="15">
        <f>IF(OR(M153="",I153=""),"",IF(M153*I153&lt;=0,"",IFERROR(M153/I153-1,"")))</f>
        <v/>
      </c>
      <c r="N154" s="15">
        <f>IF(OR(N153="",J153=""),"",IF(N153*J153&lt;=0,"",IFERROR(N153/J153-1,"")))</f>
        <v/>
      </c>
      <c r="T154" s="15">
        <f>IF(OR(T153="",S153=""),"",IF(T153*S153&lt;=0,"",IFERROR(T153/S153-1,"")))</f>
        <v/>
      </c>
      <c r="U154" s="15">
        <f>IF(OR(U153="",T153=""),"",IF(U153*T153&lt;=0,"",IFERROR(U153/T153-1,"")))</f>
        <v/>
      </c>
      <c r="V154" s="15">
        <f>IF(OR(V153="",U153=""),"",IF(V153*U153&lt;=0,"",IFERROR(V153/U153-1,"")))</f>
        <v/>
      </c>
      <c r="W154" s="15">
        <f>IF(OR(W153="",V153=""),"",IF(W153*V153&lt;=0,"",IFERROR(W153/V153-1,"")))</f>
        <v/>
      </c>
      <c r="X154" s="15">
        <f>IF(OR(X153="",W153=""),"",IF(X153*W153&lt;=0,"",IFERROR(X153/W153-1,"")))</f>
        <v/>
      </c>
    </row>
    <row r="155">
      <c r="A155" s="9" t="inlineStr">
        <is>
          <t>순이익</t>
        </is>
      </c>
      <c r="C155" s="12" t="n">
        <v>1115</v>
      </c>
      <c r="D155" s="12" t="n">
        <v>1934</v>
      </c>
      <c r="E155" s="12" t="n">
        <v>353</v>
      </c>
      <c r="F155" s="12" t="n">
        <v>1844</v>
      </c>
      <c r="G155" s="12" t="n">
        <v>2016</v>
      </c>
      <c r="H155" s="12" t="n">
        <v>2547</v>
      </c>
      <c r="I155" s="12" t="n">
        <v>1783</v>
      </c>
      <c r="J155" s="12" t="n">
        <v>2658</v>
      </c>
      <c r="K155" s="12" t="n">
        <v>1795</v>
      </c>
      <c r="L155" s="12" t="n">
        <v>2216</v>
      </c>
      <c r="M155" s="12" t="n">
        <v>-41</v>
      </c>
      <c r="N155" s="12" t="n">
        <v>3420</v>
      </c>
      <c r="T155" s="12" t="n">
        <v>1305</v>
      </c>
      <c r="U155" s="12" t="n">
        <v>2298</v>
      </c>
      <c r="V155" s="12" t="n">
        <v>1844</v>
      </c>
      <c r="W155" s="12" t="n">
        <v>2658</v>
      </c>
      <c r="X155" s="12" t="n">
        <v>3420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T156" s="15">
        <f>IF(OR(T155="",S155=""),"",IF(S155&lt;=0,"",IFERROR(T155/S155-1,"")))</f>
        <v/>
      </c>
      <c r="U156" s="15">
        <f>IF(OR(U155="",T155=""),"",IF(T155&lt;=0,"",IFERROR(U155/T155-1,"")))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9" t="inlineStr">
        <is>
          <t>비지배주주 순손익</t>
        </is>
      </c>
      <c r="C157" s="12" t="n">
        <v>21</v>
      </c>
      <c r="D157" s="12" t="n">
        <v>45</v>
      </c>
      <c r="E157" s="12" t="n">
        <v>21</v>
      </c>
      <c r="F157" s="12" t="n">
        <v>31</v>
      </c>
      <c r="G157" s="12" t="n">
        <v>39</v>
      </c>
      <c r="H157" s="12" t="n">
        <v>30</v>
      </c>
      <c r="I157" s="12" t="n">
        <v>0</v>
      </c>
      <c r="J157" s="12" t="n">
        <v>0</v>
      </c>
      <c r="K157" s="12" t="n">
        <v>0</v>
      </c>
      <c r="L157" s="12" t="n">
        <v>0</v>
      </c>
      <c r="M157" s="12" t="n">
        <v>-8</v>
      </c>
      <c r="N157" s="12" t="n">
        <v>-31</v>
      </c>
      <c r="T157" s="12" t="n">
        <v>46</v>
      </c>
      <c r="U157" s="12" t="n">
        <v>31</v>
      </c>
      <c r="V157" s="12" t="n">
        <v>31</v>
      </c>
      <c r="W157" s="12" t="n">
        <v>0</v>
      </c>
      <c r="X157" s="12" t="n">
        <v>-31</v>
      </c>
    </row>
    <row r="158">
      <c r="A158" s="9" t="inlineStr">
        <is>
          <t>지배주주 순이익</t>
        </is>
      </c>
      <c r="C158" s="12" t="n">
        <v>1093</v>
      </c>
      <c r="D158" s="12" t="n">
        <v>1889</v>
      </c>
      <c r="E158" s="12" t="n">
        <v>333</v>
      </c>
      <c r="F158" s="12" t="n">
        <v>1812</v>
      </c>
      <c r="G158" s="12" t="n">
        <v>1976</v>
      </c>
      <c r="H158" s="12" t="n">
        <v>2517</v>
      </c>
      <c r="I158" s="12" t="n">
        <v>1784</v>
      </c>
      <c r="J158" s="12" t="n">
        <v>2658</v>
      </c>
      <c r="K158" s="12" t="n">
        <v>1795</v>
      </c>
      <c r="L158" s="12" t="n">
        <v>2216</v>
      </c>
      <c r="M158" s="12" t="n">
        <v>-32</v>
      </c>
      <c r="N158" s="12" t="n">
        <v>3451</v>
      </c>
      <c r="T158" s="12" t="n">
        <v>1259</v>
      </c>
      <c r="U158" s="12" t="n">
        <v>2266</v>
      </c>
      <c r="V158" s="12" t="n">
        <v>1812</v>
      </c>
      <c r="W158" s="12" t="n">
        <v>2658</v>
      </c>
      <c r="X158" s="12" t="n">
        <v>3451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T159" s="15">
        <f>IF(OR(T158="",S158=""),"",IF(S158&lt;=0,"",IFERROR(T158/S158-1,"")))</f>
        <v/>
      </c>
      <c r="U159" s="15">
        <f>IF(OR(U158="",T158=""),"",IF(T158&lt;=0,"",IFERROR(U158/T158-1,"")))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1">
      <c r="A161" s="16" t="inlineStr">
        <is>
          <t>포괄손익 · 전 항목</t>
        </is>
      </c>
      <c r="B161" s="42" t="inlineStr">
        <is>
          <t>분기 = 3개월 단독</t>
        </is>
      </c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</row>
    <row r="162">
      <c r="A162" s="5" t="inlineStr">
        <is>
          <t>항목</t>
        </is>
      </c>
      <c r="B162" s="5" t="inlineStr">
        <is>
          <t>참고</t>
        </is>
      </c>
      <c r="C162" s="5" t="inlineStr">
        <is>
          <t>2024.1Q</t>
        </is>
      </c>
      <c r="D162" s="5" t="inlineStr">
        <is>
          <t>2024.2Q</t>
        </is>
      </c>
      <c r="E162" s="5" t="inlineStr">
        <is>
          <t>2024.3Q</t>
        </is>
      </c>
      <c r="F162" s="5" t="inlineStr">
        <is>
          <t>2024.4Q</t>
        </is>
      </c>
      <c r="G162" s="5" t="inlineStr">
        <is>
          <t>2025.1Q</t>
        </is>
      </c>
      <c r="H162" s="5" t="inlineStr">
        <is>
          <t>2025.2Q</t>
        </is>
      </c>
      <c r="I162" s="5" t="inlineStr">
        <is>
          <t>2025.3Q</t>
        </is>
      </c>
      <c r="J162" s="5" t="inlineStr">
        <is>
          <t>2025.4Q</t>
        </is>
      </c>
      <c r="K162" s="5" t="inlineStr">
        <is>
          <t>2026.1Q</t>
        </is>
      </c>
      <c r="L162" s="5" t="inlineStr">
        <is>
          <t>2026.2Q</t>
        </is>
      </c>
      <c r="M162" s="5" t="inlineStr">
        <is>
          <t>2026.3Q</t>
        </is>
      </c>
      <c r="N162" s="5" t="inlineStr">
        <is>
          <t>2026.4Q</t>
        </is>
      </c>
      <c r="O162" s="5" t="inlineStr">
        <is>
          <t>2017</t>
        </is>
      </c>
      <c r="P162" s="5" t="inlineStr">
        <is>
          <t>2018</t>
        </is>
      </c>
      <c r="Q162" s="5" t="inlineStr">
        <is>
          <t>2019</t>
        </is>
      </c>
      <c r="R162" s="5" t="inlineStr">
        <is>
          <t>2020</t>
        </is>
      </c>
      <c r="S162" s="5" t="inlineStr">
        <is>
          <t>2021</t>
        </is>
      </c>
      <c r="T162" s="5" t="inlineStr">
        <is>
          <t>2022</t>
        </is>
      </c>
      <c r="U162" s="5" t="inlineStr">
        <is>
          <t>2023</t>
        </is>
      </c>
      <c r="V162" s="5" t="inlineStr">
        <is>
          <t>2024</t>
        </is>
      </c>
      <c r="W162" s="5" t="inlineStr">
        <is>
          <t>2025</t>
        </is>
      </c>
      <c r="X162" s="5" t="inlineStr">
        <is>
          <t>2026</t>
        </is>
      </c>
      <c r="Y162" s="5" t="inlineStr">
        <is>
          <t>2027(MW)</t>
        </is>
      </c>
      <c r="Z162" s="5" t="inlineStr">
        <is>
          <t>2028(MW)</t>
        </is>
      </c>
      <c r="AA162" s="5" t="inlineStr">
        <is>
          <t>2029(MW)</t>
        </is>
      </c>
      <c r="AB162" s="5" t="inlineStr">
        <is>
          <t>2030(MW)</t>
        </is>
      </c>
      <c r="AC162" s="5" t="inlineStr">
        <is>
          <t>2031(MW)</t>
        </is>
      </c>
    </row>
    <row r="163">
      <c r="A163" s="9" t="inlineStr">
        <is>
          <t>순이익</t>
        </is>
      </c>
      <c r="C163" s="12" t="n">
        <v>1115</v>
      </c>
      <c r="D163" s="12" t="n">
        <v>1934</v>
      </c>
      <c r="E163" s="12" t="n">
        <v>353</v>
      </c>
      <c r="F163" s="12" t="n">
        <v>1844</v>
      </c>
      <c r="G163" s="12" t="n">
        <v>2016</v>
      </c>
      <c r="H163" s="12" t="n">
        <v>2547</v>
      </c>
      <c r="I163" s="12" t="n">
        <v>1783</v>
      </c>
      <c r="J163" s="12" t="n">
        <v>2658</v>
      </c>
      <c r="K163" s="12" t="n">
        <v>1795</v>
      </c>
      <c r="L163" s="12" t="n">
        <v>2216</v>
      </c>
      <c r="M163" s="12" t="n">
        <v>-41</v>
      </c>
      <c r="N163" s="12" t="n">
        <v>3420</v>
      </c>
      <c r="T163" s="12" t="n">
        <v>1305</v>
      </c>
      <c r="U163" s="12" t="n">
        <v>2298</v>
      </c>
      <c r="V163" s="12" t="n">
        <v>1844</v>
      </c>
      <c r="W163" s="12" t="n">
        <v>2658</v>
      </c>
      <c r="X163" s="12" t="n">
        <v>3420</v>
      </c>
    </row>
    <row r="164">
      <c r="A164" s="18" t="inlineStr">
        <is>
          <t>기타유가증권 평가차액</t>
        </is>
      </c>
      <c r="C164" s="20" t="n">
        <v>-60</v>
      </c>
      <c r="D164" s="20" t="n">
        <v>-125</v>
      </c>
      <c r="E164" s="20" t="n">
        <v>-19</v>
      </c>
      <c r="F164" s="20" t="n">
        <v>-219</v>
      </c>
      <c r="G164" s="20" t="n">
        <v>12</v>
      </c>
      <c r="H164" s="20" t="n">
        <v>10</v>
      </c>
      <c r="I164" s="20" t="n">
        <v>342</v>
      </c>
      <c r="J164" s="20" t="n">
        <v>11</v>
      </c>
      <c r="K164" s="20" t="n">
        <v>-62</v>
      </c>
      <c r="L164" s="20" t="n">
        <v>-108</v>
      </c>
      <c r="M164" s="20" t="n">
        <v>-134</v>
      </c>
      <c r="N164" s="20" t="n">
        <v>37</v>
      </c>
      <c r="T164" s="20" t="n">
        <v>242</v>
      </c>
      <c r="U164" s="20" t="n">
        <v>68</v>
      </c>
      <c r="V164" s="20" t="n">
        <v>-219</v>
      </c>
      <c r="W164" s="20" t="n">
        <v>11</v>
      </c>
      <c r="X164" s="20" t="n">
        <v>37</v>
      </c>
    </row>
    <row r="165">
      <c r="A165" s="18" t="inlineStr">
        <is>
          <t>해외사업환산조정</t>
        </is>
      </c>
      <c r="C165" s="20" t="n">
        <v>0</v>
      </c>
      <c r="D165" s="20" t="n">
        <v>-0</v>
      </c>
      <c r="E165" s="20" t="n">
        <v>0</v>
      </c>
      <c r="F165" s="20" t="n">
        <v>-5</v>
      </c>
      <c r="G165" s="20" t="n">
        <v>0</v>
      </c>
      <c r="H165" s="20" t="n">
        <v>0</v>
      </c>
      <c r="I165" s="20" t="n">
        <v>-13</v>
      </c>
      <c r="J165" s="20" t="n">
        <v>0</v>
      </c>
      <c r="K165" s="20" t="n">
        <v>11</v>
      </c>
      <c r="L165" s="20" t="n">
        <v>0</v>
      </c>
      <c r="M165" s="20" t="n">
        <v>-5</v>
      </c>
      <c r="N165" s="20" t="n">
        <v>8</v>
      </c>
      <c r="T165" s="20" t="n">
        <v>11</v>
      </c>
      <c r="U165" s="20" t="n">
        <v>0</v>
      </c>
      <c r="V165" s="20" t="n">
        <v>-5</v>
      </c>
      <c r="W165" s="20" t="n">
        <v>0</v>
      </c>
      <c r="X165" s="20" t="n">
        <v>8</v>
      </c>
    </row>
    <row r="166">
      <c r="A166" s="18" t="inlineStr">
        <is>
          <t>기타포괄손익 합계</t>
        </is>
      </c>
      <c r="C166" s="20" t="n">
        <v>-59</v>
      </c>
      <c r="D166" s="20" t="n">
        <v>-127</v>
      </c>
      <c r="E166" s="20" t="n">
        <v>-18</v>
      </c>
      <c r="F166" s="20" t="n">
        <v>-225</v>
      </c>
      <c r="G166" s="20" t="n">
        <v>12</v>
      </c>
      <c r="H166" s="20" t="n">
        <v>11</v>
      </c>
      <c r="I166" s="20" t="n">
        <v>328</v>
      </c>
      <c r="J166" s="20" t="n">
        <v>10</v>
      </c>
      <c r="K166" s="20" t="n">
        <v>-51</v>
      </c>
      <c r="L166" s="20" t="n">
        <v>-107</v>
      </c>
      <c r="M166" s="20" t="n">
        <v>-140</v>
      </c>
      <c r="N166" s="20" t="n">
        <v>60</v>
      </c>
      <c r="T166" s="20" t="n">
        <v>252</v>
      </c>
      <c r="U166" s="20" t="n">
        <v>69</v>
      </c>
      <c r="V166" s="20" t="n">
        <v>-225</v>
      </c>
      <c r="W166" s="20" t="n">
        <v>10</v>
      </c>
      <c r="X166" s="20" t="n">
        <v>60</v>
      </c>
    </row>
    <row r="167">
      <c r="A167" s="9" t="inlineStr">
        <is>
          <t>포괄이익</t>
        </is>
      </c>
      <c r="C167" s="12" t="n">
        <v>1055</v>
      </c>
      <c r="D167" s="12" t="n">
        <v>1807</v>
      </c>
      <c r="E167" s="12" t="n">
        <v>335</v>
      </c>
      <c r="F167" s="12" t="n">
        <v>1620</v>
      </c>
      <c r="G167" s="12" t="n">
        <v>2029</v>
      </c>
      <c r="H167" s="12" t="n">
        <v>2557</v>
      </c>
      <c r="I167" s="12" t="n">
        <v>2111</v>
      </c>
      <c r="J167" s="12" t="n">
        <v>2668</v>
      </c>
      <c r="K167" s="12" t="n">
        <v>1743</v>
      </c>
      <c r="L167" s="12" t="n">
        <v>2110</v>
      </c>
      <c r="M167" s="12" t="n">
        <v>-182</v>
      </c>
      <c r="N167" s="12" t="n">
        <v>3480</v>
      </c>
      <c r="T167" s="12" t="n">
        <v>1557</v>
      </c>
      <c r="U167" s="12" t="n">
        <v>2367</v>
      </c>
      <c r="V167" s="12" t="n">
        <v>1620</v>
      </c>
      <c r="W167" s="12" t="n">
        <v>2668</v>
      </c>
      <c r="X167" s="12" t="n">
        <v>3480</v>
      </c>
    </row>
    <row r="168">
      <c r="A168" s="9" t="inlineStr">
        <is>
          <t>지배주주 포괄이익</t>
        </is>
      </c>
      <c r="C168" s="12" t="n">
        <v>1033</v>
      </c>
      <c r="D168" s="12" t="n">
        <v>1762</v>
      </c>
      <c r="E168" s="12" t="n">
        <v>316</v>
      </c>
      <c r="F168" s="12" t="n">
        <v>1588</v>
      </c>
      <c r="G168" s="12" t="n">
        <v>1989</v>
      </c>
      <c r="H168" s="12" t="n">
        <v>2527</v>
      </c>
      <c r="I168" s="12" t="n">
        <v>2112</v>
      </c>
      <c r="J168" s="12" t="n">
        <v>2668</v>
      </c>
      <c r="K168" s="12" t="n">
        <v>1743</v>
      </c>
      <c r="L168" s="12" t="n">
        <v>2110</v>
      </c>
      <c r="M168" s="12" t="n">
        <v>-173</v>
      </c>
      <c r="N168" s="12" t="n">
        <v>3511</v>
      </c>
      <c r="T168" s="12" t="n">
        <v>1498</v>
      </c>
      <c r="U168" s="12" t="n">
        <v>2334</v>
      </c>
      <c r="V168" s="12" t="n">
        <v>1588</v>
      </c>
      <c r="W168" s="12" t="n">
        <v>2668</v>
      </c>
      <c r="X168" s="12" t="n">
        <v>3511</v>
      </c>
    </row>
    <row r="169">
      <c r="A169" s="9" t="inlineStr">
        <is>
          <t>비지배주주 포괄이익</t>
        </is>
      </c>
      <c r="C169" s="12" t="n">
        <v>21</v>
      </c>
      <c r="D169" s="12" t="n">
        <v>45</v>
      </c>
      <c r="E169" s="12" t="n">
        <v>20</v>
      </c>
      <c r="F169" s="12" t="n">
        <v>32</v>
      </c>
      <c r="G169" s="12" t="n">
        <v>39</v>
      </c>
      <c r="H169" s="12" t="n">
        <v>30</v>
      </c>
      <c r="I169" s="12" t="n">
        <v>0</v>
      </c>
      <c r="J169" s="12" t="n">
        <v>0</v>
      </c>
      <c r="K169" s="12" t="n">
        <v>0</v>
      </c>
      <c r="L169" s="12" t="n">
        <v>0</v>
      </c>
      <c r="M169" s="12" t="n">
        <v>-8</v>
      </c>
      <c r="N169" s="12" t="n">
        <v>-31</v>
      </c>
      <c r="T169" s="12" t="n">
        <v>59</v>
      </c>
      <c r="U169" s="12" t="n">
        <v>32</v>
      </c>
      <c r="V169" s="12" t="n">
        <v>32</v>
      </c>
      <c r="W169" s="12" t="n">
        <v>0</v>
      </c>
      <c r="X169" s="12" t="n">
        <v>-31</v>
      </c>
    </row>
    <row r="171">
      <c r="A171" s="16" t="inlineStr">
        <is>
          <t>부문 · 전 항목</t>
        </is>
      </c>
      <c r="B171" s="42" t="inlineStr">
        <is>
          <t>부문 · 항목</t>
        </is>
      </c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</row>
    <row r="172">
      <c r="A172" s="5" t="inlineStr">
        <is>
          <t>항목</t>
        </is>
      </c>
      <c r="B172" s="5" t="inlineStr">
        <is>
          <t>참고</t>
        </is>
      </c>
      <c r="C172" s="5" t="inlineStr">
        <is>
          <t>2024.1Q</t>
        </is>
      </c>
      <c r="D172" s="5" t="inlineStr">
        <is>
          <t>2024.2Q</t>
        </is>
      </c>
      <c r="E172" s="5" t="inlineStr">
        <is>
          <t>2024.3Q</t>
        </is>
      </c>
      <c r="F172" s="5" t="inlineStr">
        <is>
          <t>2024.4Q</t>
        </is>
      </c>
      <c r="G172" s="5" t="inlineStr">
        <is>
          <t>2025.1Q</t>
        </is>
      </c>
      <c r="H172" s="5" t="inlineStr">
        <is>
          <t>2025.2Q</t>
        </is>
      </c>
      <c r="I172" s="5" t="inlineStr">
        <is>
          <t>2025.3Q</t>
        </is>
      </c>
      <c r="J172" s="5" t="inlineStr">
        <is>
          <t>2025.4Q</t>
        </is>
      </c>
      <c r="K172" s="5" t="inlineStr">
        <is>
          <t>2026.1Q</t>
        </is>
      </c>
      <c r="L172" s="5" t="inlineStr">
        <is>
          <t>2026.2Q</t>
        </is>
      </c>
      <c r="M172" s="5" t="inlineStr">
        <is>
          <t>2026.3Q</t>
        </is>
      </c>
      <c r="N172" s="5" t="inlineStr">
        <is>
          <t>2026.4Q</t>
        </is>
      </c>
      <c r="O172" s="5" t="inlineStr">
        <is>
          <t>2017</t>
        </is>
      </c>
      <c r="P172" s="5" t="inlineStr">
        <is>
          <t>2018</t>
        </is>
      </c>
      <c r="Q172" s="5" t="inlineStr">
        <is>
          <t>2019</t>
        </is>
      </c>
      <c r="R172" s="5" t="inlineStr">
        <is>
          <t>2020</t>
        </is>
      </c>
      <c r="S172" s="5" t="inlineStr">
        <is>
          <t>2021</t>
        </is>
      </c>
      <c r="T172" s="5" t="inlineStr">
        <is>
          <t>2022</t>
        </is>
      </c>
      <c r="U172" s="5" t="inlineStr">
        <is>
          <t>2023</t>
        </is>
      </c>
      <c r="V172" s="5" t="inlineStr">
        <is>
          <t>2024</t>
        </is>
      </c>
      <c r="W172" s="5" t="inlineStr">
        <is>
          <t>2025</t>
        </is>
      </c>
      <c r="X172" s="5" t="inlineStr">
        <is>
          <t>2026</t>
        </is>
      </c>
      <c r="Y172" s="5" t="inlineStr">
        <is>
          <t>2027(MW)</t>
        </is>
      </c>
      <c r="Z172" s="5" t="inlineStr">
        <is>
          <t>2028(MW)</t>
        </is>
      </c>
      <c r="AA172" s="5" t="inlineStr">
        <is>
          <t>2029(MW)</t>
        </is>
      </c>
      <c r="AB172" s="5" t="inlineStr">
        <is>
          <t>2030(MW)</t>
        </is>
      </c>
      <c r="AC172" s="5" t="inlineStr">
        <is>
          <t>2031(MW)</t>
        </is>
      </c>
    </row>
    <row r="173">
      <c r="A173" s="18" t="inlineStr">
        <is>
          <t>보고부문 합계 · 외부 고객 매출</t>
        </is>
      </c>
      <c r="E173" s="20" t="n">
        <v>28838</v>
      </c>
      <c r="F173" s="20" t="n">
        <v>29484</v>
      </c>
      <c r="I173" s="20" t="n">
        <v>33724</v>
      </c>
      <c r="J173" s="20" t="n">
        <v>25496</v>
      </c>
      <c r="M173" s="20" t="n">
        <v>43813</v>
      </c>
      <c r="N173" s="20" t="n">
        <v>34832</v>
      </c>
      <c r="V173" s="20" t="n">
        <v>29484</v>
      </c>
      <c r="W173" s="20" t="n">
        <v>25496</v>
      </c>
      <c r="X173" s="20" t="n">
        <v>34832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합계 · 외부 고객 매출</t>
        </is>
      </c>
      <c r="C175" s="20" t="n">
        <v>25073</v>
      </c>
      <c r="G175" s="20" t="n">
        <v>30174</v>
      </c>
      <c r="K175" s="20" t="n">
        <v>34845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K176" s="15">
        <f>IF(OR(K175="",G175=""),"",IF(G175&lt;=0,"",IFERROR(K175/G175-1,"")))</f>
        <v/>
      </c>
    </row>
    <row r="177">
      <c r="A177" s="18" t="inlineStr">
        <is>
          <t>조정액 · 외부 고객 매출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J177" s="20" t="n">
        <v>60</v>
      </c>
      <c r="K177" s="20" t="n">
        <v>0</v>
      </c>
      <c r="L177" s="20" t="n">
        <v>0</v>
      </c>
      <c r="M177" s="20" t="n">
        <v>0</v>
      </c>
      <c r="N177" s="20" t="n">
        <v>113</v>
      </c>
      <c r="V177" s="20" t="n">
        <v>0</v>
      </c>
      <c r="W177" s="20" t="n">
        <v>60</v>
      </c>
      <c r="X177" s="20" t="n">
        <v>113</v>
      </c>
    </row>
    <row r="178">
      <c r="A178" s="18" t="inlineStr">
        <is>
          <t>EntityTotalMember · 외부 고객 매출</t>
        </is>
      </c>
      <c r="G178" s="20" t="n">
        <v>30174</v>
      </c>
      <c r="K178" s="20" t="n">
        <v>34845</v>
      </c>
    </row>
    <row r="179">
      <c r="A179" s="18" t="inlineStr">
        <is>
          <t>SoftwareTestingRelatedServicesReportableSegmentMember · 부문 간 내부매출·대체</t>
        </is>
      </c>
      <c r="C179" s="20" t="n">
        <v>28</v>
      </c>
      <c r="D179" s="20" t="n">
        <v>21</v>
      </c>
      <c r="E179" s="20" t="n">
        <v>42</v>
      </c>
      <c r="F179" s="20" t="n">
        <v>118</v>
      </c>
      <c r="G179" s="20" t="n">
        <v>156</v>
      </c>
      <c r="H179" s="20" t="n">
        <v>357</v>
      </c>
      <c r="I179" s="20" t="n">
        <v>208</v>
      </c>
      <c r="J179" s="20" t="n">
        <v>137</v>
      </c>
      <c r="K179" s="20" t="n">
        <v>163</v>
      </c>
      <c r="L179" s="20" t="n">
        <v>157</v>
      </c>
      <c r="M179" s="20" t="n">
        <v>156</v>
      </c>
      <c r="V179" s="20" t="n">
        <v>118</v>
      </c>
      <c r="W179" s="20" t="n">
        <v>137</v>
      </c>
    </row>
    <row r="180">
      <c r="A180" s="18" t="inlineStr">
        <is>
          <t>SoftwareDevelopmentRelatedServicesReportableSegmentMember · 부문 간 내부매출·대체</t>
        </is>
      </c>
      <c r="C180" s="20" t="n">
        <v>692</v>
      </c>
      <c r="D180" s="20" t="n">
        <v>688</v>
      </c>
      <c r="E180" s="20" t="n">
        <v>693</v>
      </c>
      <c r="F180" s="20" t="n">
        <v>619</v>
      </c>
      <c r="G180" s="20" t="n">
        <v>621</v>
      </c>
      <c r="H180" s="20" t="n">
        <v>680</v>
      </c>
      <c r="I180" s="20" t="n">
        <v>805</v>
      </c>
      <c r="J180" s="20" t="n">
        <v>904</v>
      </c>
      <c r="K180" s="20" t="n">
        <v>910</v>
      </c>
      <c r="L180" s="20" t="n">
        <v>993</v>
      </c>
      <c r="M180" s="20" t="n">
        <v>960</v>
      </c>
      <c r="V180" s="20" t="n">
        <v>619</v>
      </c>
      <c r="W180" s="20" t="n">
        <v>904</v>
      </c>
    </row>
    <row r="181">
      <c r="A181" s="18" t="inlineStr">
        <is>
          <t>OtherProximateServicesReportableSegmentMember · 부문 간 내부매출·대체</t>
        </is>
      </c>
      <c r="C181" s="20" t="n">
        <v>268</v>
      </c>
      <c r="D181" s="20" t="n">
        <v>249</v>
      </c>
      <c r="E181" s="20" t="n">
        <v>282</v>
      </c>
      <c r="F181" s="20" t="n">
        <v>350</v>
      </c>
      <c r="G181" s="20" t="n">
        <v>343</v>
      </c>
      <c r="H181" s="20" t="n">
        <v>374</v>
      </c>
      <c r="I181" s="20" t="n">
        <v>363</v>
      </c>
      <c r="J181" s="20" t="n">
        <v>397</v>
      </c>
      <c r="K181" s="20" t="n">
        <v>429</v>
      </c>
      <c r="L181" s="20" t="n">
        <v>407</v>
      </c>
      <c r="M181" s="20" t="n">
        <v>380</v>
      </c>
      <c r="V181" s="20" t="n">
        <v>350</v>
      </c>
      <c r="W181" s="20" t="n">
        <v>397</v>
      </c>
    </row>
    <row r="182">
      <c r="A182" s="9" t="inlineStr">
        <is>
          <t>외부 고객 매출</t>
        </is>
      </c>
      <c r="C182" s="12" t="n">
        <v>25073</v>
      </c>
      <c r="D182" s="12" t="n">
        <v>27232</v>
      </c>
      <c r="E182" s="12" t="n">
        <v>28838</v>
      </c>
      <c r="F182" s="12" t="n">
        <v>29484</v>
      </c>
      <c r="G182" s="12" t="n">
        <v>30174</v>
      </c>
      <c r="H182" s="12" t="n">
        <v>31514</v>
      </c>
      <c r="I182" s="12" t="n">
        <v>33724</v>
      </c>
      <c r="J182" s="12" t="n">
        <v>34407</v>
      </c>
      <c r="V182" s="12" t="n">
        <v>29484</v>
      </c>
      <c r="W182" s="12" t="n">
        <v>34407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</row>
    <row r="184">
      <c r="A184" s="18" t="inlineStr">
        <is>
          <t>보고부문 합계 · 부문 간 내부매출·대체</t>
        </is>
      </c>
      <c r="E184" s="20" t="n">
        <v>1016</v>
      </c>
      <c r="F184" s="20" t="n">
        <v>1086</v>
      </c>
      <c r="I184" s="20" t="n">
        <v>1376</v>
      </c>
      <c r="J184" s="20" t="n">
        <v>-648</v>
      </c>
      <c r="M184" s="20" t="n">
        <v>1497</v>
      </c>
      <c r="N184" s="20" t="n">
        <v>-688</v>
      </c>
      <c r="V184" s="20" t="n">
        <v>1086</v>
      </c>
      <c r="W184" s="20" t="n">
        <v>-648</v>
      </c>
      <c r="X184" s="20" t="n">
        <v>-688</v>
      </c>
    </row>
    <row r="185">
      <c r="A185" s="18" t="inlineStr">
        <is>
          <t>합계 · 부문 간 내부매출·대체</t>
        </is>
      </c>
      <c r="C185" s="20" t="n">
        <v>989</v>
      </c>
      <c r="G185" s="20" t="n">
        <v>1122</v>
      </c>
      <c r="K185" s="20" t="n">
        <v>1503</v>
      </c>
    </row>
    <row r="186">
      <c r="A186" s="18" t="inlineStr">
        <is>
          <t>조정액 · 부문 간 내부매출·대체</t>
        </is>
      </c>
      <c r="C186" s="20" t="n">
        <v>-989</v>
      </c>
      <c r="D186" s="20" t="n">
        <v>-959</v>
      </c>
      <c r="E186" s="20" t="n">
        <v>-1016</v>
      </c>
      <c r="F186" s="20" t="n">
        <v>-1086</v>
      </c>
      <c r="G186" s="20" t="n">
        <v>-1122</v>
      </c>
      <c r="H186" s="20" t="n">
        <v>-1410</v>
      </c>
      <c r="I186" s="20" t="n">
        <v>-1376</v>
      </c>
      <c r="J186" s="20" t="n">
        <v>-498</v>
      </c>
      <c r="K186" s="20" t="n">
        <v>-1503</v>
      </c>
      <c r="L186" s="20" t="n">
        <v>-1557</v>
      </c>
      <c r="M186" s="20" t="n">
        <v>-1497</v>
      </c>
      <c r="N186" s="20" t="n">
        <v>-725</v>
      </c>
      <c r="V186" s="20" t="n">
        <v>-1086</v>
      </c>
      <c r="W186" s="20" t="n">
        <v>-498</v>
      </c>
      <c r="X186" s="20" t="n">
        <v>-725</v>
      </c>
    </row>
    <row r="187">
      <c r="A187" s="18" t="inlineStr">
        <is>
          <t>EntityTotalMember · 부문 간 내부매출·대체</t>
        </is>
      </c>
      <c r="G187" s="20" t="n">
        <v>0</v>
      </c>
      <c r="K187" s="20" t="n">
        <v>0</v>
      </c>
    </row>
    <row r="188">
      <c r="A188" s="18" t="inlineStr">
        <is>
          <t>SoftwareTestingRelatedServicesReportableSegmentMember · 계</t>
        </is>
      </c>
      <c r="C188" s="20" t="n">
        <v>16359</v>
      </c>
      <c r="D188" s="20" t="n">
        <v>17485</v>
      </c>
      <c r="E188" s="20" t="n">
        <v>18586</v>
      </c>
      <c r="F188" s="20" t="n">
        <v>18912</v>
      </c>
      <c r="G188" s="20" t="n">
        <v>19279</v>
      </c>
      <c r="H188" s="20" t="n">
        <v>20327</v>
      </c>
      <c r="I188" s="20" t="n">
        <v>22267</v>
      </c>
      <c r="J188" s="20" t="n">
        <v>22422</v>
      </c>
      <c r="K188" s="20" t="n">
        <v>22649</v>
      </c>
      <c r="L188" s="20" t="n">
        <v>24682</v>
      </c>
      <c r="M188" s="20" t="n">
        <v>27203</v>
      </c>
      <c r="V188" s="20" t="n">
        <v>18912</v>
      </c>
      <c r="W188" s="20" t="n">
        <v>22422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</row>
    <row r="190">
      <c r="A190" s="18" t="inlineStr">
        <is>
          <t>SoftwareDevelopmentRelatedServicesReportableSegmentMember · 계</t>
        </is>
      </c>
      <c r="C190" s="20" t="n">
        <v>8135</v>
      </c>
      <c r="D190" s="20" t="n">
        <v>8634</v>
      </c>
      <c r="E190" s="20" t="n">
        <v>8934</v>
      </c>
      <c r="F190" s="20" t="n">
        <v>9305</v>
      </c>
      <c r="G190" s="20" t="n">
        <v>9696</v>
      </c>
      <c r="H190" s="20" t="n">
        <v>10037</v>
      </c>
      <c r="I190" s="20" t="n">
        <v>10071</v>
      </c>
      <c r="J190" s="20" t="n">
        <v>10324</v>
      </c>
      <c r="K190" s="20" t="n">
        <v>10471</v>
      </c>
      <c r="L190" s="20" t="n">
        <v>10842</v>
      </c>
      <c r="M190" s="20" t="n">
        <v>14665</v>
      </c>
      <c r="V190" s="20" t="n">
        <v>9305</v>
      </c>
      <c r="W190" s="20" t="n">
        <v>10324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</row>
    <row r="192">
      <c r="A192" s="18" t="inlineStr">
        <is>
          <t>OtherProximateServicesReportableSegmentMember · 계</t>
        </is>
      </c>
      <c r="C192" s="20" t="n">
        <v>1568</v>
      </c>
      <c r="D192" s="20" t="n">
        <v>2071</v>
      </c>
      <c r="E192" s="20" t="n">
        <v>2335</v>
      </c>
      <c r="F192" s="20" t="n">
        <v>2353</v>
      </c>
      <c r="G192" s="20" t="n">
        <v>2321</v>
      </c>
      <c r="H192" s="20" t="n">
        <v>2560</v>
      </c>
      <c r="I192" s="20" t="n">
        <v>2761</v>
      </c>
      <c r="J192" s="20" t="n">
        <v>3099</v>
      </c>
      <c r="K192" s="20" t="n">
        <v>3227</v>
      </c>
      <c r="L192" s="20" t="n">
        <v>3223</v>
      </c>
      <c r="M192" s="20" t="n">
        <v>3442</v>
      </c>
      <c r="V192" s="20" t="n">
        <v>2353</v>
      </c>
      <c r="W192" s="20" t="n">
        <v>3099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</row>
    <row r="194">
      <c r="A194" s="18" t="inlineStr">
        <is>
          <t>부문 간 내부매출·대체</t>
        </is>
      </c>
      <c r="C194" s="20" t="n">
        <v>0</v>
      </c>
      <c r="D194" s="20" t="n">
        <v>0</v>
      </c>
      <c r="E194" s="20" t="n">
        <v>0</v>
      </c>
      <c r="F194" s="20" t="n">
        <v>0</v>
      </c>
      <c r="G194" s="20" t="n">
        <v>0</v>
      </c>
      <c r="H194" s="20" t="n">
        <v>0</v>
      </c>
      <c r="I194" s="20" t="n">
        <v>0</v>
      </c>
      <c r="J194" s="20" t="n">
        <v>0</v>
      </c>
      <c r="V194" s="20" t="n">
        <v>0</v>
      </c>
      <c r="W194" s="20" t="n">
        <v>0</v>
      </c>
    </row>
    <row r="195">
      <c r="A195" s="18" t="inlineStr">
        <is>
          <t>보고부문 합계 · 계</t>
        </is>
      </c>
      <c r="E195" s="20" t="n">
        <v>29855</v>
      </c>
      <c r="F195" s="20" t="n">
        <v>30570</v>
      </c>
      <c r="I195" s="20" t="n">
        <v>35099</v>
      </c>
      <c r="J195" s="20" t="n">
        <v>24849</v>
      </c>
      <c r="M195" s="20" t="n">
        <v>45310</v>
      </c>
      <c r="N195" s="20" t="n">
        <v>34144</v>
      </c>
      <c r="V195" s="20" t="n">
        <v>30570</v>
      </c>
      <c r="W195" s="20" t="n">
        <v>24849</v>
      </c>
      <c r="X195" s="20" t="n">
        <v>34144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M196" s="15">
        <f>IF(OR(M195="",I195=""),"",IF(I195&lt;=0,"",IFERROR(M195/I195-1,"")))</f>
        <v/>
      </c>
      <c r="N196" s="15">
        <f>IF(OR(N195="",J195=""),"",IF(J195&lt;=0,"",IFERROR(N195/J195-1,"")))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합계 · 계</t>
        </is>
      </c>
      <c r="C197" s="20" t="n">
        <v>26063</v>
      </c>
      <c r="G197" s="20" t="n">
        <v>31297</v>
      </c>
      <c r="K197" s="20" t="n">
        <v>36349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IF(OR(G197="",C197=""),"",IF(C197&lt;=0,"",IFERROR(G197/C197-1,"")))</f>
        <v/>
      </c>
      <c r="K198" s="15">
        <f>IF(OR(K197="",G197=""),"",IF(G197&lt;=0,"",IFERROR(K197/G197-1,"")))</f>
        <v/>
      </c>
    </row>
    <row r="199">
      <c r="A199" s="18" t="inlineStr">
        <is>
          <t>조정액 · 계</t>
        </is>
      </c>
      <c r="C199" s="20" t="n">
        <v>-989</v>
      </c>
      <c r="D199" s="20" t="n">
        <v>-959</v>
      </c>
      <c r="E199" s="20" t="n">
        <v>-1016</v>
      </c>
      <c r="F199" s="20" t="n">
        <v>-1086</v>
      </c>
      <c r="G199" s="20" t="n">
        <v>-1122</v>
      </c>
      <c r="H199" s="20" t="n">
        <v>-1410</v>
      </c>
      <c r="I199" s="20" t="n">
        <v>-1376</v>
      </c>
      <c r="J199" s="20" t="n">
        <v>-437</v>
      </c>
      <c r="K199" s="20" t="n">
        <v>-1503</v>
      </c>
      <c r="L199" s="20" t="n">
        <v>-1557</v>
      </c>
      <c r="M199" s="20" t="n">
        <v>-1497</v>
      </c>
      <c r="N199" s="20" t="n">
        <v>-611</v>
      </c>
      <c r="V199" s="20" t="n">
        <v>-1086</v>
      </c>
      <c r="W199" s="20" t="n">
        <v>-437</v>
      </c>
      <c r="X199" s="20" t="n">
        <v>-611</v>
      </c>
    </row>
    <row r="200">
      <c r="A200" s="18" t="inlineStr">
        <is>
          <t>EntityTotalMember · 계</t>
        </is>
      </c>
      <c r="G200" s="20" t="n">
        <v>30174</v>
      </c>
      <c r="K200" s="20" t="n">
        <v>34845</v>
      </c>
    </row>
    <row r="201">
      <c r="A201" s="18" t="inlineStr">
        <is>
          <t>SoftwareTestingRelatedServicesReportableSegmentMember · 부문 이익</t>
        </is>
      </c>
      <c r="C201" s="20" t="n">
        <v>3363</v>
      </c>
      <c r="D201" s="20" t="n">
        <v>4152</v>
      </c>
      <c r="E201" s="20" t="n">
        <v>3885</v>
      </c>
      <c r="F201" s="20" t="n">
        <v>4766</v>
      </c>
      <c r="G201" s="20" t="n">
        <v>4760</v>
      </c>
      <c r="H201" s="20" t="n">
        <v>5756</v>
      </c>
      <c r="I201" s="20" t="n">
        <v>5644</v>
      </c>
      <c r="J201" s="20" t="n">
        <v>5358</v>
      </c>
      <c r="K201" s="20" t="n">
        <v>4262</v>
      </c>
      <c r="L201" s="20" t="n">
        <v>5469</v>
      </c>
      <c r="M201" s="20" t="n">
        <v>5931</v>
      </c>
      <c r="V201" s="20" t="n">
        <v>4766</v>
      </c>
      <c r="W201" s="20" t="n">
        <v>5358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IF(OR(C201="",C188=""),"",IF(C188&lt;=0,"",IFERROR(C201/C188,"")))</f>
        <v/>
      </c>
      <c r="D202" s="15">
        <f>IF(OR(D201="",D188=""),"",IF(D188&lt;=0,"",IFERROR(D201/D188,"")))</f>
        <v/>
      </c>
      <c r="E202" s="15">
        <f>IF(OR(E201="",E188=""),"",IF(E188&lt;=0,"",IFERROR(E201/E188,"")))</f>
        <v/>
      </c>
      <c r="F202" s="15">
        <f>IF(OR(F201="",F188=""),"",IF(F188&lt;=0,"",IFERROR(F201/F188,"")))</f>
        <v/>
      </c>
      <c r="G202" s="15">
        <f>IF(OR(G201="",G188=""),"",IF(G188&lt;=0,"",IFERROR(G201/G188,"")))</f>
        <v/>
      </c>
      <c r="H202" s="15">
        <f>IF(OR(H201="",H188=""),"",IF(H188&lt;=0,"",IFERROR(H201/H188,"")))</f>
        <v/>
      </c>
      <c r="I202" s="15">
        <f>IF(OR(I201="",I188=""),"",IF(I188&lt;=0,"",IFERROR(I201/I188,"")))</f>
        <v/>
      </c>
      <c r="J202" s="15">
        <f>IF(OR(J201="",J188=""),"",IF(J188&lt;=0,"",IFERROR(J201/J188,"")))</f>
        <v/>
      </c>
      <c r="K202" s="15">
        <f>IF(OR(K201="",K188=""),"",IF(K188&lt;=0,"",IFERROR(K201/K188,"")))</f>
        <v/>
      </c>
      <c r="L202" s="15">
        <f>IF(OR(L201="",L188=""),"",IF(L188&lt;=0,"",IFERROR(L201/L188,"")))</f>
        <v/>
      </c>
      <c r="M202" s="15">
        <f>IF(OR(M201="",M188=""),"",IF(M188&lt;=0,"",IFERROR(M201/M188,"")))</f>
        <v/>
      </c>
      <c r="V202" s="15">
        <f>IF(OR(V201="",V188=""),"",IF(V188&lt;=0,"",IFERROR(V201/V188,"")))</f>
        <v/>
      </c>
      <c r="W202" s="15">
        <f>IF(OR(W201="",W188=""),"",IF(W188&lt;=0,"",IFERROR(W201/W188,"")))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</row>
    <row r="204">
      <c r="A204" s="18" t="inlineStr">
        <is>
          <t>SoftwareDevelopmentRelatedServicesReportableSegmentMember · 부문 이익</t>
        </is>
      </c>
      <c r="C204" s="20" t="n">
        <v>239</v>
      </c>
      <c r="D204" s="20" t="n">
        <v>380</v>
      </c>
      <c r="E204" s="20" t="n">
        <v>445</v>
      </c>
      <c r="F204" s="20" t="n">
        <v>767</v>
      </c>
      <c r="G204" s="20" t="n">
        <v>711</v>
      </c>
      <c r="H204" s="20" t="n">
        <v>870</v>
      </c>
      <c r="I204" s="20" t="n">
        <v>602</v>
      </c>
      <c r="J204" s="20" t="n">
        <v>427</v>
      </c>
      <c r="K204" s="20" t="n">
        <v>438</v>
      </c>
      <c r="L204" s="20" t="n">
        <v>766</v>
      </c>
      <c r="M204" s="20" t="n">
        <v>557</v>
      </c>
      <c r="V204" s="20" t="n">
        <v>767</v>
      </c>
      <c r="W204" s="20" t="n">
        <v>427</v>
      </c>
    </row>
    <row r="205">
      <c r="A205" s="43" t="inlineStr">
        <is>
          <t>OPM</t>
        </is>
      </c>
      <c r="B205" s="3" t="inlineStr">
        <is>
          <t>영업이익 ÷ 매출</t>
        </is>
      </c>
      <c r="C205" s="15">
        <f>IF(OR(C204="",C190=""),"",IF(C190&lt;=0,"",IFERROR(C204/C190,"")))</f>
        <v/>
      </c>
      <c r="D205" s="15">
        <f>IF(OR(D204="",D190=""),"",IF(D190&lt;=0,"",IFERROR(D204/D190,"")))</f>
        <v/>
      </c>
      <c r="E205" s="15">
        <f>IF(OR(E204="",E190=""),"",IF(E190&lt;=0,"",IFERROR(E204/E190,"")))</f>
        <v/>
      </c>
      <c r="F205" s="15">
        <f>IF(OR(F204="",F190=""),"",IF(F190&lt;=0,"",IFERROR(F204/F190,"")))</f>
        <v/>
      </c>
      <c r="G205" s="15">
        <f>IF(OR(G204="",G190=""),"",IF(G190&lt;=0,"",IFERROR(G204/G190,"")))</f>
        <v/>
      </c>
      <c r="H205" s="15">
        <f>IF(OR(H204="",H190=""),"",IF(H190&lt;=0,"",IFERROR(H204/H190,"")))</f>
        <v/>
      </c>
      <c r="I205" s="15">
        <f>IF(OR(I204="",I190=""),"",IF(I190&lt;=0,"",IFERROR(I204/I190,"")))</f>
        <v/>
      </c>
      <c r="J205" s="15">
        <f>IF(OR(J204="",J190=""),"",IF(J190&lt;=0,"",IFERROR(J204/J190,"")))</f>
        <v/>
      </c>
      <c r="K205" s="15">
        <f>IF(OR(K204="",K190=""),"",IF(K190&lt;=0,"",IFERROR(K204/K190,"")))</f>
        <v/>
      </c>
      <c r="L205" s="15">
        <f>IF(OR(L204="",L190=""),"",IF(L190&lt;=0,"",IFERROR(L204/L190,"")))</f>
        <v/>
      </c>
      <c r="M205" s="15">
        <f>IF(OR(M204="",M190=""),"",IF(M190&lt;=0,"",IFERROR(M204/M190,"")))</f>
        <v/>
      </c>
      <c r="V205" s="15">
        <f>IF(OR(V204="",V190=""),"",IF(V190&lt;=0,"",IFERROR(V204/V190,"")))</f>
        <v/>
      </c>
      <c r="W205" s="15">
        <f>IF(OR(W204="",W190=""),"",IF(W190&lt;=0,"",IFERROR(W204/W190,"")))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</row>
    <row r="207">
      <c r="A207" s="18" t="inlineStr">
        <is>
          <t>OtherProximateServicesReportableSegmentMember · 부문 이익</t>
        </is>
      </c>
      <c r="C207" s="20" t="n">
        <v>-122</v>
      </c>
      <c r="D207" s="20" t="n">
        <v>28</v>
      </c>
      <c r="E207" s="20" t="n">
        <v>116</v>
      </c>
      <c r="F207" s="20" t="n">
        <v>148</v>
      </c>
      <c r="G207" s="20" t="n">
        <v>35</v>
      </c>
      <c r="H207" s="20" t="n">
        <v>209</v>
      </c>
      <c r="I207" s="20" t="n">
        <v>159</v>
      </c>
      <c r="J207" s="20" t="n">
        <v>333</v>
      </c>
      <c r="K207" s="20" t="n">
        <v>334</v>
      </c>
      <c r="L207" s="20" t="n">
        <v>222</v>
      </c>
      <c r="M207" s="20" t="n">
        <v>230</v>
      </c>
      <c r="V207" s="20" t="n">
        <v>148</v>
      </c>
      <c r="W207" s="20" t="n">
        <v>333</v>
      </c>
    </row>
    <row r="208">
      <c r="A208" s="43" t="inlineStr">
        <is>
          <t>OPM</t>
        </is>
      </c>
      <c r="B208" s="3" t="inlineStr">
        <is>
          <t>영업이익 ÷ 매출</t>
        </is>
      </c>
      <c r="C208" s="15">
        <f>IF(OR(C207="",C192=""),"",IF(C192&lt;=0,"",IFERROR(C207/C192,"")))</f>
        <v/>
      </c>
      <c r="D208" s="15">
        <f>IF(OR(D207="",D192=""),"",IF(D192&lt;=0,"",IFERROR(D207/D192,"")))</f>
        <v/>
      </c>
      <c r="E208" s="15">
        <f>IF(OR(E207="",E192=""),"",IF(E192&lt;=0,"",IFERROR(E207/E192,"")))</f>
        <v/>
      </c>
      <c r="F208" s="15">
        <f>IF(OR(F207="",F192=""),"",IF(F192&lt;=0,"",IFERROR(F207/F192,"")))</f>
        <v/>
      </c>
      <c r="G208" s="15">
        <f>IF(OR(G207="",G192=""),"",IF(G192&lt;=0,"",IFERROR(G207/G192,"")))</f>
        <v/>
      </c>
      <c r="H208" s="15">
        <f>IF(OR(H207="",H192=""),"",IF(H192&lt;=0,"",IFERROR(H207/H192,"")))</f>
        <v/>
      </c>
      <c r="I208" s="15">
        <f>IF(OR(I207="",I192=""),"",IF(I192&lt;=0,"",IFERROR(I207/I192,"")))</f>
        <v/>
      </c>
      <c r="J208" s="15">
        <f>IF(OR(J207="",J192=""),"",IF(J192&lt;=0,"",IFERROR(J207/J192,"")))</f>
        <v/>
      </c>
      <c r="K208" s="15">
        <f>IF(OR(K207="",K192=""),"",IF(K192&lt;=0,"",IFERROR(K207/K192,"")))</f>
        <v/>
      </c>
      <c r="L208" s="15">
        <f>IF(OR(L207="",L192=""),"",IF(L192&lt;=0,"",IFERROR(L207/L192,"")))</f>
        <v/>
      </c>
      <c r="M208" s="15">
        <f>IF(OR(M207="",M192=""),"",IF(M192&lt;=0,"",IFERROR(M207/M192,"")))</f>
        <v/>
      </c>
      <c r="V208" s="15">
        <f>IF(OR(V207="",V192=""),"",IF(V192&lt;=0,"",IFERROR(V207/V192,"")))</f>
        <v/>
      </c>
      <c r="W208" s="15">
        <f>IF(OR(W207="",W192=""),"",IF(W192&lt;=0,"",IFERROR(W207/W192,"")))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</row>
    <row r="210">
      <c r="A210" s="9" t="inlineStr">
        <is>
          <t>계</t>
        </is>
      </c>
      <c r="C210" s="12" t="n">
        <v>25073</v>
      </c>
      <c r="D210" s="12" t="n">
        <v>27232</v>
      </c>
      <c r="E210" s="12" t="n">
        <v>28838</v>
      </c>
      <c r="F210" s="12" t="n">
        <v>29484</v>
      </c>
      <c r="G210" s="12" t="n">
        <v>30174</v>
      </c>
      <c r="H210" s="12" t="n">
        <v>31514</v>
      </c>
      <c r="I210" s="12" t="n">
        <v>33724</v>
      </c>
      <c r="J210" s="12" t="n">
        <v>34407</v>
      </c>
      <c r="V210" s="12" t="n">
        <v>29484</v>
      </c>
      <c r="W210" s="12" t="n">
        <v>34407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  <c r="H211" s="15">
        <f>IF(OR(H210="",D210=""),"",IF(D210&lt;=0,"",IFERROR(H210/D210-1,"")))</f>
        <v/>
      </c>
      <c r="I211" s="15">
        <f>IF(OR(I210="",E210=""),"",IF(E210&lt;=0,"",IFERROR(I210/E210-1,"")))</f>
        <v/>
      </c>
      <c r="J211" s="15">
        <f>IF(OR(J210="",F210=""),"",IF(F210&lt;=0,"",IFERROR(J210/F210-1,"")))</f>
        <v/>
      </c>
      <c r="V211" s="15">
        <f>IF(OR(V210="",U210=""),"",IF(U210&lt;=0,"",IFERROR(V210/U210-1,"")))</f>
        <v/>
      </c>
      <c r="W211" s="15">
        <f>IF(OR(W210="",V210=""),"",IF(V210&lt;=0,"",IFERROR(W210/V210-1,"")))</f>
        <v/>
      </c>
    </row>
    <row r="212">
      <c r="A212" s="18" t="inlineStr">
        <is>
          <t>보고부문 합계 · 부문 이익</t>
        </is>
      </c>
      <c r="E212" s="20" t="n">
        <v>4447</v>
      </c>
      <c r="F212" s="20" t="n">
        <v>5680</v>
      </c>
      <c r="I212" s="20" t="n">
        <v>6405</v>
      </c>
      <c r="J212" s="20" t="n">
        <v>6967</v>
      </c>
      <c r="M212" s="20" t="n">
        <v>6717</v>
      </c>
      <c r="N212" s="20" t="n">
        <v>10416</v>
      </c>
      <c r="V212" s="20" t="n">
        <v>5680</v>
      </c>
      <c r="W212" s="20" t="n">
        <v>6967</v>
      </c>
      <c r="X212" s="20" t="n">
        <v>10416</v>
      </c>
    </row>
    <row r="213">
      <c r="A213" s="43" t="inlineStr">
        <is>
          <t>OPM</t>
        </is>
      </c>
      <c r="B213" s="3" t="inlineStr">
        <is>
          <t>영업이익 ÷ 매출</t>
        </is>
      </c>
      <c r="E213" s="15">
        <f>IF(OR(E212="",E195=""),"",IF(E195&lt;=0,"",IFERROR(E212/E195,"")))</f>
        <v/>
      </c>
      <c r="F213" s="15">
        <f>IF(OR(F212="",F195=""),"",IF(F195&lt;=0,"",IFERROR(F212/F195,"")))</f>
        <v/>
      </c>
      <c r="I213" s="15">
        <f>IF(OR(I212="",I195=""),"",IF(I195&lt;=0,"",IFERROR(I212/I195,"")))</f>
        <v/>
      </c>
      <c r="J213" s="15">
        <f>IF(OR(J212="",J195=""),"",IF(J195&lt;=0,"",IFERROR(J212/J195,"")))</f>
        <v/>
      </c>
      <c r="M213" s="15">
        <f>IF(OR(M212="",M195=""),"",IF(M195&lt;=0,"",IFERROR(M212/M195,"")))</f>
        <v/>
      </c>
      <c r="N213" s="15">
        <f>IF(OR(N212="",N195=""),"",IF(N195&lt;=0,"",IFERROR(N212/N195,"")))</f>
        <v/>
      </c>
      <c r="V213" s="15">
        <f>IF(OR(V212="",V195=""),"",IF(V195&lt;=0,"",IFERROR(V212/V195,"")))</f>
        <v/>
      </c>
      <c r="W213" s="15">
        <f>IF(OR(W212="",W195=""),"",IF(W195&lt;=0,"",IFERROR(W212/W195,"")))</f>
        <v/>
      </c>
      <c r="X213" s="15">
        <f>IF(OR(X212="",X195=""),"",IF(X195&lt;=0,"",IFERROR(X212/X195,"")))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V214" s="15">
        <f>IF(OR(V212="",U212=""),"",IF(U212&lt;=0,"",IFERROR(V212/U212-1,"")))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합계 · 부문 이익</t>
        </is>
      </c>
      <c r="C215" s="20" t="n">
        <v>3479</v>
      </c>
      <c r="G215" s="20" t="n">
        <v>5507</v>
      </c>
      <c r="K215" s="20" t="n">
        <v>5036</v>
      </c>
    </row>
    <row r="216">
      <c r="A216" s="43" t="inlineStr">
        <is>
          <t>OPM</t>
        </is>
      </c>
      <c r="B216" s="3" t="inlineStr">
        <is>
          <t>영업이익 ÷ 매출</t>
        </is>
      </c>
      <c r="C216" s="15">
        <f>IF(OR(C215="",C197=""),"",IF(C197&lt;=0,"",IFERROR(C215/C197,"")))</f>
        <v/>
      </c>
      <c r="G216" s="15">
        <f>IF(OR(G215="",G197=""),"",IF(G197&lt;=0,"",IFERROR(G215/G197,"")))</f>
        <v/>
      </c>
      <c r="K216" s="15">
        <f>IF(OR(K215="",K197=""),"",IF(K197&lt;=0,"",IFERROR(K215/K197,"")))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IF(OR(G215="",C215=""),"",IF(C215&lt;=0,"",IFERROR(G215/C215-1,"")))</f>
        <v/>
      </c>
      <c r="K217" s="15">
        <f>IF(OR(K215="",G215=""),"",IF(G215&lt;=0,"",IFERROR(K215/G215-1,"")))</f>
        <v/>
      </c>
    </row>
    <row r="218">
      <c r="A218" s="18" t="inlineStr">
        <is>
          <t>조정액 · 부문 이익</t>
        </is>
      </c>
      <c r="C218" s="20" t="n">
        <v>-1666</v>
      </c>
      <c r="D218" s="20" t="n">
        <v>-1691</v>
      </c>
      <c r="E218" s="20" t="n">
        <v>-2075</v>
      </c>
      <c r="F218" s="20" t="n">
        <v>-2198</v>
      </c>
      <c r="G218" s="20" t="n">
        <v>-1990</v>
      </c>
      <c r="H218" s="20" t="n">
        <v>-2294</v>
      </c>
      <c r="I218" s="20" t="n">
        <v>-2563</v>
      </c>
      <c r="J218" s="20" t="n">
        <v>-4285</v>
      </c>
      <c r="K218" s="20" t="n">
        <v>-2218</v>
      </c>
      <c r="L218" s="20" t="n">
        <v>-2366</v>
      </c>
      <c r="M218" s="20" t="n">
        <v>-2241</v>
      </c>
      <c r="N218" s="20" t="n">
        <v>-5858</v>
      </c>
      <c r="V218" s="20" t="n">
        <v>-2198</v>
      </c>
      <c r="W218" s="20" t="n">
        <v>-4285</v>
      </c>
      <c r="X218" s="20" t="n">
        <v>-5858</v>
      </c>
    </row>
    <row r="219">
      <c r="A219" s="18" t="inlineStr">
        <is>
          <t>EntityTotalMember · 부문 이익</t>
        </is>
      </c>
      <c r="G219" s="20" t="n">
        <v>3517</v>
      </c>
      <c r="K219" s="20" t="n">
        <v>2817</v>
      </c>
    </row>
    <row r="220">
      <c r="A220" s="9" t="inlineStr">
        <is>
          <t>부문 이익</t>
        </is>
      </c>
      <c r="C220" s="12" t="n">
        <v>1813</v>
      </c>
      <c r="D220" s="12" t="n">
        <v>2870</v>
      </c>
      <c r="E220" s="12" t="n">
        <v>2372</v>
      </c>
      <c r="F220" s="12" t="n">
        <v>3482</v>
      </c>
      <c r="G220" s="12" t="n">
        <v>3517</v>
      </c>
      <c r="H220" s="12" t="n">
        <v>4541</v>
      </c>
      <c r="I220" s="12" t="n">
        <v>3848</v>
      </c>
      <c r="J220" s="12" t="n">
        <v>3722</v>
      </c>
      <c r="V220" s="12" t="n">
        <v>3482</v>
      </c>
      <c r="W220" s="12" t="n">
        <v>3722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IF(OR(C220="",C182=""),"",IF(C182&lt;=0,"",IFERROR(C220/C182,"")))</f>
        <v/>
      </c>
      <c r="D221" s="15">
        <f>IF(OR(D220="",D182=""),"",IF(D182&lt;=0,"",IFERROR(D220/D182,"")))</f>
        <v/>
      </c>
      <c r="E221" s="15">
        <f>IF(OR(E220="",E182=""),"",IF(E182&lt;=0,"",IFERROR(E220/E182,"")))</f>
        <v/>
      </c>
      <c r="F221" s="15">
        <f>IF(OR(F220="",F182=""),"",IF(F182&lt;=0,"",IFERROR(F220/F182,"")))</f>
        <v/>
      </c>
      <c r="G221" s="15">
        <f>IF(OR(G220="",G182=""),"",IF(G182&lt;=0,"",IFERROR(G220/G182,"")))</f>
        <v/>
      </c>
      <c r="H221" s="15">
        <f>IF(OR(H220="",H182=""),"",IF(H182&lt;=0,"",IFERROR(H220/H182,"")))</f>
        <v/>
      </c>
      <c r="I221" s="15">
        <f>IF(OR(I220="",I182=""),"",IF(I182&lt;=0,"",IFERROR(I220/I182,"")))</f>
        <v/>
      </c>
      <c r="J221" s="15">
        <f>IF(OR(J220="",J182=""),"",IF(J182&lt;=0,"",IFERROR(J220/J182,"")))</f>
        <v/>
      </c>
      <c r="V221" s="15">
        <f>IF(OR(V220="",V182=""),"",IF(V182&lt;=0,"",IFERROR(V220/V182,"")))</f>
        <v/>
      </c>
      <c r="W221" s="15">
        <f>IF(OR(W220="",W182=""),"",IF(W182&lt;=0,"",IFERROR(W220/W182,"")))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I222" s="15">
        <f>IF(OR(I220="",E220=""),"",IF(E220&lt;=0,"",IFERROR(I220/E220-1,"")))</f>
        <v/>
      </c>
      <c r="J222" s="15">
        <f>IF(OR(J220="",F220=""),"",IF(F220&lt;=0,"",IFERROR(J220/F220-1,"")))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</row>
    <row r="223">
      <c r="A223" s="18" t="inlineStr">
        <is>
          <t>SoftwareTestingRelatedServicesReportableSegmentMember · 외부 고객 매출</t>
        </is>
      </c>
      <c r="C223" s="20" t="n">
        <v>16330</v>
      </c>
      <c r="D223" s="20" t="n">
        <v>17464</v>
      </c>
      <c r="E223" s="20" t="n">
        <v>18544</v>
      </c>
      <c r="F223" s="20" t="n">
        <v>18795</v>
      </c>
      <c r="G223" s="20" t="n">
        <v>19122</v>
      </c>
      <c r="H223" s="20" t="n">
        <v>19970</v>
      </c>
      <c r="I223" s="20" t="n">
        <v>22060</v>
      </c>
      <c r="J223" s="20" t="n">
        <v>22285</v>
      </c>
      <c r="K223" s="20" t="n">
        <v>22486</v>
      </c>
      <c r="L223" s="20" t="n">
        <v>24525</v>
      </c>
      <c r="M223" s="20" t="n">
        <v>27047</v>
      </c>
      <c r="V223" s="20" t="n">
        <v>18795</v>
      </c>
      <c r="W223" s="20" t="n">
        <v>22285</v>
      </c>
    </row>
    <row r="224">
      <c r="A224" s="43" t="inlineStr">
        <is>
          <t>YoY</t>
        </is>
      </c>
      <c r="B224" s="3" t="inlineStr">
        <is>
          <t>전년 같은 분기·전년 대비</t>
        </is>
      </c>
      <c r="G224" s="15">
        <f>IF(OR(G223="",C223=""),"",IF(C223&lt;=0,"",IFERROR(G223/C223-1,"")))</f>
        <v/>
      </c>
      <c r="H224" s="15">
        <f>IF(OR(H223="",D223=""),"",IF(D223&lt;=0,"",IFERROR(H223/D223-1,"")))</f>
        <v/>
      </c>
      <c r="I224" s="15">
        <f>IF(OR(I223="",E223=""),"",IF(E223&lt;=0,"",IFERROR(I223/E223-1,"")))</f>
        <v/>
      </c>
      <c r="J224" s="15">
        <f>IF(OR(J223="",F223=""),"",IF(F223&lt;=0,"",IFERROR(J223/F223-1,"")))</f>
        <v/>
      </c>
      <c r="K224" s="15">
        <f>IF(OR(K223="",G223=""),"",IF(G223&lt;=0,"",IFERROR(K223/G223-1,"")))</f>
        <v/>
      </c>
      <c r="L224" s="15">
        <f>IF(OR(L223="",H223=""),"",IF(H223&lt;=0,"",IFERROR(L223/H223-1,"")))</f>
        <v/>
      </c>
      <c r="M224" s="15">
        <f>IF(OR(M223="",I223=""),"",IF(I223&lt;=0,"",IFERROR(M223/I223-1,"")))</f>
        <v/>
      </c>
      <c r="V224" s="15">
        <f>IF(OR(V223="",U223=""),"",IF(U223&lt;=0,"",IFERROR(V223/U223-1,"")))</f>
        <v/>
      </c>
      <c r="W224" s="15">
        <f>IF(OR(W223="",V223=""),"",IF(V223&lt;=0,"",IFERROR(W223/V223-1,"")))</f>
        <v/>
      </c>
    </row>
    <row r="225">
      <c r="A225" s="18" t="inlineStr">
        <is>
          <t>SoftwareDevelopmentRelatedServicesReportableSegmentMember · 외부 고객 매출</t>
        </is>
      </c>
      <c r="C225" s="20" t="n">
        <v>7442</v>
      </c>
      <c r="D225" s="20" t="n">
        <v>7947</v>
      </c>
      <c r="E225" s="20" t="n">
        <v>8240</v>
      </c>
      <c r="F225" s="20" t="n">
        <v>8687</v>
      </c>
      <c r="G225" s="20" t="n">
        <v>9074</v>
      </c>
      <c r="H225" s="20" t="n">
        <v>9358</v>
      </c>
      <c r="I225" s="20" t="n">
        <v>9265</v>
      </c>
      <c r="J225" s="20" t="n">
        <v>9421</v>
      </c>
      <c r="K225" s="20" t="n">
        <v>9560</v>
      </c>
      <c r="L225" s="20" t="n">
        <v>9850</v>
      </c>
      <c r="M225" s="20" t="n">
        <v>13704</v>
      </c>
      <c r="V225" s="20" t="n">
        <v>8687</v>
      </c>
      <c r="W225" s="20" t="n">
        <v>9421</v>
      </c>
    </row>
    <row r="226">
      <c r="A226" s="43" t="inlineStr">
        <is>
          <t>YoY</t>
        </is>
      </c>
      <c r="B226" s="3" t="inlineStr">
        <is>
          <t>전년 같은 분기·전년 대비</t>
        </is>
      </c>
      <c r="G226" s="15">
        <f>IF(OR(G225="",C225=""),"",IF(C225&lt;=0,"",IFERROR(G225/C225-1,"")))</f>
        <v/>
      </c>
      <c r="H226" s="15">
        <f>IF(OR(H225="",D225=""),"",IF(D225&lt;=0,"",IFERROR(H225/D225-1,"")))</f>
        <v/>
      </c>
      <c r="I226" s="15">
        <f>IF(OR(I225="",E225=""),"",IF(E225&lt;=0,"",IFERROR(I225/E225-1,"")))</f>
        <v/>
      </c>
      <c r="J226" s="15">
        <f>IF(OR(J225="",F225=""),"",IF(F225&lt;=0,"",IFERROR(J225/F225-1,"")))</f>
        <v/>
      </c>
      <c r="K226" s="15">
        <f>IF(OR(K225="",G225=""),"",IF(G225&lt;=0,"",IFERROR(K225/G225-1,"")))</f>
        <v/>
      </c>
      <c r="L226" s="15">
        <f>IF(OR(L225="",H225=""),"",IF(H225&lt;=0,"",IFERROR(L225/H225-1,"")))</f>
        <v/>
      </c>
      <c r="M226" s="15">
        <f>IF(OR(M225="",I225=""),"",IF(I225&lt;=0,"",IFERROR(M225/I225-1,"")))</f>
        <v/>
      </c>
      <c r="V226" s="15">
        <f>IF(OR(V225="",U225=""),"",IF(U225&lt;=0,"",IFERROR(V225/U225-1,"")))</f>
        <v/>
      </c>
      <c r="W226" s="15">
        <f>IF(OR(W225="",V225=""),"",IF(V225&lt;=0,"",IFERROR(W225/V225-1,"")))</f>
        <v/>
      </c>
    </row>
    <row r="227">
      <c r="A227" s="18" t="inlineStr">
        <is>
          <t>OtherProximateServicesReportableSegmentMember · 외부 고객 매출</t>
        </is>
      </c>
      <c r="C227" s="20" t="n">
        <v>1300</v>
      </c>
      <c r="D227" s="20" t="n">
        <v>1821</v>
      </c>
      <c r="E227" s="20" t="n">
        <v>2054</v>
      </c>
      <c r="F227" s="20" t="n">
        <v>2003</v>
      </c>
      <c r="G227" s="20" t="n">
        <v>1977</v>
      </c>
      <c r="H227" s="20" t="n">
        <v>2186</v>
      </c>
      <c r="I227" s="20" t="n">
        <v>2398</v>
      </c>
      <c r="J227" s="20" t="n">
        <v>2703</v>
      </c>
      <c r="K227" s="20" t="n">
        <v>2798</v>
      </c>
      <c r="L227" s="20" t="n">
        <v>2816</v>
      </c>
      <c r="M227" s="20" t="n">
        <v>3061</v>
      </c>
      <c r="V227" s="20" t="n">
        <v>2003</v>
      </c>
      <c r="W227" s="20" t="n">
        <v>2703</v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IF(OR(G227="",C227=""),"",IF(C227&lt;=0,"",IFERROR(G227/C227-1,"")))</f>
        <v/>
      </c>
      <c r="H228" s="15">
        <f>IF(OR(H227="",D227=""),"",IF(D227&lt;=0,"",IFERROR(H227/D227-1,"")))</f>
        <v/>
      </c>
      <c r="I228" s="15">
        <f>IF(OR(I227="",E227=""),"",IF(E227&lt;=0,"",IFERROR(I227/E227-1,"")))</f>
        <v/>
      </c>
      <c r="J228" s="15">
        <f>IF(OR(J227="",F227=""),"",IF(F227&lt;=0,"",IFERROR(J227/F227-1,"")))</f>
        <v/>
      </c>
      <c r="K228" s="15">
        <f>IF(OR(K227="",G227=""),"",IF(G227&lt;=0,"",IFERROR(K227/G227-1,"")))</f>
        <v/>
      </c>
      <c r="L228" s="15">
        <f>IF(OR(L227="",H227=""),"",IF(H227&lt;=0,"",IFERROR(L227/H227-1,"")))</f>
        <v/>
      </c>
      <c r="M228" s="15">
        <f>IF(OR(M227="",I227=""),"",IF(I227&lt;=0,"",IFERROR(M227/I227-1,"")))</f>
        <v/>
      </c>
      <c r="V228" s="15">
        <f>IF(OR(V227="",U227=""),"",IF(U227&lt;=0,"",IFERROR(V227/U227-1,"")))</f>
        <v/>
      </c>
      <c r="W228" s="15">
        <f>IF(OR(W227="",V227=""),"",IF(V227&lt;=0,"",IFERROR(W227/V227-1,"")))</f>
        <v/>
      </c>
    </row>
    <row r="230">
      <c r="A230" s="16" t="inlineStr">
        <is>
          <t>현금흐름표 · 전 항목</t>
        </is>
      </c>
      <c r="B230" s="42" t="inlineStr">
        <is>
          <t>분기 = 결산기 첫날부터 누계(공시 그대로)</t>
        </is>
      </c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  <c r="AA230" s="16" t="n"/>
      <c r="AB230" s="16" t="n"/>
      <c r="AC230" s="16" t="n"/>
    </row>
    <row r="231">
      <c r="A231" s="5" t="inlineStr">
        <is>
          <t>항목</t>
        </is>
      </c>
      <c r="B231" s="5" t="inlineStr">
        <is>
          <t>참고</t>
        </is>
      </c>
      <c r="C231" s="5" t="inlineStr">
        <is>
          <t>2024.1Q</t>
        </is>
      </c>
      <c r="D231" s="5" t="inlineStr">
        <is>
          <t>2024.2Q</t>
        </is>
      </c>
      <c r="E231" s="5" t="inlineStr">
        <is>
          <t>2024.3Q</t>
        </is>
      </c>
      <c r="F231" s="5" t="inlineStr">
        <is>
          <t>2024.4Q</t>
        </is>
      </c>
      <c r="G231" s="5" t="inlineStr">
        <is>
          <t>2025.1Q</t>
        </is>
      </c>
      <c r="H231" s="5" t="inlineStr">
        <is>
          <t>2025.2Q</t>
        </is>
      </c>
      <c r="I231" s="5" t="inlineStr">
        <is>
          <t>2025.3Q</t>
        </is>
      </c>
      <c r="J231" s="5" t="inlineStr">
        <is>
          <t>2025.4Q</t>
        </is>
      </c>
      <c r="K231" s="5" t="inlineStr">
        <is>
          <t>2026.1Q</t>
        </is>
      </c>
      <c r="L231" s="5" t="inlineStr">
        <is>
          <t>2026.2Q</t>
        </is>
      </c>
      <c r="M231" s="5" t="inlineStr">
        <is>
          <t>2026.3Q</t>
        </is>
      </c>
      <c r="N231" s="5" t="inlineStr">
        <is>
          <t>2026.4Q</t>
        </is>
      </c>
      <c r="O231" s="5" t="inlineStr">
        <is>
          <t>2017</t>
        </is>
      </c>
      <c r="P231" s="5" t="inlineStr">
        <is>
          <t>2018</t>
        </is>
      </c>
      <c r="Q231" s="5" t="inlineStr">
        <is>
          <t>2019</t>
        </is>
      </c>
      <c r="R231" s="5" t="inlineStr">
        <is>
          <t>2020</t>
        </is>
      </c>
      <c r="S231" s="5" t="inlineStr">
        <is>
          <t>2021</t>
        </is>
      </c>
      <c r="T231" s="5" t="inlineStr">
        <is>
          <t>2022</t>
        </is>
      </c>
      <c r="U231" s="5" t="inlineStr">
        <is>
          <t>2023</t>
        </is>
      </c>
      <c r="V231" s="5" t="inlineStr">
        <is>
          <t>2024</t>
        </is>
      </c>
      <c r="W231" s="5" t="inlineStr">
        <is>
          <t>2025</t>
        </is>
      </c>
      <c r="X231" s="5" t="inlineStr">
        <is>
          <t>2026</t>
        </is>
      </c>
      <c r="Y231" s="5" t="inlineStr">
        <is>
          <t>2027(MW)</t>
        </is>
      </c>
      <c r="Z231" s="5" t="inlineStr">
        <is>
          <t>2028(MW)</t>
        </is>
      </c>
      <c r="AA231" s="5" t="inlineStr">
        <is>
          <t>2029(MW)</t>
        </is>
      </c>
      <c r="AB231" s="5" t="inlineStr">
        <is>
          <t>2030(MW)</t>
        </is>
      </c>
      <c r="AC231" s="5" t="inlineStr">
        <is>
          <t>2031(MW)</t>
        </is>
      </c>
    </row>
    <row r="232">
      <c r="A232" s="9" t="inlineStr">
        <is>
          <t>법인세차감전 순이익</t>
        </is>
      </c>
      <c r="D232" s="12" t="n">
        <v>4831</v>
      </c>
      <c r="F232" s="12" t="n">
        <v>9032</v>
      </c>
      <c r="H232" s="12" t="n">
        <v>7185</v>
      </c>
      <c r="J232" s="12" t="n">
        <v>13674</v>
      </c>
      <c r="L232" s="12" t="n">
        <v>6118</v>
      </c>
      <c r="N232" s="12" t="n">
        <v>12891</v>
      </c>
      <c r="O232" s="12" t="n">
        <v>441.166</v>
      </c>
      <c r="P232" s="12" t="n">
        <v>834.897</v>
      </c>
      <c r="Q232" s="12" t="n">
        <v>1557.69</v>
      </c>
      <c r="R232" s="12" t="n">
        <v>2535.129</v>
      </c>
      <c r="S232" s="12" t="n">
        <v>4525.754</v>
      </c>
      <c r="T232" s="12" t="n">
        <v>7460</v>
      </c>
      <c r="U232" s="12" t="n">
        <v>10153</v>
      </c>
      <c r="V232" s="12" t="n">
        <v>9032</v>
      </c>
      <c r="W232" s="12" t="n">
        <v>13674</v>
      </c>
      <c r="X232" s="12" t="n">
        <v>12891</v>
      </c>
    </row>
    <row r="233">
      <c r="A233" s="18" t="inlineStr">
        <is>
          <t>감가상각비</t>
        </is>
      </c>
      <c r="D233" s="20" t="n">
        <v>506</v>
      </c>
      <c r="F233" s="20" t="n">
        <v>1435</v>
      </c>
      <c r="H233" s="20" t="n">
        <v>883</v>
      </c>
      <c r="J233" s="20" t="n">
        <v>1845</v>
      </c>
      <c r="L233" s="20" t="n">
        <v>999</v>
      </c>
      <c r="N233" s="20" t="n">
        <v>2297</v>
      </c>
      <c r="O233" s="20" t="n">
        <v>104.05</v>
      </c>
      <c r="P233" s="20" t="n">
        <v>127.822</v>
      </c>
      <c r="Q233" s="20" t="n">
        <v>199.546</v>
      </c>
      <c r="R233" s="20" t="n">
        <v>327.977</v>
      </c>
      <c r="S233" s="20" t="n">
        <v>443.097</v>
      </c>
      <c r="T233" s="20" t="n">
        <v>564</v>
      </c>
      <c r="U233" s="20" t="n">
        <v>692</v>
      </c>
      <c r="V233" s="20" t="n">
        <v>1435</v>
      </c>
      <c r="W233" s="20" t="n">
        <v>1845</v>
      </c>
      <c r="X233" s="20" t="n">
        <v>2297</v>
      </c>
    </row>
    <row r="234">
      <c r="A234" s="18" t="inlineStr">
        <is>
          <t>손상차손</t>
        </is>
      </c>
      <c r="D234" s="20" t="n">
        <v>0</v>
      </c>
      <c r="F234" s="20" t="n">
        <v>605</v>
      </c>
      <c r="H234" s="20" t="n">
        <v>573</v>
      </c>
      <c r="J234" s="20" t="n">
        <v>977</v>
      </c>
      <c r="L234" s="20" t="n">
        <v>501</v>
      </c>
      <c r="N234" s="20" t="n">
        <v>556</v>
      </c>
      <c r="R234" s="20" t="n">
        <v>0</v>
      </c>
      <c r="S234" s="20" t="n">
        <v>210.946</v>
      </c>
      <c r="T234" s="20" t="n">
        <v>0</v>
      </c>
      <c r="V234" s="20" t="n">
        <v>605</v>
      </c>
      <c r="W234" s="20" t="n">
        <v>977</v>
      </c>
      <c r="X234" s="20" t="n">
        <v>556</v>
      </c>
    </row>
    <row r="235">
      <c r="A235" s="18" t="inlineStr">
        <is>
          <t>영업권 상각</t>
        </is>
      </c>
      <c r="D235" s="20" t="n">
        <v>699</v>
      </c>
      <c r="F235" s="20" t="n">
        <v>1451</v>
      </c>
      <c r="H235" s="20" t="n">
        <v>710</v>
      </c>
      <c r="J235" s="20" t="n">
        <v>1394</v>
      </c>
      <c r="L235" s="20" t="n">
        <v>683</v>
      </c>
      <c r="N235" s="20" t="n">
        <v>1861</v>
      </c>
      <c r="O235" s="20" t="n">
        <v>68.226</v>
      </c>
      <c r="P235" s="20" t="n">
        <v>83.74299999999999</v>
      </c>
      <c r="Q235" s="20" t="n">
        <v>125.678</v>
      </c>
      <c r="R235" s="20" t="n">
        <v>264.742</v>
      </c>
      <c r="S235" s="20" t="n">
        <v>760.8579999999999</v>
      </c>
      <c r="T235" s="20" t="n">
        <v>892</v>
      </c>
      <c r="U235" s="20" t="n">
        <v>1028</v>
      </c>
      <c r="V235" s="20" t="n">
        <v>1451</v>
      </c>
      <c r="W235" s="20" t="n">
        <v>1394</v>
      </c>
      <c r="X235" s="20" t="n">
        <v>1861</v>
      </c>
    </row>
    <row r="236">
      <c r="A236" s="18" t="inlineStr">
        <is>
          <t>대손충당금 증감</t>
        </is>
      </c>
      <c r="D236" s="20" t="n">
        <v>12</v>
      </c>
      <c r="F236" s="20" t="n">
        <v>10</v>
      </c>
      <c r="H236" s="20" t="n">
        <v>-12</v>
      </c>
      <c r="J236" s="20" t="n">
        <v>72</v>
      </c>
      <c r="L236" s="20" t="n">
        <v>-40</v>
      </c>
      <c r="N236" s="20" t="n">
        <v>-56</v>
      </c>
      <c r="O236" s="20" t="n">
        <v>0.04</v>
      </c>
      <c r="P236" s="20" t="n">
        <v>3.541</v>
      </c>
      <c r="Q236" s="20" t="n">
        <v>4.315</v>
      </c>
      <c r="R236" s="20" t="n">
        <v>3.228</v>
      </c>
      <c r="S236" s="20" t="n">
        <v>6.291</v>
      </c>
      <c r="T236" s="20" t="n">
        <v>22</v>
      </c>
      <c r="U236" s="20" t="n">
        <v>13</v>
      </c>
      <c r="V236" s="20" t="n">
        <v>10</v>
      </c>
      <c r="W236" s="20" t="n">
        <v>72</v>
      </c>
      <c r="X236" s="20" t="n">
        <v>-56</v>
      </c>
    </row>
    <row r="237">
      <c r="A237" s="18" t="inlineStr">
        <is>
          <t>상여충당금 증감</t>
        </is>
      </c>
      <c r="D237" s="20" t="n">
        <v>0</v>
      </c>
      <c r="F237" s="20" t="n">
        <v>-75</v>
      </c>
      <c r="H237" s="20" t="n">
        <v>78</v>
      </c>
      <c r="J237" s="20" t="n">
        <v>-16</v>
      </c>
      <c r="L237" s="20" t="n">
        <v>110</v>
      </c>
      <c r="N237" s="20" t="n">
        <v>-44</v>
      </c>
      <c r="O237" s="20" t="n">
        <v>-5.064</v>
      </c>
      <c r="P237" s="20" t="n">
        <v>-2.171</v>
      </c>
      <c r="Q237" s="20" t="n">
        <v>13.601</v>
      </c>
      <c r="R237" s="20" t="n">
        <v>16.942</v>
      </c>
      <c r="S237" s="20" t="n">
        <v>47.328</v>
      </c>
      <c r="T237" s="20" t="n">
        <v>-65</v>
      </c>
      <c r="U237" s="20" t="n">
        <v>-3</v>
      </c>
      <c r="V237" s="20" t="n">
        <v>-75</v>
      </c>
      <c r="W237" s="20" t="n">
        <v>-16</v>
      </c>
      <c r="X237" s="20" t="n">
        <v>-44</v>
      </c>
    </row>
    <row r="238">
      <c r="A238" s="18" t="inlineStr">
        <is>
          <t>수주손실 충당금 증감</t>
        </is>
      </c>
      <c r="D238" s="20" t="n">
        <v>11</v>
      </c>
      <c r="F238" s="20" t="n">
        <v>0</v>
      </c>
      <c r="H238" s="20" t="n">
        <v>0</v>
      </c>
      <c r="S238" s="20" t="n">
        <v>0</v>
      </c>
      <c r="T238" s="20" t="n">
        <v>34</v>
      </c>
      <c r="U238" s="20" t="n">
        <v>-34</v>
      </c>
      <c r="V238" s="20" t="n">
        <v>0</v>
      </c>
    </row>
    <row r="239">
      <c r="A239" s="18" t="inlineStr">
        <is>
          <t>이자·배당금 수익</t>
        </is>
      </c>
      <c r="D239" s="20" t="n">
        <v>-66</v>
      </c>
      <c r="F239" s="20" t="n">
        <v>-69</v>
      </c>
      <c r="H239" s="20" t="n">
        <v>-8</v>
      </c>
      <c r="J239" s="20" t="n">
        <v>-25</v>
      </c>
      <c r="L239" s="20" t="n">
        <v>-19</v>
      </c>
      <c r="N239" s="20" t="n">
        <v>-78</v>
      </c>
      <c r="O239" s="20" t="n">
        <v>-1.105</v>
      </c>
      <c r="P239" s="20" t="n">
        <v>-0.571</v>
      </c>
      <c r="Q239" s="20" t="n">
        <v>-0.625</v>
      </c>
      <c r="R239" s="20" t="n">
        <v>-93.456</v>
      </c>
      <c r="S239" s="20" t="n">
        <v>-90.589</v>
      </c>
      <c r="T239" s="20" t="n">
        <v>-106</v>
      </c>
      <c r="U239" s="20" t="n">
        <v>-114</v>
      </c>
      <c r="V239" s="20" t="n">
        <v>-69</v>
      </c>
      <c r="W239" s="20" t="n">
        <v>-25</v>
      </c>
      <c r="X239" s="20" t="n">
        <v>-78</v>
      </c>
    </row>
    <row r="240">
      <c r="A240" s="18" t="inlineStr">
        <is>
          <t>이자비용</t>
        </is>
      </c>
      <c r="D240" s="20" t="n">
        <v>16</v>
      </c>
      <c r="F240" s="20" t="n">
        <v>57</v>
      </c>
      <c r="H240" s="20" t="n">
        <v>40</v>
      </c>
      <c r="J240" s="20" t="n">
        <v>117</v>
      </c>
      <c r="L240" s="20" t="n">
        <v>97</v>
      </c>
      <c r="N240" s="20" t="n">
        <v>361</v>
      </c>
      <c r="O240" s="20" t="n">
        <v>6.253</v>
      </c>
      <c r="P240" s="20" t="n">
        <v>6.984</v>
      </c>
      <c r="Q240" s="20" t="n">
        <v>7.346</v>
      </c>
      <c r="R240" s="20" t="n">
        <v>10.299</v>
      </c>
      <c r="S240" s="20" t="n">
        <v>14.428</v>
      </c>
      <c r="T240" s="20" t="n">
        <v>14</v>
      </c>
      <c r="U240" s="20" t="n">
        <v>19</v>
      </c>
      <c r="V240" s="20" t="n">
        <v>57</v>
      </c>
      <c r="W240" s="20" t="n">
        <v>117</v>
      </c>
      <c r="X240" s="20" t="n">
        <v>361</v>
      </c>
    </row>
    <row r="241">
      <c r="A241" s="18" t="inlineStr">
        <is>
          <t>고정자산 매각손실</t>
        </is>
      </c>
      <c r="R241" s="20" t="n">
        <v>0</v>
      </c>
      <c r="S241" s="20" t="n">
        <v>11.3</v>
      </c>
    </row>
    <row r="242">
      <c r="A242" s="18" t="inlineStr">
        <is>
          <t>고정자산 매각손실</t>
        </is>
      </c>
      <c r="S242" s="20" t="n">
        <v>11.3</v>
      </c>
      <c r="T242" s="20" t="n">
        <v>0</v>
      </c>
    </row>
    <row r="243">
      <c r="A243" s="18" t="inlineStr">
        <is>
          <t>보조금 수입</t>
        </is>
      </c>
      <c r="D243" s="20" t="n">
        <v>-50</v>
      </c>
      <c r="F243" s="20" t="n">
        <v>-101</v>
      </c>
      <c r="H243" s="20" t="n">
        <v>-53</v>
      </c>
      <c r="J243" s="20" t="n">
        <v>-138</v>
      </c>
      <c r="L243" s="20" t="n">
        <v>-86</v>
      </c>
      <c r="N243" s="20" t="n">
        <v>-143</v>
      </c>
      <c r="R243" s="20" t="n">
        <v>-90.75</v>
      </c>
      <c r="S243" s="20" t="n">
        <v>-710.197</v>
      </c>
      <c r="T243" s="20" t="n">
        <v>-577</v>
      </c>
      <c r="U243" s="20" t="n">
        <v>-326</v>
      </c>
      <c r="V243" s="20" t="n">
        <v>-101</v>
      </c>
      <c r="W243" s="20" t="n">
        <v>-138</v>
      </c>
      <c r="X243" s="20" t="n">
        <v>-143</v>
      </c>
    </row>
    <row r="244">
      <c r="A244" s="18" t="inlineStr">
        <is>
          <t>외환차손익</t>
        </is>
      </c>
      <c r="D244" s="20" t="n">
        <v>-1</v>
      </c>
      <c r="F244" s="20" t="n">
        <v>0</v>
      </c>
      <c r="H244" s="20" t="n">
        <v>0</v>
      </c>
      <c r="J244" s="20" t="n">
        <v>-2</v>
      </c>
      <c r="L244" s="20" t="n">
        <v>-19</v>
      </c>
      <c r="N244" s="20" t="n">
        <v>-14</v>
      </c>
      <c r="O244" s="20" t="n">
        <v>-10.462</v>
      </c>
      <c r="P244" s="20" t="n">
        <v>-4.957</v>
      </c>
      <c r="Q244" s="20" t="n">
        <v>7.948</v>
      </c>
      <c r="R244" s="20" t="n">
        <v>2.321</v>
      </c>
      <c r="S244" s="20" t="n">
        <v>-4.84</v>
      </c>
      <c r="T244" s="20" t="n">
        <v>-16</v>
      </c>
      <c r="U244" s="20" t="n">
        <v>-8</v>
      </c>
      <c r="V244" s="20" t="n">
        <v>0</v>
      </c>
      <c r="W244" s="20" t="n">
        <v>-2</v>
      </c>
      <c r="X244" s="20" t="n">
        <v>-14</v>
      </c>
    </row>
    <row r="245">
      <c r="A245" s="18" t="inlineStr">
        <is>
          <t>자회사 주식 매각손익</t>
        </is>
      </c>
      <c r="S245" s="20" t="n">
        <v>0</v>
      </c>
      <c r="T245" s="20" t="n">
        <v>-44</v>
      </c>
      <c r="U245" s="20" t="n">
        <v>0</v>
      </c>
    </row>
    <row r="246">
      <c r="A246" s="18" t="inlineStr">
        <is>
          <t>지분법손익</t>
        </is>
      </c>
      <c r="F246" s="20" t="n">
        <v>0</v>
      </c>
      <c r="H246" s="20" t="n">
        <v>0</v>
      </c>
      <c r="J246" s="20" t="n">
        <v>75</v>
      </c>
      <c r="L246" s="20" t="n">
        <v>122</v>
      </c>
      <c r="N246" s="20" t="n">
        <v>3861</v>
      </c>
      <c r="P246" s="20" t="n">
        <v>0</v>
      </c>
      <c r="Q246" s="20" t="n">
        <v>7.035</v>
      </c>
      <c r="R246" s="20" t="n">
        <v>0</v>
      </c>
      <c r="V246" s="20" t="n">
        <v>0</v>
      </c>
      <c r="W246" s="20" t="n">
        <v>75</v>
      </c>
      <c r="X246" s="20" t="n">
        <v>3861</v>
      </c>
    </row>
    <row r="247">
      <c r="A247" s="18" t="inlineStr">
        <is>
          <t>관계회사 주식 매각손익</t>
        </is>
      </c>
      <c r="P247" s="20" t="n">
        <v>0</v>
      </c>
      <c r="Q247" s="20" t="n">
        <v>-3.951</v>
      </c>
      <c r="R247" s="20" t="n">
        <v>0</v>
      </c>
    </row>
    <row r="248">
      <c r="A248" s="18" t="inlineStr">
        <is>
          <t>투자유가증권 평가손익</t>
        </is>
      </c>
      <c r="D248" s="20" t="n">
        <v>0</v>
      </c>
      <c r="F248" s="20" t="n">
        <v>1437</v>
      </c>
      <c r="H248" s="20" t="n">
        <v>163</v>
      </c>
      <c r="J248" s="20" t="n">
        <v>590</v>
      </c>
      <c r="L248" s="20" t="n">
        <v>0</v>
      </c>
      <c r="N248" s="20" t="n">
        <v>302</v>
      </c>
      <c r="O248" s="20" t="n">
        <v>0</v>
      </c>
      <c r="P248" s="20" t="n">
        <v>403.613</v>
      </c>
      <c r="Q248" s="20" t="n">
        <v>0</v>
      </c>
      <c r="S248" s="20" t="n">
        <v>0</v>
      </c>
      <c r="T248" s="20" t="n">
        <v>136</v>
      </c>
      <c r="U248" s="20" t="n">
        <v>1701</v>
      </c>
      <c r="V248" s="20" t="n">
        <v>1437</v>
      </c>
      <c r="W248" s="20" t="n">
        <v>590</v>
      </c>
      <c r="X248" s="20" t="n">
        <v>302</v>
      </c>
    </row>
    <row r="249">
      <c r="A249" s="18" t="inlineStr">
        <is>
          <t>투자유가증권 매각손익</t>
        </is>
      </c>
      <c r="D249" s="20" t="n">
        <v>0</v>
      </c>
      <c r="F249" s="20" t="n">
        <v>-333</v>
      </c>
      <c r="H249" s="20" t="n">
        <v>-54</v>
      </c>
      <c r="J249" s="20" t="n">
        <v>-54</v>
      </c>
      <c r="L249" s="20" t="n">
        <v>0</v>
      </c>
      <c r="N249" s="20" t="n">
        <v>-412</v>
      </c>
      <c r="P249" s="20" t="n">
        <v>0</v>
      </c>
      <c r="Q249" s="20" t="n">
        <v>-0.302</v>
      </c>
      <c r="R249" s="20" t="n">
        <v>0</v>
      </c>
      <c r="T249" s="20" t="n">
        <v>0</v>
      </c>
      <c r="U249" s="20" t="n">
        <v>146</v>
      </c>
      <c r="V249" s="20" t="n">
        <v>-333</v>
      </c>
      <c r="W249" s="20" t="n">
        <v>-54</v>
      </c>
      <c r="X249" s="20" t="n">
        <v>-412</v>
      </c>
    </row>
    <row r="250">
      <c r="A250" s="18" t="inlineStr">
        <is>
          <t>단계적 취득 차손익</t>
        </is>
      </c>
      <c r="P250" s="20" t="n">
        <v>0</v>
      </c>
      <c r="Q250" s="20" t="n">
        <v>-8.57</v>
      </c>
      <c r="R250" s="20" t="n">
        <v>0</v>
      </c>
    </row>
    <row r="251">
      <c r="A251" s="18" t="inlineStr">
        <is>
          <t>출자금 운용손익</t>
        </is>
      </c>
      <c r="D251" s="20" t="n">
        <v>0</v>
      </c>
      <c r="F251" s="20" t="n">
        <v>0</v>
      </c>
      <c r="H251" s="20" t="n">
        <v>227</v>
      </c>
      <c r="J251" s="20" t="n">
        <v>390</v>
      </c>
      <c r="L251" s="20" t="n">
        <v>241</v>
      </c>
      <c r="N251" s="20" t="n">
        <v>239</v>
      </c>
      <c r="V251" s="20" t="n">
        <v>0</v>
      </c>
      <c r="W251" s="20" t="n">
        <v>390</v>
      </c>
      <c r="X251" s="20" t="n">
        <v>239</v>
      </c>
    </row>
    <row r="252">
      <c r="A252" s="18" t="inlineStr">
        <is>
          <t>보험 해약환급금</t>
        </is>
      </c>
      <c r="F252" s="20" t="n">
        <v>-34</v>
      </c>
      <c r="J252" s="20" t="n">
        <v>0</v>
      </c>
      <c r="U252" s="20" t="n">
        <v>0</v>
      </c>
      <c r="V252" s="20" t="n">
        <v>-34</v>
      </c>
      <c r="W252" s="20" t="n">
        <v>0</v>
      </c>
    </row>
    <row r="253">
      <c r="A253" s="18" t="inlineStr">
        <is>
          <t>퇴직급여제도 종료손실</t>
        </is>
      </c>
      <c r="F253" s="20" t="n">
        <v>10</v>
      </c>
      <c r="J253" s="20" t="n">
        <v>0</v>
      </c>
      <c r="V253" s="20" t="n">
        <v>10</v>
      </c>
      <c r="W253" s="20" t="n">
        <v>0</v>
      </c>
    </row>
    <row r="254">
      <c r="A254" s="18" t="inlineStr">
        <is>
          <t>매출채권 증감</t>
        </is>
      </c>
      <c r="D254" s="20" t="n">
        <v>-965</v>
      </c>
      <c r="F254" s="20" t="n">
        <v>-2021</v>
      </c>
      <c r="H254" s="20" t="n">
        <v>-327</v>
      </c>
      <c r="J254" s="20" t="n">
        <v>-1281</v>
      </c>
      <c r="L254" s="20" t="n">
        <v>-1797</v>
      </c>
      <c r="N254" s="20" t="n">
        <v>-1222</v>
      </c>
      <c r="O254" s="20" t="n">
        <v>-73.538</v>
      </c>
      <c r="P254" s="20" t="n">
        <v>-552.928</v>
      </c>
      <c r="Q254" s="20" t="n">
        <v>-866.029</v>
      </c>
      <c r="R254" s="20" t="n">
        <v>-634.5890000000001</v>
      </c>
      <c r="S254" s="20" t="n">
        <v>-1384.743</v>
      </c>
      <c r="T254" s="20" t="n">
        <v>-1999</v>
      </c>
      <c r="U254" s="20" t="n">
        <v>-2459</v>
      </c>
      <c r="V254" s="20" t="n">
        <v>-2021</v>
      </c>
      <c r="W254" s="20" t="n">
        <v>-1281</v>
      </c>
      <c r="X254" s="20" t="n">
        <v>-1222</v>
      </c>
    </row>
    <row r="255">
      <c r="A255" s="18" t="inlineStr">
        <is>
          <t>재고자산 증감</t>
        </is>
      </c>
      <c r="D255" s="20" t="n">
        <v>-360</v>
      </c>
      <c r="F255" s="20" t="n">
        <v>-201</v>
      </c>
      <c r="H255" s="20" t="n">
        <v>-642</v>
      </c>
      <c r="J255" s="20" t="n">
        <v>-557</v>
      </c>
      <c r="L255" s="20" t="n">
        <v>-1044</v>
      </c>
      <c r="N255" s="20" t="n">
        <v>224</v>
      </c>
      <c r="O255" s="20" t="n">
        <v>22.907</v>
      </c>
      <c r="P255" s="20" t="n">
        <v>-16.772</v>
      </c>
      <c r="Q255" s="20" t="n">
        <v>-19.044</v>
      </c>
      <c r="R255" s="20" t="n">
        <v>-96.43000000000001</v>
      </c>
      <c r="S255" s="20" t="n">
        <v>-184.78</v>
      </c>
      <c r="T255" s="20" t="n">
        <v>-237</v>
      </c>
      <c r="U255" s="20" t="n">
        <v>83</v>
      </c>
      <c r="V255" s="20" t="n">
        <v>-201</v>
      </c>
      <c r="W255" s="20" t="n">
        <v>-557</v>
      </c>
      <c r="X255" s="20" t="n">
        <v>224</v>
      </c>
    </row>
    <row r="256">
      <c r="A256" s="18" t="inlineStr">
        <is>
          <t>선급비용 증감</t>
        </is>
      </c>
      <c r="D256" s="20" t="n">
        <v>-270</v>
      </c>
      <c r="F256" s="20" t="n">
        <v>-137</v>
      </c>
      <c r="H256" s="20" t="n">
        <v>-384</v>
      </c>
      <c r="J256" s="20" t="n">
        <v>-777</v>
      </c>
      <c r="L256" s="20" t="n">
        <v>-94</v>
      </c>
      <c r="N256" s="20" t="n">
        <v>105</v>
      </c>
      <c r="O256" s="20" t="n">
        <v>-6.304</v>
      </c>
      <c r="P256" s="20" t="n">
        <v>-39.449</v>
      </c>
      <c r="Q256" s="20" t="n">
        <v>-62.286</v>
      </c>
      <c r="R256" s="20" t="n">
        <v>-17.461</v>
      </c>
      <c r="S256" s="20" t="n">
        <v>-64.94199999999999</v>
      </c>
      <c r="T256" s="20" t="n">
        <v>-187</v>
      </c>
      <c r="U256" s="20" t="n">
        <v>-339</v>
      </c>
      <c r="V256" s="20" t="n">
        <v>-137</v>
      </c>
      <c r="W256" s="20" t="n">
        <v>-777</v>
      </c>
      <c r="X256" s="20" t="n">
        <v>105</v>
      </c>
    </row>
    <row r="257">
      <c r="A257" s="18" t="inlineStr">
        <is>
          <t>매입채무 증감</t>
        </is>
      </c>
      <c r="D257" s="20" t="n">
        <v>-124</v>
      </c>
      <c r="F257" s="20" t="n">
        <v>-284</v>
      </c>
      <c r="H257" s="20" t="n">
        <v>44</v>
      </c>
      <c r="J257" s="20" t="n">
        <v>453</v>
      </c>
      <c r="L257" s="20" t="n">
        <v>-89</v>
      </c>
      <c r="N257" s="20" t="n">
        <v>-25</v>
      </c>
      <c r="O257" s="20" t="n">
        <v>-32.665</v>
      </c>
      <c r="P257" s="20" t="n">
        <v>62.492</v>
      </c>
      <c r="Q257" s="20" t="n">
        <v>24.522</v>
      </c>
      <c r="R257" s="20" t="n">
        <v>-125.578</v>
      </c>
      <c r="S257" s="20" t="n">
        <v>522.826</v>
      </c>
      <c r="T257" s="20" t="n">
        <v>275</v>
      </c>
      <c r="U257" s="20" t="n">
        <v>-173</v>
      </c>
      <c r="V257" s="20" t="n">
        <v>-284</v>
      </c>
      <c r="W257" s="20" t="n">
        <v>453</v>
      </c>
      <c r="X257" s="20" t="n">
        <v>-25</v>
      </c>
    </row>
    <row r="258">
      <c r="A258" s="18" t="inlineStr">
        <is>
          <t>미지급 소비세 증감</t>
        </is>
      </c>
      <c r="D258" s="20" t="n">
        <v>-1210</v>
      </c>
      <c r="F258" s="20" t="n">
        <v>-226</v>
      </c>
      <c r="H258" s="20" t="n">
        <v>-61</v>
      </c>
      <c r="J258" s="20" t="n">
        <v>1083</v>
      </c>
      <c r="L258" s="20" t="n">
        <v>-1110</v>
      </c>
      <c r="N258" s="20" t="n">
        <v>-353</v>
      </c>
      <c r="S258" s="20" t="n">
        <v>160.898</v>
      </c>
      <c r="T258" s="20" t="n">
        <v>678</v>
      </c>
      <c r="U258" s="20" t="n">
        <v>851</v>
      </c>
      <c r="V258" s="20" t="n">
        <v>-226</v>
      </c>
      <c r="W258" s="20" t="n">
        <v>1083</v>
      </c>
      <c r="X258" s="20" t="n">
        <v>-353</v>
      </c>
    </row>
    <row r="259">
      <c r="A259" s="18" t="inlineStr">
        <is>
          <t>미지급금·미지급비용 증감</t>
        </is>
      </c>
      <c r="D259" s="20" t="n">
        <v>65</v>
      </c>
      <c r="F259" s="20" t="n">
        <v>2424</v>
      </c>
      <c r="H259" s="20" t="n">
        <v>-1948</v>
      </c>
      <c r="J259" s="20" t="n">
        <v>1196</v>
      </c>
      <c r="L259" s="20" t="n">
        <v>108</v>
      </c>
      <c r="N259" s="20" t="n">
        <v>-1425</v>
      </c>
      <c r="O259" s="20" t="n">
        <v>51.968</v>
      </c>
      <c r="P259" s="20" t="n">
        <v>361.83</v>
      </c>
      <c r="Q259" s="20" t="n">
        <v>439.491</v>
      </c>
      <c r="R259" s="20" t="n">
        <v>39.625</v>
      </c>
      <c r="S259" s="20" t="n">
        <v>542.444</v>
      </c>
      <c r="T259" s="20" t="n">
        <v>1604</v>
      </c>
      <c r="U259" s="20" t="n">
        <v>1164</v>
      </c>
      <c r="V259" s="20" t="n">
        <v>2424</v>
      </c>
      <c r="W259" s="20" t="n">
        <v>1196</v>
      </c>
      <c r="X259" s="20" t="n">
        <v>-1425</v>
      </c>
    </row>
    <row r="260">
      <c r="A260" s="18" t="inlineStr">
        <is>
          <t>예수금 증감</t>
        </is>
      </c>
      <c r="H260" s="20" t="n">
        <v>-346</v>
      </c>
      <c r="L260" s="20" t="n">
        <v>-364</v>
      </c>
    </row>
    <row r="261">
      <c r="A261" s="18" t="inlineStr">
        <is>
          <t>기타</t>
        </is>
      </c>
      <c r="D261" s="20" t="n">
        <v>264</v>
      </c>
      <c r="F261" s="20" t="n">
        <v>854</v>
      </c>
      <c r="H261" s="20" t="n">
        <v>77</v>
      </c>
      <c r="J261" s="20" t="n">
        <v>665</v>
      </c>
      <c r="L261" s="20" t="n">
        <v>-102</v>
      </c>
      <c r="N261" s="20" t="n">
        <v>788</v>
      </c>
      <c r="O261" s="20" t="n">
        <v>60.267</v>
      </c>
      <c r="P261" s="20" t="n">
        <v>212</v>
      </c>
      <c r="Q261" s="20" t="n">
        <v>408.432</v>
      </c>
      <c r="R261" s="20" t="n">
        <v>767.596</v>
      </c>
      <c r="S261" s="20" t="n">
        <v>359.455</v>
      </c>
      <c r="T261" s="20" t="n">
        <v>441</v>
      </c>
      <c r="U261" s="20" t="n">
        <v>220</v>
      </c>
      <c r="V261" s="20" t="n">
        <v>854</v>
      </c>
      <c r="W261" s="20" t="n">
        <v>665</v>
      </c>
      <c r="X261" s="20" t="n">
        <v>788</v>
      </c>
    </row>
    <row r="262">
      <c r="A262" s="18" t="inlineStr">
        <is>
          <t>소계</t>
        </is>
      </c>
      <c r="D262" s="20" t="n">
        <v>3357</v>
      </c>
      <c r="F262" s="20" t="n">
        <v>13833</v>
      </c>
      <c r="H262" s="20" t="n">
        <v>6146</v>
      </c>
      <c r="J262" s="20" t="n">
        <v>19683</v>
      </c>
      <c r="L262" s="20" t="n">
        <v>4212</v>
      </c>
      <c r="N262" s="20" t="n">
        <v>19715</v>
      </c>
      <c r="O262" s="20" t="n">
        <v>625.74</v>
      </c>
      <c r="P262" s="20" t="n">
        <v>1480.074</v>
      </c>
      <c r="Q262" s="20" t="n">
        <v>1834.799</v>
      </c>
      <c r="R262" s="20" t="n">
        <v>2909.596</v>
      </c>
      <c r="S262" s="20" t="n">
        <v>5165.536</v>
      </c>
      <c r="T262" s="20" t="n">
        <v>8890</v>
      </c>
      <c r="U262" s="20" t="n">
        <v>12613</v>
      </c>
      <c r="V262" s="20" t="n">
        <v>13833</v>
      </c>
      <c r="W262" s="20" t="n">
        <v>19683</v>
      </c>
      <c r="X262" s="20" t="n">
        <v>19715</v>
      </c>
    </row>
    <row r="263">
      <c r="A263" s="18" t="inlineStr">
        <is>
          <t>이자·배당금 수취</t>
        </is>
      </c>
      <c r="D263" s="20" t="n">
        <v>66</v>
      </c>
      <c r="F263" s="20" t="n">
        <v>70</v>
      </c>
      <c r="H263" s="20" t="n">
        <v>7</v>
      </c>
      <c r="J263" s="20" t="n">
        <v>27</v>
      </c>
      <c r="L263" s="20" t="n">
        <v>21</v>
      </c>
      <c r="N263" s="20" t="n">
        <v>246</v>
      </c>
      <c r="O263" s="20" t="n">
        <v>1.105</v>
      </c>
      <c r="P263" s="20" t="n">
        <v>0.571</v>
      </c>
      <c r="Q263" s="20" t="n">
        <v>0.625</v>
      </c>
      <c r="R263" s="20" t="n">
        <v>93.456</v>
      </c>
      <c r="S263" s="20" t="n">
        <v>90.589</v>
      </c>
      <c r="T263" s="20" t="n">
        <v>106</v>
      </c>
      <c r="U263" s="20" t="n">
        <v>114</v>
      </c>
      <c r="V263" s="20" t="n">
        <v>70</v>
      </c>
      <c r="W263" s="20" t="n">
        <v>27</v>
      </c>
      <c r="X263" s="20" t="n">
        <v>246</v>
      </c>
    </row>
    <row r="264">
      <c r="A264" s="18" t="inlineStr">
        <is>
          <t>이자 지급</t>
        </is>
      </c>
      <c r="D264" s="20" t="n">
        <v>-21</v>
      </c>
      <c r="F264" s="20" t="n">
        <v>-59</v>
      </c>
      <c r="H264" s="20" t="n">
        <v>-40</v>
      </c>
      <c r="J264" s="20" t="n">
        <v>-110</v>
      </c>
      <c r="L264" s="20" t="n">
        <v>-114</v>
      </c>
      <c r="N264" s="20" t="n">
        <v>-356</v>
      </c>
      <c r="O264" s="20" t="n">
        <v>-6.253</v>
      </c>
      <c r="P264" s="20" t="n">
        <v>-6.984</v>
      </c>
      <c r="Q264" s="20" t="n">
        <v>-7.346</v>
      </c>
      <c r="R264" s="20" t="n">
        <v>-10.299</v>
      </c>
      <c r="S264" s="20" t="n">
        <v>-14.428</v>
      </c>
      <c r="T264" s="20" t="n">
        <v>-14</v>
      </c>
      <c r="U264" s="20" t="n">
        <v>-16</v>
      </c>
      <c r="V264" s="20" t="n">
        <v>-59</v>
      </c>
      <c r="W264" s="20" t="n">
        <v>-110</v>
      </c>
      <c r="X264" s="20" t="n">
        <v>-356</v>
      </c>
    </row>
    <row r="265">
      <c r="A265" s="18" t="inlineStr">
        <is>
          <t>보조금 수취</t>
        </is>
      </c>
      <c r="D265" s="20" t="n">
        <v>50</v>
      </c>
      <c r="F265" s="20" t="n">
        <v>101</v>
      </c>
      <c r="H265" s="20" t="n">
        <v>53</v>
      </c>
      <c r="J265" s="20" t="n">
        <v>135</v>
      </c>
      <c r="L265" s="20" t="n">
        <v>88</v>
      </c>
      <c r="N265" s="20" t="n">
        <v>145</v>
      </c>
      <c r="R265" s="20" t="n">
        <v>90.75</v>
      </c>
      <c r="S265" s="20" t="n">
        <v>710.197</v>
      </c>
      <c r="T265" s="20" t="n">
        <v>577</v>
      </c>
      <c r="U265" s="20" t="n">
        <v>326</v>
      </c>
      <c r="V265" s="20" t="n">
        <v>101</v>
      </c>
      <c r="W265" s="20" t="n">
        <v>135</v>
      </c>
      <c r="X265" s="20" t="n">
        <v>145</v>
      </c>
    </row>
    <row r="266">
      <c r="A266" s="18" t="inlineStr">
        <is>
          <t>법인세 납부</t>
        </is>
      </c>
      <c r="D266" s="20" t="n">
        <v>-2907</v>
      </c>
      <c r="F266" s="20" t="n">
        <v>-4891</v>
      </c>
      <c r="H266" s="20" t="n">
        <v>-2124</v>
      </c>
      <c r="J266" s="20" t="n">
        <v>-4083</v>
      </c>
      <c r="L266" s="20" t="n">
        <v>-3077</v>
      </c>
      <c r="N266" s="20" t="n">
        <v>-6027</v>
      </c>
      <c r="O266" s="20" t="n">
        <v>-226.351</v>
      </c>
      <c r="P266" s="20" t="n">
        <v>-226.148</v>
      </c>
      <c r="Q266" s="20" t="n">
        <v>-694.204</v>
      </c>
      <c r="R266" s="20" t="n">
        <v>-832.943</v>
      </c>
      <c r="S266" s="20" t="n">
        <v>-1193.89</v>
      </c>
      <c r="T266" s="20" t="n">
        <v>-2167</v>
      </c>
      <c r="U266" s="20" t="n">
        <v>-2789</v>
      </c>
      <c r="V266" s="20" t="n">
        <v>-4891</v>
      </c>
      <c r="W266" s="20" t="n">
        <v>-4083</v>
      </c>
      <c r="X266" s="20" t="n">
        <v>-6027</v>
      </c>
    </row>
    <row r="267">
      <c r="A267" s="18" t="inlineStr">
        <is>
          <t>보험 해약환급금 수취</t>
        </is>
      </c>
      <c r="F267" s="20" t="n">
        <v>34</v>
      </c>
      <c r="J267" s="20" t="n">
        <v>0</v>
      </c>
      <c r="U267" s="20" t="n">
        <v>0</v>
      </c>
      <c r="V267" s="20" t="n">
        <v>34</v>
      </c>
      <c r="W267" s="20" t="n">
        <v>0</v>
      </c>
    </row>
    <row r="268">
      <c r="A268" s="9" t="inlineStr">
        <is>
          <t>영업활동 현금흐름</t>
        </is>
      </c>
      <c r="D268" s="12" t="n">
        <v>546</v>
      </c>
      <c r="F268" s="12" t="n">
        <v>9088</v>
      </c>
      <c r="H268" s="12" t="n">
        <v>4043</v>
      </c>
      <c r="J268" s="12" t="n">
        <v>15652</v>
      </c>
      <c r="L268" s="12" t="n">
        <v>1129</v>
      </c>
      <c r="N268" s="12" t="n">
        <v>13723</v>
      </c>
      <c r="O268" s="12" t="n">
        <v>394.241</v>
      </c>
      <c r="P268" s="12" t="n">
        <v>1247.514</v>
      </c>
      <c r="Q268" s="12" t="n">
        <v>1133.873</v>
      </c>
      <c r="R268" s="12" t="n">
        <v>2250.56</v>
      </c>
      <c r="S268" s="12" t="n">
        <v>4758.005</v>
      </c>
      <c r="T268" s="12" t="n">
        <v>7392</v>
      </c>
      <c r="U268" s="12" t="n">
        <v>10248</v>
      </c>
      <c r="V268" s="12" t="n">
        <v>9088</v>
      </c>
      <c r="W268" s="12" t="n">
        <v>15652</v>
      </c>
      <c r="X268" s="12" t="n">
        <v>13723</v>
      </c>
    </row>
    <row r="269">
      <c r="A269" s="18" t="inlineStr">
        <is>
          <t>장기예금 예입</t>
        </is>
      </c>
      <c r="O269" s="20" t="n">
        <v>-250</v>
      </c>
      <c r="P269" s="20" t="n">
        <v>0</v>
      </c>
    </row>
    <row r="270">
      <c r="A270" s="18" t="inlineStr">
        <is>
          <t>장기예금 인출</t>
        </is>
      </c>
      <c r="O270" s="20" t="n">
        <v>0</v>
      </c>
      <c r="P270" s="20" t="n">
        <v>150</v>
      </c>
      <c r="Q270" s="20" t="n">
        <v>0</v>
      </c>
    </row>
    <row r="271">
      <c r="A271" s="18" t="inlineStr">
        <is>
          <t>정기예금 예입</t>
        </is>
      </c>
      <c r="J271" s="20" t="n">
        <v>-2</v>
      </c>
      <c r="N271" s="20" t="n">
        <v>-109</v>
      </c>
      <c r="W271" s="20" t="n">
        <v>-2</v>
      </c>
      <c r="X271" s="20" t="n">
        <v>-109</v>
      </c>
    </row>
    <row r="272">
      <c r="A272" s="18" t="inlineStr">
        <is>
          <t>정기예금 인출</t>
        </is>
      </c>
      <c r="D272" s="20" t="n">
        <v>160</v>
      </c>
      <c r="F272" s="20" t="n">
        <v>163</v>
      </c>
      <c r="H272" s="20" t="n">
        <v>5</v>
      </c>
      <c r="J272" s="20" t="n">
        <v>20</v>
      </c>
      <c r="L272" s="20" t="n">
        <v>0</v>
      </c>
      <c r="N272" s="20" t="n">
        <v>109</v>
      </c>
      <c r="S272" s="20" t="n">
        <v>0</v>
      </c>
      <c r="T272" s="20" t="n">
        <v>100</v>
      </c>
      <c r="U272" s="20" t="n">
        <v>0</v>
      </c>
      <c r="V272" s="20" t="n">
        <v>163</v>
      </c>
      <c r="W272" s="20" t="n">
        <v>20</v>
      </c>
      <c r="X272" s="20" t="n">
        <v>109</v>
      </c>
    </row>
    <row r="273">
      <c r="A273" s="18" t="inlineStr">
        <is>
          <t>유형자산 취득(설비투자)</t>
        </is>
      </c>
      <c r="D273" s="20" t="n">
        <v>-2340</v>
      </c>
      <c r="F273" s="20" t="n">
        <v>-5652</v>
      </c>
      <c r="H273" s="20" t="n">
        <v>-555</v>
      </c>
      <c r="J273" s="20" t="n">
        <v>-1323</v>
      </c>
      <c r="L273" s="20" t="n">
        <v>-549</v>
      </c>
      <c r="N273" s="20" t="n">
        <v>-1095</v>
      </c>
      <c r="O273" s="20" t="n">
        <v>-84.077</v>
      </c>
      <c r="P273" s="20" t="n">
        <v>-130.908</v>
      </c>
      <c r="Q273" s="20" t="n">
        <v>-213.858</v>
      </c>
      <c r="R273" s="20" t="n">
        <v>-411.593</v>
      </c>
      <c r="S273" s="20" t="n">
        <v>-372.068</v>
      </c>
      <c r="T273" s="20" t="n">
        <v>-651</v>
      </c>
      <c r="U273" s="20" t="n">
        <v>-1145</v>
      </c>
      <c r="V273" s="20" t="n">
        <v>-5652</v>
      </c>
      <c r="W273" s="20" t="n">
        <v>-1323</v>
      </c>
      <c r="X273" s="20" t="n">
        <v>-1095</v>
      </c>
    </row>
    <row r="274">
      <c r="A274" s="18" t="inlineStr">
        <is>
          <t>유형자산 매각</t>
        </is>
      </c>
      <c r="P274" s="20" t="n">
        <v>0</v>
      </c>
      <c r="Q274" s="20" t="n">
        <v>22.552</v>
      </c>
      <c r="R274" s="20" t="n">
        <v>0</v>
      </c>
    </row>
    <row r="275">
      <c r="A275" s="18" t="inlineStr">
        <is>
          <t>무형자산 취득</t>
        </is>
      </c>
      <c r="D275" s="20" t="n">
        <v>-18</v>
      </c>
      <c r="F275" s="20" t="n">
        <v>-59</v>
      </c>
      <c r="H275" s="20" t="n">
        <v>-82</v>
      </c>
      <c r="J275" s="20" t="n">
        <v>-155</v>
      </c>
      <c r="L275" s="20" t="n">
        <v>-165</v>
      </c>
      <c r="N275" s="20" t="n">
        <v>-568</v>
      </c>
      <c r="O275" s="20" t="n">
        <v>-53.448</v>
      </c>
      <c r="P275" s="20" t="n">
        <v>-70.099</v>
      </c>
      <c r="Q275" s="20" t="n">
        <v>-66.038</v>
      </c>
      <c r="R275" s="20" t="n">
        <v>-71.997</v>
      </c>
      <c r="S275" s="20" t="n">
        <v>-63.635</v>
      </c>
      <c r="T275" s="20" t="n">
        <v>-117</v>
      </c>
      <c r="U275" s="20" t="n">
        <v>-111</v>
      </c>
      <c r="V275" s="20" t="n">
        <v>-59</v>
      </c>
      <c r="W275" s="20" t="n">
        <v>-155</v>
      </c>
      <c r="X275" s="20" t="n">
        <v>-568</v>
      </c>
    </row>
    <row r="276">
      <c r="A276" s="18" t="inlineStr">
        <is>
          <t>관계회사 주식 매각</t>
        </is>
      </c>
      <c r="P276" s="20" t="n">
        <v>0</v>
      </c>
      <c r="Q276" s="20" t="n">
        <v>16.351</v>
      </c>
      <c r="R276" s="20" t="n">
        <v>0</v>
      </c>
    </row>
    <row r="277">
      <c r="A277" s="18" t="inlineStr">
        <is>
          <t>투자유가증권 취득</t>
        </is>
      </c>
      <c r="D277" s="20" t="n">
        <v>-299</v>
      </c>
      <c r="F277" s="20" t="n">
        <v>-299</v>
      </c>
      <c r="H277" s="20" t="n">
        <v>0</v>
      </c>
      <c r="J277" s="20" t="n">
        <v>-998</v>
      </c>
      <c r="L277" s="20" t="n">
        <v>-18</v>
      </c>
      <c r="N277" s="20" t="n">
        <v>-17</v>
      </c>
      <c r="O277" s="20" t="n">
        <v>-360.463</v>
      </c>
      <c r="P277" s="20" t="n">
        <v>-60.48</v>
      </c>
      <c r="Q277" s="20" t="n">
        <v>0</v>
      </c>
      <c r="R277" s="20" t="n">
        <v>-2697.869</v>
      </c>
      <c r="S277" s="20" t="n">
        <v>-420.01</v>
      </c>
      <c r="T277" s="20" t="n">
        <v>-4195</v>
      </c>
      <c r="U277" s="20" t="n">
        <v>-10</v>
      </c>
      <c r="V277" s="20" t="n">
        <v>-299</v>
      </c>
      <c r="W277" s="20" t="n">
        <v>-998</v>
      </c>
      <c r="X277" s="20" t="n">
        <v>-17</v>
      </c>
    </row>
    <row r="278">
      <c r="A278" s="18" t="inlineStr">
        <is>
          <t>투자유가증권 매각</t>
        </is>
      </c>
      <c r="D278" s="20" t="n">
        <v>0</v>
      </c>
      <c r="F278" s="20" t="n">
        <v>645</v>
      </c>
      <c r="H278" s="20" t="n">
        <v>54</v>
      </c>
      <c r="J278" s="20" t="n">
        <v>54</v>
      </c>
      <c r="L278" s="20" t="n">
        <v>0</v>
      </c>
      <c r="N278" s="20" t="n">
        <v>544</v>
      </c>
      <c r="P278" s="20" t="n">
        <v>0</v>
      </c>
      <c r="Q278" s="20" t="n">
        <v>0.5</v>
      </c>
      <c r="R278" s="20" t="n">
        <v>0</v>
      </c>
      <c r="T278" s="20" t="n">
        <v>0</v>
      </c>
      <c r="U278" s="20" t="n">
        <v>2490</v>
      </c>
      <c r="V278" s="20" t="n">
        <v>645</v>
      </c>
      <c r="W278" s="20" t="n">
        <v>54</v>
      </c>
      <c r="X278" s="20" t="n">
        <v>544</v>
      </c>
    </row>
    <row r="279">
      <c r="A279" s="18" t="inlineStr">
        <is>
          <t>출자금 납입</t>
        </is>
      </c>
      <c r="D279" s="20" t="n">
        <v>0</v>
      </c>
      <c r="F279" s="20" t="n">
        <v>0</v>
      </c>
      <c r="H279" s="20" t="n">
        <v>-376</v>
      </c>
      <c r="J279" s="20" t="n">
        <v>-376</v>
      </c>
      <c r="L279" s="20" t="n">
        <v>-5</v>
      </c>
      <c r="N279" s="20" t="n">
        <v>-6</v>
      </c>
      <c r="V279" s="20" t="n">
        <v>0</v>
      </c>
      <c r="W279" s="20" t="n">
        <v>-376</v>
      </c>
      <c r="X279" s="20" t="n">
        <v>-6</v>
      </c>
    </row>
    <row r="280">
      <c r="A280" s="18" t="inlineStr">
        <is>
          <t>관계회사 주식 취득</t>
        </is>
      </c>
      <c r="F280" s="20" t="n">
        <v>0</v>
      </c>
      <c r="J280" s="20" t="n">
        <v>-7668</v>
      </c>
      <c r="N280" s="20" t="n">
        <v>0</v>
      </c>
      <c r="V280" s="20" t="n">
        <v>0</v>
      </c>
      <c r="W280" s="20" t="n">
        <v>-7668</v>
      </c>
      <c r="X280" s="20" t="n">
        <v>0</v>
      </c>
    </row>
    <row r="281">
      <c r="A281" s="18" t="inlineStr">
        <is>
          <t>연결범위 변경 자회사 주식 취득</t>
        </is>
      </c>
      <c r="D281" s="20" t="n">
        <v>-4624</v>
      </c>
      <c r="F281" s="20" t="n">
        <v>-4624</v>
      </c>
      <c r="H281" s="20" t="n">
        <v>-272</v>
      </c>
      <c r="J281" s="20" t="n">
        <v>-1017</v>
      </c>
      <c r="L281" s="20" t="n">
        <v>-824</v>
      </c>
      <c r="N281" s="20" t="n">
        <v>-20982</v>
      </c>
      <c r="O281" s="20" t="n">
        <v>-547.0839999999999</v>
      </c>
      <c r="P281" s="20" t="n">
        <v>-1.829</v>
      </c>
      <c r="Q281" s="20" t="n">
        <v>-1059.733</v>
      </c>
      <c r="R281" s="20" t="n">
        <v>-2650.717</v>
      </c>
      <c r="S281" s="20" t="n">
        <v>-4511.712</v>
      </c>
      <c r="T281" s="20" t="n">
        <v>-52</v>
      </c>
      <c r="U281" s="20" t="n">
        <v>-2864</v>
      </c>
      <c r="V281" s="20" t="n">
        <v>-4624</v>
      </c>
      <c r="W281" s="20" t="n">
        <v>-1017</v>
      </c>
      <c r="X281" s="20" t="n">
        <v>-20982</v>
      </c>
    </row>
    <row r="282">
      <c r="A282" s="18" t="inlineStr">
        <is>
          <t>연결범위 변경 자회사 주식 취득(수입)</t>
        </is>
      </c>
      <c r="P282" s="20" t="n">
        <v>0</v>
      </c>
      <c r="Q282" s="20" t="n">
        <v>75.61</v>
      </c>
      <c r="R282" s="20" t="n">
        <v>0</v>
      </c>
    </row>
    <row r="283">
      <c r="A283" s="18" t="inlineStr">
        <is>
          <t>연결범위 변경 자회사 주식 매각(지출)</t>
        </is>
      </c>
      <c r="T283" s="20" t="n">
        <v>-19</v>
      </c>
      <c r="U283" s="20" t="n">
        <v>0</v>
      </c>
    </row>
    <row r="284">
      <c r="A284" s="18" t="inlineStr">
        <is>
          <t>임차보증금 납입</t>
        </is>
      </c>
      <c r="D284" s="20" t="n">
        <v>-18</v>
      </c>
      <c r="O284" s="20" t="n">
        <v>-15.197</v>
      </c>
      <c r="P284" s="20" t="n">
        <v>-173.68</v>
      </c>
      <c r="Q284" s="20" t="n">
        <v>-143.091</v>
      </c>
      <c r="R284" s="20" t="n">
        <v>-134.944</v>
      </c>
      <c r="S284" s="20" t="n">
        <v>-59.477</v>
      </c>
      <c r="T284" s="20" t="n">
        <v>-427</v>
      </c>
      <c r="U284" s="20" t="n">
        <v>-1184</v>
      </c>
    </row>
    <row r="285">
      <c r="A285" s="18" t="inlineStr">
        <is>
          <t>임차보증금 회수</t>
        </is>
      </c>
      <c r="D285" s="20" t="n">
        <v>386</v>
      </c>
      <c r="O285" s="20" t="n">
        <v>0.635</v>
      </c>
      <c r="P285" s="20" t="n">
        <v>1.319</v>
      </c>
      <c r="Q285" s="20" t="n">
        <v>6.954</v>
      </c>
      <c r="R285" s="20" t="n">
        <v>5.656</v>
      </c>
      <c r="S285" s="20" t="n">
        <v>11.652</v>
      </c>
      <c r="T285" s="20" t="n">
        <v>16</v>
      </c>
      <c r="U285" s="20" t="n">
        <v>15</v>
      </c>
    </row>
    <row r="286">
      <c r="A286" s="18" t="inlineStr">
        <is>
          <t>사업양수 지출</t>
        </is>
      </c>
      <c r="F286" s="20" t="n">
        <v>0</v>
      </c>
      <c r="S286" s="20" t="n">
        <v>0</v>
      </c>
      <c r="T286" s="20" t="n">
        <v>-260</v>
      </c>
      <c r="U286" s="20" t="n">
        <v>-1000</v>
      </c>
      <c r="V286" s="20" t="n">
        <v>0</v>
      </c>
    </row>
    <row r="287">
      <c r="A287" s="18" t="inlineStr">
        <is>
          <t>임차보증금·보증금 납입</t>
        </is>
      </c>
      <c r="D287" s="20" t="n">
        <v>-18</v>
      </c>
      <c r="F287" s="20" t="n">
        <v>-121</v>
      </c>
      <c r="H287" s="20" t="n">
        <v>-271</v>
      </c>
      <c r="J287" s="20" t="n">
        <v>-376</v>
      </c>
      <c r="L287" s="20" t="n">
        <v>-161</v>
      </c>
      <c r="N287" s="20" t="n">
        <v>-206</v>
      </c>
      <c r="U287" s="20" t="n">
        <v>-1184</v>
      </c>
      <c r="V287" s="20" t="n">
        <v>-121</v>
      </c>
      <c r="W287" s="20" t="n">
        <v>-376</v>
      </c>
      <c r="X287" s="20" t="n">
        <v>-206</v>
      </c>
    </row>
    <row r="288">
      <c r="A288" s="18" t="inlineStr">
        <is>
          <t>임차보증금·보증금 회수</t>
        </is>
      </c>
      <c r="D288" s="20" t="n">
        <v>386</v>
      </c>
      <c r="F288" s="20" t="n">
        <v>391</v>
      </c>
      <c r="H288" s="20" t="n">
        <v>18</v>
      </c>
      <c r="J288" s="20" t="n">
        <v>79</v>
      </c>
      <c r="L288" s="20" t="n">
        <v>24</v>
      </c>
      <c r="N288" s="20" t="n">
        <v>130</v>
      </c>
      <c r="U288" s="20" t="n">
        <v>15</v>
      </c>
      <c r="V288" s="20" t="n">
        <v>391</v>
      </c>
      <c r="W288" s="20" t="n">
        <v>79</v>
      </c>
      <c r="X288" s="20" t="n">
        <v>130</v>
      </c>
    </row>
    <row r="289">
      <c r="A289" s="18" t="inlineStr">
        <is>
          <t>기타</t>
        </is>
      </c>
      <c r="D289" s="20" t="n">
        <v>-70</v>
      </c>
      <c r="F289" s="20" t="n">
        <v>-388</v>
      </c>
      <c r="H289" s="20" t="n">
        <v>14</v>
      </c>
      <c r="J289" s="20" t="n">
        <v>66</v>
      </c>
      <c r="L289" s="20" t="n">
        <v>-107</v>
      </c>
      <c r="N289" s="20" t="n">
        <v>-174</v>
      </c>
      <c r="O289" s="20" t="n">
        <v>54.17</v>
      </c>
      <c r="P289" s="20" t="n">
        <v>13.548</v>
      </c>
      <c r="Q289" s="20" t="n">
        <v>208.248</v>
      </c>
      <c r="R289" s="20" t="n">
        <v>35.111</v>
      </c>
      <c r="S289" s="20" t="n">
        <v>-17.608</v>
      </c>
      <c r="T289" s="20" t="n">
        <v>1</v>
      </c>
      <c r="U289" s="20" t="n">
        <v>7</v>
      </c>
      <c r="V289" s="20" t="n">
        <v>-388</v>
      </c>
      <c r="W289" s="20" t="n">
        <v>66</v>
      </c>
      <c r="X289" s="20" t="n">
        <v>-174</v>
      </c>
    </row>
    <row r="290">
      <c r="A290" s="9" t="inlineStr">
        <is>
          <t>투자활동 현금흐름</t>
        </is>
      </c>
      <c r="D290" s="12" t="n">
        <v>-6826</v>
      </c>
      <c r="F290" s="12" t="n">
        <v>-9946</v>
      </c>
      <c r="H290" s="12" t="n">
        <v>-1465</v>
      </c>
      <c r="J290" s="12" t="n">
        <v>-11697</v>
      </c>
      <c r="L290" s="12" t="n">
        <v>-1808</v>
      </c>
      <c r="N290" s="12" t="n">
        <v>-22376</v>
      </c>
      <c r="O290" s="12" t="n">
        <v>-1255.466</v>
      </c>
      <c r="P290" s="12" t="n">
        <v>-272.13</v>
      </c>
      <c r="Q290" s="12" t="n">
        <v>-1152.505</v>
      </c>
      <c r="R290" s="12" t="n">
        <v>-5926.354</v>
      </c>
      <c r="S290" s="12" t="n">
        <v>-5432.861</v>
      </c>
      <c r="T290" s="12" t="n">
        <v>-5605</v>
      </c>
      <c r="U290" s="12" t="n">
        <v>-3802</v>
      </c>
      <c r="V290" s="12" t="n">
        <v>-9946</v>
      </c>
      <c r="W290" s="12" t="n">
        <v>-11697</v>
      </c>
      <c r="X290" s="12" t="n">
        <v>-22376</v>
      </c>
    </row>
    <row r="291">
      <c r="A291" s="18" t="inlineStr">
        <is>
          <t>단기차입금 순증감</t>
        </is>
      </c>
      <c r="D291" s="20" t="n">
        <v>3500</v>
      </c>
      <c r="F291" s="20" t="n">
        <v>-2420</v>
      </c>
      <c r="H291" s="20" t="n">
        <v>5600</v>
      </c>
      <c r="J291" s="20" t="n">
        <v>-231</v>
      </c>
      <c r="L291" s="20" t="n">
        <v>10000</v>
      </c>
      <c r="S291" s="20" t="n">
        <v>-25</v>
      </c>
      <c r="T291" s="20" t="n">
        <v>10</v>
      </c>
      <c r="U291" s="20" t="n">
        <v>2445</v>
      </c>
      <c r="V291" s="20" t="n">
        <v>-2420</v>
      </c>
      <c r="W291" s="20" t="n">
        <v>-231</v>
      </c>
    </row>
    <row r="292">
      <c r="A292" s="18" t="inlineStr">
        <is>
          <t>단기차입</t>
        </is>
      </c>
      <c r="J292" s="20" t="n">
        <v>160</v>
      </c>
      <c r="N292" s="20" t="n">
        <v>32700</v>
      </c>
      <c r="W292" s="20" t="n">
        <v>160</v>
      </c>
      <c r="X292" s="20" t="n">
        <v>32700</v>
      </c>
    </row>
    <row r="293">
      <c r="A293" s="18" t="inlineStr">
        <is>
          <t>단기차입금 상환</t>
        </is>
      </c>
      <c r="J293" s="20" t="n">
        <v>-391</v>
      </c>
      <c r="N293" s="20" t="n">
        <v>-32700</v>
      </c>
      <c r="W293" s="20" t="n">
        <v>-391</v>
      </c>
      <c r="X293" s="20" t="n">
        <v>-32700</v>
      </c>
    </row>
    <row r="294">
      <c r="A294" s="18" t="inlineStr">
        <is>
          <t>장기차입</t>
        </is>
      </c>
      <c r="D294" s="20" t="n">
        <v>5800</v>
      </c>
      <c r="F294" s="20" t="n">
        <v>9300</v>
      </c>
      <c r="H294" s="20" t="n">
        <v>0</v>
      </c>
      <c r="J294" s="20" t="n">
        <v>5000</v>
      </c>
      <c r="N294" s="20" t="n">
        <v>27400</v>
      </c>
      <c r="O294" s="20" t="n">
        <v>1400</v>
      </c>
      <c r="P294" s="20" t="n">
        <v>0</v>
      </c>
      <c r="Q294" s="20" t="n">
        <v>1550</v>
      </c>
      <c r="R294" s="20" t="n">
        <v>2600</v>
      </c>
      <c r="S294" s="20" t="n">
        <v>660.004</v>
      </c>
      <c r="T294" s="20" t="n">
        <v>1000</v>
      </c>
      <c r="U294" s="20" t="n">
        <v>0</v>
      </c>
      <c r="V294" s="20" t="n">
        <v>9300</v>
      </c>
      <c r="W294" s="20" t="n">
        <v>5000</v>
      </c>
      <c r="X294" s="20" t="n">
        <v>27400</v>
      </c>
    </row>
    <row r="295">
      <c r="A295" s="18" t="inlineStr">
        <is>
          <t>장기차입금 상환</t>
        </is>
      </c>
      <c r="D295" s="20" t="n">
        <v>-801</v>
      </c>
      <c r="F295" s="20" t="n">
        <v>-2275</v>
      </c>
      <c r="H295" s="20" t="n">
        <v>-1510</v>
      </c>
      <c r="J295" s="20" t="n">
        <v>-3029</v>
      </c>
      <c r="L295" s="20" t="n">
        <v>-1976</v>
      </c>
      <c r="N295" s="20" t="n">
        <v>-4723</v>
      </c>
      <c r="O295" s="20" t="n">
        <v>-204.761</v>
      </c>
      <c r="P295" s="20" t="n">
        <v>-342.883</v>
      </c>
      <c r="Q295" s="20" t="n">
        <v>-547.832</v>
      </c>
      <c r="R295" s="20" t="n">
        <v>-981.155</v>
      </c>
      <c r="S295" s="20" t="n">
        <v>-1157.917</v>
      </c>
      <c r="T295" s="20" t="n">
        <v>-1695</v>
      </c>
      <c r="U295" s="20" t="n">
        <v>-1252</v>
      </c>
      <c r="V295" s="20" t="n">
        <v>-2275</v>
      </c>
      <c r="W295" s="20" t="n">
        <v>-3029</v>
      </c>
      <c r="X295" s="20" t="n">
        <v>-4723</v>
      </c>
    </row>
    <row r="296">
      <c r="A296" s="18" t="inlineStr">
        <is>
          <t>주식 발행</t>
        </is>
      </c>
      <c r="D296" s="20" t="n">
        <v>1</v>
      </c>
      <c r="F296" s="20" t="n">
        <v>9</v>
      </c>
      <c r="H296" s="20" t="n">
        <v>0</v>
      </c>
      <c r="J296" s="20" t="n">
        <v>0</v>
      </c>
      <c r="O296" s="20" t="n">
        <v>6.8</v>
      </c>
      <c r="P296" s="20" t="n">
        <v>14.85</v>
      </c>
      <c r="Q296" s="20" t="n">
        <v>5320.148</v>
      </c>
      <c r="R296" s="20" t="n">
        <v>241.335</v>
      </c>
      <c r="S296" s="20" t="n">
        <v>9746.870000000001</v>
      </c>
      <c r="T296" s="20" t="n">
        <v>248</v>
      </c>
      <c r="U296" s="20" t="n">
        <v>3</v>
      </c>
      <c r="V296" s="20" t="n">
        <v>9</v>
      </c>
      <c r="W296" s="20" t="n">
        <v>0</v>
      </c>
    </row>
    <row r="297">
      <c r="A297" s="18" t="inlineStr">
        <is>
          <t>비지배주주 납입</t>
        </is>
      </c>
      <c r="J297" s="20" t="n">
        <v>0</v>
      </c>
      <c r="N297" s="20" t="n">
        <v>186</v>
      </c>
      <c r="O297" s="20" t="n">
        <v>7.07</v>
      </c>
      <c r="P297" s="20" t="n">
        <v>0</v>
      </c>
      <c r="W297" s="20" t="n">
        <v>0</v>
      </c>
      <c r="X297" s="20" t="n">
        <v>186</v>
      </c>
    </row>
    <row r="298">
      <c r="A298" s="18" t="inlineStr">
        <is>
          <t>금융리스부채 상환</t>
        </is>
      </c>
      <c r="H298" s="20" t="n">
        <v>-3</v>
      </c>
      <c r="J298" s="20" t="n">
        <v>-13</v>
      </c>
      <c r="L298" s="20" t="n">
        <v>-115</v>
      </c>
      <c r="N298" s="20" t="n">
        <v>-269</v>
      </c>
      <c r="W298" s="20" t="n">
        <v>-13</v>
      </c>
      <c r="X298" s="20" t="n">
        <v>-269</v>
      </c>
    </row>
    <row r="299">
      <c r="A299" s="18" t="inlineStr">
        <is>
          <t>자기주식 취득</t>
        </is>
      </c>
      <c r="D299" s="20" t="n">
        <v>-2</v>
      </c>
      <c r="F299" s="20" t="n">
        <v>-2</v>
      </c>
      <c r="H299" s="20" t="n">
        <v>-999</v>
      </c>
      <c r="J299" s="20" t="n">
        <v>-999</v>
      </c>
      <c r="L299" s="20" t="n">
        <v>-6547</v>
      </c>
      <c r="N299" s="20" t="n">
        <v>-6547</v>
      </c>
      <c r="O299" s="20" t="n">
        <v>-0.143</v>
      </c>
      <c r="P299" s="20" t="n">
        <v>0</v>
      </c>
      <c r="R299" s="20" t="n">
        <v>-0.555</v>
      </c>
      <c r="S299" s="20" t="n">
        <v>-930.967</v>
      </c>
      <c r="T299" s="20" t="n">
        <v>-1999</v>
      </c>
      <c r="U299" s="20" t="n">
        <v>-2001</v>
      </c>
      <c r="V299" s="20" t="n">
        <v>-2</v>
      </c>
      <c r="W299" s="20" t="n">
        <v>-999</v>
      </c>
      <c r="X299" s="20" t="n">
        <v>-6547</v>
      </c>
    </row>
    <row r="300">
      <c r="A300" s="18" t="inlineStr">
        <is>
          <t>연결범위 변경 없는 자회사 주식 취득</t>
        </is>
      </c>
      <c r="D300" s="20" t="n">
        <v>-434</v>
      </c>
      <c r="F300" s="20" t="n">
        <v>-434</v>
      </c>
      <c r="H300" s="20" t="n">
        <v>-1600</v>
      </c>
      <c r="J300" s="20" t="n">
        <v>-1900</v>
      </c>
      <c r="L300" s="20" t="n">
        <v>0</v>
      </c>
      <c r="N300" s="20" t="n">
        <v>0</v>
      </c>
      <c r="Q300" s="20" t="n">
        <v>0</v>
      </c>
      <c r="R300" s="20" t="n">
        <v>-316.049</v>
      </c>
      <c r="S300" s="20" t="n">
        <v>0</v>
      </c>
      <c r="T300" s="20" t="n">
        <v>-640</v>
      </c>
      <c r="U300" s="20" t="n">
        <v>-980</v>
      </c>
      <c r="V300" s="20" t="n">
        <v>-434</v>
      </c>
      <c r="W300" s="20" t="n">
        <v>-1900</v>
      </c>
      <c r="X300" s="20" t="n">
        <v>0</v>
      </c>
    </row>
    <row r="301">
      <c r="A301" s="18" t="inlineStr">
        <is>
          <t>기타</t>
        </is>
      </c>
      <c r="D301" s="20" t="n">
        <v>-9</v>
      </c>
      <c r="F301" s="20" t="n">
        <v>-22</v>
      </c>
      <c r="H301" s="20" t="n">
        <v>-7</v>
      </c>
      <c r="J301" s="20" t="n">
        <v>-18</v>
      </c>
      <c r="L301" s="20" t="n">
        <v>10</v>
      </c>
      <c r="N301" s="20" t="n">
        <v>-77</v>
      </c>
      <c r="O301" s="20" t="n">
        <v>-13.383</v>
      </c>
      <c r="P301" s="20" t="n">
        <v>-27.841</v>
      </c>
      <c r="Q301" s="20" t="n">
        <v>-74.42400000000001</v>
      </c>
      <c r="R301" s="20" t="n">
        <v>-32.651</v>
      </c>
      <c r="S301" s="20" t="n">
        <v>-6.821</v>
      </c>
      <c r="T301" s="20" t="n">
        <v>-6</v>
      </c>
      <c r="U301" s="20" t="n">
        <v>-10</v>
      </c>
      <c r="V301" s="20" t="n">
        <v>-22</v>
      </c>
      <c r="W301" s="20" t="n">
        <v>-18</v>
      </c>
      <c r="X301" s="20" t="n">
        <v>-77</v>
      </c>
    </row>
    <row r="302">
      <c r="A302" s="9" t="inlineStr">
        <is>
          <t>재무활동 현금흐름</t>
        </is>
      </c>
      <c r="D302" s="12" t="n">
        <v>8052</v>
      </c>
      <c r="F302" s="12" t="n">
        <v>4154</v>
      </c>
      <c r="H302" s="12" t="n">
        <v>1478</v>
      </c>
      <c r="J302" s="12" t="n">
        <v>-1192</v>
      </c>
      <c r="L302" s="12" t="n">
        <v>1371</v>
      </c>
      <c r="N302" s="12" t="n">
        <v>15967</v>
      </c>
      <c r="O302" s="12" t="n">
        <v>1195.581</v>
      </c>
      <c r="P302" s="12" t="n">
        <v>-355.875</v>
      </c>
      <c r="Q302" s="12" t="n">
        <v>6247.891</v>
      </c>
      <c r="R302" s="12" t="n">
        <v>1510.923</v>
      </c>
      <c r="S302" s="12" t="n">
        <v>8286.168</v>
      </c>
      <c r="T302" s="12" t="n">
        <v>-3082</v>
      </c>
      <c r="U302" s="12" t="n">
        <v>-1797</v>
      </c>
      <c r="V302" s="12" t="n">
        <v>4154</v>
      </c>
      <c r="W302" s="12" t="n">
        <v>-1192</v>
      </c>
      <c r="X302" s="12" t="n">
        <v>15967</v>
      </c>
    </row>
    <row r="303">
      <c r="A303" s="18" t="inlineStr">
        <is>
          <t>현금성자산 환산차이</t>
        </is>
      </c>
      <c r="D303" s="20" t="n">
        <v>-0</v>
      </c>
      <c r="F303" s="20" t="n">
        <v>-3</v>
      </c>
      <c r="H303" s="20" t="n">
        <v>0</v>
      </c>
      <c r="J303" s="20" t="n">
        <v>-5</v>
      </c>
      <c r="L303" s="20" t="n">
        <v>23</v>
      </c>
      <c r="N303" s="20" t="n">
        <v>19</v>
      </c>
      <c r="O303" s="20" t="n">
        <v>7.016</v>
      </c>
      <c r="P303" s="20" t="n">
        <v>2.218</v>
      </c>
      <c r="Q303" s="20" t="n">
        <v>-12.437</v>
      </c>
      <c r="R303" s="20" t="n">
        <v>-2.351</v>
      </c>
      <c r="S303" s="20" t="n">
        <v>12.159</v>
      </c>
      <c r="T303" s="20" t="n">
        <v>47</v>
      </c>
      <c r="U303" s="20" t="n">
        <v>3</v>
      </c>
      <c r="V303" s="20" t="n">
        <v>-3</v>
      </c>
      <c r="W303" s="20" t="n">
        <v>-5</v>
      </c>
      <c r="X303" s="20" t="n">
        <v>19</v>
      </c>
    </row>
    <row r="304">
      <c r="A304" s="18" t="inlineStr">
        <is>
          <t>현금성자산 증감</t>
        </is>
      </c>
      <c r="D304" s="20" t="n">
        <v>1772</v>
      </c>
      <c r="F304" s="20" t="n">
        <v>3292</v>
      </c>
      <c r="H304" s="20" t="n">
        <v>4056</v>
      </c>
      <c r="J304" s="20" t="n">
        <v>2755</v>
      </c>
      <c r="L304" s="20" t="n">
        <v>715</v>
      </c>
      <c r="N304" s="20" t="n">
        <v>7334</v>
      </c>
      <c r="O304" s="20" t="n">
        <v>341.372</v>
      </c>
      <c r="P304" s="20" t="n">
        <v>621.726</v>
      </c>
      <c r="Q304" s="20" t="n">
        <v>6216.822</v>
      </c>
      <c r="R304" s="20" t="n">
        <v>-2167.222</v>
      </c>
      <c r="S304" s="20" t="n">
        <v>7623.471</v>
      </c>
      <c r="T304" s="20" t="n">
        <v>-1248</v>
      </c>
      <c r="U304" s="20" t="n">
        <v>4652</v>
      </c>
      <c r="V304" s="20" t="n">
        <v>3292</v>
      </c>
      <c r="W304" s="20" t="n">
        <v>2755</v>
      </c>
      <c r="X304" s="20" t="n">
        <v>7334</v>
      </c>
    </row>
    <row r="305">
      <c r="A305" s="18" t="inlineStr">
        <is>
          <t>연결범위 변경에 따른 현금성자산 증감</t>
        </is>
      </c>
      <c r="O305" s="20" t="n">
        <v>0</v>
      </c>
      <c r="P305" s="20" t="n">
        <v>-124.354</v>
      </c>
      <c r="Q305" s="20" t="n">
        <v>0</v>
      </c>
      <c r="S305" s="20" t="n">
        <v>0</v>
      </c>
      <c r="T305" s="20" t="n">
        <v>-19.303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SHIFT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43123</v>
      </c>
      <c r="D5" s="12" t="n">
        <v>45092</v>
      </c>
      <c r="E5" s="12" t="n">
        <v>46993</v>
      </c>
      <c r="F5" s="12" t="n">
        <v>60424</v>
      </c>
      <c r="G5" s="12" t="n">
        <v>61300</v>
      </c>
      <c r="H5" s="11" t="n">
        <v>22423</v>
      </c>
      <c r="I5" s="12" t="n">
        <v>30513</v>
      </c>
      <c r="J5" s="12" t="n">
        <v>37022</v>
      </c>
      <c r="K5" s="12" t="n">
        <v>43123</v>
      </c>
      <c r="L5" s="12" t="n">
        <v>61300</v>
      </c>
    </row>
    <row r="6">
      <c r="A6" s="18" t="inlineStr">
        <is>
          <t>현금및현금성자산</t>
        </is>
      </c>
      <c r="B6" s="10" t="n"/>
      <c r="C6" s="19" t="n">
        <v>23726</v>
      </c>
      <c r="D6" s="20" t="n">
        <v>25318</v>
      </c>
      <c r="E6" s="20" t="n">
        <v>24440</v>
      </c>
      <c r="F6" s="20" t="n">
        <v>33751</v>
      </c>
      <c r="G6" s="20" t="n">
        <v>31097</v>
      </c>
      <c r="H6" s="19" t="n">
        <v>12921</v>
      </c>
      <c r="I6" s="20" t="n">
        <v>17591</v>
      </c>
      <c r="J6" s="20" t="n">
        <v>20869</v>
      </c>
      <c r="K6" s="20" t="n">
        <v>23726</v>
      </c>
      <c r="L6" s="20" t="n">
        <v>31097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15400</v>
      </c>
      <c r="D8" s="20" t="n">
        <v>15230</v>
      </c>
      <c r="E8" s="20" t="n">
        <v>17266</v>
      </c>
      <c r="F8" s="20" t="n">
        <v>20479</v>
      </c>
      <c r="G8" s="20" t="n">
        <v>24527</v>
      </c>
      <c r="H8" s="19" t="n">
        <v>7981</v>
      </c>
      <c r="I8" s="20" t="n">
        <v>11048</v>
      </c>
      <c r="J8" s="20" t="n">
        <v>13805</v>
      </c>
      <c r="K8" s="20" t="n">
        <v>15400</v>
      </c>
      <c r="L8" s="20" t="n">
        <v>24527</v>
      </c>
    </row>
    <row r="9">
      <c r="A9" s="18" t="inlineStr">
        <is>
          <t>재고자산</t>
        </is>
      </c>
      <c r="B9" s="10" t="n"/>
      <c r="C9" s="19" t="n">
        <v>1626</v>
      </c>
      <c r="D9" s="20" t="n">
        <v>2145</v>
      </c>
      <c r="E9" s="20" t="n">
        <v>2733</v>
      </c>
      <c r="F9" s="20" t="n">
        <v>1971</v>
      </c>
      <c r="G9" s="20" t="n">
        <v>1832</v>
      </c>
      <c r="H9" s="19" t="n">
        <v>799</v>
      </c>
      <c r="I9" s="20" t="n">
        <v>733</v>
      </c>
      <c r="J9" s="20" t="n">
        <v>977</v>
      </c>
      <c r="K9" s="20" t="n">
        <v>1626</v>
      </c>
      <c r="L9" s="20" t="n">
        <v>1832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33877</v>
      </c>
      <c r="D11" s="12" t="n">
        <v>34009</v>
      </c>
      <c r="E11" s="12" t="n">
        <v>33396</v>
      </c>
      <c r="F11" s="12" t="n">
        <v>44854</v>
      </c>
      <c r="G11" s="12" t="n">
        <v>48384</v>
      </c>
      <c r="H11" s="11" t="n">
        <v>17806</v>
      </c>
      <c r="I11" s="12" t="n">
        <v>19017</v>
      </c>
      <c r="J11" s="12" t="n">
        <v>25695</v>
      </c>
      <c r="K11" s="12" t="n">
        <v>33877</v>
      </c>
      <c r="L11" s="12" t="n">
        <v>48384</v>
      </c>
    </row>
    <row r="12">
      <c r="A12" s="18" t="inlineStr">
        <is>
          <t>유형자산</t>
        </is>
      </c>
      <c r="B12" s="10" t="n"/>
      <c r="C12" s="19" t="n">
        <v>7923</v>
      </c>
      <c r="D12" s="20" t="n">
        <v>8173</v>
      </c>
      <c r="E12" s="20" t="n">
        <v>8191</v>
      </c>
      <c r="F12" s="20" t="n">
        <v>8628</v>
      </c>
      <c r="G12" s="20" t="n">
        <v>8486</v>
      </c>
      <c r="H12" s="19" t="n">
        <v>1194</v>
      </c>
      <c r="I12" s="20" t="n">
        <v>1961</v>
      </c>
      <c r="J12" s="20" t="n">
        <v>6818</v>
      </c>
      <c r="K12" s="20" t="n">
        <v>7923</v>
      </c>
      <c r="L12" s="20" t="n">
        <v>8486</v>
      </c>
    </row>
    <row r="13">
      <c r="A13" s="18" t="inlineStr">
        <is>
          <t>무형자산</t>
        </is>
      </c>
      <c r="B13" s="10" t="n"/>
      <c r="C13" s="19" t="n">
        <v>12188</v>
      </c>
      <c r="D13" s="20" t="n">
        <v>11956</v>
      </c>
      <c r="E13" s="20" t="n">
        <v>11673</v>
      </c>
      <c r="F13" s="20" t="n">
        <v>24813</v>
      </c>
      <c r="G13" s="20" t="n">
        <v>27868</v>
      </c>
      <c r="H13" s="19" t="n">
        <v>7461</v>
      </c>
      <c r="I13" s="20" t="n">
        <v>10428</v>
      </c>
      <c r="J13" s="20" t="n">
        <v>13877</v>
      </c>
      <c r="K13" s="20" t="n">
        <v>12188</v>
      </c>
      <c r="L13" s="20" t="n">
        <v>27868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77001</v>
      </c>
      <c r="D16" s="12" t="n">
        <v>79102</v>
      </c>
      <c r="E16" s="12" t="n">
        <v>80389</v>
      </c>
      <c r="F16" s="12" t="n">
        <v>105279</v>
      </c>
      <c r="G16" s="12" t="n">
        <v>109685</v>
      </c>
      <c r="H16" s="11" t="n">
        <v>40230</v>
      </c>
      <c r="I16" s="12" t="n">
        <v>49530</v>
      </c>
      <c r="J16" s="12" t="n">
        <v>62717</v>
      </c>
      <c r="K16" s="12" t="n">
        <v>77001</v>
      </c>
      <c r="L16" s="12" t="n">
        <v>109685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25028</v>
      </c>
      <c r="D18" s="12" t="n">
        <v>26076</v>
      </c>
      <c r="E18" s="12" t="n">
        <v>32829</v>
      </c>
      <c r="F18" s="12" t="n">
        <v>49460</v>
      </c>
      <c r="G18" s="12" t="n">
        <v>33858</v>
      </c>
      <c r="H18" s="11" t="n">
        <v>11726</v>
      </c>
      <c r="I18" s="12" t="n">
        <v>18319</v>
      </c>
      <c r="J18" s="12" t="n">
        <v>19653</v>
      </c>
      <c r="K18" s="12" t="n">
        <v>25028</v>
      </c>
      <c r="L18" s="12" t="n">
        <v>33858</v>
      </c>
    </row>
    <row r="19">
      <c r="A19" s="18" t="inlineStr">
        <is>
          <t>매입채무</t>
        </is>
      </c>
      <c r="B19" s="10" t="n"/>
      <c r="C19" s="19" t="n">
        <v>2054</v>
      </c>
      <c r="D19" s="20" t="n">
        <v>1823</v>
      </c>
      <c r="E19" s="20" t="n">
        <v>1970</v>
      </c>
      <c r="F19" s="20" t="n">
        <v>3745</v>
      </c>
      <c r="G19" s="20" t="n">
        <v>3962</v>
      </c>
      <c r="H19" s="19" t="n">
        <v>1554</v>
      </c>
      <c r="I19" s="20" t="n">
        <v>1530</v>
      </c>
      <c r="J19" s="20" t="n">
        <v>1509</v>
      </c>
      <c r="K19" s="20" t="n">
        <v>2054</v>
      </c>
      <c r="L19" s="20" t="n">
        <v>3962</v>
      </c>
    </row>
    <row r="20">
      <c r="A20" s="18" t="inlineStr">
        <is>
          <t>단기차입금</t>
        </is>
      </c>
      <c r="B20" s="10" t="n"/>
      <c r="C20" s="19" t="n">
        <v>0</v>
      </c>
      <c r="D20" s="20" t="n">
        <v>4000</v>
      </c>
      <c r="E20" s="20" t="n">
        <v>10000</v>
      </c>
      <c r="F20" s="20" t="n">
        <v>18700</v>
      </c>
      <c r="G20" s="20" t="n"/>
      <c r="H20" s="19" t="n">
        <v>20</v>
      </c>
      <c r="I20" s="20" t="n">
        <v>2470</v>
      </c>
      <c r="J20" s="20" t="n">
        <v>50</v>
      </c>
      <c r="K20" s="20" t="n">
        <v>0</v>
      </c>
      <c r="L20" s="20" t="n"/>
    </row>
    <row r="21">
      <c r="A21" s="18" t="inlineStr">
        <is>
          <t>유동성장기부채</t>
        </is>
      </c>
      <c r="B21" s="10" t="n"/>
      <c r="C21" s="19" t="n">
        <v>3532</v>
      </c>
      <c r="D21" s="20" t="n">
        <v>3671</v>
      </c>
      <c r="E21" s="20" t="n">
        <v>3405</v>
      </c>
      <c r="F21" s="20" t="n">
        <v>4672</v>
      </c>
      <c r="G21" s="20" t="n">
        <v>7175</v>
      </c>
      <c r="H21" s="19" t="n">
        <v>1226</v>
      </c>
      <c r="I21" s="20" t="n">
        <v>1066</v>
      </c>
      <c r="J21" s="20" t="n">
        <v>2856</v>
      </c>
      <c r="K21" s="20" t="n">
        <v>3532</v>
      </c>
      <c r="L21" s="20" t="n">
        <v>7175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10935</v>
      </c>
      <c r="D23" s="12" t="n">
        <v>10162</v>
      </c>
      <c r="E23" s="12" t="n">
        <v>8985</v>
      </c>
      <c r="F23" s="12" t="n">
        <v>17184</v>
      </c>
      <c r="G23" s="12" t="n">
        <v>33628</v>
      </c>
      <c r="H23" s="11" t="n">
        <v>2496</v>
      </c>
      <c r="I23" s="12" t="n">
        <v>1632</v>
      </c>
      <c r="J23" s="12" t="n">
        <v>8542</v>
      </c>
      <c r="K23" s="12" t="n">
        <v>10935</v>
      </c>
      <c r="L23" s="12" t="n">
        <v>33628</v>
      </c>
    </row>
    <row r="24">
      <c r="A24" s="18" t="inlineStr">
        <is>
          <t>장기차입금</t>
        </is>
      </c>
      <c r="B24" s="10" t="n"/>
      <c r="C24" s="19" t="n">
        <v>8504</v>
      </c>
      <c r="D24" s="20" t="n">
        <v>7468</v>
      </c>
      <c r="E24" s="20" t="n">
        <v>6653</v>
      </c>
      <c r="F24" s="20" t="n">
        <v>11312</v>
      </c>
      <c r="G24" s="20" t="n">
        <v>27538</v>
      </c>
      <c r="H24" s="19" t="n">
        <v>2306</v>
      </c>
      <c r="I24" s="20" t="n">
        <v>1367</v>
      </c>
      <c r="J24" s="20" t="n">
        <v>6671</v>
      </c>
      <c r="K24" s="20" t="n">
        <v>8504</v>
      </c>
      <c r="L24" s="20" t="n">
        <v>27538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35963</v>
      </c>
      <c r="D27" s="12" t="n">
        <v>36239</v>
      </c>
      <c r="E27" s="12" t="n">
        <v>41815</v>
      </c>
      <c r="F27" s="12" t="n">
        <v>66644</v>
      </c>
      <c r="G27" s="12" t="n">
        <v>67487</v>
      </c>
      <c r="H27" s="11" t="n">
        <v>14222</v>
      </c>
      <c r="I27" s="12" t="n">
        <v>19951</v>
      </c>
      <c r="J27" s="12" t="n">
        <v>28195</v>
      </c>
      <c r="K27" s="12" t="n">
        <v>35963</v>
      </c>
      <c r="L27" s="12" t="n">
        <v>67487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41012</v>
      </c>
      <c r="D31" s="12" t="n">
        <v>42837</v>
      </c>
      <c r="E31" s="12" t="n">
        <v>38524</v>
      </c>
      <c r="F31" s="12" t="n">
        <v>38417</v>
      </c>
      <c r="G31" s="12" t="n">
        <v>42002</v>
      </c>
      <c r="H31" s="11" t="n">
        <v>25632</v>
      </c>
      <c r="I31" s="12" t="n">
        <v>29100</v>
      </c>
      <c r="J31" s="12" t="n">
        <v>34015</v>
      </c>
      <c r="K31" s="12" t="n">
        <v>41012</v>
      </c>
      <c r="L31" s="12" t="n">
        <v>42002</v>
      </c>
    </row>
    <row r="32">
      <c r="A32" s="18" t="inlineStr">
        <is>
          <t>자본금</t>
        </is>
      </c>
      <c r="B32" s="10" t="n"/>
      <c r="C32" s="19" t="n">
        <v>21</v>
      </c>
      <c r="D32" s="20" t="n">
        <v>21</v>
      </c>
      <c r="E32" s="20" t="n">
        <v>21</v>
      </c>
      <c r="F32" s="20" t="n">
        <v>21</v>
      </c>
      <c r="G32" s="20" t="n">
        <v>21</v>
      </c>
      <c r="H32" s="19" t="n">
        <v>77</v>
      </c>
      <c r="I32" s="20" t="n">
        <v>11</v>
      </c>
      <c r="J32" s="20" t="n">
        <v>21</v>
      </c>
      <c r="K32" s="20" t="n">
        <v>21</v>
      </c>
      <c r="L32" s="20" t="n">
        <v>21</v>
      </c>
    </row>
    <row r="33">
      <c r="A33" s="18" t="inlineStr">
        <is>
          <t>이익잉여금</t>
        </is>
      </c>
      <c r="B33" s="10" t="n"/>
      <c r="C33" s="19" t="n">
        <v>31964</v>
      </c>
      <c r="D33" s="20" t="n">
        <v>33759</v>
      </c>
      <c r="E33" s="20" t="n">
        <v>35976</v>
      </c>
      <c r="F33" s="20" t="n">
        <v>35943</v>
      </c>
      <c r="G33" s="20" t="n">
        <v>39394</v>
      </c>
      <c r="H33" s="19" t="n">
        <v>11655</v>
      </c>
      <c r="I33" s="20" t="n">
        <v>17901</v>
      </c>
      <c r="J33" s="20" t="n">
        <v>23029</v>
      </c>
      <c r="K33" s="20" t="n">
        <v>31964</v>
      </c>
      <c r="L33" s="20" t="n">
        <v>39394</v>
      </c>
    </row>
    <row r="34">
      <c r="A34" s="18" t="inlineStr">
        <is>
          <t>비지배지분</t>
        </is>
      </c>
      <c r="B34" s="10" t="n"/>
      <c r="C34" s="19" t="n">
        <v>0</v>
      </c>
      <c r="D34" s="20" t="n"/>
      <c r="E34" s="20" t="n"/>
      <c r="F34" s="20" t="n">
        <v>167</v>
      </c>
      <c r="G34" s="20" t="n">
        <v>145</v>
      </c>
      <c r="H34" s="19" t="n">
        <v>359</v>
      </c>
      <c r="I34" s="20" t="n">
        <v>451</v>
      </c>
      <c r="J34" s="20" t="n">
        <v>482</v>
      </c>
      <c r="K34" s="20" t="n">
        <v>0</v>
      </c>
      <c r="L34" s="20" t="n">
        <v>145</v>
      </c>
    </row>
    <row r="35">
      <c r="A35" s="9" t="inlineStr">
        <is>
          <t>자본총계</t>
        </is>
      </c>
      <c r="B35" s="10" t="n"/>
      <c r="C35" s="11" t="n">
        <v>41037</v>
      </c>
      <c r="D35" s="12" t="n">
        <v>42862</v>
      </c>
      <c r="E35" s="12" t="n">
        <v>38574</v>
      </c>
      <c r="F35" s="12" t="n">
        <v>38634</v>
      </c>
      <c r="G35" s="12" t="n">
        <v>42197</v>
      </c>
      <c r="H35" s="11" t="n">
        <v>26007</v>
      </c>
      <c r="I35" s="12" t="n">
        <v>29578</v>
      </c>
      <c r="J35" s="12" t="n">
        <v>34522</v>
      </c>
      <c r="K35" s="12" t="n">
        <v>41037</v>
      </c>
      <c r="L35" s="12" t="n">
        <v>42197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15652</v>
      </c>
      <c r="D37" s="12" t="n"/>
      <c r="E37" s="12" t="n">
        <v>12738</v>
      </c>
      <c r="F37" s="12" t="n"/>
      <c r="G37" s="12" t="n">
        <v>13723</v>
      </c>
      <c r="H37" s="11" t="n">
        <v>7392</v>
      </c>
      <c r="I37" s="12" t="n">
        <v>10248</v>
      </c>
      <c r="J37" s="12" t="n">
        <v>9088</v>
      </c>
      <c r="K37" s="12" t="n">
        <v>15652</v>
      </c>
      <c r="L37" s="12" t="n">
        <v>13723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1478</v>
      </c>
      <c r="D38" s="20" t="n"/>
      <c r="E38" s="20" t="n">
        <v>1555</v>
      </c>
      <c r="F38" s="20" t="n"/>
      <c r="G38" s="20" t="n">
        <v>1663</v>
      </c>
      <c r="H38" s="19" t="n">
        <v>768</v>
      </c>
      <c r="I38" s="20" t="n">
        <v>1256</v>
      </c>
      <c r="J38" s="20" t="n">
        <v>5711</v>
      </c>
      <c r="K38" s="20" t="n">
        <v>1478</v>
      </c>
      <c r="L38" s="20" t="n">
        <v>1663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IFERROR((IF(COUNT('연간'!G46:J46)&lt;4,"",SUM('연간'!G46:J46)))/(IF(COUNT('연간'!G68:J68)&lt;4,"",SUM('연간'!G68:J68))),"")</f>
        <v/>
      </c>
      <c r="D48" s="31">
        <f>IFERROR((IF(COUNT('연간'!H46:K46)&lt;4,"",SUM('연간'!H46:K46)))/(IF(COUNT('연간'!H68:K68)&lt;4,"",SUM('연간'!H68:K68))),"")</f>
        <v/>
      </c>
      <c r="E48" s="31">
        <f>IFERROR((IF(COUNT('연간'!I46:L46)&lt;4,"",SUM('연간'!I46:L46)))/(IF(COUNT('연간'!I68:L68)&lt;4,"",SUM('연간'!I68:L68))),"")</f>
        <v/>
      </c>
      <c r="F48" s="31">
        <f>IFERROR((IF(COUNT('연간'!J46:M46)&lt;4,"",SUM('연간'!J46:M46)))/(IF(COUNT('연간'!J68:M68)&lt;4,"",SUM('연간'!J68:M68))),"")</f>
        <v/>
      </c>
      <c r="G48" s="31">
        <f>IFERROR((IF(COUNT('연간'!K46:N46)&lt;4,"",SUM('연간'!K46:N46)))/(IF(COUNT('연간'!K68:N68)&lt;4,"",SUM('연간'!K68:N68))),"")</f>
        <v/>
      </c>
      <c r="H48" s="30">
        <f>IFERROR(('연간'!T46)/('연간'!T68),"")</f>
        <v/>
      </c>
      <c r="I48" s="31">
        <f>IFERROR(('연간'!U46)/('연간'!U68),"")</f>
        <v/>
      </c>
      <c r="J48" s="31">
        <f>IFERROR(('연간'!V46)/('연간'!V68),"")</f>
        <v/>
      </c>
      <c r="K48" s="31">
        <f>IFERROR(('연간'!W46)/('연간'!W68),"")</f>
        <v/>
      </c>
      <c r="L48" s="31">
        <f>IFERROR(('연간'!X46)/('연간'!X68),"")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IFERROR(IF((IF(COUNT('연간'!G76:J76)&lt;4,"",SUM('연간'!G76:J76)))&lt;=0,"적자",C28/(IF(COUNT('연간'!G76:J76)&lt;4,"",SUM('연간'!G76:J76)))),"")</f>
        <v/>
      </c>
      <c r="D49" s="47">
        <f>IFERROR(IF((IF(COUNT('연간'!H76:K76)&lt;4,"",SUM('연간'!H76:K76)))&lt;=0,"적자",D28/(IF(COUNT('연간'!H76:K76)&lt;4,"",SUM('연간'!H76:K76)))),"")</f>
        <v/>
      </c>
      <c r="E49" s="47">
        <f>IFERROR(IF((IF(COUNT('연간'!I76:L76)&lt;4,"",SUM('연간'!I76:L76)))&lt;=0,"적자",E28/(IF(COUNT('연간'!I76:L76)&lt;4,"",SUM('연간'!I76:L76)))),"")</f>
        <v/>
      </c>
      <c r="F49" s="47">
        <f>IFERROR(IF((IF(COUNT('연간'!J76:M76)&lt;4,"",SUM('연간'!J76:M76)))&lt;=0,"적자",F28/(IF(COUNT('연간'!J76:M76)&lt;4,"",SUM('연간'!J76:M76)))),"")</f>
        <v/>
      </c>
      <c r="G49" s="47">
        <f>IFERROR(IF((IF(COUNT('연간'!K76:N76)&lt;4,"",SUM('연간'!K76:N76)))&lt;=0,"적자",G28/(IF(COUNT('연간'!K76:N76)&lt;4,"",SUM('연간'!K76:N76)))),"")</f>
        <v/>
      </c>
      <c r="H49" s="46">
        <f>IFERROR(IF(('연간'!T76)&lt;=0,"적자",H28/('연간'!T76)),"")</f>
        <v/>
      </c>
      <c r="I49" s="47">
        <f>IFERROR(IF(('연간'!U76)&lt;=0,"적자",I28/('연간'!U76)),"")</f>
        <v/>
      </c>
      <c r="J49" s="47">
        <f>IFERROR(IF(('연간'!V76)&lt;=0,"적자",J28/('연간'!V76)),"")</f>
        <v/>
      </c>
      <c r="K49" s="47">
        <f>IFERROR(IF(('연간'!W76)&lt;=0,"적자",K28/('연간'!W76)),"")</f>
        <v/>
      </c>
      <c r="L49" s="47">
        <f>IFERROR(IF(('연간'!X76)&lt;=0,"적자",L28/('연간'!X76)),"")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IFERROR((IF(COUNT('연간'!G76:J76)&lt;4,"",SUM('연간'!G76:J76)))/C31,"")</f>
        <v/>
      </c>
      <c r="D51" s="36">
        <f>IFERROR((IF(COUNT('연간'!H76:K76)&lt;4,"",SUM('연간'!H76:K76)))/D31,"")</f>
        <v/>
      </c>
      <c r="E51" s="36">
        <f>IFERROR((IF(COUNT('연간'!I76:L76)&lt;4,"",SUM('연간'!I76:L76)))/E31,"")</f>
        <v/>
      </c>
      <c r="F51" s="36">
        <f>IFERROR((IF(COUNT('연간'!J76:M76)&lt;4,"",SUM('연간'!J76:M76)))/F31,"")</f>
        <v/>
      </c>
      <c r="G51" s="36">
        <f>IFERROR((IF(COUNT('연간'!K76:N76)&lt;4,"",SUM('연간'!K76:N76)))/G31,"")</f>
        <v/>
      </c>
      <c r="H51" s="35">
        <f>IFERROR(('연간'!T76)/H31,"")</f>
        <v/>
      </c>
      <c r="I51" s="36">
        <f>IFERROR(('연간'!U76)/I31,"")</f>
        <v/>
      </c>
      <c r="J51" s="36">
        <f>IFERROR(('연간'!V76)/J31,"")</f>
        <v/>
      </c>
      <c r="K51" s="36">
        <f>IFERROR(('연간'!W76)/K31,"")</f>
        <v/>
      </c>
      <c r="L51" s="36">
        <f>IFERROR(('연간'!X76)/L31,"")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IFERROR((IF(COUNT('연간'!G74:J74)&lt;4,"",SUM('연간'!G74:J74)))/C16,"")</f>
        <v/>
      </c>
      <c r="D52" s="36">
        <f>IFERROR((IF(COUNT('연간'!H74:K74)&lt;4,"",SUM('연간'!H74:K74)))/D16,"")</f>
        <v/>
      </c>
      <c r="E52" s="36">
        <f>IFERROR((IF(COUNT('연간'!I74:L74)&lt;4,"",SUM('연간'!I74:L74)))/E16,"")</f>
        <v/>
      </c>
      <c r="F52" s="36">
        <f>IFERROR((IF(COUNT('연간'!J74:M74)&lt;4,"",SUM('연간'!J74:M74)))/F16,"")</f>
        <v/>
      </c>
      <c r="G52" s="36">
        <f>IFERROR((IF(COUNT('연간'!K74:N74)&lt;4,"",SUM('연간'!K74:N74)))/G16,"")</f>
        <v/>
      </c>
      <c r="H52" s="35">
        <f>IFERROR(('연간'!T74)/H16,"")</f>
        <v/>
      </c>
      <c r="I52" s="36">
        <f>IFERROR(('연간'!U74)/I16,"")</f>
        <v/>
      </c>
      <c r="J52" s="36">
        <f>IFERROR(('연간'!V74)/J16,"")</f>
        <v/>
      </c>
      <c r="K52" s="36">
        <f>IFERROR(('연간'!W74)/K16,"")</f>
        <v/>
      </c>
      <c r="L52" s="36">
        <f>IFERROR(('연간'!X74)/L16,"")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IFERROR((IF(COUNT('연간'!G46:J46)&lt;4,"",SUM('연간'!G46:J46)))*(1-0.3)/(C35+C29),"")</f>
        <v/>
      </c>
      <c r="D53" s="36">
        <f>IFERROR((IF(COUNT('연간'!H46:K46)&lt;4,"",SUM('연간'!H46:K46)))*(1-0.3)/(D35+D29),"")</f>
        <v/>
      </c>
      <c r="E53" s="36">
        <f>IFERROR((IF(COUNT('연간'!I46:L46)&lt;4,"",SUM('연간'!I46:L46)))*(1-0.3)/(E35+E29),"")</f>
        <v/>
      </c>
      <c r="F53" s="36">
        <f>IFERROR((IF(COUNT('연간'!J46:M46)&lt;4,"",SUM('연간'!J46:M46)))*(1-0.3)/(F35+F29),"")</f>
        <v/>
      </c>
      <c r="G53" s="36">
        <f>IFERROR((IF(COUNT('연간'!K46:N46)&lt;4,"",SUM('연간'!K46:N46)))*(1-0.3)/(G35+G29),"")</f>
        <v/>
      </c>
      <c r="H53" s="35">
        <f>IFERROR(('연간'!T46)*(1-0.3)/(H35+H29),"")</f>
        <v/>
      </c>
      <c r="I53" s="36">
        <f>IFERROR(('연간'!U46)*(1-0.3)/(I35+I29),"")</f>
        <v/>
      </c>
      <c r="J53" s="36">
        <f>IFERROR(('연간'!V46)*(1-0.3)/(J35+J29),"")</f>
        <v/>
      </c>
      <c r="K53" s="36">
        <f>IFERROR(('연간'!W46)*(1-0.3)/(K35+K29),"")</f>
        <v/>
      </c>
      <c r="L53" s="36">
        <f>IFERROR(('연간'!X46)*(1-0.3)/(L35+L29),"")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IFERROR((IF(COUNT('연간'!G40:J40)&lt;4,"",SUM('연간'!G40:J40)))/(IF(COUNT('연간'!G4:J4)&lt;4,"",SUM('연간'!G4:J4))),"")</f>
        <v/>
      </c>
      <c r="D54" s="36">
        <f>IFERROR((IF(COUNT('연간'!H40:K40)&lt;4,"",SUM('연간'!H40:K40)))/(IF(COUNT('연간'!H4:K4)&lt;4,"",SUM('연간'!H4:K4))),"")</f>
        <v/>
      </c>
      <c r="E54" s="36">
        <f>IFERROR((IF(COUNT('연간'!I40:L40)&lt;4,"",SUM('연간'!I40:L40)))/(IF(COUNT('연간'!I4:L4)&lt;4,"",SUM('연간'!I4:L4))),"")</f>
        <v/>
      </c>
      <c r="F54" s="36">
        <f>IFERROR((IF(COUNT('연간'!J40:M40)&lt;4,"",SUM('연간'!J40:M40)))/(IF(COUNT('연간'!J4:M4)&lt;4,"",SUM('연간'!J4:M4))),"")</f>
        <v/>
      </c>
      <c r="G54" s="36">
        <f>IFERROR((IF(COUNT('연간'!K40:N40)&lt;4,"",SUM('연간'!K40:N40)))/(IF(COUNT('연간'!K4:N4)&lt;4,"",SUM('연간'!K4:N4))),"")</f>
        <v/>
      </c>
      <c r="H54" s="35">
        <f>IFERROR(('연간'!T40)/('연간'!T4),"")</f>
        <v/>
      </c>
      <c r="I54" s="36">
        <f>IFERROR(('연간'!U40)/('연간'!U4),"")</f>
        <v/>
      </c>
      <c r="J54" s="36">
        <f>IFERROR(('연간'!V40)/('연간'!V4),"")</f>
        <v/>
      </c>
      <c r="K54" s="36">
        <f>IFERROR(('연간'!W40)/('연간'!W4),"")</f>
        <v/>
      </c>
      <c r="L54" s="36">
        <f>IFERROR(('연간'!X40)/('연간'!X4),"")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IFERROR((IF(COUNT('연간'!G46:J46)&lt;4,"",SUM('연간'!G46:J46)))/(IF(COUNT('연간'!G4:J4)&lt;4,"",SUM('연간'!G4:J4))),"")</f>
        <v/>
      </c>
      <c r="D55" s="36">
        <f>IFERROR((IF(COUNT('연간'!H46:K46)&lt;4,"",SUM('연간'!H46:K46)))/(IF(COUNT('연간'!H4:K4)&lt;4,"",SUM('연간'!H4:K4))),"")</f>
        <v/>
      </c>
      <c r="E55" s="36">
        <f>IFERROR((IF(COUNT('연간'!I46:L46)&lt;4,"",SUM('연간'!I46:L46)))/(IF(COUNT('연간'!I4:L4)&lt;4,"",SUM('연간'!I4:L4))),"")</f>
        <v/>
      </c>
      <c r="F55" s="36">
        <f>IFERROR((IF(COUNT('연간'!J46:M46)&lt;4,"",SUM('연간'!J46:M46)))/(IF(COUNT('연간'!J4:M4)&lt;4,"",SUM('연간'!J4:M4))),"")</f>
        <v/>
      </c>
      <c r="G55" s="36">
        <f>IFERROR((IF(COUNT('연간'!K46:N46)&lt;4,"",SUM('연간'!K46:N46)))/(IF(COUNT('연간'!K4:N4)&lt;4,"",SUM('연간'!K4:N4))),"")</f>
        <v/>
      </c>
      <c r="H55" s="35">
        <f>IFERROR(('연간'!T46)/('연간'!T4),"")</f>
        <v/>
      </c>
      <c r="I55" s="36">
        <f>IFERROR(('연간'!U46)/('연간'!U4),"")</f>
        <v/>
      </c>
      <c r="J55" s="36">
        <f>IFERROR(('연간'!V46)/('연간'!V4),"")</f>
        <v/>
      </c>
      <c r="K55" s="36">
        <f>IFERROR(('연간'!W46)/('연간'!W4),"")</f>
        <v/>
      </c>
      <c r="L55" s="36">
        <f>IFERROR(('연간'!X46)/('연간'!X4),"")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IFERROR((IF(COUNT('연간'!G74:J74)&lt;4,"",SUM('연간'!G74:J74)))/(IF(COUNT('연간'!G4:J4)&lt;4,"",SUM('연간'!G4:J4))),"")</f>
        <v/>
      </c>
      <c r="D56" s="36">
        <f>IFERROR((IF(COUNT('연간'!H74:K74)&lt;4,"",SUM('연간'!H74:K74)))/(IF(COUNT('연간'!H4:K4)&lt;4,"",SUM('연간'!H4:K4))),"")</f>
        <v/>
      </c>
      <c r="E56" s="36">
        <f>IFERROR((IF(COUNT('연간'!I74:L74)&lt;4,"",SUM('연간'!I74:L74)))/(IF(COUNT('연간'!I4:L4)&lt;4,"",SUM('연간'!I4:L4))),"")</f>
        <v/>
      </c>
      <c r="F56" s="36">
        <f>IFERROR((IF(COUNT('연간'!J74:M74)&lt;4,"",SUM('연간'!J74:M74)))/(IF(COUNT('연간'!J4:M4)&lt;4,"",SUM('연간'!J4:M4))),"")</f>
        <v/>
      </c>
      <c r="G56" s="36">
        <f>IFERROR((IF(COUNT('연간'!K74:N74)&lt;4,"",SUM('연간'!K74:N74)))/(IF(COUNT('연간'!K4:N4)&lt;4,"",SUM('연간'!K4:N4))),"")</f>
        <v/>
      </c>
      <c r="H56" s="35">
        <f>IFERROR(('연간'!T74)/('연간'!T4),"")</f>
        <v/>
      </c>
      <c r="I56" s="36">
        <f>IFERROR(('연간'!U74)/('연간'!U4),"")</f>
        <v/>
      </c>
      <c r="J56" s="36">
        <f>IFERROR(('연간'!V74)/('연간'!V4),"")</f>
        <v/>
      </c>
      <c r="K56" s="36">
        <f>IFERROR(('연간'!W74)/('연간'!W4),"")</f>
        <v/>
      </c>
      <c r="L56" s="36">
        <f>IFERROR(('연간'!X74)/('연간'!X4),"")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IFERROR(C9/(IF(COUNT('연간'!G38:J38)&lt;4,"",SUM('연간'!G38:J38)))*365,"")</f>
        <v/>
      </c>
      <c r="D60" s="49">
        <f>IFERROR(D9/(IF(COUNT('연간'!H38:K38)&lt;4,"",SUM('연간'!H38:K38)))*365,"")</f>
        <v/>
      </c>
      <c r="E60" s="49">
        <f>IFERROR(E9/(IF(COUNT('연간'!I38:L38)&lt;4,"",SUM('연간'!I38:L38)))*365,"")</f>
        <v/>
      </c>
      <c r="F60" s="49">
        <f>IFERROR(F9/(IF(COUNT('연간'!J38:M38)&lt;4,"",SUM('연간'!J38:M38)))*365,"")</f>
        <v/>
      </c>
      <c r="G60" s="49">
        <f>IFERROR(G9/(IF(COUNT('연간'!K38:N38)&lt;4,"",SUM('연간'!K38:N38)))*365,"")</f>
        <v/>
      </c>
      <c r="H60" s="48">
        <f>IFERROR(H9/('연간'!T38)*365,"")</f>
        <v/>
      </c>
      <c r="I60" s="49">
        <f>IFERROR(I9/('연간'!U38)*365,"")</f>
        <v/>
      </c>
      <c r="J60" s="49">
        <f>IFERROR(J9/('연간'!V38)*365,"")</f>
        <v/>
      </c>
      <c r="K60" s="49">
        <f>IFERROR(K9/('연간'!W38)*365,"")</f>
        <v/>
      </c>
      <c r="L60" s="49">
        <f>IFERROR(L9/('연간'!X38)*365,"")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IFERROR(C19/(IF(COUNT('연간'!G38:J38)&lt;4,"",SUM('연간'!G38:J38)))*365,"")</f>
        <v/>
      </c>
      <c r="D61" s="49">
        <f>IFERROR(D19/(IF(COUNT('연간'!H38:K38)&lt;4,"",SUM('연간'!H38:K38)))*365,"")</f>
        <v/>
      </c>
      <c r="E61" s="49">
        <f>IFERROR(E19/(IF(COUNT('연간'!I38:L38)&lt;4,"",SUM('연간'!I38:L38)))*365,"")</f>
        <v/>
      </c>
      <c r="F61" s="49">
        <f>IFERROR(F19/(IF(COUNT('연간'!J38:M38)&lt;4,"",SUM('연간'!J38:M38)))*365,"")</f>
        <v/>
      </c>
      <c r="G61" s="49">
        <f>IFERROR(G19/(IF(COUNT('연간'!K38:N38)&lt;4,"",SUM('연간'!K38:N38)))*365,"")</f>
        <v/>
      </c>
      <c r="H61" s="48">
        <f>IFERROR(H19/('연간'!T38)*365,"")</f>
        <v/>
      </c>
      <c r="I61" s="49">
        <f>IFERROR(I19/('연간'!U38)*365,"")</f>
        <v/>
      </c>
      <c r="J61" s="49">
        <f>IFERROR(J19/('연간'!V38)*365,"")</f>
        <v/>
      </c>
      <c r="K61" s="49">
        <f>IFERROR(K19/('연간'!W38)*365,"")</f>
        <v/>
      </c>
      <c r="L61" s="49">
        <f>IFERROR(L19/('연간'!X38)*365,"")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IF(C37="","",IFERROR(C37/(IF(COUNT('연간'!G74:J74)&lt;4,"",SUM('연간'!G74:J74))),""))</f>
        <v/>
      </c>
      <c r="D64" s="31">
        <f>IF(D37="","",IFERROR(D37/(IF(COUNT('연간'!H74:K74)&lt;4,"",SUM('연간'!H74:K74))),""))</f>
        <v/>
      </c>
      <c r="E64" s="31">
        <f>IF(E37="","",IFERROR(E37/(IF(COUNT('연간'!I74:L74)&lt;4,"",SUM('연간'!I74:L74))),""))</f>
        <v/>
      </c>
      <c r="F64" s="31">
        <f>IF(F37="","",IFERROR(F37/(IF(COUNT('연간'!J74:M74)&lt;4,"",SUM('연간'!J74:M74))),""))</f>
        <v/>
      </c>
      <c r="G64" s="31">
        <f>IF(G37="","",IFERROR(G37/(IF(COUNT('연간'!K74:N74)&lt;4,"",SUM('연간'!K74:N74))),""))</f>
        <v/>
      </c>
      <c r="H64" s="30">
        <f>IF(H37="","",IFERROR(H37/('연간'!T74),""))</f>
        <v/>
      </c>
      <c r="I64" s="31">
        <f>IF(I37="","",IFERROR(I37/('연간'!U74),""))</f>
        <v/>
      </c>
      <c r="J64" s="31">
        <f>IF(J37="","",IFERROR(J37/('연간'!V74),""))</f>
        <v/>
      </c>
      <c r="K64" s="31">
        <f>IF(K37="","",IFERROR(K37/('연간'!W74),""))</f>
        <v/>
      </c>
      <c r="L64" s="31">
        <f>IF(L37="","",IFERROR(L37/('연간'!X74),""))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IF(C40="","",IFERROR(C40/(IF(COUNT('연간'!G76:J76)&lt;4,"",SUM('연간'!G76:J76))),""))</f>
        <v/>
      </c>
      <c r="D67" s="36">
        <f>IF(D40="","",IFERROR(D40/(IF(COUNT('연간'!H76:K76)&lt;4,"",SUM('연간'!H76:K76))),""))</f>
        <v/>
      </c>
      <c r="E67" s="36">
        <f>IF(E40="","",IFERROR(E40/(IF(COUNT('연간'!I76:L76)&lt;4,"",SUM('연간'!I76:L76))),""))</f>
        <v/>
      </c>
      <c r="F67" s="36">
        <f>IF(F40="","",IFERROR(F40/(IF(COUNT('연간'!J76:M76)&lt;4,"",SUM('연간'!J76:M76))),""))</f>
        <v/>
      </c>
      <c r="G67" s="36">
        <f>IF(G40="","",IFERROR(G40/(IF(COUNT('연간'!K76:N76)&lt;4,"",SUM('연간'!K76:N76))),""))</f>
        <v/>
      </c>
      <c r="H67" s="35">
        <f>IF(H40="","",IFERROR(H40/('연간'!T76),""))</f>
        <v/>
      </c>
      <c r="I67" s="36">
        <f>IF(I40="","",IFERROR(I40/('연간'!U76),""))</f>
        <v/>
      </c>
      <c r="J67" s="36">
        <f>IF(J40="","",IFERROR(J40/('연간'!V76),""))</f>
        <v/>
      </c>
      <c r="K67" s="36">
        <f>IF(K40="","",IFERROR(K40/('연간'!W76),""))</f>
        <v/>
      </c>
      <c r="L67" s="36">
        <f>IF(L40="","",IFERROR(L40/('연간'!X76),""))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23726</v>
      </c>
      <c r="D71" s="20" t="n">
        <v>25318</v>
      </c>
      <c r="E71" s="20" t="n">
        <v>24440</v>
      </c>
      <c r="F71" s="20" t="n">
        <v>33751</v>
      </c>
      <c r="G71" s="20" t="n">
        <v>31097</v>
      </c>
      <c r="H71" s="20" t="n">
        <v>12921</v>
      </c>
      <c r="I71" s="20" t="n">
        <v>17591</v>
      </c>
      <c r="J71" s="20" t="n">
        <v>20869</v>
      </c>
      <c r="K71" s="20" t="n">
        <v>23726</v>
      </c>
      <c r="L71" s="20" t="n">
        <v>31097</v>
      </c>
    </row>
    <row r="72">
      <c r="A72" s="18" t="inlineStr">
        <is>
          <t>매출채권</t>
        </is>
      </c>
      <c r="H72" s="20" t="n">
        <v>0</v>
      </c>
    </row>
    <row r="73">
      <c r="A73" s="18" t="inlineStr">
        <is>
          <t>매출채권·계약자산</t>
        </is>
      </c>
      <c r="H73" s="20" t="n">
        <v>7981</v>
      </c>
    </row>
    <row r="74">
      <c r="A74" s="18" t="inlineStr">
        <is>
          <t>매출채권·계약자산</t>
        </is>
      </c>
      <c r="H74" s="20" t="n">
        <v>7981</v>
      </c>
    </row>
    <row r="75">
      <c r="A75" s="18" t="inlineStr">
        <is>
          <t>매출채권·계약자산</t>
        </is>
      </c>
      <c r="H75" s="20" t="n">
        <v>7981</v>
      </c>
    </row>
    <row r="76">
      <c r="A76" s="18" t="inlineStr">
        <is>
          <t>받을어음·매출채권·계약자산</t>
        </is>
      </c>
      <c r="C76" s="20" t="n">
        <v>15400</v>
      </c>
      <c r="D76" s="20" t="n">
        <v>15230</v>
      </c>
      <c r="E76" s="20" t="n">
        <v>17266</v>
      </c>
      <c r="F76" s="20" t="n">
        <v>20479</v>
      </c>
      <c r="G76" s="20" t="n">
        <v>24527</v>
      </c>
      <c r="H76" s="20" t="n">
        <v>7981</v>
      </c>
      <c r="I76" s="20" t="n">
        <v>11048</v>
      </c>
      <c r="J76" s="20" t="n">
        <v>13805</v>
      </c>
      <c r="K76" s="20" t="n">
        <v>15400</v>
      </c>
      <c r="L76" s="20" t="n">
        <v>24527</v>
      </c>
    </row>
    <row r="77">
      <c r="A77" s="18" t="inlineStr">
        <is>
          <t>재고자산</t>
        </is>
      </c>
      <c r="C77" s="20" t="n">
        <v>1626</v>
      </c>
      <c r="D77" s="20" t="n">
        <v>2145</v>
      </c>
      <c r="E77" s="20" t="n">
        <v>2733</v>
      </c>
      <c r="F77" s="20" t="n">
        <v>1971</v>
      </c>
      <c r="G77" s="20" t="n">
        <v>1832</v>
      </c>
      <c r="H77" s="20" t="n">
        <v>799</v>
      </c>
      <c r="I77" s="20" t="n">
        <v>733</v>
      </c>
      <c r="J77" s="20" t="n">
        <v>977</v>
      </c>
      <c r="K77" s="20" t="n">
        <v>1626</v>
      </c>
      <c r="L77" s="20" t="n">
        <v>1832</v>
      </c>
    </row>
    <row r="78">
      <c r="A78" s="18" t="inlineStr">
        <is>
          <t>기타</t>
        </is>
      </c>
      <c r="C78" s="20" t="n">
        <v>2390</v>
      </c>
      <c r="D78" s="20" t="n">
        <v>2455</v>
      </c>
      <c r="E78" s="20" t="n">
        <v>2611</v>
      </c>
      <c r="F78" s="20" t="n">
        <v>4253</v>
      </c>
      <c r="G78" s="20" t="n">
        <v>3868</v>
      </c>
      <c r="H78" s="20" t="n">
        <v>723</v>
      </c>
      <c r="I78" s="20" t="n">
        <v>1149</v>
      </c>
      <c r="J78" s="20" t="n">
        <v>1382</v>
      </c>
      <c r="K78" s="20" t="n">
        <v>2390</v>
      </c>
      <c r="L78" s="20" t="n">
        <v>3868</v>
      </c>
    </row>
    <row r="79">
      <c r="A79" s="18" t="inlineStr">
        <is>
          <t>대손충당금</t>
        </is>
      </c>
      <c r="C79" s="20" t="n">
        <v>-20</v>
      </c>
      <c r="D79" s="20" t="n">
        <v>-55</v>
      </c>
      <c r="E79" s="20" t="n">
        <v>-58</v>
      </c>
      <c r="F79" s="20" t="n">
        <v>-32</v>
      </c>
      <c r="G79" s="20" t="n">
        <v>-25</v>
      </c>
      <c r="H79" s="20" t="n">
        <v>-2</v>
      </c>
      <c r="I79" s="20" t="n">
        <v>-9</v>
      </c>
      <c r="J79" s="20" t="n">
        <v>-13</v>
      </c>
      <c r="K79" s="20" t="n">
        <v>-20</v>
      </c>
      <c r="L79" s="20" t="n">
        <v>-25</v>
      </c>
    </row>
    <row r="80">
      <c r="A80" s="9" t="inlineStr">
        <is>
          <t>유동자산 합계</t>
        </is>
      </c>
      <c r="C80" s="12" t="n">
        <v>43123</v>
      </c>
      <c r="D80" s="12" t="n">
        <v>45092</v>
      </c>
      <c r="E80" s="12" t="n">
        <v>46993</v>
      </c>
      <c r="F80" s="12" t="n">
        <v>60424</v>
      </c>
      <c r="G80" s="12" t="n">
        <v>61300</v>
      </c>
      <c r="H80" s="12" t="n">
        <v>22423</v>
      </c>
      <c r="I80" s="12" t="n">
        <v>30513</v>
      </c>
      <c r="J80" s="12" t="n">
        <v>37022</v>
      </c>
      <c r="K80" s="12" t="n">
        <v>43123</v>
      </c>
      <c r="L80" s="12" t="n">
        <v>61300</v>
      </c>
    </row>
    <row r="81">
      <c r="A81" s="18" t="inlineStr">
        <is>
          <t>건물(순액)</t>
        </is>
      </c>
      <c r="H81" s="20" t="n">
        <v>320</v>
      </c>
      <c r="I81" s="20" t="n">
        <v>625</v>
      </c>
      <c r="J81" s="20" t="n">
        <v>3969</v>
      </c>
    </row>
    <row r="82">
      <c r="A82" s="18" t="inlineStr">
        <is>
          <t>건물·구축물(순액)</t>
        </is>
      </c>
      <c r="C82" s="20" t="n">
        <v>4096</v>
      </c>
      <c r="G82" s="20" t="n">
        <v>4506</v>
      </c>
      <c r="J82" s="20" t="n">
        <v>3969</v>
      </c>
      <c r="K82" s="20" t="n">
        <v>4096</v>
      </c>
      <c r="L82" s="20" t="n">
        <v>4506</v>
      </c>
    </row>
    <row r="83">
      <c r="A83" s="18" t="inlineStr">
        <is>
          <t>공구·기구·비품(순액)</t>
        </is>
      </c>
      <c r="C83" s="20" t="n">
        <v>2605</v>
      </c>
      <c r="G83" s="20" t="n">
        <v>2228</v>
      </c>
      <c r="H83" s="20" t="n">
        <v>698</v>
      </c>
      <c r="I83" s="20" t="n">
        <v>1051</v>
      </c>
      <c r="J83" s="20" t="n">
        <v>2760</v>
      </c>
      <c r="K83" s="20" t="n">
        <v>2605</v>
      </c>
      <c r="L83" s="20" t="n">
        <v>2228</v>
      </c>
    </row>
    <row r="84">
      <c r="A84" s="18" t="inlineStr">
        <is>
          <t>토지</t>
        </is>
      </c>
      <c r="C84" s="20" t="n">
        <v>931</v>
      </c>
      <c r="G84" s="20" t="n">
        <v>931</v>
      </c>
      <c r="J84" s="20" t="n">
        <v>34</v>
      </c>
      <c r="K84" s="20" t="n">
        <v>931</v>
      </c>
      <c r="L84" s="20" t="n">
        <v>931</v>
      </c>
    </row>
    <row r="85">
      <c r="A85" s="18" t="inlineStr">
        <is>
          <t>리스자산(순액)</t>
        </is>
      </c>
      <c r="C85" s="20" t="n">
        <v>240</v>
      </c>
      <c r="G85" s="20" t="n">
        <v>782</v>
      </c>
      <c r="H85" s="20" t="n">
        <v>17</v>
      </c>
      <c r="I85" s="20" t="n">
        <v>11</v>
      </c>
      <c r="J85" s="20" t="n">
        <v>5</v>
      </c>
      <c r="K85" s="20" t="n">
        <v>240</v>
      </c>
      <c r="L85" s="20" t="n">
        <v>782</v>
      </c>
    </row>
    <row r="86">
      <c r="A86" s="18" t="inlineStr">
        <is>
          <t>기타(순액)</t>
        </is>
      </c>
      <c r="C86" s="20" t="n">
        <v>48</v>
      </c>
      <c r="G86" s="20" t="n">
        <v>36</v>
      </c>
      <c r="H86" s="20" t="n">
        <v>157</v>
      </c>
      <c r="I86" s="20" t="n">
        <v>273</v>
      </c>
      <c r="J86" s="20" t="n">
        <v>48</v>
      </c>
      <c r="K86" s="20" t="n">
        <v>48</v>
      </c>
      <c r="L86" s="20" t="n">
        <v>36</v>
      </c>
    </row>
    <row r="87">
      <c r="A87" s="18" t="inlineStr">
        <is>
          <t>유형자산 합계</t>
        </is>
      </c>
      <c r="C87" s="20" t="n">
        <v>7923</v>
      </c>
      <c r="D87" s="20" t="n">
        <v>8173</v>
      </c>
      <c r="E87" s="20" t="n">
        <v>8191</v>
      </c>
      <c r="F87" s="20" t="n">
        <v>8628</v>
      </c>
      <c r="G87" s="20" t="n">
        <v>8486</v>
      </c>
      <c r="H87" s="20" t="n">
        <v>1194</v>
      </c>
      <c r="I87" s="20" t="n">
        <v>1961</v>
      </c>
      <c r="J87" s="20" t="n">
        <v>6818</v>
      </c>
      <c r="K87" s="20" t="n">
        <v>7923</v>
      </c>
      <c r="L87" s="20" t="n">
        <v>8486</v>
      </c>
    </row>
    <row r="88">
      <c r="A88" s="18" t="inlineStr">
        <is>
          <t>영업권</t>
        </is>
      </c>
      <c r="C88" s="20" t="n">
        <v>7866</v>
      </c>
      <c r="D88" s="20" t="n">
        <v>7674</v>
      </c>
      <c r="E88" s="20" t="n">
        <v>7458</v>
      </c>
      <c r="F88" s="20" t="n">
        <v>19296</v>
      </c>
      <c r="G88" s="20" t="n">
        <v>22344</v>
      </c>
      <c r="H88" s="20" t="n">
        <v>6488</v>
      </c>
      <c r="I88" s="20" t="n">
        <v>8997</v>
      </c>
      <c r="J88" s="20" t="n">
        <v>9262</v>
      </c>
      <c r="K88" s="20" t="n">
        <v>7866</v>
      </c>
      <c r="L88" s="20" t="n">
        <v>22344</v>
      </c>
    </row>
    <row r="89">
      <c r="A89" s="18" t="inlineStr">
        <is>
          <t>고객관계자산</t>
        </is>
      </c>
      <c r="C89" s="20" t="n">
        <v>3921</v>
      </c>
      <c r="G89" s="20" t="n">
        <v>3851</v>
      </c>
      <c r="I89" s="20" t="n">
        <v>1189</v>
      </c>
      <c r="J89" s="20" t="n">
        <v>4347</v>
      </c>
      <c r="K89" s="20" t="n">
        <v>3921</v>
      </c>
      <c r="L89" s="20" t="n">
        <v>3851</v>
      </c>
    </row>
    <row r="90">
      <c r="A90" s="18" t="inlineStr">
        <is>
          <t>기타</t>
        </is>
      </c>
      <c r="C90" s="20" t="n">
        <v>400</v>
      </c>
      <c r="D90" s="20" t="n">
        <v>4282</v>
      </c>
      <c r="E90" s="20" t="n">
        <v>4215</v>
      </c>
      <c r="F90" s="20" t="n">
        <v>5516</v>
      </c>
      <c r="G90" s="20" t="n">
        <v>1673</v>
      </c>
      <c r="H90" s="20" t="n">
        <v>972</v>
      </c>
      <c r="I90" s="20" t="n">
        <v>242</v>
      </c>
      <c r="J90" s="20" t="n">
        <v>268</v>
      </c>
      <c r="K90" s="20" t="n">
        <v>400</v>
      </c>
      <c r="L90" s="20" t="n">
        <v>1673</v>
      </c>
    </row>
    <row r="91">
      <c r="A91" s="18" t="inlineStr">
        <is>
          <t>무형자산 합계</t>
        </is>
      </c>
      <c r="C91" s="20" t="n">
        <v>12188</v>
      </c>
      <c r="D91" s="20" t="n">
        <v>11956</v>
      </c>
      <c r="E91" s="20" t="n">
        <v>11673</v>
      </c>
      <c r="F91" s="20" t="n">
        <v>24813</v>
      </c>
      <c r="G91" s="20" t="n">
        <v>27868</v>
      </c>
      <c r="H91" s="20" t="n">
        <v>7461</v>
      </c>
      <c r="I91" s="20" t="n">
        <v>10428</v>
      </c>
      <c r="J91" s="20" t="n">
        <v>13877</v>
      </c>
      <c r="K91" s="20" t="n">
        <v>12188</v>
      </c>
      <c r="L91" s="20" t="n">
        <v>27868</v>
      </c>
    </row>
    <row r="92">
      <c r="A92" s="18" t="inlineStr">
        <is>
          <t>투자유가증권</t>
        </is>
      </c>
      <c r="C92" s="20" t="n">
        <v>9583</v>
      </c>
      <c r="D92" s="20" t="n">
        <v>9515</v>
      </c>
      <c r="E92" s="20" t="n">
        <v>9352</v>
      </c>
      <c r="F92" s="20" t="n">
        <v>4999</v>
      </c>
      <c r="G92" s="20" t="n">
        <v>4961</v>
      </c>
      <c r="H92" s="20" t="n">
        <v>7469</v>
      </c>
      <c r="I92" s="20" t="n">
        <v>3081</v>
      </c>
      <c r="J92" s="20" t="n">
        <v>1145</v>
      </c>
      <c r="K92" s="20" t="n">
        <v>9583</v>
      </c>
      <c r="L92" s="20" t="n">
        <v>4961</v>
      </c>
    </row>
    <row r="93">
      <c r="A93" s="18" t="inlineStr">
        <is>
          <t>퇴직급여자산</t>
        </is>
      </c>
      <c r="C93" s="20" t="n">
        <v>0</v>
      </c>
      <c r="G93" s="20" t="n">
        <v>289</v>
      </c>
      <c r="K93" s="20" t="n">
        <v>0</v>
      </c>
      <c r="L93" s="20" t="n">
        <v>289</v>
      </c>
    </row>
    <row r="94">
      <c r="A94" s="18" t="inlineStr">
        <is>
          <t>이연법인세자산</t>
        </is>
      </c>
      <c r="C94" s="20" t="n">
        <v>1527</v>
      </c>
      <c r="G94" s="20" t="n">
        <v>3491</v>
      </c>
      <c r="H94" s="20" t="n">
        <v>521</v>
      </c>
      <c r="I94" s="20" t="n">
        <v>1165</v>
      </c>
      <c r="J94" s="20" t="n">
        <v>1300</v>
      </c>
      <c r="K94" s="20" t="n">
        <v>1527</v>
      </c>
      <c r="L94" s="20" t="n">
        <v>3491</v>
      </c>
    </row>
    <row r="95">
      <c r="A95" s="18" t="inlineStr">
        <is>
          <t>장기예금</t>
        </is>
      </c>
      <c r="H95" s="20" t="n">
        <v>0</v>
      </c>
    </row>
    <row r="96">
      <c r="A96" s="18" t="inlineStr">
        <is>
          <t>임차보증금·보증금</t>
        </is>
      </c>
      <c r="C96" s="20" t="n">
        <v>2382</v>
      </c>
      <c r="G96" s="20" t="n">
        <v>3087</v>
      </c>
      <c r="H96" s="20" t="n">
        <v>1068</v>
      </c>
      <c r="I96" s="20" t="n">
        <v>2256</v>
      </c>
      <c r="J96" s="20" t="n">
        <v>2088</v>
      </c>
      <c r="K96" s="20" t="n">
        <v>2382</v>
      </c>
      <c r="L96" s="20" t="n">
        <v>3087</v>
      </c>
    </row>
    <row r="97">
      <c r="A97" s="18" t="inlineStr">
        <is>
          <t>기타</t>
        </is>
      </c>
      <c r="C97" s="20" t="n">
        <v>406</v>
      </c>
      <c r="D97" s="20" t="n">
        <v>4420</v>
      </c>
      <c r="E97" s="20" t="n">
        <v>4235</v>
      </c>
      <c r="F97" s="20" t="n">
        <v>6473</v>
      </c>
      <c r="G97" s="20" t="n">
        <v>275</v>
      </c>
      <c r="H97" s="20" t="n">
        <v>140</v>
      </c>
      <c r="I97" s="20" t="n">
        <v>181</v>
      </c>
      <c r="J97" s="20" t="n">
        <v>532</v>
      </c>
      <c r="K97" s="20" t="n">
        <v>406</v>
      </c>
      <c r="L97" s="20" t="n">
        <v>275</v>
      </c>
    </row>
    <row r="98">
      <c r="A98" s="18" t="inlineStr">
        <is>
          <t>대손충당금</t>
        </is>
      </c>
      <c r="C98" s="20" t="n">
        <v>-134</v>
      </c>
      <c r="D98" s="20" t="n">
        <v>-57</v>
      </c>
      <c r="E98" s="20" t="n">
        <v>-56</v>
      </c>
      <c r="F98" s="20" t="n">
        <v>-59</v>
      </c>
      <c r="G98" s="20" t="n">
        <v>-75</v>
      </c>
      <c r="H98" s="20" t="n">
        <v>-49</v>
      </c>
      <c r="I98" s="20" t="n">
        <v>-56</v>
      </c>
      <c r="J98" s="20" t="n">
        <v>-68</v>
      </c>
      <c r="K98" s="20" t="n">
        <v>-134</v>
      </c>
      <c r="L98" s="20" t="n">
        <v>-75</v>
      </c>
    </row>
    <row r="99">
      <c r="A99" s="18" t="inlineStr">
        <is>
          <t>투자 및 기타자산 합계</t>
        </is>
      </c>
      <c r="C99" s="20" t="n">
        <v>13765</v>
      </c>
      <c r="D99" s="20" t="n">
        <v>13878</v>
      </c>
      <c r="E99" s="20" t="n">
        <v>13531</v>
      </c>
      <c r="F99" s="20" t="n">
        <v>11413</v>
      </c>
      <c r="G99" s="20" t="n">
        <v>12029</v>
      </c>
      <c r="H99" s="20" t="n">
        <v>9150</v>
      </c>
      <c r="I99" s="20" t="n">
        <v>6627</v>
      </c>
      <c r="J99" s="20" t="n">
        <v>4998</v>
      </c>
      <c r="K99" s="20" t="n">
        <v>13765</v>
      </c>
      <c r="L99" s="20" t="n">
        <v>12029</v>
      </c>
    </row>
    <row r="100">
      <c r="A100" s="9" t="inlineStr">
        <is>
          <t>비유동자산 합계</t>
        </is>
      </c>
      <c r="C100" s="12" t="n">
        <v>33877</v>
      </c>
      <c r="D100" s="12" t="n">
        <v>34009</v>
      </c>
      <c r="E100" s="12" t="n">
        <v>33396</v>
      </c>
      <c r="F100" s="12" t="n">
        <v>44854</v>
      </c>
      <c r="G100" s="12" t="n">
        <v>48384</v>
      </c>
      <c r="H100" s="12" t="n">
        <v>17806</v>
      </c>
      <c r="I100" s="12" t="n">
        <v>19017</v>
      </c>
      <c r="J100" s="12" t="n">
        <v>25695</v>
      </c>
      <c r="K100" s="12" t="n">
        <v>33877</v>
      </c>
      <c r="L100" s="12" t="n">
        <v>48384</v>
      </c>
    </row>
    <row r="101">
      <c r="A101" s="9" t="inlineStr">
        <is>
          <t>자산 합계</t>
        </is>
      </c>
      <c r="C101" s="12" t="n">
        <v>77001</v>
      </c>
      <c r="D101" s="12" t="n">
        <v>79102</v>
      </c>
      <c r="E101" s="12" t="n">
        <v>80389</v>
      </c>
      <c r="F101" s="12" t="n">
        <v>105279</v>
      </c>
      <c r="G101" s="12" t="n">
        <v>109685</v>
      </c>
      <c r="H101" s="12" t="n">
        <v>40230</v>
      </c>
      <c r="I101" s="12" t="n">
        <v>49530</v>
      </c>
      <c r="J101" s="12" t="n">
        <v>62717</v>
      </c>
      <c r="K101" s="12" t="n">
        <v>77001</v>
      </c>
      <c r="L101" s="12" t="n">
        <v>109685</v>
      </c>
    </row>
    <row r="102">
      <c r="A102" s="18" t="inlineStr">
        <is>
          <t>매입채무</t>
        </is>
      </c>
      <c r="C102" s="20" t="n">
        <v>2054</v>
      </c>
      <c r="D102" s="20" t="n">
        <v>1823</v>
      </c>
      <c r="E102" s="20" t="n">
        <v>1970</v>
      </c>
      <c r="F102" s="20" t="n">
        <v>3745</v>
      </c>
      <c r="G102" s="20" t="n">
        <v>3962</v>
      </c>
      <c r="H102" s="20" t="n">
        <v>1554</v>
      </c>
      <c r="I102" s="20" t="n">
        <v>1530</v>
      </c>
      <c r="J102" s="20" t="n">
        <v>1509</v>
      </c>
      <c r="K102" s="20" t="n">
        <v>2054</v>
      </c>
      <c r="L102" s="20" t="n">
        <v>3962</v>
      </c>
    </row>
    <row r="103">
      <c r="A103" s="18" t="inlineStr">
        <is>
          <t>단기차입금</t>
        </is>
      </c>
      <c r="C103" s="20" t="n">
        <v>0</v>
      </c>
      <c r="D103" s="20" t="n">
        <v>4000</v>
      </c>
      <c r="E103" s="20" t="n">
        <v>10000</v>
      </c>
      <c r="F103" s="20" t="n">
        <v>18700</v>
      </c>
      <c r="H103" s="20" t="n">
        <v>20</v>
      </c>
      <c r="I103" s="20" t="n">
        <v>2470</v>
      </c>
      <c r="J103" s="20" t="n">
        <v>50</v>
      </c>
      <c r="K103" s="20" t="n">
        <v>0</v>
      </c>
    </row>
    <row r="104">
      <c r="A104" s="18" t="inlineStr">
        <is>
          <t>1년 내 상환 장기차입금</t>
        </is>
      </c>
      <c r="C104" s="20" t="n">
        <v>3532</v>
      </c>
      <c r="D104" s="20" t="n">
        <v>3671</v>
      </c>
      <c r="E104" s="20" t="n">
        <v>3405</v>
      </c>
      <c r="F104" s="20" t="n">
        <v>4672</v>
      </c>
      <c r="G104" s="20" t="n">
        <v>7175</v>
      </c>
      <c r="H104" s="20" t="n">
        <v>1226</v>
      </c>
      <c r="I104" s="20" t="n">
        <v>1066</v>
      </c>
      <c r="J104" s="20" t="n">
        <v>2856</v>
      </c>
      <c r="K104" s="20" t="n">
        <v>3532</v>
      </c>
      <c r="L104" s="20" t="n">
        <v>7175</v>
      </c>
    </row>
    <row r="105">
      <c r="A105" s="18" t="inlineStr">
        <is>
          <t>미지급비용</t>
        </is>
      </c>
      <c r="C105" s="20" t="n">
        <v>7308</v>
      </c>
      <c r="D105" s="20" t="n">
        <v>6994</v>
      </c>
      <c r="E105" s="20" t="n">
        <v>7347</v>
      </c>
      <c r="F105" s="20" t="n">
        <v>7870</v>
      </c>
      <c r="G105" s="20" t="n">
        <v>7142</v>
      </c>
      <c r="H105" s="20" t="n">
        <v>2856</v>
      </c>
      <c r="I105" s="20" t="n">
        <v>3891</v>
      </c>
      <c r="J105" s="20" t="n">
        <v>6367</v>
      </c>
      <c r="K105" s="20" t="n">
        <v>7308</v>
      </c>
      <c r="L105" s="20" t="n">
        <v>7142</v>
      </c>
    </row>
    <row r="106">
      <c r="A106" s="18" t="inlineStr">
        <is>
          <t>미지급법인세</t>
        </is>
      </c>
      <c r="C106" s="20" t="n">
        <v>3158</v>
      </c>
      <c r="D106" s="20" t="n">
        <v>1016</v>
      </c>
      <c r="E106" s="20" t="n">
        <v>2160</v>
      </c>
      <c r="F106" s="20" t="n">
        <v>907</v>
      </c>
      <c r="G106" s="20" t="n">
        <v>3881</v>
      </c>
      <c r="H106" s="20" t="n">
        <v>1523</v>
      </c>
      <c r="I106" s="20" t="n">
        <v>2807</v>
      </c>
      <c r="J106" s="20" t="n">
        <v>2012</v>
      </c>
      <c r="K106" s="20" t="n">
        <v>3158</v>
      </c>
      <c r="L106" s="20" t="n">
        <v>3881</v>
      </c>
    </row>
    <row r="107">
      <c r="A107" s="18" t="inlineStr">
        <is>
          <t>미지급 소비세</t>
        </is>
      </c>
      <c r="C107" s="20" t="n">
        <v>3236</v>
      </c>
      <c r="G107" s="20" t="n">
        <v>3386</v>
      </c>
      <c r="H107" s="20" t="n">
        <v>1886</v>
      </c>
      <c r="I107" s="20" t="n">
        <v>2797</v>
      </c>
      <c r="J107" s="20" t="n">
        <v>2246</v>
      </c>
      <c r="K107" s="20" t="n">
        <v>3236</v>
      </c>
      <c r="L107" s="20" t="n">
        <v>3386</v>
      </c>
    </row>
    <row r="108">
      <c r="A108" s="18" t="inlineStr">
        <is>
          <t>상여충당금</t>
        </is>
      </c>
      <c r="C108" s="20" t="n">
        <v>423</v>
      </c>
      <c r="D108" s="20" t="n">
        <v>622</v>
      </c>
      <c r="E108" s="20" t="n">
        <v>538</v>
      </c>
      <c r="F108" s="20" t="n">
        <v>2153</v>
      </c>
      <c r="G108" s="20" t="n">
        <v>1369</v>
      </c>
      <c r="H108" s="20" t="n">
        <v>184</v>
      </c>
      <c r="I108" s="20" t="n">
        <v>341</v>
      </c>
      <c r="J108" s="20" t="n">
        <v>339</v>
      </c>
      <c r="K108" s="20" t="n">
        <v>423</v>
      </c>
      <c r="L108" s="20" t="n">
        <v>1369</v>
      </c>
    </row>
    <row r="109">
      <c r="A109" s="18" t="inlineStr">
        <is>
          <t>수주손실 충당금</t>
        </is>
      </c>
      <c r="H109" s="20" t="n">
        <v>34</v>
      </c>
      <c r="I109" s="20" t="n">
        <v>0</v>
      </c>
      <c r="J109" s="20" t="n">
        <v>0</v>
      </c>
    </row>
    <row r="110">
      <c r="A110" s="18" t="inlineStr">
        <is>
          <t>주식보상 충당금</t>
        </is>
      </c>
      <c r="C110" s="20" t="n">
        <v>80</v>
      </c>
      <c r="D110" s="20" t="n">
        <v>75</v>
      </c>
      <c r="E110" s="20" t="n">
        <v>30</v>
      </c>
      <c r="F110" s="20" t="n">
        <v>30</v>
      </c>
      <c r="G110" s="20" t="n">
        <v>19</v>
      </c>
      <c r="J110" s="20" t="n">
        <v>0</v>
      </c>
      <c r="K110" s="20" t="n">
        <v>80</v>
      </c>
      <c r="L110" s="20" t="n">
        <v>19</v>
      </c>
    </row>
    <row r="111">
      <c r="A111" s="18" t="inlineStr">
        <is>
          <t>기타 충당금</t>
        </is>
      </c>
      <c r="C111" s="20" t="n">
        <v>16</v>
      </c>
      <c r="D111" s="20" t="n">
        <v>5</v>
      </c>
      <c r="E111" s="20" t="n">
        <v>0</v>
      </c>
      <c r="F111" s="20" t="n">
        <v>0</v>
      </c>
      <c r="G111" s="20" t="n">
        <v>0</v>
      </c>
      <c r="J111" s="20" t="n">
        <v>0</v>
      </c>
      <c r="K111" s="20" t="n">
        <v>16</v>
      </c>
      <c r="L111" s="20" t="n">
        <v>0</v>
      </c>
    </row>
    <row r="112">
      <c r="A112" s="18" t="inlineStr">
        <is>
          <t>기타</t>
        </is>
      </c>
      <c r="C112" s="20" t="n">
        <v>5217</v>
      </c>
      <c r="D112" s="20" t="n">
        <v>7868</v>
      </c>
      <c r="E112" s="20" t="n">
        <v>7376</v>
      </c>
      <c r="F112" s="20" t="n">
        <v>11379</v>
      </c>
      <c r="G112" s="20" t="n">
        <v>6921</v>
      </c>
      <c r="H112" s="20" t="n">
        <v>2439</v>
      </c>
      <c r="I112" s="20" t="n">
        <v>3415</v>
      </c>
      <c r="J112" s="20" t="n">
        <v>4271</v>
      </c>
      <c r="K112" s="20" t="n">
        <v>5217</v>
      </c>
      <c r="L112" s="20" t="n">
        <v>6921</v>
      </c>
    </row>
    <row r="113">
      <c r="A113" s="9" t="inlineStr">
        <is>
          <t>유동부채 합계</t>
        </is>
      </c>
      <c r="C113" s="12" t="n">
        <v>25028</v>
      </c>
      <c r="D113" s="12" t="n">
        <v>26076</v>
      </c>
      <c r="E113" s="12" t="n">
        <v>32829</v>
      </c>
      <c r="F113" s="12" t="n">
        <v>49460</v>
      </c>
      <c r="G113" s="12" t="n">
        <v>33858</v>
      </c>
      <c r="H113" s="12" t="n">
        <v>11726</v>
      </c>
      <c r="I113" s="12" t="n">
        <v>18319</v>
      </c>
      <c r="J113" s="12" t="n">
        <v>19653</v>
      </c>
      <c r="K113" s="12" t="n">
        <v>25028</v>
      </c>
      <c r="L113" s="12" t="n">
        <v>33858</v>
      </c>
    </row>
    <row r="114">
      <c r="A114" s="18" t="inlineStr">
        <is>
          <t>장기차입금</t>
        </is>
      </c>
      <c r="C114" s="20" t="n">
        <v>8504</v>
      </c>
      <c r="D114" s="20" t="n">
        <v>7468</v>
      </c>
      <c r="E114" s="20" t="n">
        <v>6653</v>
      </c>
      <c r="F114" s="20" t="n">
        <v>11312</v>
      </c>
      <c r="G114" s="20" t="n">
        <v>27538</v>
      </c>
      <c r="H114" s="20" t="n">
        <v>2306</v>
      </c>
      <c r="I114" s="20" t="n">
        <v>1367</v>
      </c>
      <c r="J114" s="20" t="n">
        <v>6671</v>
      </c>
      <c r="K114" s="20" t="n">
        <v>8504</v>
      </c>
      <c r="L114" s="20" t="n">
        <v>27538</v>
      </c>
    </row>
    <row r="115">
      <c r="A115" s="18" t="inlineStr">
        <is>
          <t>이연법인세부채</t>
        </is>
      </c>
      <c r="C115" s="20" t="n">
        <v>1194</v>
      </c>
      <c r="G115" s="20" t="n">
        <v>915</v>
      </c>
      <c r="I115" s="20" t="n">
        <v>135</v>
      </c>
      <c r="J115" s="20" t="n">
        <v>1177</v>
      </c>
      <c r="K115" s="20" t="n">
        <v>1194</v>
      </c>
      <c r="L115" s="20" t="n">
        <v>915</v>
      </c>
    </row>
    <row r="116">
      <c r="A116" s="18" t="inlineStr">
        <is>
          <t>퇴직급여부채</t>
        </is>
      </c>
      <c r="C116" s="20" t="n">
        <v>136</v>
      </c>
      <c r="D116" s="20" t="n">
        <v>130</v>
      </c>
      <c r="E116" s="20" t="n">
        <v>131</v>
      </c>
      <c r="F116" s="20" t="n">
        <v>3377</v>
      </c>
      <c r="G116" s="20" t="n">
        <v>3477</v>
      </c>
      <c r="H116" s="20" t="n">
        <v>0</v>
      </c>
      <c r="I116" s="20" t="n">
        <v>34</v>
      </c>
      <c r="J116" s="20" t="n">
        <v>33</v>
      </c>
      <c r="K116" s="20" t="n">
        <v>136</v>
      </c>
      <c r="L116" s="20" t="n">
        <v>3477</v>
      </c>
    </row>
    <row r="117">
      <c r="A117" s="18" t="inlineStr">
        <is>
          <t>자산복구부채</t>
        </is>
      </c>
      <c r="C117" s="20" t="n">
        <v>705</v>
      </c>
      <c r="D117" s="20" t="n">
        <v>707</v>
      </c>
      <c r="E117" s="20" t="n">
        <v>710</v>
      </c>
      <c r="F117" s="20" t="n">
        <v>1042</v>
      </c>
      <c r="G117" s="20" t="n">
        <v>1169</v>
      </c>
      <c r="J117" s="20" t="n">
        <v>627</v>
      </c>
      <c r="K117" s="20" t="n">
        <v>705</v>
      </c>
      <c r="L117" s="20" t="n">
        <v>1169</v>
      </c>
    </row>
    <row r="118">
      <c r="A118" s="18" t="inlineStr">
        <is>
          <t>기타</t>
        </is>
      </c>
      <c r="C118" s="20" t="n">
        <v>395</v>
      </c>
      <c r="D118" s="20" t="n">
        <v>1856</v>
      </c>
      <c r="E118" s="20" t="n">
        <v>1490</v>
      </c>
      <c r="F118" s="20" t="n">
        <v>1452</v>
      </c>
      <c r="G118" s="20" t="n">
        <v>528</v>
      </c>
      <c r="H118" s="20" t="n">
        <v>189</v>
      </c>
      <c r="I118" s="20" t="n">
        <v>95</v>
      </c>
      <c r="J118" s="20" t="n">
        <v>31</v>
      </c>
      <c r="K118" s="20" t="n">
        <v>395</v>
      </c>
      <c r="L118" s="20" t="n">
        <v>528</v>
      </c>
    </row>
    <row r="119">
      <c r="A119" s="9" t="inlineStr">
        <is>
          <t>비유동부채 합계</t>
        </is>
      </c>
      <c r="C119" s="12" t="n">
        <v>10935</v>
      </c>
      <c r="D119" s="12" t="n">
        <v>10162</v>
      </c>
      <c r="E119" s="12" t="n">
        <v>8985</v>
      </c>
      <c r="F119" s="12" t="n">
        <v>17184</v>
      </c>
      <c r="G119" s="12" t="n">
        <v>33628</v>
      </c>
      <c r="H119" s="12" t="n">
        <v>2496</v>
      </c>
      <c r="I119" s="12" t="n">
        <v>1632</v>
      </c>
      <c r="J119" s="12" t="n">
        <v>8542</v>
      </c>
      <c r="K119" s="12" t="n">
        <v>10935</v>
      </c>
      <c r="L119" s="12" t="n">
        <v>33628</v>
      </c>
    </row>
    <row r="120">
      <c r="A120" s="9" t="inlineStr">
        <is>
          <t>부채 합계</t>
        </is>
      </c>
      <c r="C120" s="12" t="n">
        <v>35963</v>
      </c>
      <c r="D120" s="12" t="n">
        <v>36239</v>
      </c>
      <c r="E120" s="12" t="n">
        <v>41815</v>
      </c>
      <c r="F120" s="12" t="n">
        <v>66644</v>
      </c>
      <c r="G120" s="12" t="n">
        <v>67487</v>
      </c>
      <c r="H120" s="12" t="n">
        <v>14222</v>
      </c>
      <c r="I120" s="12" t="n">
        <v>19951</v>
      </c>
      <c r="J120" s="12" t="n">
        <v>28195</v>
      </c>
      <c r="K120" s="12" t="n">
        <v>35963</v>
      </c>
      <c r="L120" s="12" t="n">
        <v>67487</v>
      </c>
    </row>
    <row r="121">
      <c r="A121" s="18" t="inlineStr">
        <is>
          <t>자본금</t>
        </is>
      </c>
      <c r="C121" s="20" t="n">
        <v>21</v>
      </c>
      <c r="D121" s="20" t="n">
        <v>21</v>
      </c>
      <c r="E121" s="20" t="n">
        <v>21</v>
      </c>
      <c r="F121" s="20" t="n">
        <v>21</v>
      </c>
      <c r="G121" s="20" t="n">
        <v>21</v>
      </c>
      <c r="H121" s="20" t="n">
        <v>77</v>
      </c>
      <c r="I121" s="20" t="n">
        <v>11</v>
      </c>
      <c r="J121" s="20" t="n">
        <v>21</v>
      </c>
      <c r="K121" s="20" t="n">
        <v>21</v>
      </c>
      <c r="L121" s="20" t="n">
        <v>21</v>
      </c>
    </row>
    <row r="122">
      <c r="A122" s="18" t="inlineStr">
        <is>
          <t>자본잉여금</t>
        </is>
      </c>
      <c r="C122" s="20" t="n">
        <v>14365</v>
      </c>
      <c r="D122" s="20" t="n">
        <v>14365</v>
      </c>
      <c r="E122" s="20" t="n">
        <v>14466</v>
      </c>
      <c r="F122" s="20" t="n">
        <v>14466</v>
      </c>
      <c r="G122" s="20" t="n">
        <v>14466</v>
      </c>
      <c r="H122" s="20" t="n">
        <v>16616</v>
      </c>
      <c r="I122" s="20" t="n">
        <v>15844</v>
      </c>
      <c r="J122" s="20" t="n">
        <v>15854</v>
      </c>
      <c r="K122" s="20" t="n">
        <v>14365</v>
      </c>
      <c r="L122" s="20" t="n">
        <v>14466</v>
      </c>
    </row>
    <row r="123">
      <c r="A123" s="18" t="inlineStr">
        <is>
          <t>이익잉여금</t>
        </is>
      </c>
      <c r="C123" s="20" t="n">
        <v>31964</v>
      </c>
      <c r="D123" s="20" t="n">
        <v>33759</v>
      </c>
      <c r="E123" s="20" t="n">
        <v>35976</v>
      </c>
      <c r="F123" s="20" t="n">
        <v>35943</v>
      </c>
      <c r="G123" s="20" t="n">
        <v>39394</v>
      </c>
      <c r="H123" s="20" t="n">
        <v>11655</v>
      </c>
      <c r="I123" s="20" t="n">
        <v>17901</v>
      </c>
      <c r="J123" s="20" t="n">
        <v>23029</v>
      </c>
      <c r="K123" s="20" t="n">
        <v>31964</v>
      </c>
      <c r="L123" s="20" t="n">
        <v>39394</v>
      </c>
    </row>
    <row r="124">
      <c r="A124" s="18" t="inlineStr">
        <is>
          <t>자기주식</t>
        </is>
      </c>
      <c r="C124" s="20" t="n">
        <v>-5834</v>
      </c>
      <c r="D124" s="20" t="n">
        <v>-5829</v>
      </c>
      <c r="E124" s="20" t="n">
        <v>-12176</v>
      </c>
      <c r="F124" s="20" t="n">
        <v>-12176</v>
      </c>
      <c r="G124" s="20" t="n">
        <v>-12165</v>
      </c>
      <c r="H124" s="20" t="n">
        <v>-2963</v>
      </c>
      <c r="I124" s="20" t="n">
        <v>-4948</v>
      </c>
      <c r="J124" s="20" t="n">
        <v>-4940</v>
      </c>
      <c r="K124" s="20" t="n">
        <v>-5834</v>
      </c>
      <c r="L124" s="20" t="n">
        <v>-12165</v>
      </c>
    </row>
    <row r="125">
      <c r="A125" s="9" t="inlineStr">
        <is>
          <t>주주자본 합계</t>
        </is>
      </c>
      <c r="C125" s="12" t="n">
        <v>40516</v>
      </c>
      <c r="D125" s="12" t="n">
        <v>42316</v>
      </c>
      <c r="E125" s="12" t="n">
        <v>38287</v>
      </c>
      <c r="F125" s="12" t="n">
        <v>38255</v>
      </c>
      <c r="G125" s="12" t="n">
        <v>41716</v>
      </c>
      <c r="H125" s="12" t="n">
        <v>25386</v>
      </c>
      <c r="I125" s="12" t="n">
        <v>28809</v>
      </c>
      <c r="J125" s="12" t="n">
        <v>33964</v>
      </c>
      <c r="K125" s="12" t="n">
        <v>40516</v>
      </c>
      <c r="L125" s="12" t="n">
        <v>41716</v>
      </c>
    </row>
    <row r="126">
      <c r="A126" s="18" t="inlineStr">
        <is>
          <t>기타유가증권 평가차액</t>
        </is>
      </c>
      <c r="C126" s="20" t="n">
        <v>71</v>
      </c>
      <c r="D126" s="20" t="n">
        <v>8</v>
      </c>
      <c r="E126" s="20" t="n">
        <v>-99</v>
      </c>
      <c r="F126" s="20" t="n">
        <v>-233</v>
      </c>
      <c r="G126" s="20" t="n">
        <v>-195</v>
      </c>
      <c r="H126" s="20" t="n">
        <v>174</v>
      </c>
      <c r="I126" s="20" t="n">
        <v>118</v>
      </c>
      <c r="J126" s="20" t="n">
        <v>-304</v>
      </c>
      <c r="K126" s="20" t="n">
        <v>71</v>
      </c>
      <c r="L126" s="20" t="n">
        <v>-195</v>
      </c>
    </row>
    <row r="127">
      <c r="A127" s="18" t="inlineStr">
        <is>
          <t>해외사업환산조정</t>
        </is>
      </c>
      <c r="C127" s="20" t="n">
        <v>10</v>
      </c>
      <c r="D127" s="20" t="n">
        <v>22</v>
      </c>
      <c r="E127" s="20" t="n">
        <v>22</v>
      </c>
      <c r="F127" s="20" t="n">
        <v>17</v>
      </c>
      <c r="G127" s="20" t="n">
        <v>24</v>
      </c>
      <c r="H127" s="20" t="n">
        <v>32</v>
      </c>
      <c r="I127" s="20" t="n">
        <v>30</v>
      </c>
      <c r="J127" s="20" t="n">
        <v>24</v>
      </c>
      <c r="K127" s="20" t="n">
        <v>10</v>
      </c>
      <c r="L127" s="20" t="n">
        <v>24</v>
      </c>
    </row>
    <row r="128">
      <c r="A128" s="18" t="inlineStr">
        <is>
          <t>퇴직급여 조정누계액</t>
        </is>
      </c>
      <c r="C128" s="20" t="n">
        <v>0</v>
      </c>
      <c r="G128" s="20" t="n">
        <v>13</v>
      </c>
      <c r="K128" s="20" t="n">
        <v>0</v>
      </c>
      <c r="L128" s="20" t="n">
        <v>13</v>
      </c>
    </row>
    <row r="129">
      <c r="A129" s="18" t="inlineStr">
        <is>
          <t>기타포괄손익누계액 합계</t>
        </is>
      </c>
      <c r="C129" s="20" t="n">
        <v>81</v>
      </c>
      <c r="D129" s="20" t="n">
        <v>30</v>
      </c>
      <c r="E129" s="20" t="n">
        <v>-77</v>
      </c>
      <c r="F129" s="20" t="n">
        <v>-216</v>
      </c>
      <c r="G129" s="20" t="n">
        <v>-157</v>
      </c>
      <c r="H129" s="20" t="n">
        <v>206</v>
      </c>
      <c r="I129" s="20" t="n">
        <v>148</v>
      </c>
      <c r="J129" s="20" t="n">
        <v>-279</v>
      </c>
      <c r="K129" s="20" t="n">
        <v>81</v>
      </c>
      <c r="L129" s="20" t="n">
        <v>-157</v>
      </c>
    </row>
    <row r="130">
      <c r="A130" s="18" t="inlineStr">
        <is>
          <t>주식인수권</t>
        </is>
      </c>
      <c r="C130" s="20" t="n">
        <v>413</v>
      </c>
      <c r="E130" s="20" t="n">
        <v>312</v>
      </c>
      <c r="F130" s="20" t="n">
        <v>377</v>
      </c>
      <c r="H130" s="20" t="n">
        <v>37</v>
      </c>
      <c r="I130" s="20" t="n">
        <v>140</v>
      </c>
      <c r="J130" s="20" t="n">
        <v>328</v>
      </c>
      <c r="K130" s="20" t="n">
        <v>413</v>
      </c>
    </row>
    <row r="131">
      <c r="A131" s="18" t="inlineStr">
        <is>
          <t>주식인수권</t>
        </is>
      </c>
      <c r="C131" s="20" t="n">
        <v>413</v>
      </c>
      <c r="D131" s="20" t="n">
        <v>489</v>
      </c>
      <c r="G131" s="20" t="n">
        <v>442</v>
      </c>
      <c r="H131" s="20" t="n">
        <v>37</v>
      </c>
      <c r="I131" s="20" t="n">
        <v>140</v>
      </c>
      <c r="J131" s="20" t="n">
        <v>328</v>
      </c>
      <c r="K131" s="20" t="n">
        <v>413</v>
      </c>
      <c r="L131" s="20" t="n">
        <v>442</v>
      </c>
    </row>
    <row r="132">
      <c r="A132" s="18" t="inlineStr">
        <is>
          <t>신주예약권</t>
        </is>
      </c>
      <c r="C132" s="20" t="n">
        <v>25</v>
      </c>
      <c r="D132" s="20" t="n">
        <v>25</v>
      </c>
      <c r="E132" s="20" t="n">
        <v>50</v>
      </c>
      <c r="F132" s="20" t="n">
        <v>50</v>
      </c>
      <c r="G132" s="20" t="n">
        <v>50</v>
      </c>
      <c r="H132" s="20" t="n">
        <v>16</v>
      </c>
      <c r="I132" s="20" t="n">
        <v>27</v>
      </c>
      <c r="J132" s="20" t="n">
        <v>25</v>
      </c>
      <c r="K132" s="20" t="n">
        <v>25</v>
      </c>
      <c r="L132" s="20" t="n">
        <v>50</v>
      </c>
    </row>
    <row r="133">
      <c r="A133" s="18" t="inlineStr">
        <is>
          <t>비지배지분</t>
        </is>
      </c>
      <c r="C133" s="20" t="n">
        <v>0</v>
      </c>
      <c r="F133" s="20" t="n">
        <v>167</v>
      </c>
      <c r="G133" s="20" t="n">
        <v>145</v>
      </c>
      <c r="H133" s="20" t="n">
        <v>359</v>
      </c>
      <c r="I133" s="20" t="n">
        <v>451</v>
      </c>
      <c r="J133" s="20" t="n">
        <v>482</v>
      </c>
      <c r="K133" s="20" t="n">
        <v>0</v>
      </c>
      <c r="L133" s="20" t="n">
        <v>145</v>
      </c>
    </row>
    <row r="134">
      <c r="A134" s="9" t="inlineStr">
        <is>
          <t>순자산 합계</t>
        </is>
      </c>
      <c r="C134" s="12" t="n">
        <v>41037</v>
      </c>
      <c r="D134" s="12" t="n">
        <v>42862</v>
      </c>
      <c r="E134" s="12" t="n">
        <v>38574</v>
      </c>
      <c r="F134" s="12" t="n">
        <v>38634</v>
      </c>
      <c r="G134" s="12" t="n">
        <v>42197</v>
      </c>
      <c r="H134" s="12" t="n">
        <v>26007</v>
      </c>
      <c r="I134" s="12" t="n">
        <v>29578</v>
      </c>
      <c r="J134" s="12" t="n">
        <v>34522</v>
      </c>
      <c r="K134" s="12" t="n">
        <v>41037</v>
      </c>
      <c r="L134" s="12" t="n">
        <v>42197</v>
      </c>
    </row>
    <row r="135">
      <c r="A135" s="9" t="inlineStr">
        <is>
          <t>부채·순자산 합계</t>
        </is>
      </c>
      <c r="C135" s="12" t="n">
        <v>77001</v>
      </c>
      <c r="D135" s="12" t="n">
        <v>79102</v>
      </c>
      <c r="E135" s="12" t="n">
        <v>80389</v>
      </c>
      <c r="F135" s="12" t="n">
        <v>105279</v>
      </c>
      <c r="G135" s="12" t="n">
        <v>109685</v>
      </c>
      <c r="H135" s="12" t="n">
        <v>40230</v>
      </c>
      <c r="I135" s="12" t="n">
        <v>49530</v>
      </c>
      <c r="J135" s="12" t="n">
        <v>62717</v>
      </c>
      <c r="K135" s="12" t="n">
        <v>77001</v>
      </c>
      <c r="L135" s="12" t="n">
        <v>109685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SHIFT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guidance · FY8/27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1900</v>
      </c>
      <c r="C6" s="56" t="inlineStr">
        <is>
          <t>2단계 보고서 자료(회사 설명회 자료·공시)</t>
        </is>
      </c>
    </row>
    <row r="7">
      <c r="A7" s="54" t="inlineStr">
        <is>
          <t>EPS</t>
        </is>
      </c>
      <c r="B7" s="57" t="n">
        <v>52.16</v>
      </c>
    </row>
    <row r="8">
      <c r="A8" s="54" t="inlineStr">
        <is>
          <t>dps</t>
        </is>
      </c>
      <c r="B8" s="57" t="n">
        <v>5.2</v>
      </c>
    </row>
    <row r="10">
      <c r="A10" s="52" t="inlineStr">
        <is>
          <t>컨센서스</t>
        </is>
      </c>
      <c r="B10" s="52" t="n"/>
      <c r="C10" s="52" t="n"/>
    </row>
    <row r="11">
      <c r="A11" s="53" t="inlineStr">
        <is>
          <t>항목</t>
        </is>
      </c>
      <c r="B11" s="53" t="inlineStr">
        <is>
          <t>값</t>
        </is>
      </c>
      <c r="C11" s="53" t="inlineStr">
        <is>
          <t>출처</t>
        </is>
      </c>
    </row>
    <row r="12">
      <c r="A12" s="54" t="inlineStr">
        <is>
          <t>목표주가 평균</t>
        </is>
      </c>
      <c r="B12" s="55" t="n">
        <v>984</v>
      </c>
      <c r="C12" s="56" t="inlineStr">
        <is>
          <t>야후 2026-10-22</t>
        </is>
      </c>
    </row>
    <row r="13">
      <c r="A13" s="54" t="inlineStr">
        <is>
          <t>4Q EPS 추정</t>
        </is>
      </c>
      <c r="B13" s="57" t="n">
        <v>16.42</v>
      </c>
    </row>
    <row r="14">
      <c r="A14" s="54" t="inlineStr">
        <is>
          <t>4Q EPS act</t>
        </is>
      </c>
      <c r="B14" s="57" t="n">
        <v>13.4</v>
      </c>
    </row>
    <row r="16">
      <c r="A16" s="52" t="inlineStr">
        <is>
          <t>consensus · FY8/27</t>
        </is>
      </c>
      <c r="B16" s="52" t="n"/>
      <c r="C16" s="52" t="n"/>
    </row>
    <row r="17">
      <c r="A17" s="53" t="inlineStr">
        <is>
          <t>항목</t>
        </is>
      </c>
      <c r="B17" s="53" t="inlineStr">
        <is>
          <t>값</t>
        </is>
      </c>
      <c r="C17" s="53" t="inlineStr">
        <is>
          <t>출처</t>
        </is>
      </c>
    </row>
    <row r="18">
      <c r="A18" s="54" t="inlineStr">
        <is>
          <t>매출 avg</t>
        </is>
      </c>
      <c r="B18" s="57" t="n">
        <v>1830.4</v>
      </c>
      <c r="C18" s="56" t="inlineStr">
        <is>
          <t>야후 2026-10-22</t>
        </is>
      </c>
    </row>
    <row r="19">
      <c r="A19" s="54" t="inlineStr">
        <is>
          <t>매출 애널리스트 수</t>
        </is>
      </c>
      <c r="B19" s="55" t="n">
        <v>6</v>
      </c>
    </row>
    <row r="20">
      <c r="A20" s="54" t="inlineStr">
        <is>
          <t>EPS avg</t>
        </is>
      </c>
      <c r="B20" s="57" t="n">
        <v>54.06</v>
      </c>
    </row>
    <row r="21">
      <c r="A21" s="54" t="inlineStr">
        <is>
          <t>EPS 애널리스트 수</t>
        </is>
      </c>
      <c r="B21" s="55" t="n">
        <v>2</v>
      </c>
    </row>
    <row r="23">
      <c r="A23" s="52" t="inlineStr">
        <is>
          <t>consensus · FY8/28</t>
        </is>
      </c>
      <c r="B23" s="52" t="n"/>
      <c r="C23" s="52" t="n"/>
    </row>
    <row r="24">
      <c r="A24" s="53" t="inlineStr">
        <is>
          <t>항목</t>
        </is>
      </c>
      <c r="B24" s="53" t="inlineStr">
        <is>
          <t>값</t>
        </is>
      </c>
      <c r="C24" s="53" t="inlineStr">
        <is>
          <t>출처</t>
        </is>
      </c>
    </row>
    <row r="25">
      <c r="A25" s="54" t="inlineStr">
        <is>
          <t>매출 avg</t>
        </is>
      </c>
      <c r="B25" s="57" t="n">
        <v>2103.2</v>
      </c>
      <c r="C25" s="56" t="inlineStr">
        <is>
          <t>야후 2026-10-22</t>
        </is>
      </c>
    </row>
    <row r="26">
      <c r="A26" s="54" t="inlineStr">
        <is>
          <t>EPS avg</t>
        </is>
      </c>
      <c r="B26" s="57" t="n">
        <v>65.89</v>
      </c>
    </row>
    <row r="28">
      <c r="A28" s="52" t="inlineStr">
        <is>
          <t>peers · 4442 바르테스</t>
        </is>
      </c>
      <c r="B28" s="52" t="n"/>
      <c r="C28" s="52" t="n"/>
    </row>
    <row r="29">
      <c r="A29" s="53" t="inlineStr">
        <is>
          <t>항목</t>
        </is>
      </c>
      <c r="B29" s="53" t="inlineStr">
        <is>
          <t>값</t>
        </is>
      </c>
      <c r="C29" s="53" t="inlineStr">
        <is>
          <t>출처</t>
        </is>
      </c>
    </row>
    <row r="30">
      <c r="A30" s="54" t="inlineStr">
        <is>
          <t>fc EPS</t>
        </is>
      </c>
      <c r="B30" s="57" t="n">
        <v>30.76</v>
      </c>
      <c r="C30" s="56" t="inlineStr">
        <is>
          <t>2단계 보고서 자료(회사 설명회 자료·공시)</t>
        </is>
      </c>
    </row>
    <row r="31">
      <c r="A31" s="54" t="inlineStr">
        <is>
          <t>가격</t>
        </is>
      </c>
      <c r="B31" s="55" t="n">
        <v>544</v>
      </c>
    </row>
    <row r="33">
      <c r="A33" s="52" t="inlineStr">
        <is>
          <t>peers · 3676 디지털하츠</t>
        </is>
      </c>
      <c r="B33" s="52" t="n"/>
      <c r="C33" s="52" t="n"/>
    </row>
    <row r="34">
      <c r="A34" s="53" t="inlineStr">
        <is>
          <t>항목</t>
        </is>
      </c>
      <c r="B34" s="53" t="inlineStr">
        <is>
          <t>값</t>
        </is>
      </c>
      <c r="C34" s="53" t="inlineStr">
        <is>
          <t>출처</t>
        </is>
      </c>
    </row>
    <row r="35">
      <c r="A35" s="54" t="inlineStr">
        <is>
          <t>fc EPS</t>
        </is>
      </c>
      <c r="B35" s="57" t="n">
        <v>82.95999999999999</v>
      </c>
      <c r="C35" s="56" t="inlineStr">
        <is>
          <t>2단계 보고서 자료(회사 설명회 자료·공시)</t>
        </is>
      </c>
    </row>
    <row r="36">
      <c r="A36" s="54" t="inlineStr">
        <is>
          <t>가격</t>
        </is>
      </c>
      <c r="B36" s="55" t="n">
        <v>1075</v>
      </c>
    </row>
    <row r="38">
      <c r="A38" s="52" t="inlineStr">
        <is>
          <t>peers · 2317 시스테나</t>
        </is>
      </c>
      <c r="B38" s="52" t="n"/>
      <c r="C38" s="52" t="n"/>
    </row>
    <row r="39">
      <c r="A39" s="53" t="inlineStr">
        <is>
          <t>항목</t>
        </is>
      </c>
      <c r="B39" s="53" t="inlineStr">
        <is>
          <t>값</t>
        </is>
      </c>
      <c r="C39" s="53" t="inlineStr">
        <is>
          <t>출처</t>
        </is>
      </c>
    </row>
    <row r="40">
      <c r="A40" s="54" t="inlineStr">
        <is>
          <t>fc EPS</t>
        </is>
      </c>
      <c r="B40" s="57" t="n">
        <v>29.74</v>
      </c>
      <c r="C40" s="56" t="inlineStr">
        <is>
          <t>2단계 보고서 자료(회사 설명회 자료·공시)</t>
        </is>
      </c>
    </row>
    <row r="41">
      <c r="A41" s="54" t="inlineStr">
        <is>
          <t>가격</t>
        </is>
      </c>
      <c r="B41" s="55" t="n">
        <v>460</v>
      </c>
    </row>
    <row r="43">
      <c r="A43" s="52" t="inlineStr">
        <is>
          <t>peers · 6532 베이커런트</t>
        </is>
      </c>
      <c r="B43" s="52" t="n"/>
      <c r="C43" s="52" t="n"/>
    </row>
    <row r="44">
      <c r="A44" s="53" t="inlineStr">
        <is>
          <t>항목</t>
        </is>
      </c>
      <c r="B44" s="53" t="inlineStr">
        <is>
          <t>값</t>
        </is>
      </c>
      <c r="C44" s="53" t="inlineStr">
        <is>
          <t>출처</t>
        </is>
      </c>
    </row>
    <row r="45">
      <c r="A45" s="54" t="inlineStr">
        <is>
          <t>fc EPS</t>
        </is>
      </c>
      <c r="B45" s="57" t="n">
        <v>323.79</v>
      </c>
      <c r="C45" s="56" t="inlineStr">
        <is>
          <t>2단계 보고서 자료(회사 설명회 자료·공시)</t>
        </is>
      </c>
    </row>
    <row r="46">
      <c r="A46" s="54" t="inlineStr">
        <is>
          <t>가격</t>
        </is>
      </c>
      <c r="B46" s="55" t="n">
        <v>11495</v>
      </c>
    </row>
    <row r="48">
      <c r="A48" s="52" t="inlineStr">
        <is>
          <t>비교 기업 · 9759 NSD</t>
        </is>
      </c>
      <c r="B48" s="52" t="n"/>
      <c r="C48" s="52" t="n"/>
    </row>
    <row r="49">
      <c r="A49" s="53" t="inlineStr">
        <is>
          <t>항목</t>
        </is>
      </c>
      <c r="B49" s="53" t="inlineStr">
        <is>
          <t>값</t>
        </is>
      </c>
      <c r="C49" s="53" t="inlineStr">
        <is>
          <t>출처</t>
        </is>
      </c>
    </row>
    <row r="50">
      <c r="A50" s="54" t="inlineStr">
        <is>
          <t>fc EPS</t>
        </is>
      </c>
      <c r="B50" s="57" t="n">
        <v>173.67</v>
      </c>
      <c r="C50" s="56" t="inlineStr">
        <is>
          <t>2단계 보고서 자료(회사 설명회 자료·공시)</t>
        </is>
      </c>
    </row>
    <row r="51">
      <c r="A51" s="54" t="inlineStr">
        <is>
          <t>가격</t>
        </is>
      </c>
      <c r="B51" s="55" t="n">
        <v>3230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https://www2.jpx.co.jp/disc/36970/140120261015551188.pdf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https://www2.jpx.co.jp/disc/36970/140120260715594578.pdf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https://www2.jpx.co.jp/disc/36970/140120260414503657.pdf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https://www2.jpx.co.jp/disc/36970/140120260114533653.pdf</t>
        </is>
      </c>
    </row>
    <row r="8">
      <c r="A8" t="inlineStr">
        <is>
          <t>2025-10-14</t>
        </is>
      </c>
      <c r="B8" t="inlineStr">
        <is>
          <t>2025년 8월 결산기 연간 결산단신</t>
        </is>
      </c>
      <c r="C8" t="inlineStr">
        <is>
          <t>https://www2.jpx.co.jp/disc/36970/140120251014572712.pdf</t>
        </is>
      </c>
    </row>
    <row r="9">
      <c r="A9" t="inlineStr">
        <is>
          <t>2025-07-09</t>
        </is>
      </c>
      <c r="B9" t="inlineStr">
        <is>
          <t>2025년 8월 결산기 ３분기 결산단신</t>
        </is>
      </c>
      <c r="C9" t="inlineStr">
        <is>
          <t>https://www2.jpx.co.jp/disc/36970/140120250709510601.pdf</t>
        </is>
      </c>
    </row>
    <row r="10">
      <c r="A10" t="inlineStr">
        <is>
          <t>2025-04-10</t>
        </is>
      </c>
      <c r="B10" t="inlineStr">
        <is>
          <t>2025년 8월 결산기 ２분기 결산단신</t>
        </is>
      </c>
      <c r="C10" t="inlineStr">
        <is>
          <t>https://www2.jpx.co.jp/disc/36970/140120250410512548.pdf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https://www2.jpx.co.jp/disc/36970/140120250114550207.pdf</t>
        </is>
      </c>
    </row>
    <row r="12">
      <c r="A12" t="inlineStr">
        <is>
          <t>2024-10-10</t>
        </is>
      </c>
      <c r="B12" t="inlineStr">
        <is>
          <t>2024년 8월 결산기 연간 결산단신</t>
        </is>
      </c>
      <c r="C12" t="inlineStr">
        <is>
          <t>https://www2.jpx.co.jp/disc/36970/140120241010596269.pdf</t>
        </is>
      </c>
    </row>
    <row r="13">
      <c r="A13" t="inlineStr">
        <is>
          <t>2024-07-10</t>
        </is>
      </c>
      <c r="B13" t="inlineStr">
        <is>
          <t>2024년 8월 결산기 ３분기 결산단신</t>
        </is>
      </c>
      <c r="C13" t="inlineStr">
        <is>
          <t>https://www2.jpx.co.jp/disc/36970/140120240710546846.pdf</t>
        </is>
      </c>
    </row>
    <row r="14">
      <c r="A14" t="inlineStr">
        <is>
          <t>2024-04-11</t>
        </is>
      </c>
      <c r="B14" t="inlineStr">
        <is>
          <t>2024년 8월 결산기 ２분기 결산단신</t>
        </is>
      </c>
      <c r="C14" t="inlineStr">
        <is>
          <t>https://www2.jpx.co.jp/disc/36970/140120240411568859.pdf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https://www2.jpx.co.jp/disc/36970/140120240111513409.pdf</t>
        </is>
      </c>
    </row>
    <row r="16">
      <c r="A16" t="inlineStr">
        <is>
          <t>2023-10-12</t>
        </is>
      </c>
      <c r="B16" t="inlineStr">
        <is>
          <t>2023년 8월 결산기 연간 결산단신</t>
        </is>
      </c>
      <c r="C16" t="inlineStr">
        <is>
          <t>https://www2.jpx.co.jp/disc/36970/140120231012565742.pdf</t>
        </is>
      </c>
    </row>
    <row r="17">
      <c r="A17" t="inlineStr">
        <is>
          <t>2023-07-13</t>
        </is>
      </c>
      <c r="B17" t="inlineStr">
        <is>
          <t>2023년 8월 결산기 ３분기 결산단신</t>
        </is>
      </c>
      <c r="C17" t="inlineStr">
        <is>
          <t>https://www2.jpx.co.jp/disc/36970/140120230713521444.pdf</t>
        </is>
      </c>
    </row>
    <row r="18">
      <c r="A18" t="inlineStr">
        <is>
          <t>2023-04-10</t>
        </is>
      </c>
      <c r="B18" t="inlineStr">
        <is>
          <t>2023년 8월 결산기 ２분기 결산단신</t>
        </is>
      </c>
      <c r="C18" t="inlineStr">
        <is>
          <t>https://www2.jpx.co.jp/disc/36970/140120230410544464.pdf</t>
        </is>
      </c>
    </row>
    <row r="19">
      <c r="A19" t="inlineStr">
        <is>
          <t>2023-01-12</t>
        </is>
      </c>
      <c r="B19" t="inlineStr">
        <is>
          <t>2023년 8월 결산기 １분기 결산단신</t>
        </is>
      </c>
      <c r="C19" t="inlineStr">
        <is>
          <t>https://www2.jpx.co.jp/disc/36970/140120230112587997.pdf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https://www2.jpx.co.jp/disc/36970/140120221014544294.pdf</t>
        </is>
      </c>
    </row>
    <row r="21">
      <c r="A21" t="inlineStr">
        <is>
          <t>2021-10-12</t>
        </is>
      </c>
      <c r="B21" t="inlineStr">
        <is>
          <t>2021년 8월 결산기 연간 결산단신</t>
        </is>
      </c>
      <c r="C21" t="inlineStr">
        <is>
          <t>https://www2.jpx.co.jp/disc/36970/140120211012409444.pdf</t>
        </is>
      </c>
    </row>
    <row r="22">
      <c r="A22" t="inlineStr">
        <is>
          <t>2020-10-08</t>
        </is>
      </c>
      <c r="B22" t="inlineStr">
        <is>
          <t>2020년 8월 결산기 연간 결산단신</t>
        </is>
      </c>
      <c r="C22" t="inlineStr">
        <is>
          <t>https://www2.jpx.co.jp/disc/36970/140120201008401276.pdf</t>
        </is>
      </c>
    </row>
    <row r="23">
      <c r="A23" t="inlineStr">
        <is>
          <t>2019-10-10</t>
        </is>
      </c>
      <c r="B23" t="inlineStr">
        <is>
          <t>2019년 8월 결산기 연간 결산단신</t>
        </is>
      </c>
      <c r="C23" t="inlineStr">
        <is>
          <t>https://www2.jpx.co.jp/disc/36970/140120191010406785.pdf</t>
        </is>
      </c>
    </row>
    <row r="24">
      <c r="A24" t="inlineStr">
        <is>
          <t>2018-10-11</t>
        </is>
      </c>
      <c r="B24" t="inlineStr">
        <is>
          <t>2018년 8월 결산기 연간 결산단신</t>
        </is>
      </c>
      <c r="C24" t="inlineStr">
        <is>
          <t>https://www2.jpx.co.jp/disc/36970/140120181011416348.pdf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2026-10-28T07:02:17Z</dcterms:created>
  <dcterms:modified xmlns:dcterms="http://purl.org/dc/terms/" xmlns:xsi="http://www.w3.org/2001/XMLSchema-instance" xsi:type="dcterms:W3CDTF">2026-10-28T07:02:18Z</dcterms:modified>
</cp:coreProperties>
</file>