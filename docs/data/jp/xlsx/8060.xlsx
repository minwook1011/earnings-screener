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캐논마케팅재팬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2026.3Q = 2026년 12월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164923</v>
      </c>
      <c r="D4" s="12" t="n">
        <v>157226</v>
      </c>
      <c r="E4" s="12" t="n">
        <v>161677</v>
      </c>
      <c r="F4" s="12" t="n">
        <v>154278</v>
      </c>
      <c r="G4" s="12" t="n">
        <v>180738</v>
      </c>
      <c r="H4" s="12" t="n">
        <v>167316</v>
      </c>
      <c r="I4" s="12" t="n">
        <v>166533</v>
      </c>
      <c r="J4" s="12" t="n">
        <v>157973</v>
      </c>
      <c r="K4" s="12" t="n">
        <v>187977</v>
      </c>
      <c r="L4" s="12" t="n">
        <v>171666</v>
      </c>
      <c r="M4" s="12" t="n">
        <v>168124</v>
      </c>
      <c r="N4" s="12" t="n">
        <v>167880</v>
      </c>
      <c r="O4" s="11" t="n">
        <v>629313</v>
      </c>
      <c r="P4" s="12" t="n">
        <v>632189</v>
      </c>
      <c r="Q4" s="12" t="n">
        <v>621591</v>
      </c>
      <c r="R4" s="12" t="n">
        <v>621134</v>
      </c>
      <c r="S4" s="12" t="n">
        <v>545060</v>
      </c>
      <c r="T4" s="12" t="n">
        <v>552085</v>
      </c>
      <c r="U4" s="12" t="n">
        <v>588132</v>
      </c>
      <c r="V4" s="12" t="n">
        <v>609473</v>
      </c>
      <c r="W4" s="12" t="n">
        <v>653919</v>
      </c>
      <c r="X4" s="12" t="n">
        <v>679799</v>
      </c>
      <c r="Y4" s="11">
        <f>IF(COUNT(Y7,Y10,Y13,Y16,Y19,Y22,Y25)=0,"",SUM(Y7,Y10,Y13,Y16,Y19,Y22,Y25))</f>
        <v/>
      </c>
      <c r="Z4" s="12">
        <f>IF(COUNT(Z7,Z10,Z13,Z16,Z19,Z22,Z25)=0,"",SUM(Z7,Z10,Z13,Z16,Z19,Z22,Z25))</f>
        <v/>
      </c>
      <c r="AA4" s="12">
        <f>IF(COUNT(AA7,AA10,AA13,AA16,AA19,AA22,AA25)=0,"",SUM(AA7,AA10,AA13,AA16,AA19,AA22,AA25))</f>
        <v/>
      </c>
      <c r="AB4" s="12">
        <f>IF(COUNT(AB7,AB10,AB13,AB16,AB19,AB22,AB25)=0,"",SUM(AB7,AB10,AB13,AB16,AB19,AB22,AB25))</f>
        <v/>
      </c>
      <c r="AC4" s="12">
        <f>IF(COUNT(AC7,AC10,AC13,AC16,AC19,AC22,AC25)=0,"",SUM(AC7,AC10,AC13,AC16,AC19,AC22,AC25))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EnterpriseReportableSegmentMember</t>
        </is>
      </c>
      <c r="B7" s="10" t="n"/>
      <c r="C7" s="19" t="n">
        <v>57133</v>
      </c>
      <c r="D7" s="20" t="n">
        <v>55413</v>
      </c>
      <c r="E7" s="20" t="n">
        <v>61839</v>
      </c>
      <c r="F7" s="20" t="n">
        <v>57789</v>
      </c>
      <c r="G7" s="20" t="n">
        <v>66258</v>
      </c>
      <c r="H7" s="20" t="n">
        <v>63356</v>
      </c>
      <c r="I7" s="20" t="n">
        <v>50615</v>
      </c>
      <c r="J7" s="20" t="n">
        <v>73296</v>
      </c>
      <c r="K7" s="20" t="n">
        <v>66242</v>
      </c>
      <c r="L7" s="20" t="n">
        <v>67078</v>
      </c>
      <c r="M7" s="20" t="n">
        <v>46050</v>
      </c>
      <c r="N7" s="20" t="n">
        <v>85122</v>
      </c>
      <c r="O7" s="19" t="n"/>
      <c r="P7" s="20" t="n"/>
      <c r="Q7" s="20" t="n"/>
      <c r="R7" s="20" t="n"/>
      <c r="S7" s="20" t="n"/>
      <c r="T7" s="20" t="n"/>
      <c r="U7" s="20" t="n"/>
      <c r="V7" s="20" t="n">
        <v>207990</v>
      </c>
      <c r="W7" s="20" t="n">
        <v>241299</v>
      </c>
      <c r="X7" s="20" t="n">
        <v>253509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AreaReportableSegmentMember</t>
        </is>
      </c>
      <c r="B10" s="10" t="n"/>
      <c r="C10" s="19" t="n">
        <v>54908</v>
      </c>
      <c r="D10" s="20" t="n">
        <v>57045</v>
      </c>
      <c r="E10" s="20" t="n">
        <v>54204</v>
      </c>
      <c r="F10" s="20" t="n">
        <v>52732</v>
      </c>
      <c r="G10" s="20" t="n">
        <v>55844</v>
      </c>
      <c r="H10" s="20" t="n">
        <v>57961</v>
      </c>
      <c r="I10" s="20" t="n">
        <v>7758</v>
      </c>
      <c r="J10" s="20" t="n">
        <v>104366</v>
      </c>
      <c r="K10" s="20" t="n">
        <v>58981</v>
      </c>
      <c r="L10" s="20" t="n">
        <v>57826</v>
      </c>
      <c r="M10" s="20" t="n">
        <v>10282</v>
      </c>
      <c r="N10" s="20" t="n">
        <v>101045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218243</v>
      </c>
      <c r="W10" s="20" t="n">
        <v>219825</v>
      </c>
      <c r="X10" s="20" t="n">
        <v>229066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ConsumerReportableSegmentMember</t>
        </is>
      </c>
      <c r="B13" s="10" t="n"/>
      <c r="C13" s="19" t="n"/>
      <c r="D13" s="20" t="n">
        <v>30139</v>
      </c>
      <c r="E13" s="20" t="n">
        <v>33956</v>
      </c>
      <c r="F13" s="20" t="n">
        <v>34174</v>
      </c>
      <c r="G13" s="20" t="n"/>
      <c r="H13" s="20" t="n">
        <v>31865</v>
      </c>
      <c r="I13" s="20" t="n">
        <v>94736</v>
      </c>
      <c r="J13" s="20" t="n">
        <v>-29226</v>
      </c>
      <c r="K13" s="20" t="n"/>
      <c r="L13" s="20" t="n">
        <v>32046</v>
      </c>
      <c r="M13" s="20" t="n">
        <v>100031</v>
      </c>
      <c r="N13" s="20" t="n">
        <v>-30652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ProfessionalReportableSegmentMember</t>
        </is>
      </c>
      <c r="B16" s="10" t="n"/>
      <c r="C16" s="19" t="n">
        <v>9430</v>
      </c>
      <c r="D16" s="20" t="n">
        <v>13619</v>
      </c>
      <c r="E16" s="20" t="n">
        <v>10630</v>
      </c>
      <c r="F16" s="20" t="n">
        <v>8632</v>
      </c>
      <c r="G16" s="20" t="n">
        <v>10683</v>
      </c>
      <c r="H16" s="20" t="n">
        <v>13060</v>
      </c>
      <c r="I16" s="20" t="n">
        <v>12334</v>
      </c>
      <c r="J16" s="20" t="n">
        <v>8529</v>
      </c>
      <c r="K16" s="20" t="n">
        <v>13561</v>
      </c>
      <c r="L16" s="20" t="n">
        <v>13487</v>
      </c>
      <c r="M16" s="20" t="n">
        <v>10533</v>
      </c>
      <c r="N16" s="20" t="n">
        <v>11223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39032</v>
      </c>
      <c r="W16" s="20" t="n">
        <v>43564</v>
      </c>
      <c r="X16" s="20" t="n">
        <v>47484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기타</t>
        </is>
      </c>
      <c r="B19" s="10" t="n"/>
      <c r="C19" s="19" t="n">
        <v>1516</v>
      </c>
      <c r="D19" s="20" t="n">
        <v>1008</v>
      </c>
      <c r="E19" s="20" t="n">
        <v>1047</v>
      </c>
      <c r="F19" s="20" t="n">
        <v>953</v>
      </c>
      <c r="G19" s="20" t="n">
        <v>1651</v>
      </c>
      <c r="H19" s="20" t="n">
        <v>1072</v>
      </c>
      <c r="I19" s="20" t="n">
        <v>1091</v>
      </c>
      <c r="J19" s="20" t="n">
        <v>1006</v>
      </c>
      <c r="K19" s="20" t="n">
        <v>1787</v>
      </c>
      <c r="L19" s="20" t="n">
        <v>1227</v>
      </c>
      <c r="M19" s="20" t="n">
        <v>1228</v>
      </c>
      <c r="N19" s="20" t="n">
        <v>1143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5308</v>
      </c>
      <c r="W19" s="20" t="n">
        <v>4659</v>
      </c>
      <c r="X19" s="20" t="n">
        <v>4956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EntityTotalMember</t>
        </is>
      </c>
      <c r="B22" s="10" t="n"/>
      <c r="C22" s="19" t="n"/>
      <c r="D22" s="20" t="n"/>
      <c r="E22" s="20" t="n"/>
      <c r="F22" s="20" t="n"/>
      <c r="G22" s="20" t="n"/>
      <c r="H22" s="20" t="n">
        <v>167316</v>
      </c>
      <c r="I22" s="20" t="n"/>
      <c r="J22" s="20" t="n"/>
      <c r="K22" s="20" t="n"/>
      <c r="L22" s="20" t="n">
        <v>171666</v>
      </c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ConsumersReportableSegmentMember</t>
        </is>
      </c>
      <c r="B25" s="10" t="n"/>
      <c r="C25" s="19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>
        <v>138918</v>
      </c>
      <c r="W25" s="20" t="n">
        <v>144588</v>
      </c>
      <c r="X25" s="20" t="n">
        <v>144796</v>
      </c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매출원가</t>
        </is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18" t="inlineStr">
        <is>
          <t>전체 매출원가</t>
        </is>
      </c>
      <c r="B29" s="10" t="n"/>
      <c r="C29" s="19" t="n">
        <v>110387</v>
      </c>
      <c r="D29" s="20" t="n">
        <v>105950</v>
      </c>
      <c r="E29" s="20" t="n">
        <v>109526</v>
      </c>
      <c r="F29" s="20" t="n">
        <v>104610</v>
      </c>
      <c r="G29" s="20" t="n">
        <v>122986</v>
      </c>
      <c r="H29" s="20" t="n">
        <v>115685</v>
      </c>
      <c r="I29" s="20" t="n">
        <v>112221</v>
      </c>
      <c r="J29" s="20" t="n">
        <v>107106</v>
      </c>
      <c r="K29" s="20" t="n">
        <v>127091</v>
      </c>
      <c r="L29" s="20" t="n">
        <v>116206</v>
      </c>
      <c r="M29" s="20" t="n">
        <v>114583</v>
      </c>
      <c r="N29" s="20" t="n">
        <v>114526</v>
      </c>
      <c r="O29" s="19" t="n">
        <v>403306</v>
      </c>
      <c r="P29" s="20" t="n">
        <v>408417</v>
      </c>
      <c r="Q29" s="20" t="n">
        <v>403417</v>
      </c>
      <c r="R29" s="20" t="n">
        <v>420107</v>
      </c>
      <c r="S29" s="20" t="n">
        <v>361077</v>
      </c>
      <c r="T29" s="20" t="n">
        <v>361809</v>
      </c>
      <c r="U29" s="20" t="n">
        <v>388842</v>
      </c>
      <c r="V29" s="20" t="n">
        <v>404980</v>
      </c>
      <c r="W29" s="20" t="n">
        <v>443072</v>
      </c>
      <c r="X29" s="20" t="n">
        <v>462103</v>
      </c>
      <c r="Y29" s="19" t="n"/>
      <c r="Z29" s="20" t="n"/>
      <c r="AA29" s="20" t="n"/>
      <c r="AB29" s="20" t="n"/>
      <c r="AC29" s="20" t="n"/>
    </row>
    <row r="30">
      <c r="A30" s="18" t="inlineStr">
        <is>
          <t>매출총이익</t>
        </is>
      </c>
      <c r="B30" s="10" t="n"/>
      <c r="C30" s="19">
        <f>IF(OR(C4="",C29=""),"",IFERROR(C4-C29,""))</f>
        <v/>
      </c>
      <c r="D30" s="20">
        <f>IF(OR(D4="",D29=""),"",IFERROR(D4-D29,""))</f>
        <v/>
      </c>
      <c r="E30" s="20">
        <f>IF(OR(E4="",E29=""),"",IFERROR(E4-E29,""))</f>
        <v/>
      </c>
      <c r="F30" s="20">
        <f>IF(OR(F4="",F29=""),"",IFERROR(F4-F29,""))</f>
        <v/>
      </c>
      <c r="G30" s="20">
        <f>IF(OR(G4="",G29=""),"",IFERROR(G4-G29,""))</f>
        <v/>
      </c>
      <c r="H30" s="20">
        <f>IF(OR(H4="",H29=""),"",IFERROR(H4-H29,""))</f>
        <v/>
      </c>
      <c r="I30" s="20">
        <f>IF(OR(I4="",I29=""),"",IFERROR(I4-I29,""))</f>
        <v/>
      </c>
      <c r="J30" s="20">
        <f>IF(OR(J4="",J29=""),"",IFERROR(J4-J29,""))</f>
        <v/>
      </c>
      <c r="K30" s="20">
        <f>IF(OR(K4="",K29=""),"",IFERROR(K4-K29,""))</f>
        <v/>
      </c>
      <c r="L30" s="20">
        <f>IF(OR(L4="",L29=""),"",IFERROR(L4-L29,""))</f>
        <v/>
      </c>
      <c r="M30" s="20">
        <f>IF(OR(M4="",M29=""),"",IFERROR(M4-M29,""))</f>
        <v/>
      </c>
      <c r="N30" s="20">
        <f>IF(OR(N4="",N29=""),"",IFERROR(N4-N29,""))</f>
        <v/>
      </c>
      <c r="O30" s="19">
        <f>IF(OR(O4="",O29=""),"",IFERROR(O4-O29,""))</f>
        <v/>
      </c>
      <c r="P30" s="20">
        <f>IF(OR(P4="",P29=""),"",IFERROR(P4-P29,""))</f>
        <v/>
      </c>
      <c r="Q30" s="20">
        <f>IF(OR(Q4="",Q29=""),"",IFERROR(Q4-Q29,""))</f>
        <v/>
      </c>
      <c r="R30" s="20">
        <f>IF(OR(R4="",R29=""),"",IFERROR(R4-R29,""))</f>
        <v/>
      </c>
      <c r="S30" s="20">
        <f>IF(OR(S4="",S29=""),"",IFERROR(S4-S29,""))</f>
        <v/>
      </c>
      <c r="T30" s="20">
        <f>IF(OR(T4="",T29=""),"",IFERROR(T4-T29,""))</f>
        <v/>
      </c>
      <c r="U30" s="20">
        <f>IF(OR(U4="",U29=""),"",IFERROR(U4-U29,""))</f>
        <v/>
      </c>
      <c r="V30" s="20">
        <f>IF(OR(V4="",V29=""),"",IFERROR(V4-V29,""))</f>
        <v/>
      </c>
      <c r="W30" s="20">
        <f>IF(OR(W4="",W29=""),"",IFERROR(W4-W29,""))</f>
        <v/>
      </c>
      <c r="X30" s="20">
        <f>IF(OR(X4="",X29=""),"",IFERROR(X4-X29,""))</f>
        <v/>
      </c>
      <c r="Y30" s="19" t="n"/>
      <c r="Z30" s="20" t="n"/>
      <c r="AA30" s="20" t="n"/>
      <c r="AB30" s="20" t="n"/>
      <c r="AC30" s="20" t="n"/>
    </row>
    <row r="31">
      <c r="A31" s="13" t="inlineStr">
        <is>
          <t>GPM</t>
        </is>
      </c>
      <c r="B31" s="10" t="n"/>
      <c r="C31" s="14">
        <f>IF(OR(C30="",C4=""),"",IFERROR(C30/C4,""))</f>
        <v/>
      </c>
      <c r="D31" s="15">
        <f>IF(OR(D30="",D4=""),"",IFERROR(D30/D4,""))</f>
        <v/>
      </c>
      <c r="E31" s="15">
        <f>IF(OR(E30="",E4=""),"",IFERROR(E30/E4,""))</f>
        <v/>
      </c>
      <c r="F31" s="15">
        <f>IF(OR(F30="",F4=""),"",IFERROR(F30/F4,""))</f>
        <v/>
      </c>
      <c r="G31" s="15">
        <f>IF(OR(G30="",G4=""),"",IFERROR(G30/G4,""))</f>
        <v/>
      </c>
      <c r="H31" s="15">
        <f>IF(OR(H30="",H4=""),"",IFERROR(H30/H4,""))</f>
        <v/>
      </c>
      <c r="I31" s="15">
        <f>IF(OR(I30="",I4=""),"",IFERROR(I30/I4,""))</f>
        <v/>
      </c>
      <c r="J31" s="15">
        <f>IF(OR(J30="",J4=""),"",IFERROR(J30/J4,""))</f>
        <v/>
      </c>
      <c r="K31" s="15">
        <f>IF(OR(K30="",K4=""),"",IFERROR(K30/K4,""))</f>
        <v/>
      </c>
      <c r="L31" s="15">
        <f>IF(OR(L30="",L4=""),"",IFERROR(L30/L4,""))</f>
        <v/>
      </c>
      <c r="M31" s="15">
        <f>IF(OR(M30="",M4=""),"",IFERROR(M30/M4,""))</f>
        <v/>
      </c>
      <c r="N31" s="15">
        <f>IF(OR(N30="",N4=""),"",IFERROR(N30/N4,""))</f>
        <v/>
      </c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>
        <f>IF(OR(Y30="",Y4=""),"",IFERROR(Y30/Y4,""))</f>
        <v/>
      </c>
      <c r="Z31" s="15">
        <f>IF(OR(Z30="",Z4=""),"",IFERROR(Z30/Z4,""))</f>
        <v/>
      </c>
      <c r="AA31" s="15">
        <f>IF(OR(AA30="",AA4=""),"",IFERROR(AA30/AA4,""))</f>
        <v/>
      </c>
      <c r="AB31" s="15">
        <f>IF(OR(AB30="",AB4=""),"",IFERROR(AB30/AB4,""))</f>
        <v/>
      </c>
      <c r="AC31" s="15">
        <f>IF(OR(AC30="",AC4=""),"",IFERROR(AC30/AC4,""))</f>
        <v/>
      </c>
    </row>
    <row r="32">
      <c r="A32" s="23" t="inlineStr">
        <is>
          <t>판매관리비</t>
        </is>
      </c>
      <c r="B32" s="23" t="n"/>
      <c r="C32" s="24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4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4" t="n"/>
      <c r="Z32" s="23" t="n"/>
      <c r="AA32" s="23" t="n"/>
      <c r="AB32" s="23" t="n"/>
      <c r="AC32" s="23" t="n"/>
    </row>
    <row r="33">
      <c r="A33" s="18" t="inlineStr">
        <is>
          <t>전체 판관비</t>
        </is>
      </c>
      <c r="B33" s="10" t="n"/>
      <c r="C33" s="19" t="n">
        <v>39722</v>
      </c>
      <c r="D33" s="20" t="n">
        <v>37467</v>
      </c>
      <c r="E33" s="20" t="n">
        <v>39925</v>
      </c>
      <c r="F33" s="20" t="n">
        <v>39412</v>
      </c>
      <c r="G33" s="20" t="n">
        <v>40919</v>
      </c>
      <c r="H33" s="20" t="n">
        <v>38461</v>
      </c>
      <c r="I33" s="20" t="n">
        <v>40155</v>
      </c>
      <c r="J33" s="20" t="n">
        <v>39993</v>
      </c>
      <c r="K33" s="20" t="n">
        <v>40898</v>
      </c>
      <c r="L33" s="20" t="n">
        <v>36933</v>
      </c>
      <c r="M33" s="20" t="n">
        <v>39580</v>
      </c>
      <c r="N33" s="20" t="n">
        <v>38926</v>
      </c>
      <c r="O33" s="19" t="n">
        <v>198331</v>
      </c>
      <c r="P33" s="20" t="n">
        <v>193365</v>
      </c>
      <c r="Q33" s="20" t="n">
        <v>189231</v>
      </c>
      <c r="R33" s="20" t="n">
        <v>168586</v>
      </c>
      <c r="S33" s="20" t="n">
        <v>152665</v>
      </c>
      <c r="T33" s="20" t="n">
        <v>150576</v>
      </c>
      <c r="U33" s="20" t="n">
        <v>149341</v>
      </c>
      <c r="V33" s="20" t="n">
        <v>151997</v>
      </c>
      <c r="W33" s="20" t="n">
        <v>157723</v>
      </c>
      <c r="X33" s="20" t="n">
        <v>159507</v>
      </c>
      <c r="Y33" s="19" t="n"/>
      <c r="Z33" s="20" t="n"/>
      <c r="AA33" s="20" t="n"/>
      <c r="AB33" s="20" t="n"/>
      <c r="AC33" s="20" t="n"/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14813</v>
      </c>
      <c r="D34" s="12" t="n">
        <v>13808</v>
      </c>
      <c r="E34" s="12" t="n">
        <v>12225</v>
      </c>
      <c r="F34" s="12" t="n">
        <v>10257</v>
      </c>
      <c r="G34" s="12" t="n">
        <v>16833</v>
      </c>
      <c r="H34" s="12" t="n">
        <v>13169</v>
      </c>
      <c r="I34" s="12" t="n">
        <v>14156</v>
      </c>
      <c r="J34" s="12" t="n">
        <v>10876</v>
      </c>
      <c r="K34" s="12" t="n">
        <v>19987</v>
      </c>
      <c r="L34" s="12" t="n">
        <v>18526</v>
      </c>
      <c r="M34" s="12" t="n">
        <v>13962</v>
      </c>
      <c r="N34" s="12" t="n">
        <v>14427</v>
      </c>
      <c r="O34" s="11" t="n">
        <v>27676</v>
      </c>
      <c r="P34" s="12" t="n">
        <v>30406</v>
      </c>
      <c r="Q34" s="12" t="n">
        <v>28941</v>
      </c>
      <c r="R34" s="12" t="n">
        <v>32439</v>
      </c>
      <c r="S34" s="12" t="n">
        <v>31317</v>
      </c>
      <c r="T34" s="12" t="n">
        <v>39699</v>
      </c>
      <c r="U34" s="12" t="n">
        <v>49947</v>
      </c>
      <c r="V34" s="12" t="n">
        <v>52495</v>
      </c>
      <c r="W34" s="12" t="n">
        <v>53123</v>
      </c>
      <c r="X34" s="12" t="n">
        <v>58188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IF(O33="","",O33)</f>
        <v/>
      </c>
      <c r="P38" s="12">
        <f>IF(P33="","",P33)</f>
        <v/>
      </c>
      <c r="Q38" s="12">
        <f>IF(Q33="","",Q33)</f>
        <v/>
      </c>
      <c r="R38" s="12">
        <f>IF(R33="","",R33)</f>
        <v/>
      </c>
      <c r="S38" s="12">
        <f>IF(S33="","",S33)</f>
        <v/>
      </c>
      <c r="T38" s="12">
        <f>IF(T33="","",T33)</f>
        <v/>
      </c>
      <c r="U38" s="12">
        <f>IF(U33="","",U33)</f>
        <v/>
      </c>
      <c r="V38" s="12">
        <f>IF(V33="","",V33)</f>
        <v/>
      </c>
      <c r="W38" s="12">
        <f>IF(W33="","",W33)</f>
        <v/>
      </c>
      <c r="X38" s="12">
        <f>IF(X33="","",X33)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>
        <v>2</v>
      </c>
      <c r="D50" s="20" t="n">
        <v>0</v>
      </c>
      <c r="E50" s="20" t="n">
        <v>2912</v>
      </c>
      <c r="F50" s="20" t="n">
        <v>-25</v>
      </c>
      <c r="G50" s="20" t="n">
        <v>23</v>
      </c>
      <c r="H50" s="20" t="n">
        <v>54</v>
      </c>
      <c r="I50" s="20" t="n">
        <v>388</v>
      </c>
      <c r="J50" s="20" t="n">
        <v>1113</v>
      </c>
      <c r="K50" s="20" t="n">
        <v>151</v>
      </c>
      <c r="L50" s="20" t="n">
        <v>456</v>
      </c>
      <c r="M50" s="20" t="n">
        <v>56</v>
      </c>
      <c r="N50" s="20" t="n">
        <v>624</v>
      </c>
      <c r="O50" s="19" t="n">
        <v>1473</v>
      </c>
      <c r="P50" s="20" t="n">
        <v>1482</v>
      </c>
      <c r="Q50" s="20" t="n">
        <v>830</v>
      </c>
      <c r="R50" s="20" t="n">
        <v>15</v>
      </c>
      <c r="S50" s="20" t="n">
        <v>581</v>
      </c>
      <c r="T50" s="20" t="n">
        <v>2376</v>
      </c>
      <c r="U50" s="20" t="n">
        <v>733</v>
      </c>
      <c r="V50" s="20" t="n">
        <v>117</v>
      </c>
      <c r="W50" s="20" t="n">
        <v>2910</v>
      </c>
      <c r="X50" s="20" t="n">
        <v>1706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>
        <v>25</v>
      </c>
      <c r="D52" s="20" t="n">
        <v>36</v>
      </c>
      <c r="E52" s="20" t="n">
        <v>60</v>
      </c>
      <c r="F52" s="20" t="n">
        <v>13</v>
      </c>
      <c r="G52" s="20" t="n">
        <v>47</v>
      </c>
      <c r="H52" s="20" t="n">
        <v>291</v>
      </c>
      <c r="I52" s="20" t="n">
        <v>257</v>
      </c>
      <c r="J52" s="20" t="n">
        <v>22</v>
      </c>
      <c r="K52" s="20" t="n">
        <v>345</v>
      </c>
      <c r="L52" s="20" t="n">
        <v>27</v>
      </c>
      <c r="M52" s="20" t="n">
        <v>53</v>
      </c>
      <c r="N52" s="20" t="n">
        <v>37</v>
      </c>
      <c r="O52" s="19" t="n">
        <v>1287</v>
      </c>
      <c r="P52" s="20" t="n">
        <v>2054</v>
      </c>
      <c r="Q52" s="20" t="n">
        <v>641</v>
      </c>
      <c r="R52" s="20" t="n">
        <v>649</v>
      </c>
      <c r="S52" s="20" t="n">
        <v>2355</v>
      </c>
      <c r="T52" s="20" t="n">
        <v>377</v>
      </c>
      <c r="U52" s="20" t="n">
        <v>202</v>
      </c>
      <c r="V52" s="20" t="n">
        <v>645</v>
      </c>
      <c r="W52" s="20" t="n">
        <v>156</v>
      </c>
      <c r="X52" s="20" t="n">
        <v>915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245</v>
      </c>
      <c r="D54" s="20" t="n">
        <v>251</v>
      </c>
      <c r="E54" s="20" t="n">
        <v>906</v>
      </c>
      <c r="F54" s="20" t="n">
        <v>215</v>
      </c>
      <c r="G54" s="20" t="n">
        <v>396</v>
      </c>
      <c r="H54" s="20" t="n">
        <v>246</v>
      </c>
      <c r="I54" s="20" t="n">
        <v>831</v>
      </c>
      <c r="J54" s="20" t="n">
        <v>649</v>
      </c>
      <c r="K54" s="20" t="n">
        <v>413</v>
      </c>
      <c r="L54" s="20" t="n">
        <v>205</v>
      </c>
      <c r="M54" s="20" t="n">
        <v>842</v>
      </c>
      <c r="N54" s="20" t="n">
        <v>202</v>
      </c>
      <c r="O54" s="19" t="n">
        <v>1405</v>
      </c>
      <c r="P54" s="20" t="n">
        <v>1328</v>
      </c>
      <c r="Q54" s="20" t="n">
        <v>1807</v>
      </c>
      <c r="R54" s="20" t="n">
        <v>1667</v>
      </c>
      <c r="S54" s="20" t="n">
        <v>4106</v>
      </c>
      <c r="T54" s="20" t="n">
        <v>1562</v>
      </c>
      <c r="U54" s="20" t="n">
        <v>1225</v>
      </c>
      <c r="V54" s="20" t="n">
        <v>1291</v>
      </c>
      <c r="W54" s="20" t="n">
        <v>1768</v>
      </c>
      <c r="X54" s="20" t="n">
        <v>2139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12</v>
      </c>
      <c r="D56" s="20" t="n">
        <v>91</v>
      </c>
      <c r="E56" s="20" t="n">
        <v>109</v>
      </c>
      <c r="F56" s="20" t="n">
        <v>202</v>
      </c>
      <c r="G56" s="20" t="n">
        <v>95</v>
      </c>
      <c r="H56" s="20" t="n">
        <v>212</v>
      </c>
      <c r="I56" s="20" t="n">
        <v>143</v>
      </c>
      <c r="J56" s="20" t="n">
        <v>45</v>
      </c>
      <c r="K56" s="20" t="n">
        <v>88</v>
      </c>
      <c r="L56" s="20" t="n">
        <v>165</v>
      </c>
      <c r="M56" s="20" t="n">
        <v>156</v>
      </c>
      <c r="N56" s="20" t="n">
        <v>146</v>
      </c>
      <c r="O56" s="19" t="n">
        <v>363</v>
      </c>
      <c r="P56" s="20" t="n">
        <v>244</v>
      </c>
      <c r="Q56" s="20" t="n">
        <v>229</v>
      </c>
      <c r="R56" s="20" t="n">
        <v>169</v>
      </c>
      <c r="S56" s="20" t="n">
        <v>187</v>
      </c>
      <c r="T56" s="20" t="n">
        <v>165</v>
      </c>
      <c r="U56" s="20" t="n">
        <v>180</v>
      </c>
      <c r="V56" s="20" t="n">
        <v>201</v>
      </c>
      <c r="W56" s="20" t="n">
        <v>497</v>
      </c>
      <c r="X56" s="20" t="n">
        <v>488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15023</v>
      </c>
      <c r="D58" s="12" t="n">
        <v>13932</v>
      </c>
      <c r="E58" s="12" t="n">
        <v>15874</v>
      </c>
      <c r="F58" s="12" t="n">
        <v>10233</v>
      </c>
      <c r="G58" s="12" t="n">
        <v>17109</v>
      </c>
      <c r="H58" s="12" t="n">
        <v>12966</v>
      </c>
      <c r="I58" s="12" t="n">
        <v>14975</v>
      </c>
      <c r="J58" s="12" t="n">
        <v>12571</v>
      </c>
      <c r="K58" s="12" t="n">
        <v>20118</v>
      </c>
      <c r="L58" s="12" t="n">
        <v>18994</v>
      </c>
      <c r="M58" s="12" t="n">
        <v>14652</v>
      </c>
      <c r="N58" s="12" t="n">
        <v>15071</v>
      </c>
      <c r="O58" s="11" t="n">
        <v>28903</v>
      </c>
      <c r="P58" s="12" t="n">
        <v>30918</v>
      </c>
      <c r="Q58" s="12" t="n">
        <v>30708</v>
      </c>
      <c r="R58" s="12" t="n">
        <v>33302</v>
      </c>
      <c r="S58" s="12" t="n">
        <v>33463</v>
      </c>
      <c r="T58" s="12" t="n">
        <v>43094</v>
      </c>
      <c r="U58" s="12" t="n">
        <v>51523</v>
      </c>
      <c r="V58" s="12" t="n">
        <v>53057</v>
      </c>
      <c r="W58" s="12" t="n">
        <v>57148</v>
      </c>
      <c r="X58" s="12" t="n">
        <v>60630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8" t="inlineStr">
        <is>
          <t>법인세비용(수익)</t>
        </is>
      </c>
      <c r="B59" s="10" t="n"/>
      <c r="C59" s="19" t="n">
        <v>4366</v>
      </c>
      <c r="D59" s="20" t="n">
        <v>4379</v>
      </c>
      <c r="E59" s="20" t="n">
        <v>5230</v>
      </c>
      <c r="F59" s="20" t="n">
        <v>3383</v>
      </c>
      <c r="G59" s="20" t="n">
        <v>4752</v>
      </c>
      <c r="H59" s="20" t="n">
        <v>4133</v>
      </c>
      <c r="I59" s="20" t="n">
        <v>4903</v>
      </c>
      <c r="J59" s="20" t="n">
        <v>4140</v>
      </c>
      <c r="K59" s="20" t="n">
        <v>5910</v>
      </c>
      <c r="L59" s="20" t="n">
        <v>6174</v>
      </c>
      <c r="M59" s="20" t="n">
        <v>4826</v>
      </c>
      <c r="N59" s="20" t="n">
        <v>5070</v>
      </c>
      <c r="O59" s="19" t="n">
        <v>10707</v>
      </c>
      <c r="P59" s="20" t="n">
        <v>10222</v>
      </c>
      <c r="Q59" s="20" t="n">
        <v>9815</v>
      </c>
      <c r="R59" s="20" t="n">
        <v>10963</v>
      </c>
      <c r="S59" s="20" t="n">
        <v>11392</v>
      </c>
      <c r="T59" s="20" t="n">
        <v>13598</v>
      </c>
      <c r="U59" s="20" t="n">
        <v>15896</v>
      </c>
      <c r="V59" s="20" t="n">
        <v>16473</v>
      </c>
      <c r="W59" s="20" t="n">
        <v>17744</v>
      </c>
      <c r="X59" s="20" t="n">
        <v>19086</v>
      </c>
      <c r="Y59" s="19">
        <f>IF(OR(Y58="",Y60=""),"",IFERROR(MAX(Y58,0)*Y60,""))</f>
        <v/>
      </c>
      <c r="Z59" s="20">
        <f>IF(OR(Z58="",Z60=""),"",IFERROR(MAX(Z58,0)*Z60,""))</f>
        <v/>
      </c>
      <c r="AA59" s="20">
        <f>IF(OR(AA58="",AA60=""),"",IFERROR(MAX(AA58,0)*AA60,""))</f>
        <v/>
      </c>
      <c r="AB59" s="20">
        <f>IF(OR(AB58="",AB60=""),"",IFERROR(MAX(AB58,0)*AB60,""))</f>
        <v/>
      </c>
      <c r="AC59" s="20">
        <f>IF(OR(AC58="",AC60=""),"",IFERROR(MAX(AC58,0)*AC60,""))</f>
        <v/>
      </c>
    </row>
    <row r="60">
      <c r="A60" s="13" t="inlineStr">
        <is>
          <t>법인세율</t>
        </is>
      </c>
      <c r="B60" s="10" t="inlineStr">
        <is>
          <t>MW 기본 30%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0.3</v>
      </c>
      <c r="Z60" s="26" t="n">
        <v>0.3</v>
      </c>
      <c r="AA60" s="26" t="n">
        <v>0.3</v>
      </c>
      <c r="AB60" s="26" t="n">
        <v>0.3</v>
      </c>
      <c r="AC60" s="26" t="n">
        <v>0.3</v>
      </c>
    </row>
    <row r="61">
      <c r="A61" s="9" t="inlineStr">
        <is>
          <t>당기순이익(손실)</t>
        </is>
      </c>
      <c r="B61" s="10" t="n"/>
      <c r="C61" s="11" t="n">
        <v>10657</v>
      </c>
      <c r="D61" s="12" t="n">
        <v>9553</v>
      </c>
      <c r="E61" s="12" t="n">
        <v>10643</v>
      </c>
      <c r="F61" s="12" t="n">
        <v>6850</v>
      </c>
      <c r="G61" s="12" t="n">
        <v>12357</v>
      </c>
      <c r="H61" s="12" t="n">
        <v>8832</v>
      </c>
      <c r="I61" s="12" t="n">
        <v>10073</v>
      </c>
      <c r="J61" s="12" t="n">
        <v>8430</v>
      </c>
      <c r="K61" s="12" t="n">
        <v>14209</v>
      </c>
      <c r="L61" s="12" t="n">
        <v>12819</v>
      </c>
      <c r="M61" s="12" t="n">
        <v>9826</v>
      </c>
      <c r="N61" s="12" t="n">
        <v>10001</v>
      </c>
      <c r="O61" s="11" t="n">
        <v>18195</v>
      </c>
      <c r="P61" s="12" t="n">
        <v>20695</v>
      </c>
      <c r="Q61" s="12" t="n">
        <v>20893</v>
      </c>
      <c r="R61" s="12" t="n">
        <v>22339</v>
      </c>
      <c r="S61" s="12" t="n">
        <v>22071</v>
      </c>
      <c r="T61" s="12" t="n">
        <v>29495</v>
      </c>
      <c r="U61" s="12" t="n">
        <v>35626</v>
      </c>
      <c r="V61" s="12" t="n">
        <v>36583</v>
      </c>
      <c r="W61" s="12" t="n">
        <v>39403</v>
      </c>
      <c r="X61" s="12" t="n">
        <v>41544</v>
      </c>
      <c r="Y61" s="11">
        <f>IF(OR(Y58=""),"",IFERROR(Y58-Y59,""))</f>
        <v/>
      </c>
      <c r="Z61" s="12">
        <f>IF(OR(Z58=""),"",IFERROR(Z58-Z59,""))</f>
        <v/>
      </c>
      <c r="AA61" s="12">
        <f>IF(OR(AA58=""),"",IFERROR(AA58-AA59,""))</f>
        <v/>
      </c>
      <c r="AB61" s="12">
        <f>IF(OR(AB58=""),"",IFERROR(AB58-AB59,""))</f>
        <v/>
      </c>
      <c r="AC61" s="12">
        <f>IF(OR(AC58=""),"",IFERROR(AC58-AC59,""))</f>
        <v/>
      </c>
    </row>
    <row r="62">
      <c r="A62" s="9" t="inlineStr">
        <is>
          <t>지배주주 순이익</t>
        </is>
      </c>
      <c r="B62" s="10" t="n"/>
      <c r="C62" s="11" t="n">
        <v>10639</v>
      </c>
      <c r="D62" s="12" t="n">
        <v>9523</v>
      </c>
      <c r="E62" s="12" t="n">
        <v>10624</v>
      </c>
      <c r="F62" s="12" t="n">
        <v>6833</v>
      </c>
      <c r="G62" s="12" t="n">
        <v>12335</v>
      </c>
      <c r="H62" s="12" t="n">
        <v>8809</v>
      </c>
      <c r="I62" s="12" t="n">
        <v>10055</v>
      </c>
      <c r="J62" s="12" t="n">
        <v>8411</v>
      </c>
      <c r="K62" s="12" t="n">
        <v>14183</v>
      </c>
      <c r="L62" s="12" t="n">
        <v>12800</v>
      </c>
      <c r="M62" s="12" t="n">
        <v>9813</v>
      </c>
      <c r="N62" s="12" t="n">
        <v>9986</v>
      </c>
      <c r="O62" s="11" t="n">
        <v>18161</v>
      </c>
      <c r="P62" s="12" t="n">
        <v>20679</v>
      </c>
      <c r="Q62" s="12" t="n">
        <v>20826</v>
      </c>
      <c r="R62" s="12" t="n">
        <v>22250</v>
      </c>
      <c r="S62" s="12" t="n">
        <v>21997</v>
      </c>
      <c r="T62" s="12" t="n">
        <v>29420</v>
      </c>
      <c r="U62" s="12" t="n">
        <v>35552</v>
      </c>
      <c r="V62" s="12" t="n">
        <v>36493</v>
      </c>
      <c r="W62" s="12" t="n">
        <v>39315</v>
      </c>
      <c r="X62" s="12" t="n">
        <v>41458</v>
      </c>
      <c r="Y62" s="11">
        <f>IF(OR(Y61="",Y63=""),"",IFERROR(Y61*Y63,""))</f>
        <v/>
      </c>
      <c r="Z62" s="12">
        <f>IF(OR(Z61="",Z63=""),"",IFERROR(Z61*Z63,""))</f>
        <v/>
      </c>
      <c r="AA62" s="12">
        <f>IF(OR(AA61="",AA63=""),"",IFERROR(AA61*AA63,""))</f>
        <v/>
      </c>
      <c r="AB62" s="12">
        <f>IF(OR(AB61="",AB63=""),"",IFERROR(AB61*AB63,""))</f>
        <v/>
      </c>
      <c r="AC62" s="12">
        <f>IF(OR(AC61="",AC63=""),"",IFERROR(AC61*AC63,""))</f>
        <v/>
      </c>
    </row>
    <row r="63">
      <c r="A63" s="13" t="inlineStr">
        <is>
          <t>지배주주 순이익률</t>
        </is>
      </c>
      <c r="B63" s="10" t="inlineStr">
        <is>
          <t>MW 기본 100%</t>
        </is>
      </c>
      <c r="C63" s="14">
        <f>IF(OR(C62="",C61=""),"",IFERROR(C62/C61,""))</f>
        <v/>
      </c>
      <c r="D63" s="15">
        <f>IF(OR(D62="",D61=""),"",IFERROR(D62/D61,""))</f>
        <v/>
      </c>
      <c r="E63" s="15">
        <f>IF(OR(E62="",E61=""),"",IFERROR(E62/E61,""))</f>
        <v/>
      </c>
      <c r="F63" s="15">
        <f>IF(OR(F62="",F61=""),"",IFERROR(F62/F61,""))</f>
        <v/>
      </c>
      <c r="G63" s="15">
        <f>IF(OR(G62="",G61=""),"",IFERROR(G62/G61,""))</f>
        <v/>
      </c>
      <c r="H63" s="15">
        <f>IF(OR(H62="",H61=""),"",IFERROR(H62/H61,""))</f>
        <v/>
      </c>
      <c r="I63" s="15">
        <f>IF(OR(I62="",I61=""),"",IFERROR(I62/I61,""))</f>
        <v/>
      </c>
      <c r="J63" s="15">
        <f>IF(OR(J62="",J61=""),"",IFERROR(J62/J61,""))</f>
        <v/>
      </c>
      <c r="K63" s="15">
        <f>IF(OR(K62="",K61=""),"",IFERROR(K62/K61,""))</f>
        <v/>
      </c>
      <c r="L63" s="15">
        <f>IF(OR(L62="",L61=""),"",IFERROR(L62/L61,""))</f>
        <v/>
      </c>
      <c r="M63" s="15">
        <f>IF(OR(M62="",M61=""),"",IFERROR(M62/M61,""))</f>
        <v/>
      </c>
      <c r="N63" s="15">
        <f>IF(OR(N62="",N61=""),"",IFERROR(N62/N61,""))</f>
        <v/>
      </c>
      <c r="O63" s="14">
        <f>IF(OR(O62="",O61=""),"",IFERROR(O62/O61,""))</f>
        <v/>
      </c>
      <c r="P63" s="15">
        <f>IF(OR(P62="",P61=""),"",IFERROR(P62/P61,""))</f>
        <v/>
      </c>
      <c r="Q63" s="15">
        <f>IF(OR(Q62="",Q61=""),"",IFERROR(Q62/Q61,""))</f>
        <v/>
      </c>
      <c r="R63" s="15">
        <f>IF(OR(R62="",R61=""),"",IFERROR(R62/R61,""))</f>
        <v/>
      </c>
      <c r="S63" s="15">
        <f>IF(OR(S62="",S61=""),"",IFERROR(S62/S61,""))</f>
        <v/>
      </c>
      <c r="T63" s="15">
        <f>IF(OR(T62="",T61=""),"",IFERROR(T62/T61,""))</f>
        <v/>
      </c>
      <c r="U63" s="15">
        <f>IF(OR(U62="",U61=""),"",IFERROR(U62/U61,""))</f>
        <v/>
      </c>
      <c r="V63" s="15">
        <f>IF(OR(V62="",V61=""),"",IFERROR(V62/V61,""))</f>
        <v/>
      </c>
      <c r="W63" s="15">
        <f>IF(OR(W62="",W61=""),"",IFERROR(W62/W61,""))</f>
        <v/>
      </c>
      <c r="X63" s="15">
        <f>IF(OR(X62="",X61=""),"",IFERROR(X62/X61,""))</f>
        <v/>
      </c>
      <c r="Y63" s="25" t="n">
        <v>1</v>
      </c>
      <c r="Z63" s="26" t="n">
        <v>1</v>
      </c>
      <c r="AA63" s="26" t="n">
        <v>1</v>
      </c>
      <c r="AB63" s="26" t="n">
        <v>1</v>
      </c>
      <c r="AC63" s="26" t="n">
        <v>1</v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(2026.10.26)</t>
        </is>
      </c>
      <c r="B65" s="27" t="n">
        <v>4249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222159944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IF(O35="","",O35)</f>
        <v/>
      </c>
      <c r="P68" s="15">
        <f>IF(P35="","",P35)</f>
        <v/>
      </c>
      <c r="Q68" s="15">
        <f>IF(Q35="","",Q35)</f>
        <v/>
      </c>
      <c r="R68" s="15">
        <f>IF(R35="","",R35)</f>
        <v/>
      </c>
      <c r="S68" s="15">
        <f>IF(S35="","",S35)</f>
        <v/>
      </c>
      <c r="T68" s="15">
        <f>IF(T35="","",T35)</f>
        <v/>
      </c>
      <c r="U68" s="15">
        <f>IF(U35="","",U35)</f>
        <v/>
      </c>
      <c r="V68" s="15">
        <f>IF(V35="","",V35)</f>
        <v/>
      </c>
      <c r="W68" s="15">
        <f>IF(W35="","",W35)</f>
        <v/>
      </c>
      <c r="X68" s="15">
        <f>IF(X35="","",X35)</f>
        <v/>
      </c>
      <c r="Y68" s="14">
        <f>IF(Y35="","",Y35)</f>
        <v/>
      </c>
      <c r="Z68" s="15">
        <f>IF(Z35="","",Z35)</f>
        <v/>
      </c>
      <c r="AA68" s="15">
        <f>IF(AA35="","",AA35)</f>
        <v/>
      </c>
      <c r="AB68" s="15">
        <f>IF(AB35="","",AB35)</f>
        <v/>
      </c>
      <c r="AC68" s="15">
        <f>IF(AC35="","",AC35)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IF(OR(P62="",O62=""),"",IFERROR(P62/O62-1,""))</f>
        <v/>
      </c>
      <c r="Q69" s="15">
        <f>IF(OR(Q62="",P62=""),"",IFERROR(Q62/P62-1,""))</f>
        <v/>
      </c>
      <c r="R69" s="15">
        <f>IF(OR(R62="",Q62=""),"",IFERROR(R62/Q62-1,""))</f>
        <v/>
      </c>
      <c r="S69" s="15">
        <f>IF(OR(S62="",R62=""),"",IFERROR(S62/R62-1,""))</f>
        <v/>
      </c>
      <c r="T69" s="15">
        <f>IF(OR(T62="",S62=""),"",IFERROR(T62/S62-1,""))</f>
        <v/>
      </c>
      <c r="U69" s="15">
        <f>IF(OR(U62="",T62=""),"",IFERROR(U62/T62-1,""))</f>
        <v/>
      </c>
      <c r="V69" s="15">
        <f>IF(OR(V62="",U62=""),"",IFERROR(V62/U62-1,""))</f>
        <v/>
      </c>
      <c r="W69" s="15">
        <f>IF(OR(W62="",V62=""),"",IFERROR(W62/V62-1,""))</f>
        <v/>
      </c>
      <c r="X69" s="15">
        <f>IF(OR(X62="",W62=""),"",IFERROR(X62/W62-1,""))</f>
        <v/>
      </c>
      <c r="Y69" s="14">
        <f>IF(OR(Y62="",X62=""),"",IFERROR(Y62/X62-1,""))</f>
        <v/>
      </c>
      <c r="Z69" s="15">
        <f>IF(OR(Z62="",Y62=""),"",IFERROR(Z62/Y62-1,""))</f>
        <v/>
      </c>
      <c r="AA69" s="15">
        <f>IF(OR(AA62="",Z62=""),"",IFERROR(AA62/Z62-1,""))</f>
        <v/>
      </c>
      <c r="AB69" s="15">
        <f>IF(OR(AB62="",AA62=""),"",IFERROR(AB62/AA62-1,""))</f>
        <v/>
      </c>
      <c r="AC69" s="15">
        <f>IF(OR(AC62="",AB62=""),"",IFERROR(AC62/AB62-1,""))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IF(OR($B$67="",X62=""),"",IFERROR($B$67/X62,""))</f>
        <v/>
      </c>
      <c r="Y70" s="30">
        <f>IF(OR($B$67="",Y62=""),"",IFERROR($B$67/Y62,""))</f>
        <v/>
      </c>
      <c r="Z70" s="31">
        <f>IF(OR($B$67="",Z62=""),"",IFERROR($B$67/Z62,""))</f>
        <v/>
      </c>
      <c r="AA70" s="31">
        <f>IF(OR($B$67="",AA62=""),"",IFERROR($B$67/AA62,""))</f>
        <v/>
      </c>
      <c r="AB70" s="31">
        <f>IF(OR($B$67="",AB62=""),"",IFERROR($B$67/AB62,""))</f>
        <v/>
      </c>
      <c r="AC70" s="31">
        <f>IF(OR($B$67="",AC62=""),"",IFERROR($B$67/AC62,""))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IF(OR(O62="",$B$66=""),"",IFERROR(O62*1000000.0/$B$66,""))</f>
        <v/>
      </c>
      <c r="P72" s="29">
        <f>IF(OR(P62="",$B$66=""),"",IFERROR(P62*1000000.0/$B$66,""))</f>
        <v/>
      </c>
      <c r="Q72" s="29">
        <f>IF(OR(Q62="",$B$66=""),"",IFERROR(Q62*1000000.0/$B$66,""))</f>
        <v/>
      </c>
      <c r="R72" s="29">
        <f>IF(OR(R62="",$B$66=""),"",IFERROR(R62*1000000.0/$B$66,""))</f>
        <v/>
      </c>
      <c r="S72" s="29">
        <f>IF(OR(S62="",$B$66=""),"",IFERROR(S62*1000000.0/$B$66,""))</f>
        <v/>
      </c>
      <c r="T72" s="29">
        <f>IF(OR(T62="",$B$66=""),"",IFERROR(T62*1000000.0/$B$66,""))</f>
        <v/>
      </c>
      <c r="U72" s="29">
        <f>IF(OR(U62="",$B$66=""),"",IFERROR(U62*1000000.0/$B$66,""))</f>
        <v/>
      </c>
      <c r="V72" s="29">
        <f>IF(OR(V62="",$B$66=""),"",IFERROR(V62*1000000.0/$B$66,""))</f>
        <v/>
      </c>
      <c r="W72" s="29">
        <f>IF(OR(W62="",$B$66=""),"",IFERROR(W62*1000000.0/$B$66,""))</f>
        <v/>
      </c>
      <c r="X72" s="29">
        <f>IF(OR(X62="",$B$66=""),"",IFERROR(X62*1000000.0/$B$66,""))</f>
        <v/>
      </c>
      <c r="Y72" s="28">
        <f>IF(OR(Y62="",$B$66=""),"",IFERROR(Y62*1000000.0/$B$66,""))</f>
        <v/>
      </c>
      <c r="Z72" s="29">
        <f>IF(OR(Z62="",$B$66=""),"",IFERROR(Z62*1000000.0/$B$66,""))</f>
        <v/>
      </c>
      <c r="AA72" s="29">
        <f>IF(OR(AA62="",$B$66=""),"",IFERROR(AA62*1000000.0/$B$66,""))</f>
        <v/>
      </c>
      <c r="AB72" s="29">
        <f>IF(OR(AB62="",$B$66=""),"",IFERROR(AB62*1000000.0/$B$66,""))</f>
        <v/>
      </c>
      <c r="AC72" s="29">
        <f>IF(OR(AC62="",$B$66=""),"",IFERROR(AC62*1000000.0/$B$66,""))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IF(OR(Y62="",Y71=""),"",IFERROR(Y62*Y71,""))</f>
        <v/>
      </c>
      <c r="Z84" s="20">
        <f>IF(OR(Z62="",Z71=""),"",IFERROR(Z62*Z71,""))</f>
        <v/>
      </c>
      <c r="AA84" s="20">
        <f>IF(OR(AA62="",AA71=""),"",IFERROR(AA62*AA71,""))</f>
        <v/>
      </c>
      <c r="AB84" s="20">
        <f>IF(OR(AB62="",AB71=""),"",IFERROR(AB62*AB71,""))</f>
        <v/>
      </c>
      <c r="AC84" s="20">
        <f>IF(OR(AC62="",AC71=""),"",IFERROR(AC62*AC71,""))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2026.10.26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2023.4Q</t>
        </is>
      </c>
      <c r="D95" s="5" t="inlineStr">
        <is>
          <t>2024.1Q</t>
        </is>
      </c>
      <c r="E95" s="5" t="inlineStr">
        <is>
          <t>2024.2Q</t>
        </is>
      </c>
      <c r="F95" s="5" t="inlineStr">
        <is>
          <t>2024.3Q</t>
        </is>
      </c>
      <c r="G95" s="5" t="inlineStr">
        <is>
          <t>2024.4Q</t>
        </is>
      </c>
      <c r="H95" s="5" t="inlineStr">
        <is>
          <t>2025.1Q</t>
        </is>
      </c>
      <c r="I95" s="5" t="inlineStr">
        <is>
          <t>2025.2Q</t>
        </is>
      </c>
      <c r="J95" s="5" t="inlineStr">
        <is>
          <t>2025.3Q</t>
        </is>
      </c>
      <c r="K95" s="5" t="inlineStr">
        <is>
          <t>2025.4Q</t>
        </is>
      </c>
      <c r="L95" s="5" t="inlineStr">
        <is>
          <t>2026.1Q</t>
        </is>
      </c>
      <c r="M95" s="5" t="inlineStr">
        <is>
          <t>2026.2Q</t>
        </is>
      </c>
      <c r="N95" s="5" t="inlineStr">
        <is>
          <t>2026.3Q</t>
        </is>
      </c>
      <c r="O95" s="5" t="inlineStr">
        <is>
          <t>2016</t>
        </is>
      </c>
      <c r="P95" s="5" t="inlineStr">
        <is>
          <t>2017</t>
        </is>
      </c>
      <c r="Q95" s="5" t="inlineStr">
        <is>
          <t>2018</t>
        </is>
      </c>
      <c r="R95" s="5" t="inlineStr">
        <is>
          <t>2019</t>
        </is>
      </c>
      <c r="S95" s="5" t="inlineStr">
        <is>
          <t>2020</t>
        </is>
      </c>
      <c r="T95" s="5" t="inlineStr">
        <is>
          <t>2021</t>
        </is>
      </c>
      <c r="U95" s="5" t="inlineStr">
        <is>
          <t>2022</t>
        </is>
      </c>
      <c r="V95" s="5" t="inlineStr">
        <is>
          <t>2023</t>
        </is>
      </c>
      <c r="W95" s="5" t="inlineStr">
        <is>
          <t>2024</t>
        </is>
      </c>
      <c r="X95" s="5" t="inlineStr">
        <is>
          <t>2025</t>
        </is>
      </c>
      <c r="Y95" s="5" t="inlineStr">
        <is>
          <t>2026(MW)</t>
        </is>
      </c>
      <c r="Z95" s="5" t="inlineStr">
        <is>
          <t>2027(MW)</t>
        </is>
      </c>
      <c r="AA95" s="5" t="inlineStr">
        <is>
          <t>2028(MW)</t>
        </is>
      </c>
      <c r="AB95" s="5" t="inlineStr">
        <is>
          <t>2029(MW)</t>
        </is>
      </c>
      <c r="AC95" s="5" t="inlineStr">
        <is>
          <t>2030(MW)</t>
        </is>
      </c>
    </row>
    <row r="96">
      <c r="A96" s="9" t="inlineStr">
        <is>
          <t>매출액</t>
        </is>
      </c>
      <c r="C96" s="12" t="n">
        <v>164923</v>
      </c>
      <c r="D96" s="12" t="n">
        <v>157226</v>
      </c>
      <c r="E96" s="12" t="n">
        <v>161677</v>
      </c>
      <c r="F96" s="12" t="n">
        <v>154278</v>
      </c>
      <c r="G96" s="12" t="n">
        <v>180738</v>
      </c>
      <c r="H96" s="12" t="n">
        <v>167316</v>
      </c>
      <c r="I96" s="12" t="n">
        <v>166533</v>
      </c>
      <c r="J96" s="12" t="n">
        <v>157973</v>
      </c>
      <c r="K96" s="12" t="n">
        <v>187977</v>
      </c>
      <c r="L96" s="12" t="n">
        <v>171666</v>
      </c>
      <c r="M96" s="12" t="n">
        <v>168124</v>
      </c>
      <c r="N96" s="12" t="n">
        <v>167880</v>
      </c>
      <c r="V96" s="12" t="n">
        <v>164923</v>
      </c>
      <c r="W96" s="12" t="n">
        <v>180738</v>
      </c>
      <c r="X96" s="12" t="n">
        <v>187977</v>
      </c>
    </row>
    <row r="97">
      <c r="A97" s="18" t="inlineStr">
        <is>
          <t>매출원가</t>
        </is>
      </c>
      <c r="C97" s="20" t="n">
        <v>110387</v>
      </c>
      <c r="D97" s="20" t="n">
        <v>105950</v>
      </c>
      <c r="E97" s="20" t="n">
        <v>109526</v>
      </c>
      <c r="F97" s="20" t="n">
        <v>104610</v>
      </c>
      <c r="G97" s="20" t="n">
        <v>122986</v>
      </c>
      <c r="H97" s="20" t="n">
        <v>115685</v>
      </c>
      <c r="I97" s="20" t="n">
        <v>112221</v>
      </c>
      <c r="J97" s="20" t="n">
        <v>107106</v>
      </c>
      <c r="K97" s="20" t="n">
        <v>127091</v>
      </c>
      <c r="L97" s="20" t="n">
        <v>116206</v>
      </c>
      <c r="M97" s="20" t="n">
        <v>114583</v>
      </c>
      <c r="N97" s="20" t="n">
        <v>114526</v>
      </c>
      <c r="V97" s="20" t="n">
        <v>110387</v>
      </c>
      <c r="W97" s="20" t="n">
        <v>122986</v>
      </c>
      <c r="X97" s="20" t="n">
        <v>127091</v>
      </c>
    </row>
    <row r="98">
      <c r="A98" s="9" t="inlineStr">
        <is>
          <t>매출총이익</t>
        </is>
      </c>
      <c r="C98" s="12" t="n">
        <v>54535</v>
      </c>
      <c r="D98" s="12" t="n">
        <v>51275</v>
      </c>
      <c r="E98" s="12" t="n">
        <v>52151</v>
      </c>
      <c r="F98" s="12" t="n">
        <v>49668</v>
      </c>
      <c r="G98" s="12" t="n">
        <v>57753</v>
      </c>
      <c r="H98" s="12" t="n">
        <v>51631</v>
      </c>
      <c r="I98" s="12" t="n">
        <v>54311</v>
      </c>
      <c r="J98" s="12" t="n">
        <v>50868</v>
      </c>
      <c r="K98" s="12" t="n">
        <v>60885</v>
      </c>
      <c r="L98" s="12" t="n">
        <v>55460</v>
      </c>
      <c r="M98" s="12" t="n">
        <v>53541</v>
      </c>
      <c r="N98" s="12" t="n">
        <v>53354</v>
      </c>
      <c r="V98" s="12" t="n">
        <v>54535</v>
      </c>
      <c r="W98" s="12" t="n">
        <v>57753</v>
      </c>
      <c r="X98" s="12" t="n">
        <v>60885</v>
      </c>
    </row>
    <row r="99">
      <c r="A99" s="18" t="inlineStr">
        <is>
          <t>판매비와 관리비</t>
        </is>
      </c>
      <c r="C99" s="20" t="n">
        <v>39722</v>
      </c>
      <c r="D99" s="20" t="n">
        <v>37467</v>
      </c>
      <c r="E99" s="20" t="n">
        <v>39925</v>
      </c>
      <c r="F99" s="20" t="n">
        <v>39412</v>
      </c>
      <c r="G99" s="20" t="n">
        <v>40919</v>
      </c>
      <c r="H99" s="20" t="n">
        <v>38461</v>
      </c>
      <c r="I99" s="20" t="n">
        <v>40155</v>
      </c>
      <c r="J99" s="20" t="n">
        <v>39993</v>
      </c>
      <c r="K99" s="20" t="n">
        <v>40898</v>
      </c>
      <c r="L99" s="20" t="n">
        <v>36933</v>
      </c>
      <c r="M99" s="20" t="n">
        <v>39580</v>
      </c>
      <c r="N99" s="20" t="n">
        <v>38926</v>
      </c>
      <c r="V99" s="20" t="n">
        <v>39722</v>
      </c>
      <c r="W99" s="20" t="n">
        <v>40919</v>
      </c>
      <c r="X99" s="20" t="n">
        <v>40898</v>
      </c>
    </row>
    <row r="100">
      <c r="A100" s="9" t="inlineStr">
        <is>
          <t>영업이익</t>
        </is>
      </c>
      <c r="C100" s="12" t="n">
        <v>14813</v>
      </c>
      <c r="D100" s="12" t="n">
        <v>13808</v>
      </c>
      <c r="E100" s="12" t="n">
        <v>12225</v>
      </c>
      <c r="F100" s="12" t="n">
        <v>10257</v>
      </c>
      <c r="G100" s="12" t="n">
        <v>16833</v>
      </c>
      <c r="H100" s="12" t="n">
        <v>13169</v>
      </c>
      <c r="I100" s="12" t="n">
        <v>14156</v>
      </c>
      <c r="J100" s="12" t="n">
        <v>10876</v>
      </c>
      <c r="K100" s="12" t="n">
        <v>19987</v>
      </c>
      <c r="L100" s="12" t="n">
        <v>18526</v>
      </c>
      <c r="M100" s="12" t="n">
        <v>13962</v>
      </c>
      <c r="N100" s="12" t="n">
        <v>14427</v>
      </c>
      <c r="V100" s="12" t="n">
        <v>14813</v>
      </c>
      <c r="W100" s="12" t="n">
        <v>16833</v>
      </c>
      <c r="X100" s="12" t="n">
        <v>19987</v>
      </c>
    </row>
    <row r="101">
      <c r="A101" s="18" t="inlineStr">
        <is>
          <t>이자수익</t>
        </is>
      </c>
      <c r="C101" s="20" t="n">
        <v>105</v>
      </c>
      <c r="D101" s="20" t="n">
        <v>107</v>
      </c>
      <c r="E101" s="20" t="n">
        <v>96</v>
      </c>
      <c r="F101" s="20" t="n">
        <v>103</v>
      </c>
      <c r="G101" s="20" t="n">
        <v>68</v>
      </c>
      <c r="H101" s="20" t="n">
        <v>82</v>
      </c>
      <c r="I101" s="20" t="n">
        <v>130</v>
      </c>
      <c r="J101" s="20" t="n">
        <v>137</v>
      </c>
      <c r="K101" s="20" t="n">
        <v>108</v>
      </c>
      <c r="L101" s="20" t="n">
        <v>99</v>
      </c>
      <c r="M101" s="20" t="n">
        <v>109</v>
      </c>
      <c r="N101" s="20" t="n">
        <v>148</v>
      </c>
      <c r="V101" s="20" t="n">
        <v>105</v>
      </c>
      <c r="W101" s="20" t="n">
        <v>68</v>
      </c>
      <c r="X101" s="20" t="n">
        <v>108</v>
      </c>
    </row>
    <row r="102">
      <c r="A102" s="18" t="inlineStr">
        <is>
          <t>배당금수익</t>
        </is>
      </c>
      <c r="C102" s="20" t="n">
        <v>86</v>
      </c>
      <c r="D102" s="20" t="n">
        <v>29</v>
      </c>
      <c r="E102" s="20" t="n">
        <v>136</v>
      </c>
      <c r="F102" s="20" t="n">
        <v>150</v>
      </c>
      <c r="G102" s="20" t="n">
        <v>87</v>
      </c>
      <c r="H102" s="20" t="n">
        <v>36</v>
      </c>
      <c r="I102" s="20" t="n">
        <v>154</v>
      </c>
      <c r="J102" s="20" t="n">
        <v>16</v>
      </c>
      <c r="K102" s="20" t="n">
        <v>123</v>
      </c>
      <c r="L102" s="20" t="n">
        <v>15</v>
      </c>
      <c r="M102" s="20" t="n">
        <v>182</v>
      </c>
      <c r="N102" s="20" t="n">
        <v>20</v>
      </c>
      <c r="V102" s="20" t="n">
        <v>86</v>
      </c>
      <c r="W102" s="20" t="n">
        <v>87</v>
      </c>
      <c r="X102" s="20" t="n">
        <v>123</v>
      </c>
    </row>
    <row r="103">
      <c r="A103" s="18" t="inlineStr">
        <is>
          <t>보험금 수익</t>
        </is>
      </c>
      <c r="C103" s="20" t="n">
        <v>6</v>
      </c>
      <c r="F103" s="20" t="n">
        <v>4</v>
      </c>
      <c r="G103" s="20" t="n">
        <v>2</v>
      </c>
      <c r="J103" s="20" t="n">
        <v>13</v>
      </c>
      <c r="K103" s="20" t="n">
        <v>1</v>
      </c>
      <c r="N103" s="20" t="n">
        <v>1</v>
      </c>
      <c r="V103" s="20" t="n">
        <v>6</v>
      </c>
      <c r="W103" s="20" t="n">
        <v>2</v>
      </c>
      <c r="X103" s="20" t="n">
        <v>1</v>
      </c>
    </row>
    <row r="104">
      <c r="A104" s="18" t="inlineStr">
        <is>
          <t>투자사업조합 운용 이익</t>
        </is>
      </c>
      <c r="C104" s="20" t="n">
        <v>0</v>
      </c>
      <c r="F104" s="20" t="n">
        <v>37</v>
      </c>
      <c r="G104" s="20" t="n">
        <v>31</v>
      </c>
      <c r="J104" s="20" t="n">
        <v>435</v>
      </c>
      <c r="K104" s="20" t="n">
        <v>40</v>
      </c>
      <c r="V104" s="20" t="n">
        <v>0</v>
      </c>
      <c r="W104" s="20" t="n">
        <v>31</v>
      </c>
      <c r="X104" s="20" t="n">
        <v>40</v>
      </c>
    </row>
    <row r="105">
      <c r="A105" s="18" t="inlineStr">
        <is>
          <t>외환차익</t>
        </is>
      </c>
      <c r="C105" s="20" t="n">
        <v>0</v>
      </c>
      <c r="D105" s="20" t="n">
        <v>40</v>
      </c>
      <c r="E105" s="20" t="n">
        <v>112</v>
      </c>
      <c r="F105" s="20" t="n">
        <v>-103</v>
      </c>
      <c r="G105" s="20" t="n">
        <v>151</v>
      </c>
      <c r="H105" s="20" t="n">
        <v>0</v>
      </c>
      <c r="I105" s="20" t="n">
        <v>0</v>
      </c>
      <c r="J105" s="20" t="n">
        <v>0</v>
      </c>
      <c r="K105" s="20" t="n">
        <v>68</v>
      </c>
      <c r="V105" s="20" t="n">
        <v>0</v>
      </c>
      <c r="W105" s="20" t="n">
        <v>151</v>
      </c>
      <c r="X105" s="20" t="n">
        <v>68</v>
      </c>
    </row>
    <row r="106">
      <c r="A106" s="18" t="inlineStr">
        <is>
          <t>기타</t>
        </is>
      </c>
      <c r="C106" s="20" t="n">
        <v>48</v>
      </c>
      <c r="D106" s="20" t="n">
        <v>73</v>
      </c>
      <c r="E106" s="20" t="n">
        <v>75</v>
      </c>
      <c r="F106" s="20" t="n">
        <v>25</v>
      </c>
      <c r="G106" s="20" t="n">
        <v>56</v>
      </c>
      <c r="H106" s="20" t="n">
        <v>126</v>
      </c>
      <c r="I106" s="20" t="n">
        <v>85</v>
      </c>
      <c r="J106" s="20" t="n">
        <v>46</v>
      </c>
      <c r="K106" s="20" t="n">
        <v>74</v>
      </c>
      <c r="L106" s="20" t="n">
        <v>90</v>
      </c>
      <c r="M106" s="20" t="n">
        <v>81</v>
      </c>
      <c r="N106" s="20" t="n">
        <v>33</v>
      </c>
      <c r="V106" s="20" t="n">
        <v>48</v>
      </c>
      <c r="W106" s="20" t="n">
        <v>56</v>
      </c>
      <c r="X106" s="20" t="n">
        <v>74</v>
      </c>
    </row>
    <row r="107">
      <c r="A107" s="18" t="inlineStr">
        <is>
          <t>영업외수익 합계</t>
        </is>
      </c>
      <c r="C107" s="20" t="n">
        <v>245</v>
      </c>
      <c r="D107" s="20" t="n">
        <v>251</v>
      </c>
      <c r="E107" s="20" t="n">
        <v>906</v>
      </c>
      <c r="F107" s="20" t="n">
        <v>215</v>
      </c>
      <c r="G107" s="20" t="n">
        <v>396</v>
      </c>
      <c r="H107" s="20" t="n">
        <v>246</v>
      </c>
      <c r="I107" s="20" t="n">
        <v>831</v>
      </c>
      <c r="J107" s="20" t="n">
        <v>649</v>
      </c>
      <c r="K107" s="20" t="n">
        <v>413</v>
      </c>
      <c r="L107" s="20" t="n">
        <v>205</v>
      </c>
      <c r="M107" s="20" t="n">
        <v>842</v>
      </c>
      <c r="N107" s="20" t="n">
        <v>202</v>
      </c>
      <c r="V107" s="20" t="n">
        <v>245</v>
      </c>
      <c r="W107" s="20" t="n">
        <v>396</v>
      </c>
      <c r="X107" s="20" t="n">
        <v>413</v>
      </c>
    </row>
    <row r="108">
      <c r="A108" s="18" t="inlineStr">
        <is>
          <t>이자비용</t>
        </is>
      </c>
      <c r="C108" s="20" t="n">
        <v>3</v>
      </c>
      <c r="D108" s="20" t="n">
        <v>2</v>
      </c>
      <c r="E108" s="20" t="n">
        <v>8</v>
      </c>
      <c r="F108" s="20" t="n">
        <v>53</v>
      </c>
      <c r="G108" s="20" t="n">
        <v>12</v>
      </c>
      <c r="H108" s="20" t="n">
        <v>13</v>
      </c>
      <c r="I108" s="20" t="n">
        <v>19</v>
      </c>
      <c r="J108" s="20" t="n">
        <v>18</v>
      </c>
      <c r="K108" s="20" t="n">
        <v>21</v>
      </c>
      <c r="L108" s="20" t="n">
        <v>20</v>
      </c>
      <c r="M108" s="20" t="n">
        <v>26</v>
      </c>
      <c r="N108" s="20" t="n">
        <v>27</v>
      </c>
      <c r="V108" s="20" t="n">
        <v>3</v>
      </c>
      <c r="W108" s="20" t="n">
        <v>12</v>
      </c>
      <c r="X108" s="20" t="n">
        <v>21</v>
      </c>
    </row>
    <row r="109">
      <c r="A109" s="18" t="inlineStr">
        <is>
          <t>투자사업조합 관리 비용</t>
        </is>
      </c>
      <c r="C109" s="20" t="n">
        <v>0</v>
      </c>
      <c r="D109" s="20" t="n">
        <v>0</v>
      </c>
      <c r="E109" s="20" t="n">
        <v>86</v>
      </c>
      <c r="F109" s="20" t="n">
        <v>51</v>
      </c>
      <c r="G109" s="20" t="n">
        <v>51</v>
      </c>
      <c r="H109" s="20" t="n">
        <v>56</v>
      </c>
      <c r="I109" s="20" t="n">
        <v>45</v>
      </c>
      <c r="J109" s="20" t="n">
        <v>51</v>
      </c>
      <c r="K109" s="20" t="n">
        <v>51</v>
      </c>
      <c r="L109" s="20" t="n">
        <v>51</v>
      </c>
      <c r="M109" s="20" t="n">
        <v>51</v>
      </c>
      <c r="N109" s="20" t="n">
        <v>51</v>
      </c>
      <c r="V109" s="20" t="n">
        <v>0</v>
      </c>
      <c r="W109" s="20" t="n">
        <v>51</v>
      </c>
      <c r="X109" s="20" t="n">
        <v>51</v>
      </c>
    </row>
    <row r="110">
      <c r="A110" s="18" t="inlineStr">
        <is>
          <t>외환차손</t>
        </is>
      </c>
      <c r="C110" s="20" t="n">
        <v>-40</v>
      </c>
      <c r="D110" s="20" t="n">
        <v>0</v>
      </c>
      <c r="E110" s="20" t="n">
        <v>0</v>
      </c>
      <c r="F110" s="20" t="n">
        <v>0</v>
      </c>
      <c r="G110" s="20" t="n">
        <v>0</v>
      </c>
      <c r="H110" s="20" t="n">
        <v>51</v>
      </c>
      <c r="I110" s="20" t="n">
        <v>19</v>
      </c>
      <c r="J110" s="20" t="n">
        <v>-43</v>
      </c>
      <c r="L110" s="20" t="n">
        <v>15</v>
      </c>
      <c r="M110" s="20" t="n">
        <v>1</v>
      </c>
      <c r="N110" s="20" t="n">
        <v>9</v>
      </c>
      <c r="V110" s="20" t="n">
        <v>-40</v>
      </c>
      <c r="W110" s="20" t="n">
        <v>0</v>
      </c>
    </row>
    <row r="111">
      <c r="A111" s="18" t="inlineStr">
        <is>
          <t>투자조합 운용손실</t>
        </is>
      </c>
      <c r="C111" s="20" t="n">
        <v>0</v>
      </c>
      <c r="D111" s="20" t="n">
        <v>21</v>
      </c>
      <c r="E111" s="20" t="n">
        <v>-21</v>
      </c>
      <c r="F111" s="20" t="n">
        <v>0</v>
      </c>
      <c r="G111" s="20" t="n">
        <v>0</v>
      </c>
      <c r="H111" s="20" t="n">
        <v>16</v>
      </c>
      <c r="I111" s="20" t="n">
        <v>0</v>
      </c>
      <c r="J111" s="20" t="n">
        <v>-16</v>
      </c>
      <c r="L111" s="20" t="n">
        <v>33</v>
      </c>
      <c r="M111" s="20" t="n">
        <v>0</v>
      </c>
      <c r="N111" s="20" t="n">
        <v>-19</v>
      </c>
      <c r="V111" s="20" t="n">
        <v>0</v>
      </c>
      <c r="W111" s="20" t="n">
        <v>0</v>
      </c>
    </row>
    <row r="112">
      <c r="A112" s="18" t="inlineStr">
        <is>
          <t>기타</t>
        </is>
      </c>
      <c r="C112" s="20" t="n">
        <v>50</v>
      </c>
      <c r="D112" s="20" t="n">
        <v>66</v>
      </c>
      <c r="E112" s="20" t="n">
        <v>38</v>
      </c>
      <c r="F112" s="20" t="n">
        <v>97</v>
      </c>
      <c r="G112" s="20" t="n">
        <v>-22</v>
      </c>
      <c r="H112" s="20" t="n">
        <v>74</v>
      </c>
      <c r="I112" s="20" t="n">
        <v>60</v>
      </c>
      <c r="J112" s="20" t="n">
        <v>35</v>
      </c>
      <c r="K112" s="20" t="n">
        <v>38</v>
      </c>
      <c r="L112" s="20" t="n">
        <v>45</v>
      </c>
      <c r="M112" s="20" t="n">
        <v>77</v>
      </c>
      <c r="N112" s="20" t="n">
        <v>78</v>
      </c>
      <c r="V112" s="20" t="n">
        <v>50</v>
      </c>
      <c r="W112" s="20" t="n">
        <v>-22</v>
      </c>
      <c r="X112" s="20" t="n">
        <v>38</v>
      </c>
    </row>
    <row r="113">
      <c r="A113" s="18" t="inlineStr">
        <is>
          <t>영업외비용 합계</t>
        </is>
      </c>
      <c r="C113" s="20" t="n">
        <v>12</v>
      </c>
      <c r="D113" s="20" t="n">
        <v>91</v>
      </c>
      <c r="E113" s="20" t="n">
        <v>109</v>
      </c>
      <c r="F113" s="20" t="n">
        <v>202</v>
      </c>
      <c r="G113" s="20" t="n">
        <v>95</v>
      </c>
      <c r="H113" s="20" t="n">
        <v>212</v>
      </c>
      <c r="I113" s="20" t="n">
        <v>143</v>
      </c>
      <c r="J113" s="20" t="n">
        <v>45</v>
      </c>
      <c r="K113" s="20" t="n">
        <v>88</v>
      </c>
      <c r="L113" s="20" t="n">
        <v>165</v>
      </c>
      <c r="M113" s="20" t="n">
        <v>156</v>
      </c>
      <c r="N113" s="20" t="n">
        <v>146</v>
      </c>
      <c r="V113" s="20" t="n">
        <v>12</v>
      </c>
      <c r="W113" s="20" t="n">
        <v>95</v>
      </c>
      <c r="X113" s="20" t="n">
        <v>88</v>
      </c>
    </row>
    <row r="114">
      <c r="A114" s="9" t="inlineStr">
        <is>
          <t>경상이익</t>
        </is>
      </c>
      <c r="C114" s="12" t="n">
        <v>15046</v>
      </c>
      <c r="D114" s="12" t="n">
        <v>13968</v>
      </c>
      <c r="E114" s="12" t="n">
        <v>13022</v>
      </c>
      <c r="F114" s="12" t="n">
        <v>10270</v>
      </c>
      <c r="G114" s="12" t="n">
        <v>17133</v>
      </c>
      <c r="H114" s="12" t="n">
        <v>13203</v>
      </c>
      <c r="I114" s="12" t="n">
        <v>14844</v>
      </c>
      <c r="J114" s="12" t="n">
        <v>11480</v>
      </c>
      <c r="K114" s="12" t="n">
        <v>20312</v>
      </c>
      <c r="L114" s="12" t="n">
        <v>18565</v>
      </c>
      <c r="M114" s="12" t="n">
        <v>14649</v>
      </c>
      <c r="N114" s="12" t="n">
        <v>14484</v>
      </c>
      <c r="V114" s="12" t="n">
        <v>15046</v>
      </c>
      <c r="W114" s="12" t="n">
        <v>17133</v>
      </c>
      <c r="X114" s="12" t="n">
        <v>20312</v>
      </c>
    </row>
    <row r="115">
      <c r="A115" s="18" t="inlineStr">
        <is>
          <t>고정자산 매각이익</t>
        </is>
      </c>
      <c r="C115" s="20" t="n">
        <v>2</v>
      </c>
      <c r="D115" s="20" t="n">
        <v>0</v>
      </c>
      <c r="E115" s="20" t="n">
        <v>1</v>
      </c>
      <c r="F115" s="20" t="n">
        <v>1</v>
      </c>
      <c r="G115" s="20" t="n">
        <v>0</v>
      </c>
      <c r="H115" s="20" t="n">
        <v>0</v>
      </c>
      <c r="I115" s="20" t="n">
        <v>0</v>
      </c>
      <c r="J115" s="20" t="n">
        <v>0</v>
      </c>
      <c r="K115" s="20" t="n">
        <v>0</v>
      </c>
      <c r="L115" s="20" t="n">
        <v>0</v>
      </c>
      <c r="M115" s="20" t="n">
        <v>0</v>
      </c>
      <c r="N115" s="20" t="n">
        <v>0</v>
      </c>
      <c r="V115" s="20" t="n">
        <v>2</v>
      </c>
      <c r="W115" s="20" t="n">
        <v>0</v>
      </c>
      <c r="X115" s="20" t="n">
        <v>0</v>
      </c>
    </row>
    <row r="116">
      <c r="A116" s="18" t="inlineStr">
        <is>
          <t>투자유가증권 매각이익</t>
        </is>
      </c>
      <c r="C116" s="20" t="n">
        <v>0</v>
      </c>
      <c r="D116" s="20" t="n">
        <v>0</v>
      </c>
      <c r="E116" s="20" t="n">
        <v>0</v>
      </c>
      <c r="F116" s="20" t="n">
        <v>0</v>
      </c>
      <c r="G116" s="20" t="n">
        <v>22</v>
      </c>
      <c r="H116" s="20" t="n">
        <v>54</v>
      </c>
      <c r="I116" s="20" t="n">
        <v>388</v>
      </c>
      <c r="J116" s="20" t="n">
        <v>1113</v>
      </c>
      <c r="K116" s="20" t="n">
        <v>150</v>
      </c>
      <c r="L116" s="20" t="n">
        <v>455</v>
      </c>
      <c r="M116" s="20" t="n">
        <v>47</v>
      </c>
      <c r="N116" s="20" t="n">
        <v>616</v>
      </c>
      <c r="V116" s="20" t="n">
        <v>0</v>
      </c>
      <c r="W116" s="20" t="n">
        <v>22</v>
      </c>
      <c r="X116" s="20" t="n">
        <v>150</v>
      </c>
    </row>
    <row r="117">
      <c r="A117" s="18" t="inlineStr">
        <is>
          <t>관계회사 주식 매각이익</t>
        </is>
      </c>
      <c r="C117" s="20" t="n">
        <v>0</v>
      </c>
      <c r="F117" s="20" t="n">
        <v>-26</v>
      </c>
      <c r="G117" s="20" t="n">
        <v>0</v>
      </c>
      <c r="J117" s="20" t="n">
        <v>0</v>
      </c>
      <c r="K117" s="20" t="n">
        <v>0</v>
      </c>
      <c r="V117" s="20" t="n">
        <v>0</v>
      </c>
      <c r="W117" s="20" t="n">
        <v>0</v>
      </c>
      <c r="X117" s="20" t="n">
        <v>0</v>
      </c>
    </row>
    <row r="118">
      <c r="A118" s="18" t="inlineStr">
        <is>
          <t>기타</t>
        </is>
      </c>
      <c r="C118" s="20" t="n">
        <v>0</v>
      </c>
      <c r="F118" s="20" t="n">
        <v>0</v>
      </c>
      <c r="G118" s="20" t="n">
        <v>0</v>
      </c>
      <c r="J118" s="20" t="n">
        <v>0</v>
      </c>
      <c r="K118" s="20" t="n">
        <v>0</v>
      </c>
      <c r="N118" s="20" t="n">
        <v>7</v>
      </c>
      <c r="V118" s="20" t="n">
        <v>0</v>
      </c>
      <c r="W118" s="20" t="n">
        <v>0</v>
      </c>
      <c r="X118" s="20" t="n">
        <v>0</v>
      </c>
    </row>
    <row r="119">
      <c r="A119" s="18" t="inlineStr">
        <is>
          <t>특별이익 합계</t>
        </is>
      </c>
      <c r="C119" s="20" t="n">
        <v>2</v>
      </c>
      <c r="D119" s="20" t="n">
        <v>0</v>
      </c>
      <c r="E119" s="20" t="n">
        <v>2912</v>
      </c>
      <c r="F119" s="20" t="n">
        <v>-25</v>
      </c>
      <c r="G119" s="20" t="n">
        <v>23</v>
      </c>
      <c r="H119" s="20" t="n">
        <v>54</v>
      </c>
      <c r="I119" s="20" t="n">
        <v>388</v>
      </c>
      <c r="J119" s="20" t="n">
        <v>1113</v>
      </c>
      <c r="K119" s="20" t="n">
        <v>151</v>
      </c>
      <c r="L119" s="20" t="n">
        <v>456</v>
      </c>
      <c r="M119" s="20" t="n">
        <v>56</v>
      </c>
      <c r="N119" s="20" t="n">
        <v>624</v>
      </c>
      <c r="V119" s="20" t="n">
        <v>2</v>
      </c>
      <c r="W119" s="20" t="n">
        <v>23</v>
      </c>
      <c r="X119" s="20" t="n">
        <v>151</v>
      </c>
    </row>
    <row r="120">
      <c r="A120" s="18" t="inlineStr">
        <is>
          <t>고정자산 제각·매각손실</t>
        </is>
      </c>
      <c r="C120" s="20" t="n">
        <v>21</v>
      </c>
      <c r="D120" s="20" t="n">
        <v>36</v>
      </c>
      <c r="E120" s="20" t="n">
        <v>60</v>
      </c>
      <c r="F120" s="20" t="n">
        <v>13</v>
      </c>
      <c r="G120" s="20" t="n">
        <v>47</v>
      </c>
      <c r="H120" s="20" t="n">
        <v>9</v>
      </c>
      <c r="I120" s="20" t="n">
        <v>37</v>
      </c>
      <c r="J120" s="20" t="n">
        <v>22</v>
      </c>
      <c r="K120" s="20" t="n">
        <v>71</v>
      </c>
      <c r="L120" s="20" t="n">
        <v>27</v>
      </c>
      <c r="M120" s="20" t="n">
        <v>53</v>
      </c>
      <c r="N120" s="20" t="n">
        <v>27</v>
      </c>
      <c r="V120" s="20" t="n">
        <v>21</v>
      </c>
      <c r="W120" s="20" t="n">
        <v>47</v>
      </c>
      <c r="X120" s="20" t="n">
        <v>71</v>
      </c>
    </row>
    <row r="121">
      <c r="A121" s="18" t="inlineStr">
        <is>
          <t>관계회사 주식 매각손실</t>
        </is>
      </c>
      <c r="C121" s="20" t="n">
        <v>0</v>
      </c>
      <c r="D121" s="20" t="n">
        <v>0</v>
      </c>
      <c r="E121" s="20" t="n">
        <v>0</v>
      </c>
      <c r="F121" s="20" t="n">
        <v>0</v>
      </c>
      <c r="G121" s="20" t="n">
        <v>0</v>
      </c>
      <c r="V121" s="20" t="n">
        <v>0</v>
      </c>
      <c r="W121" s="20" t="n">
        <v>0</v>
      </c>
    </row>
    <row r="122">
      <c r="A122" s="18" t="inlineStr">
        <is>
          <t>투자유가증권 매각손실</t>
        </is>
      </c>
      <c r="D122" s="20" t="n">
        <v>0</v>
      </c>
      <c r="E122" s="20" t="n">
        <v>0</v>
      </c>
      <c r="F122" s="20" t="n">
        <v>0</v>
      </c>
      <c r="G122" s="20" t="n">
        <v>0</v>
      </c>
      <c r="H122" s="20" t="n">
        <v>2</v>
      </c>
      <c r="I122" s="20" t="n">
        <v>0</v>
      </c>
      <c r="J122" s="20" t="n">
        <v>0</v>
      </c>
      <c r="K122" s="20" t="n">
        <v>224</v>
      </c>
      <c r="L122" s="20" t="n">
        <v>0</v>
      </c>
      <c r="M122" s="20" t="n">
        <v>0</v>
      </c>
      <c r="N122" s="20" t="n">
        <v>9</v>
      </c>
      <c r="W122" s="20" t="n">
        <v>0</v>
      </c>
      <c r="X122" s="20" t="n">
        <v>224</v>
      </c>
    </row>
    <row r="123">
      <c r="A123" s="18" t="inlineStr">
        <is>
          <t>손상차손</t>
        </is>
      </c>
      <c r="D123" s="20" t="n">
        <v>0</v>
      </c>
      <c r="E123" s="20" t="n">
        <v>0</v>
      </c>
      <c r="F123" s="20" t="n">
        <v>0</v>
      </c>
      <c r="G123" s="20" t="n">
        <v>0</v>
      </c>
      <c r="H123" s="20" t="n">
        <v>275</v>
      </c>
      <c r="I123" s="20" t="n">
        <v>219</v>
      </c>
      <c r="J123" s="20" t="n">
        <v>0</v>
      </c>
      <c r="K123" s="20" t="n">
        <v>0</v>
      </c>
      <c r="L123" s="20" t="n">
        <v>0</v>
      </c>
      <c r="M123" s="20" t="n">
        <v>0</v>
      </c>
      <c r="N123" s="20" t="n">
        <v>0</v>
      </c>
      <c r="W123" s="20" t="n">
        <v>0</v>
      </c>
      <c r="X123" s="20" t="n">
        <v>0</v>
      </c>
    </row>
    <row r="124">
      <c r="A124" s="18" t="inlineStr">
        <is>
          <t>기타</t>
        </is>
      </c>
      <c r="C124" s="20" t="n">
        <v>0</v>
      </c>
      <c r="D124" s="20" t="n">
        <v>0</v>
      </c>
      <c r="E124" s="20" t="n">
        <v>0</v>
      </c>
      <c r="F124" s="20" t="n">
        <v>0</v>
      </c>
      <c r="G124" s="20" t="n">
        <v>0</v>
      </c>
      <c r="H124" s="20" t="n">
        <v>4</v>
      </c>
      <c r="I124" s="20" t="n">
        <v>0</v>
      </c>
      <c r="J124" s="20" t="n">
        <v>0</v>
      </c>
      <c r="K124" s="20" t="n">
        <v>9</v>
      </c>
      <c r="L124" s="20" t="n">
        <v>0</v>
      </c>
      <c r="M124" s="20" t="n">
        <v>0</v>
      </c>
      <c r="N124" s="20" t="n">
        <v>0</v>
      </c>
      <c r="V124" s="20" t="n">
        <v>0</v>
      </c>
      <c r="W124" s="20" t="n">
        <v>0</v>
      </c>
      <c r="X124" s="20" t="n">
        <v>9</v>
      </c>
    </row>
    <row r="125">
      <c r="A125" s="18" t="inlineStr">
        <is>
          <t>특별손실 합계</t>
        </is>
      </c>
      <c r="C125" s="20" t="n">
        <v>25</v>
      </c>
      <c r="D125" s="20" t="n">
        <v>36</v>
      </c>
      <c r="E125" s="20" t="n">
        <v>60</v>
      </c>
      <c r="F125" s="20" t="n">
        <v>13</v>
      </c>
      <c r="G125" s="20" t="n">
        <v>47</v>
      </c>
      <c r="H125" s="20" t="n">
        <v>291</v>
      </c>
      <c r="I125" s="20" t="n">
        <v>257</v>
      </c>
      <c r="J125" s="20" t="n">
        <v>22</v>
      </c>
      <c r="K125" s="20" t="n">
        <v>345</v>
      </c>
      <c r="L125" s="20" t="n">
        <v>27</v>
      </c>
      <c r="M125" s="20" t="n">
        <v>53</v>
      </c>
      <c r="N125" s="20" t="n">
        <v>37</v>
      </c>
      <c r="V125" s="20" t="n">
        <v>25</v>
      </c>
      <c r="W125" s="20" t="n">
        <v>47</v>
      </c>
      <c r="X125" s="20" t="n">
        <v>345</v>
      </c>
    </row>
    <row r="126">
      <c r="A126" s="9" t="inlineStr">
        <is>
          <t>법인세차감전 순이익</t>
        </is>
      </c>
      <c r="C126" s="12" t="n">
        <v>15023</v>
      </c>
      <c r="D126" s="12" t="n">
        <v>13932</v>
      </c>
      <c r="E126" s="12" t="n">
        <v>15874</v>
      </c>
      <c r="F126" s="12" t="n">
        <v>10233</v>
      </c>
      <c r="G126" s="12" t="n">
        <v>17109</v>
      </c>
      <c r="H126" s="12" t="n">
        <v>12966</v>
      </c>
      <c r="I126" s="12" t="n">
        <v>14975</v>
      </c>
      <c r="J126" s="12" t="n">
        <v>12571</v>
      </c>
      <c r="K126" s="12" t="n">
        <v>20118</v>
      </c>
      <c r="L126" s="12" t="n">
        <v>18994</v>
      </c>
      <c r="M126" s="12" t="n">
        <v>14652</v>
      </c>
      <c r="N126" s="12" t="n">
        <v>15071</v>
      </c>
      <c r="V126" s="12" t="n">
        <v>15023</v>
      </c>
      <c r="W126" s="12" t="n">
        <v>17109</v>
      </c>
      <c r="X126" s="12" t="n">
        <v>20118</v>
      </c>
    </row>
    <row r="127">
      <c r="A127" s="18" t="inlineStr">
        <is>
          <t>법인세 등</t>
        </is>
      </c>
      <c r="C127" s="20" t="n">
        <v>4366</v>
      </c>
      <c r="D127" s="20" t="n">
        <v>4379</v>
      </c>
      <c r="E127" s="20" t="n">
        <v>5230</v>
      </c>
      <c r="F127" s="20" t="n">
        <v>3383</v>
      </c>
      <c r="G127" s="20" t="n">
        <v>4752</v>
      </c>
      <c r="H127" s="20" t="n">
        <v>4133</v>
      </c>
      <c r="I127" s="20" t="n">
        <v>4903</v>
      </c>
      <c r="J127" s="20" t="n">
        <v>4140</v>
      </c>
      <c r="K127" s="20" t="n">
        <v>5910</v>
      </c>
      <c r="L127" s="20" t="n">
        <v>6174</v>
      </c>
      <c r="M127" s="20" t="n">
        <v>4826</v>
      </c>
      <c r="N127" s="20" t="n">
        <v>5070</v>
      </c>
      <c r="V127" s="20" t="n">
        <v>4366</v>
      </c>
      <c r="W127" s="20" t="n">
        <v>4752</v>
      </c>
      <c r="X127" s="20" t="n">
        <v>5910</v>
      </c>
    </row>
    <row r="128">
      <c r="A128" s="9" t="inlineStr">
        <is>
          <t>순이익</t>
        </is>
      </c>
      <c r="C128" s="12" t="n">
        <v>10657</v>
      </c>
      <c r="D128" s="12" t="n">
        <v>9553</v>
      </c>
      <c r="E128" s="12" t="n">
        <v>10643</v>
      </c>
      <c r="F128" s="12" t="n">
        <v>6850</v>
      </c>
      <c r="G128" s="12" t="n">
        <v>12357</v>
      </c>
      <c r="H128" s="12" t="n">
        <v>8832</v>
      </c>
      <c r="I128" s="12" t="n">
        <v>10073</v>
      </c>
      <c r="J128" s="12" t="n">
        <v>8430</v>
      </c>
      <c r="K128" s="12" t="n">
        <v>14209</v>
      </c>
      <c r="L128" s="12" t="n">
        <v>12819</v>
      </c>
      <c r="M128" s="12" t="n">
        <v>9826</v>
      </c>
      <c r="N128" s="12" t="n">
        <v>10001</v>
      </c>
      <c r="V128" s="12" t="n">
        <v>10657</v>
      </c>
      <c r="W128" s="12" t="n">
        <v>12357</v>
      </c>
      <c r="X128" s="12" t="n">
        <v>14209</v>
      </c>
    </row>
    <row r="129">
      <c r="A129" s="9" t="inlineStr">
        <is>
          <t>비지배주주 순이익</t>
        </is>
      </c>
      <c r="C129" s="12" t="n">
        <v>19</v>
      </c>
      <c r="D129" s="12" t="n">
        <v>30</v>
      </c>
      <c r="E129" s="12" t="n">
        <v>19</v>
      </c>
      <c r="F129" s="12" t="n">
        <v>17</v>
      </c>
      <c r="G129" s="12" t="n">
        <v>22</v>
      </c>
      <c r="H129" s="12" t="n">
        <v>23</v>
      </c>
      <c r="I129" s="12" t="n">
        <v>18</v>
      </c>
      <c r="J129" s="12" t="n">
        <v>19</v>
      </c>
      <c r="K129" s="12" t="n">
        <v>25</v>
      </c>
      <c r="L129" s="12" t="n">
        <v>18</v>
      </c>
      <c r="M129" s="12" t="n">
        <v>14</v>
      </c>
      <c r="N129" s="12" t="n">
        <v>14</v>
      </c>
      <c r="V129" s="12" t="n">
        <v>19</v>
      </c>
      <c r="W129" s="12" t="n">
        <v>22</v>
      </c>
      <c r="X129" s="12" t="n">
        <v>25</v>
      </c>
    </row>
    <row r="130">
      <c r="A130" s="9" t="inlineStr">
        <is>
          <t>지배주주 순이익</t>
        </is>
      </c>
      <c r="C130" s="12" t="n">
        <v>10639</v>
      </c>
      <c r="D130" s="12" t="n">
        <v>9523</v>
      </c>
      <c r="E130" s="12" t="n">
        <v>10624</v>
      </c>
      <c r="F130" s="12" t="n">
        <v>6833</v>
      </c>
      <c r="G130" s="12" t="n">
        <v>12335</v>
      </c>
      <c r="H130" s="12" t="n">
        <v>8809</v>
      </c>
      <c r="I130" s="12" t="n">
        <v>10055</v>
      </c>
      <c r="J130" s="12" t="n">
        <v>8411</v>
      </c>
      <c r="K130" s="12" t="n">
        <v>14183</v>
      </c>
      <c r="L130" s="12" t="n">
        <v>12800</v>
      </c>
      <c r="M130" s="12" t="n">
        <v>9813</v>
      </c>
      <c r="N130" s="12" t="n">
        <v>9986</v>
      </c>
      <c r="V130" s="12" t="n">
        <v>10639</v>
      </c>
      <c r="W130" s="12" t="n">
        <v>12335</v>
      </c>
      <c r="X130" s="12" t="n">
        <v>14183</v>
      </c>
    </row>
    <row r="132">
      <c r="A132" s="16" t="inlineStr">
        <is>
          <t>포괄손익 · 전 항목</t>
        </is>
      </c>
      <c r="B132" s="42" t="inlineStr">
        <is>
          <t>분기 = 3개월 단독</t>
        </is>
      </c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</row>
    <row r="133">
      <c r="A133" s="5" t="inlineStr">
        <is>
          <t>항목</t>
        </is>
      </c>
      <c r="B133" s="5" t="inlineStr">
        <is>
          <t>참고</t>
        </is>
      </c>
      <c r="C133" s="5" t="inlineStr">
        <is>
          <t>2023.4Q</t>
        </is>
      </c>
      <c r="D133" s="5" t="inlineStr">
        <is>
          <t>2024.1Q</t>
        </is>
      </c>
      <c r="E133" s="5" t="inlineStr">
        <is>
          <t>2024.2Q</t>
        </is>
      </c>
      <c r="F133" s="5" t="inlineStr">
        <is>
          <t>2024.3Q</t>
        </is>
      </c>
      <c r="G133" s="5" t="inlineStr">
        <is>
          <t>2024.4Q</t>
        </is>
      </c>
      <c r="H133" s="5" t="inlineStr">
        <is>
          <t>2025.1Q</t>
        </is>
      </c>
      <c r="I133" s="5" t="inlineStr">
        <is>
          <t>2025.2Q</t>
        </is>
      </c>
      <c r="J133" s="5" t="inlineStr">
        <is>
          <t>2025.3Q</t>
        </is>
      </c>
      <c r="K133" s="5" t="inlineStr">
        <is>
          <t>2025.4Q</t>
        </is>
      </c>
      <c r="L133" s="5" t="inlineStr">
        <is>
          <t>2026.1Q</t>
        </is>
      </c>
      <c r="M133" s="5" t="inlineStr">
        <is>
          <t>2026.2Q</t>
        </is>
      </c>
      <c r="N133" s="5" t="inlineStr">
        <is>
          <t>2026.3Q</t>
        </is>
      </c>
      <c r="O133" s="5" t="inlineStr">
        <is>
          <t>2016</t>
        </is>
      </c>
      <c r="P133" s="5" t="inlineStr">
        <is>
          <t>2017</t>
        </is>
      </c>
      <c r="Q133" s="5" t="inlineStr">
        <is>
          <t>2018</t>
        </is>
      </c>
      <c r="R133" s="5" t="inlineStr">
        <is>
          <t>2019</t>
        </is>
      </c>
      <c r="S133" s="5" t="inlineStr">
        <is>
          <t>2020</t>
        </is>
      </c>
      <c r="T133" s="5" t="inlineStr">
        <is>
          <t>2021</t>
        </is>
      </c>
      <c r="U133" s="5" t="inlineStr">
        <is>
          <t>2022</t>
        </is>
      </c>
      <c r="V133" s="5" t="inlineStr">
        <is>
          <t>2023</t>
        </is>
      </c>
      <c r="W133" s="5" t="inlineStr">
        <is>
          <t>2024</t>
        </is>
      </c>
      <c r="X133" s="5" t="inlineStr">
        <is>
          <t>2025</t>
        </is>
      </c>
      <c r="Y133" s="5" t="inlineStr">
        <is>
          <t>2026(MW)</t>
        </is>
      </c>
      <c r="Z133" s="5" t="inlineStr">
        <is>
          <t>2027(MW)</t>
        </is>
      </c>
      <c r="AA133" s="5" t="inlineStr">
        <is>
          <t>2028(MW)</t>
        </is>
      </c>
      <c r="AB133" s="5" t="inlineStr">
        <is>
          <t>2029(MW)</t>
        </is>
      </c>
      <c r="AC133" s="5" t="inlineStr">
        <is>
          <t>2030(MW)</t>
        </is>
      </c>
    </row>
    <row r="134">
      <c r="A134" s="9" t="inlineStr">
        <is>
          <t>순이익</t>
        </is>
      </c>
      <c r="C134" s="12" t="n">
        <v>10657</v>
      </c>
      <c r="D134" s="12" t="n">
        <v>9553</v>
      </c>
      <c r="E134" s="12" t="n">
        <v>10643</v>
      </c>
      <c r="F134" s="12" t="n">
        <v>6850</v>
      </c>
      <c r="G134" s="12" t="n">
        <v>12357</v>
      </c>
      <c r="H134" s="12" t="n">
        <v>8832</v>
      </c>
      <c r="I134" s="12" t="n">
        <v>10073</v>
      </c>
      <c r="J134" s="12" t="n">
        <v>8430</v>
      </c>
      <c r="K134" s="12" t="n">
        <v>14209</v>
      </c>
      <c r="L134" s="12" t="n">
        <v>12819</v>
      </c>
      <c r="M134" s="12" t="n">
        <v>9826</v>
      </c>
      <c r="N134" s="12" t="n">
        <v>10001</v>
      </c>
      <c r="V134" s="12" t="n">
        <v>10657</v>
      </c>
      <c r="W134" s="12" t="n">
        <v>12357</v>
      </c>
      <c r="X134" s="12" t="n">
        <v>14209</v>
      </c>
    </row>
    <row r="135">
      <c r="A135" s="18" t="inlineStr">
        <is>
          <t>기타유가증권 평가차액</t>
        </is>
      </c>
      <c r="C135" s="20" t="n">
        <v>100</v>
      </c>
      <c r="D135" s="20" t="n">
        <v>-167</v>
      </c>
      <c r="E135" s="20" t="n">
        <v>-48</v>
      </c>
      <c r="F135" s="20" t="n">
        <v>611</v>
      </c>
      <c r="G135" s="20" t="n">
        <v>-302</v>
      </c>
      <c r="H135" s="20" t="n">
        <v>-352</v>
      </c>
      <c r="I135" s="20" t="n">
        <v>2166</v>
      </c>
      <c r="J135" s="20" t="n">
        <v>-547</v>
      </c>
      <c r="K135" s="20" t="n">
        <v>829</v>
      </c>
      <c r="L135" s="20" t="n">
        <v>-2976</v>
      </c>
      <c r="M135" s="20" t="n">
        <v>24</v>
      </c>
      <c r="N135" s="20" t="n">
        <v>2761</v>
      </c>
      <c r="V135" s="20" t="n">
        <v>100</v>
      </c>
      <c r="W135" s="20" t="n">
        <v>-302</v>
      </c>
      <c r="X135" s="20" t="n">
        <v>829</v>
      </c>
    </row>
    <row r="136">
      <c r="A136" s="18" t="inlineStr">
        <is>
          <t>이연헤지손익</t>
        </is>
      </c>
      <c r="C136" s="20" t="n">
        <v>-48</v>
      </c>
      <c r="D136" s="20" t="n">
        <v>-11</v>
      </c>
      <c r="E136" s="20" t="n">
        <v>30</v>
      </c>
      <c r="F136" s="20" t="n">
        <v>-152</v>
      </c>
      <c r="G136" s="20" t="n">
        <v>133</v>
      </c>
      <c r="H136" s="20" t="n">
        <v>-102</v>
      </c>
      <c r="I136" s="20" t="n">
        <v>-33</v>
      </c>
      <c r="J136" s="20" t="n">
        <v>87</v>
      </c>
      <c r="K136" s="20" t="n">
        <v>127</v>
      </c>
      <c r="L136" s="20" t="n">
        <v>27</v>
      </c>
      <c r="M136" s="20" t="n">
        <v>-99</v>
      </c>
      <c r="N136" s="20" t="n">
        <v>-106</v>
      </c>
      <c r="V136" s="20" t="n">
        <v>-48</v>
      </c>
      <c r="W136" s="20" t="n">
        <v>133</v>
      </c>
      <c r="X136" s="20" t="n">
        <v>127</v>
      </c>
    </row>
    <row r="137">
      <c r="A137" s="18" t="inlineStr">
        <is>
          <t>해외사업환산조정</t>
        </is>
      </c>
      <c r="C137" s="20" t="n">
        <v>-105</v>
      </c>
      <c r="D137" s="20" t="n">
        <v>125</v>
      </c>
      <c r="E137" s="20" t="n">
        <v>119</v>
      </c>
      <c r="F137" s="20" t="n">
        <v>-249</v>
      </c>
      <c r="G137" s="20" t="n">
        <v>196</v>
      </c>
      <c r="H137" s="20" t="n">
        <v>-105</v>
      </c>
      <c r="I137" s="20" t="n">
        <v>-65</v>
      </c>
      <c r="J137" s="20" t="n">
        <v>46</v>
      </c>
      <c r="K137" s="20" t="n">
        <v>89</v>
      </c>
      <c r="L137" s="20" t="n">
        <v>51</v>
      </c>
      <c r="M137" s="20" t="n">
        <v>36</v>
      </c>
      <c r="N137" s="20" t="n">
        <v>-63</v>
      </c>
      <c r="V137" s="20" t="n">
        <v>-105</v>
      </c>
      <c r="W137" s="20" t="n">
        <v>196</v>
      </c>
      <c r="X137" s="20" t="n">
        <v>89</v>
      </c>
    </row>
    <row r="138">
      <c r="A138" s="18" t="inlineStr">
        <is>
          <t>퇴직급여 조정액</t>
        </is>
      </c>
      <c r="C138" s="20" t="n">
        <v>10461</v>
      </c>
      <c r="D138" s="20" t="n">
        <v>378</v>
      </c>
      <c r="E138" s="20" t="n">
        <v>-140</v>
      </c>
      <c r="F138" s="20" t="n">
        <v>-156</v>
      </c>
      <c r="G138" s="20" t="n">
        <v>10886</v>
      </c>
      <c r="H138" s="20" t="n">
        <v>-833</v>
      </c>
      <c r="I138" s="20" t="n">
        <v>-614</v>
      </c>
      <c r="J138" s="20" t="n">
        <v>-614</v>
      </c>
      <c r="K138" s="20" t="n">
        <v>15881</v>
      </c>
      <c r="L138" s="20" t="n">
        <v>-1110</v>
      </c>
      <c r="M138" s="20" t="n">
        <v>-1325</v>
      </c>
      <c r="N138" s="20" t="n">
        <v>-1324</v>
      </c>
      <c r="V138" s="20" t="n">
        <v>10461</v>
      </c>
      <c r="W138" s="20" t="n">
        <v>10886</v>
      </c>
      <c r="X138" s="20" t="n">
        <v>15881</v>
      </c>
    </row>
    <row r="139">
      <c r="A139" s="18" t="inlineStr">
        <is>
          <t>기타포괄손익 합계</t>
        </is>
      </c>
      <c r="C139" s="20" t="n">
        <v>10410</v>
      </c>
      <c r="D139" s="20" t="n">
        <v>325</v>
      </c>
      <c r="E139" s="20" t="n">
        <v>-39</v>
      </c>
      <c r="F139" s="20" t="n">
        <v>53</v>
      </c>
      <c r="G139" s="20" t="n">
        <v>10914</v>
      </c>
      <c r="H139" s="20" t="n">
        <v>-1393</v>
      </c>
      <c r="I139" s="20" t="n">
        <v>1453</v>
      </c>
      <c r="J139" s="20" t="n">
        <v>-1026</v>
      </c>
      <c r="K139" s="20" t="n">
        <v>16926</v>
      </c>
      <c r="L139" s="20" t="n">
        <v>-4007</v>
      </c>
      <c r="M139" s="20" t="n">
        <v>-1364</v>
      </c>
      <c r="N139" s="20" t="n">
        <v>1267</v>
      </c>
      <c r="V139" s="20" t="n">
        <v>10410</v>
      </c>
      <c r="W139" s="20" t="n">
        <v>10914</v>
      </c>
      <c r="X139" s="20" t="n">
        <v>16926</v>
      </c>
    </row>
    <row r="140">
      <c r="A140" s="9" t="inlineStr">
        <is>
          <t>포괄이익</t>
        </is>
      </c>
      <c r="C140" s="12" t="n">
        <v>21067</v>
      </c>
      <c r="D140" s="12" t="n">
        <v>9879</v>
      </c>
      <c r="E140" s="12" t="n">
        <v>10604</v>
      </c>
      <c r="F140" s="12" t="n">
        <v>6903</v>
      </c>
      <c r="G140" s="12" t="n">
        <v>23270</v>
      </c>
      <c r="H140" s="12" t="n">
        <v>7439</v>
      </c>
      <c r="I140" s="12" t="n">
        <v>11527</v>
      </c>
      <c r="J140" s="12" t="n">
        <v>7402</v>
      </c>
      <c r="K140" s="12" t="n">
        <v>31136</v>
      </c>
      <c r="L140" s="12" t="n">
        <v>8811</v>
      </c>
      <c r="M140" s="12" t="n">
        <v>8463</v>
      </c>
      <c r="N140" s="12" t="n">
        <v>11268</v>
      </c>
      <c r="V140" s="12" t="n">
        <v>21067</v>
      </c>
      <c r="W140" s="12" t="n">
        <v>23270</v>
      </c>
      <c r="X140" s="12" t="n">
        <v>31136</v>
      </c>
    </row>
    <row r="141">
      <c r="A141" s="9" t="inlineStr">
        <is>
          <t>지배주주 포괄이익</t>
        </is>
      </c>
      <c r="C141" s="12" t="n">
        <v>21060</v>
      </c>
      <c r="D141" s="12" t="n">
        <v>9832</v>
      </c>
      <c r="E141" s="12" t="n">
        <v>10569</v>
      </c>
      <c r="F141" s="12" t="n">
        <v>6915</v>
      </c>
      <c r="G141" s="12" t="n">
        <v>23224</v>
      </c>
      <c r="H141" s="12" t="n">
        <v>7430</v>
      </c>
      <c r="I141" s="12" t="n">
        <v>11516</v>
      </c>
      <c r="J141" s="12" t="n">
        <v>7376</v>
      </c>
      <c r="K141" s="12" t="n">
        <v>31097</v>
      </c>
      <c r="L141" s="12" t="n">
        <v>8787</v>
      </c>
      <c r="M141" s="12" t="n">
        <v>8444</v>
      </c>
      <c r="N141" s="12" t="n">
        <v>11262</v>
      </c>
      <c r="V141" s="12" t="n">
        <v>21060</v>
      </c>
      <c r="W141" s="12" t="n">
        <v>23224</v>
      </c>
      <c r="X141" s="12" t="n">
        <v>31097</v>
      </c>
    </row>
    <row r="142">
      <c r="A142" s="9" t="inlineStr">
        <is>
          <t>비지배주주 포괄이익</t>
        </is>
      </c>
      <c r="C142" s="12" t="n">
        <v>7</v>
      </c>
      <c r="D142" s="12" t="n">
        <v>46</v>
      </c>
      <c r="E142" s="12" t="n">
        <v>36</v>
      </c>
      <c r="F142" s="12" t="n">
        <v>-13</v>
      </c>
      <c r="G142" s="12" t="n">
        <v>47</v>
      </c>
      <c r="H142" s="12" t="n">
        <v>8</v>
      </c>
      <c r="I142" s="12" t="n">
        <v>11</v>
      </c>
      <c r="J142" s="12" t="n">
        <v>27</v>
      </c>
      <c r="K142" s="12" t="n">
        <v>39</v>
      </c>
      <c r="L142" s="12" t="n">
        <v>24</v>
      </c>
      <c r="M142" s="12" t="n">
        <v>18</v>
      </c>
      <c r="N142" s="12" t="n">
        <v>6</v>
      </c>
      <c r="V142" s="12" t="n">
        <v>7</v>
      </c>
      <c r="W142" s="12" t="n">
        <v>47</v>
      </c>
      <c r="X142" s="12" t="n">
        <v>39</v>
      </c>
    </row>
    <row r="144">
      <c r="A144" s="16" t="inlineStr">
        <is>
          <t>부문 · 전 항목</t>
        </is>
      </c>
      <c r="B144" s="42" t="inlineStr">
        <is>
          <t>부문 · 항목</t>
        </is>
      </c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</row>
    <row r="145">
      <c r="A145" s="5" t="inlineStr">
        <is>
          <t>항목</t>
        </is>
      </c>
      <c r="B145" s="5" t="inlineStr">
        <is>
          <t>참고</t>
        </is>
      </c>
      <c r="C145" s="5" t="inlineStr">
        <is>
          <t>2023.4Q</t>
        </is>
      </c>
      <c r="D145" s="5" t="inlineStr">
        <is>
          <t>2024.1Q</t>
        </is>
      </c>
      <c r="E145" s="5" t="inlineStr">
        <is>
          <t>2024.2Q</t>
        </is>
      </c>
      <c r="F145" s="5" t="inlineStr">
        <is>
          <t>2024.3Q</t>
        </is>
      </c>
      <c r="G145" s="5" t="inlineStr">
        <is>
          <t>2024.4Q</t>
        </is>
      </c>
      <c r="H145" s="5" t="inlineStr">
        <is>
          <t>2025.1Q</t>
        </is>
      </c>
      <c r="I145" s="5" t="inlineStr">
        <is>
          <t>2025.2Q</t>
        </is>
      </c>
      <c r="J145" s="5" t="inlineStr">
        <is>
          <t>2025.3Q</t>
        </is>
      </c>
      <c r="K145" s="5" t="inlineStr">
        <is>
          <t>2025.4Q</t>
        </is>
      </c>
      <c r="L145" s="5" t="inlineStr">
        <is>
          <t>2026.1Q</t>
        </is>
      </c>
      <c r="M145" s="5" t="inlineStr">
        <is>
          <t>2026.2Q</t>
        </is>
      </c>
      <c r="N145" s="5" t="inlineStr">
        <is>
          <t>2026.3Q</t>
        </is>
      </c>
      <c r="O145" s="5" t="inlineStr">
        <is>
          <t>2016</t>
        </is>
      </c>
      <c r="P145" s="5" t="inlineStr">
        <is>
          <t>2017</t>
        </is>
      </c>
      <c r="Q145" s="5" t="inlineStr">
        <is>
          <t>2018</t>
        </is>
      </c>
      <c r="R145" s="5" t="inlineStr">
        <is>
          <t>2019</t>
        </is>
      </c>
      <c r="S145" s="5" t="inlineStr">
        <is>
          <t>2020</t>
        </is>
      </c>
      <c r="T145" s="5" t="inlineStr">
        <is>
          <t>2021</t>
        </is>
      </c>
      <c r="U145" s="5" t="inlineStr">
        <is>
          <t>2022</t>
        </is>
      </c>
      <c r="V145" s="5" t="inlineStr">
        <is>
          <t>2023</t>
        </is>
      </c>
      <c r="W145" s="5" t="inlineStr">
        <is>
          <t>2024</t>
        </is>
      </c>
      <c r="X145" s="5" t="inlineStr">
        <is>
          <t>2025</t>
        </is>
      </c>
      <c r="Y145" s="5" t="inlineStr">
        <is>
          <t>2026(MW)</t>
        </is>
      </c>
      <c r="Z145" s="5" t="inlineStr">
        <is>
          <t>2027(MW)</t>
        </is>
      </c>
      <c r="AA145" s="5" t="inlineStr">
        <is>
          <t>2028(MW)</t>
        </is>
      </c>
      <c r="AB145" s="5" t="inlineStr">
        <is>
          <t>2029(MW)</t>
        </is>
      </c>
      <c r="AC145" s="5" t="inlineStr">
        <is>
          <t>2030(MW)</t>
        </is>
      </c>
    </row>
    <row r="146">
      <c r="A146" s="18" t="inlineStr">
        <is>
          <t>EnterpriseReportableSegmentMember · 외부 고객 매출</t>
        </is>
      </c>
      <c r="C146" s="20" t="n">
        <v>57133</v>
      </c>
      <c r="D146" s="20" t="n">
        <v>55413</v>
      </c>
      <c r="E146" s="20" t="n">
        <v>61839</v>
      </c>
      <c r="F146" s="20" t="n">
        <v>57789</v>
      </c>
      <c r="G146" s="20" t="n">
        <v>66258</v>
      </c>
      <c r="H146" s="20" t="n">
        <v>63356</v>
      </c>
      <c r="I146" s="20" t="n">
        <v>50615</v>
      </c>
      <c r="J146" s="20" t="n">
        <v>73296</v>
      </c>
      <c r="K146" s="20" t="n">
        <v>66242</v>
      </c>
      <c r="L146" s="20" t="n">
        <v>67078</v>
      </c>
      <c r="M146" s="20" t="n">
        <v>46050</v>
      </c>
      <c r="N146" s="20" t="n">
        <v>85122</v>
      </c>
      <c r="V146" s="20" t="n">
        <v>57133</v>
      </c>
      <c r="W146" s="20" t="n">
        <v>66258</v>
      </c>
      <c r="X146" s="20" t="n">
        <v>66242</v>
      </c>
    </row>
    <row r="147">
      <c r="A147" s="18" t="inlineStr">
        <is>
          <t>AreaReportableSegmentMember · 외부 고객 매출</t>
        </is>
      </c>
      <c r="C147" s="20" t="n">
        <v>54908</v>
      </c>
      <c r="D147" s="20" t="n">
        <v>57045</v>
      </c>
      <c r="E147" s="20" t="n">
        <v>54204</v>
      </c>
      <c r="F147" s="20" t="n">
        <v>52732</v>
      </c>
      <c r="G147" s="20" t="n">
        <v>55844</v>
      </c>
      <c r="H147" s="20" t="n">
        <v>57961</v>
      </c>
      <c r="I147" s="20" t="n">
        <v>7758</v>
      </c>
      <c r="J147" s="20" t="n">
        <v>104366</v>
      </c>
      <c r="K147" s="20" t="n">
        <v>58981</v>
      </c>
      <c r="L147" s="20" t="n">
        <v>57826</v>
      </c>
      <c r="M147" s="20" t="n">
        <v>10282</v>
      </c>
      <c r="N147" s="20" t="n">
        <v>101045</v>
      </c>
      <c r="V147" s="20" t="n">
        <v>54908</v>
      </c>
      <c r="W147" s="20" t="n">
        <v>55844</v>
      </c>
      <c r="X147" s="20" t="n">
        <v>58981</v>
      </c>
    </row>
    <row r="148">
      <c r="A148" s="18" t="inlineStr">
        <is>
          <t>ConsumerReportableSegmentMember · 외부 고객 매출</t>
        </is>
      </c>
      <c r="D148" s="20" t="n">
        <v>30139</v>
      </c>
      <c r="E148" s="20" t="n">
        <v>33956</v>
      </c>
      <c r="F148" s="20" t="n">
        <v>34174</v>
      </c>
      <c r="H148" s="20" t="n">
        <v>31865</v>
      </c>
      <c r="I148" s="20" t="n">
        <v>94736</v>
      </c>
      <c r="J148" s="20" t="n">
        <v>-29226</v>
      </c>
      <c r="L148" s="20" t="n">
        <v>32046</v>
      </c>
      <c r="M148" s="20" t="n">
        <v>100031</v>
      </c>
      <c r="N148" s="20" t="n">
        <v>-30652</v>
      </c>
    </row>
    <row r="149">
      <c r="A149" s="18" t="inlineStr">
        <is>
          <t>ProfessionalReportableSegmentMember · 외부 고객 매출</t>
        </is>
      </c>
      <c r="C149" s="20" t="n">
        <v>9430</v>
      </c>
      <c r="D149" s="20" t="n">
        <v>13619</v>
      </c>
      <c r="E149" s="20" t="n">
        <v>10630</v>
      </c>
      <c r="F149" s="20" t="n">
        <v>8632</v>
      </c>
      <c r="G149" s="20" t="n">
        <v>10683</v>
      </c>
      <c r="H149" s="20" t="n">
        <v>13060</v>
      </c>
      <c r="I149" s="20" t="n">
        <v>12334</v>
      </c>
      <c r="J149" s="20" t="n">
        <v>8529</v>
      </c>
      <c r="K149" s="20" t="n">
        <v>13561</v>
      </c>
      <c r="L149" s="20" t="n">
        <v>13487</v>
      </c>
      <c r="M149" s="20" t="n">
        <v>10533</v>
      </c>
      <c r="N149" s="20" t="n">
        <v>11223</v>
      </c>
      <c r="V149" s="20" t="n">
        <v>9430</v>
      </c>
      <c r="W149" s="20" t="n">
        <v>10683</v>
      </c>
      <c r="X149" s="20" t="n">
        <v>13561</v>
      </c>
    </row>
    <row r="150">
      <c r="A150" s="18" t="inlineStr">
        <is>
          <t>기타 · 외부 고객 매출</t>
        </is>
      </c>
      <c r="C150" s="20" t="n">
        <v>1516</v>
      </c>
      <c r="D150" s="20" t="n">
        <v>1008</v>
      </c>
      <c r="E150" s="20" t="n">
        <v>1047</v>
      </c>
      <c r="F150" s="20" t="n">
        <v>953</v>
      </c>
      <c r="G150" s="20" t="n">
        <v>1651</v>
      </c>
      <c r="H150" s="20" t="n">
        <v>1072</v>
      </c>
      <c r="I150" s="20" t="n">
        <v>1091</v>
      </c>
      <c r="J150" s="20" t="n">
        <v>1006</v>
      </c>
      <c r="K150" s="20" t="n">
        <v>1787</v>
      </c>
      <c r="L150" s="20" t="n">
        <v>1227</v>
      </c>
      <c r="M150" s="20" t="n">
        <v>1228</v>
      </c>
      <c r="N150" s="20" t="n">
        <v>1143</v>
      </c>
      <c r="V150" s="20" t="n">
        <v>1516</v>
      </c>
      <c r="W150" s="20" t="n">
        <v>1651</v>
      </c>
      <c r="X150" s="20" t="n">
        <v>1787</v>
      </c>
    </row>
    <row r="151">
      <c r="A151" s="18" t="inlineStr">
        <is>
          <t>합계 · 외부 고객 매출</t>
        </is>
      </c>
      <c r="C151" s="20" t="n">
        <v>164923</v>
      </c>
      <c r="D151" s="20" t="n">
        <v>157226</v>
      </c>
      <c r="E151" s="20" t="n">
        <v>161677</v>
      </c>
      <c r="F151" s="20" t="n">
        <v>154278</v>
      </c>
      <c r="G151" s="20" t="n">
        <v>180738</v>
      </c>
      <c r="H151" s="20" t="n">
        <v>167316</v>
      </c>
      <c r="I151" s="20" t="n">
        <v>166533</v>
      </c>
      <c r="J151" s="20" t="n">
        <v>157973</v>
      </c>
      <c r="K151" s="20" t="n">
        <v>187977</v>
      </c>
      <c r="L151" s="20" t="n">
        <v>171666</v>
      </c>
      <c r="M151" s="20" t="n">
        <v>168124</v>
      </c>
      <c r="N151" s="20" t="n">
        <v>167880</v>
      </c>
      <c r="V151" s="20" t="n">
        <v>164923</v>
      </c>
      <c r="W151" s="20" t="n">
        <v>180738</v>
      </c>
      <c r="X151" s="20" t="n">
        <v>187977</v>
      </c>
    </row>
    <row r="152">
      <c r="A152" s="18" t="inlineStr">
        <is>
          <t>조정액 · 외부 고객 매출</t>
        </is>
      </c>
      <c r="C152" s="20" t="n">
        <v>0</v>
      </c>
      <c r="D152" s="20" t="n">
        <v>0</v>
      </c>
      <c r="E152" s="20" t="n">
        <v>0</v>
      </c>
      <c r="F152" s="20" t="n">
        <v>0</v>
      </c>
      <c r="G152" s="20" t="n">
        <v>0</v>
      </c>
      <c r="H152" s="20" t="n">
        <v>0</v>
      </c>
      <c r="I152" s="20" t="n">
        <v>0</v>
      </c>
      <c r="J152" s="20" t="n">
        <v>0</v>
      </c>
      <c r="K152" s="20" t="n">
        <v>0</v>
      </c>
      <c r="L152" s="20" t="n">
        <v>0</v>
      </c>
      <c r="M152" s="20" t="n">
        <v>0</v>
      </c>
      <c r="N152" s="20" t="n">
        <v>0</v>
      </c>
      <c r="V152" s="20" t="n">
        <v>0</v>
      </c>
      <c r="W152" s="20" t="n">
        <v>0</v>
      </c>
      <c r="X152" s="20" t="n">
        <v>0</v>
      </c>
    </row>
    <row r="153">
      <c r="A153" s="9" t="inlineStr">
        <is>
          <t>외부 고객 매출</t>
        </is>
      </c>
      <c r="C153" s="12" t="n">
        <v>164923</v>
      </c>
      <c r="D153" s="12" t="n">
        <v>157226</v>
      </c>
      <c r="E153" s="12" t="n">
        <v>161677</v>
      </c>
      <c r="F153" s="12" t="n">
        <v>154278</v>
      </c>
      <c r="G153" s="12" t="n">
        <v>180738</v>
      </c>
      <c r="H153" s="12" t="n">
        <v>167316</v>
      </c>
      <c r="I153" s="12" t="n">
        <v>166533</v>
      </c>
      <c r="J153" s="12" t="n">
        <v>157973</v>
      </c>
      <c r="K153" s="12" t="n">
        <v>187977</v>
      </c>
      <c r="V153" s="12" t="n">
        <v>164923</v>
      </c>
      <c r="W153" s="12" t="n">
        <v>180738</v>
      </c>
      <c r="X153" s="12" t="n">
        <v>187977</v>
      </c>
    </row>
    <row r="154">
      <c r="A154" s="18" t="inlineStr">
        <is>
          <t>EntityTotalMember · 외부 고객 매출</t>
        </is>
      </c>
      <c r="H154" s="20" t="n">
        <v>167316</v>
      </c>
      <c r="L154" s="20" t="n">
        <v>171666</v>
      </c>
    </row>
    <row r="155">
      <c r="A155" s="18" t="inlineStr">
        <is>
          <t>EnterpriseReportableSegmentMember · 부문 간 내부매출·대체</t>
        </is>
      </c>
      <c r="C155" s="20" t="n">
        <v>2949</v>
      </c>
      <c r="D155" s="20" t="n">
        <v>2532</v>
      </c>
      <c r="E155" s="20" t="n">
        <v>2020</v>
      </c>
      <c r="F155" s="20" t="n">
        <v>2065</v>
      </c>
      <c r="G155" s="20" t="n">
        <v>1995</v>
      </c>
      <c r="H155" s="20" t="n">
        <v>4656</v>
      </c>
      <c r="I155" s="20" t="n">
        <v>819</v>
      </c>
      <c r="J155" s="20" t="n">
        <v>4440</v>
      </c>
      <c r="K155" s="20" t="n">
        <v>2335</v>
      </c>
      <c r="L155" s="20" t="n">
        <v>2608</v>
      </c>
      <c r="M155" s="20" t="n">
        <v>2985</v>
      </c>
      <c r="N155" s="20" t="n">
        <v>1476</v>
      </c>
      <c r="V155" s="20" t="n">
        <v>2949</v>
      </c>
      <c r="W155" s="20" t="n">
        <v>1995</v>
      </c>
      <c r="X155" s="20" t="n">
        <v>2335</v>
      </c>
    </row>
    <row r="156">
      <c r="A156" s="18" t="inlineStr">
        <is>
          <t>AreaReportableSegmentMember · 부문 간 내부매출·대체</t>
        </is>
      </c>
      <c r="C156" s="20" t="n">
        <v>3005</v>
      </c>
      <c r="D156" s="20" t="n">
        <v>2738</v>
      </c>
      <c r="E156" s="20" t="n">
        <v>2902</v>
      </c>
      <c r="F156" s="20" t="n">
        <v>2808</v>
      </c>
      <c r="G156" s="20" t="n">
        <v>3003</v>
      </c>
      <c r="H156" s="20" t="n">
        <v>2632</v>
      </c>
      <c r="I156" s="20" t="n">
        <v>-2625</v>
      </c>
      <c r="J156" s="20" t="n">
        <v>8247</v>
      </c>
      <c r="K156" s="20" t="n">
        <v>2930</v>
      </c>
      <c r="L156" s="20" t="n">
        <v>2741</v>
      </c>
      <c r="M156" s="20" t="n">
        <v>-2722</v>
      </c>
      <c r="N156" s="20" t="n">
        <v>8381</v>
      </c>
      <c r="V156" s="20" t="n">
        <v>3005</v>
      </c>
      <c r="W156" s="20" t="n">
        <v>3003</v>
      </c>
      <c r="X156" s="20" t="n">
        <v>2930</v>
      </c>
    </row>
    <row r="157">
      <c r="A157" s="18" t="inlineStr">
        <is>
          <t>ConsumerReportableSegmentMember · 부문 간 내부매출·대체</t>
        </is>
      </c>
      <c r="D157" s="20" t="n">
        <v>4</v>
      </c>
      <c r="E157" s="20" t="n">
        <v>6</v>
      </c>
      <c r="F157" s="20" t="n">
        <v>2</v>
      </c>
      <c r="H157" s="20" t="n">
        <v>4</v>
      </c>
      <c r="I157" s="20" t="n">
        <v>6922</v>
      </c>
      <c r="J157" s="20" t="n">
        <v>-6915</v>
      </c>
      <c r="L157" s="20" t="n">
        <v>17</v>
      </c>
      <c r="M157" s="20" t="n">
        <v>4828</v>
      </c>
      <c r="N157" s="20" t="n">
        <v>-4822</v>
      </c>
    </row>
    <row r="158">
      <c r="A158" s="18" t="inlineStr">
        <is>
          <t>ProfessionalReportableSegmentMember · 부문 간 내부매출·대체</t>
        </is>
      </c>
      <c r="C158" s="20" t="n">
        <v>298</v>
      </c>
      <c r="D158" s="20" t="n">
        <v>334</v>
      </c>
      <c r="E158" s="20" t="n">
        <v>298</v>
      </c>
      <c r="F158" s="20" t="n">
        <v>291</v>
      </c>
      <c r="G158" s="20" t="n">
        <v>342</v>
      </c>
      <c r="H158" s="20" t="n">
        <v>344</v>
      </c>
      <c r="I158" s="20" t="n">
        <v>315</v>
      </c>
      <c r="J158" s="20" t="n">
        <v>299</v>
      </c>
      <c r="K158" s="20" t="n">
        <v>384</v>
      </c>
      <c r="L158" s="20" t="n">
        <v>346</v>
      </c>
      <c r="M158" s="20" t="n">
        <v>350</v>
      </c>
      <c r="N158" s="20" t="n">
        <v>372</v>
      </c>
      <c r="V158" s="20" t="n">
        <v>298</v>
      </c>
      <c r="W158" s="20" t="n">
        <v>342</v>
      </c>
      <c r="X158" s="20" t="n">
        <v>384</v>
      </c>
    </row>
    <row r="159">
      <c r="A159" s="18" t="inlineStr">
        <is>
          <t>기타 · 부문 간 내부매출·대체</t>
        </is>
      </c>
      <c r="C159" s="20" t="n">
        <v>1976</v>
      </c>
      <c r="D159" s="20" t="n">
        <v>2076</v>
      </c>
      <c r="E159" s="20" t="n">
        <v>1896</v>
      </c>
      <c r="F159" s="20" t="n">
        <v>1901</v>
      </c>
      <c r="G159" s="20" t="n">
        <v>2011</v>
      </c>
      <c r="H159" s="20" t="n">
        <v>2012</v>
      </c>
      <c r="I159" s="20" t="n">
        <v>1915</v>
      </c>
      <c r="J159" s="20" t="n">
        <v>1952</v>
      </c>
      <c r="K159" s="20" t="n">
        <v>2103</v>
      </c>
      <c r="L159" s="20" t="n">
        <v>2098</v>
      </c>
      <c r="M159" s="20" t="n">
        <v>2072</v>
      </c>
      <c r="N159" s="20" t="n">
        <v>2090</v>
      </c>
      <c r="V159" s="20" t="n">
        <v>1976</v>
      </c>
      <c r="W159" s="20" t="n">
        <v>2011</v>
      </c>
      <c r="X159" s="20" t="n">
        <v>2103</v>
      </c>
    </row>
    <row r="160">
      <c r="A160" s="18" t="inlineStr">
        <is>
          <t>합계 · 부문 간 내부매출·대체</t>
        </is>
      </c>
      <c r="C160" s="20" t="n">
        <v>8234</v>
      </c>
      <c r="D160" s="20" t="n">
        <v>7687</v>
      </c>
      <c r="E160" s="20" t="n">
        <v>7120</v>
      </c>
      <c r="F160" s="20" t="n">
        <v>7070</v>
      </c>
      <c r="G160" s="20" t="n">
        <v>7354</v>
      </c>
      <c r="H160" s="20" t="n">
        <v>9650</v>
      </c>
      <c r="I160" s="20" t="n">
        <v>7346</v>
      </c>
      <c r="J160" s="20" t="n">
        <v>8023</v>
      </c>
      <c r="K160" s="20" t="n">
        <v>7754</v>
      </c>
      <c r="L160" s="20" t="n">
        <v>7811</v>
      </c>
      <c r="M160" s="20" t="n">
        <v>7514</v>
      </c>
      <c r="N160" s="20" t="n">
        <v>7496</v>
      </c>
      <c r="V160" s="20" t="n">
        <v>8234</v>
      </c>
      <c r="W160" s="20" t="n">
        <v>7354</v>
      </c>
      <c r="X160" s="20" t="n">
        <v>7754</v>
      </c>
    </row>
    <row r="161">
      <c r="A161" s="18" t="inlineStr">
        <is>
          <t>조정액 · 부문 간 내부매출·대체</t>
        </is>
      </c>
      <c r="C161" s="20" t="n">
        <v>-8234</v>
      </c>
      <c r="D161" s="20" t="n">
        <v>-7687</v>
      </c>
      <c r="E161" s="20" t="n">
        <v>-7120</v>
      </c>
      <c r="F161" s="20" t="n">
        <v>-7070</v>
      </c>
      <c r="G161" s="20" t="n">
        <v>-7354</v>
      </c>
      <c r="H161" s="20" t="n">
        <v>-9650</v>
      </c>
      <c r="I161" s="20" t="n">
        <v>-7346</v>
      </c>
      <c r="J161" s="20" t="n">
        <v>-8023</v>
      </c>
      <c r="K161" s="20" t="n">
        <v>-7754</v>
      </c>
      <c r="L161" s="20" t="n">
        <v>-7811</v>
      </c>
      <c r="M161" s="20" t="n">
        <v>-7514</v>
      </c>
      <c r="N161" s="20" t="n">
        <v>-7496</v>
      </c>
      <c r="V161" s="20" t="n">
        <v>-8234</v>
      </c>
      <c r="W161" s="20" t="n">
        <v>-7354</v>
      </c>
      <c r="X161" s="20" t="n">
        <v>-7754</v>
      </c>
    </row>
    <row r="162">
      <c r="A162" s="18" t="inlineStr">
        <is>
          <t>부문 간 내부매출·대체</t>
        </is>
      </c>
      <c r="C162" s="20" t="n">
        <v>0</v>
      </c>
      <c r="D162" s="20" t="n">
        <v>0</v>
      </c>
      <c r="E162" s="20" t="n">
        <v>0</v>
      </c>
      <c r="F162" s="20" t="n">
        <v>0</v>
      </c>
      <c r="G162" s="20" t="n">
        <v>0</v>
      </c>
      <c r="H162" s="20" t="n">
        <v>0</v>
      </c>
      <c r="I162" s="20" t="n">
        <v>0</v>
      </c>
      <c r="J162" s="20" t="n">
        <v>0</v>
      </c>
      <c r="K162" s="20" t="n">
        <v>0</v>
      </c>
      <c r="V162" s="20" t="n">
        <v>0</v>
      </c>
      <c r="W162" s="20" t="n">
        <v>0</v>
      </c>
      <c r="X162" s="20" t="n">
        <v>0</v>
      </c>
    </row>
    <row r="163">
      <c r="A163" s="18" t="inlineStr">
        <is>
          <t>EntityTotalMember · 부문 간 내부매출·대체</t>
        </is>
      </c>
      <c r="H163" s="20" t="n">
        <v>0</v>
      </c>
      <c r="L163" s="20" t="n">
        <v>0</v>
      </c>
    </row>
    <row r="164">
      <c r="A164" s="18" t="inlineStr">
        <is>
          <t>EnterpriseReportableSegmentMember · 계</t>
        </is>
      </c>
      <c r="C164" s="20" t="n">
        <v>60081</v>
      </c>
      <c r="D164" s="20" t="n">
        <v>57946</v>
      </c>
      <c r="E164" s="20" t="n">
        <v>63859</v>
      </c>
      <c r="F164" s="20" t="n">
        <v>59854</v>
      </c>
      <c r="G164" s="20" t="n">
        <v>68252</v>
      </c>
      <c r="H164" s="20" t="n">
        <v>68013</v>
      </c>
      <c r="I164" s="20" t="n">
        <v>51433</v>
      </c>
      <c r="J164" s="20" t="n">
        <v>77737</v>
      </c>
      <c r="K164" s="20" t="n">
        <v>68576</v>
      </c>
      <c r="L164" s="20" t="n">
        <v>69686</v>
      </c>
      <c r="M164" s="20" t="n">
        <v>49036</v>
      </c>
      <c r="N164" s="20" t="n">
        <v>86598</v>
      </c>
      <c r="V164" s="20" t="n">
        <v>60081</v>
      </c>
      <c r="W164" s="20" t="n">
        <v>68252</v>
      </c>
      <c r="X164" s="20" t="n">
        <v>68576</v>
      </c>
    </row>
    <row r="165">
      <c r="A165" s="18" t="inlineStr">
        <is>
          <t>AreaReportableSegmentMember · 계</t>
        </is>
      </c>
      <c r="C165" s="20" t="n">
        <v>57913</v>
      </c>
      <c r="D165" s="20" t="n">
        <v>59784</v>
      </c>
      <c r="E165" s="20" t="n">
        <v>57105</v>
      </c>
      <c r="F165" s="20" t="n">
        <v>55540</v>
      </c>
      <c r="G165" s="20" t="n">
        <v>58848</v>
      </c>
      <c r="H165" s="20" t="n">
        <v>60593</v>
      </c>
      <c r="I165" s="20" t="n">
        <v>5134</v>
      </c>
      <c r="J165" s="20" t="n">
        <v>112613</v>
      </c>
      <c r="K165" s="20" t="n">
        <v>61911</v>
      </c>
      <c r="L165" s="20" t="n">
        <v>60567</v>
      </c>
      <c r="M165" s="20" t="n">
        <v>7561</v>
      </c>
      <c r="N165" s="20" t="n">
        <v>109425</v>
      </c>
      <c r="V165" s="20" t="n">
        <v>57913</v>
      </c>
      <c r="W165" s="20" t="n">
        <v>58848</v>
      </c>
      <c r="X165" s="20" t="n">
        <v>61911</v>
      </c>
    </row>
    <row r="166">
      <c r="A166" s="18" t="inlineStr">
        <is>
          <t>ConsumerReportableSegmentMember · 계</t>
        </is>
      </c>
      <c r="D166" s="20" t="n">
        <v>30144</v>
      </c>
      <c r="E166" s="20" t="n">
        <v>33961</v>
      </c>
      <c r="F166" s="20" t="n">
        <v>34176</v>
      </c>
      <c r="H166" s="20" t="n">
        <v>31870</v>
      </c>
      <c r="I166" s="20" t="n">
        <v>101657</v>
      </c>
      <c r="J166" s="20" t="n">
        <v>-36140</v>
      </c>
      <c r="L166" s="20" t="n">
        <v>32063</v>
      </c>
      <c r="M166" s="20" t="n">
        <v>104860</v>
      </c>
      <c r="N166" s="20" t="n">
        <v>-35475</v>
      </c>
    </row>
    <row r="167">
      <c r="A167" s="18" t="inlineStr">
        <is>
          <t>ProfessionalReportableSegmentMember · 계</t>
        </is>
      </c>
      <c r="C167" s="20" t="n">
        <v>9728</v>
      </c>
      <c r="D167" s="20" t="n">
        <v>13954</v>
      </c>
      <c r="E167" s="20" t="n">
        <v>10928</v>
      </c>
      <c r="F167" s="20" t="n">
        <v>8923</v>
      </c>
      <c r="G167" s="20" t="n">
        <v>11024</v>
      </c>
      <c r="H167" s="20" t="n">
        <v>13405</v>
      </c>
      <c r="I167" s="20" t="n">
        <v>12649</v>
      </c>
      <c r="J167" s="20" t="n">
        <v>8828</v>
      </c>
      <c r="K167" s="20" t="n">
        <v>13944</v>
      </c>
      <c r="L167" s="20" t="n">
        <v>13834</v>
      </c>
      <c r="M167" s="20" t="n">
        <v>10883</v>
      </c>
      <c r="N167" s="20" t="n">
        <v>11594</v>
      </c>
      <c r="V167" s="20" t="n">
        <v>9728</v>
      </c>
      <c r="W167" s="20" t="n">
        <v>11024</v>
      </c>
      <c r="X167" s="20" t="n">
        <v>13944</v>
      </c>
    </row>
    <row r="168">
      <c r="A168" s="18" t="inlineStr">
        <is>
          <t>기타 · 계</t>
        </is>
      </c>
      <c r="C168" s="20" t="n">
        <v>3491</v>
      </c>
      <c r="D168" s="20" t="n">
        <v>3085</v>
      </c>
      <c r="E168" s="20" t="n">
        <v>2942</v>
      </c>
      <c r="F168" s="20" t="n">
        <v>2854</v>
      </c>
      <c r="G168" s="20" t="n">
        <v>3662</v>
      </c>
      <c r="H168" s="20" t="n">
        <v>3084</v>
      </c>
      <c r="I168" s="20" t="n">
        <v>3006</v>
      </c>
      <c r="J168" s="20" t="n">
        <v>2959</v>
      </c>
      <c r="K168" s="20" t="n">
        <v>3889</v>
      </c>
      <c r="L168" s="20" t="n">
        <v>3325</v>
      </c>
      <c r="M168" s="20" t="n">
        <v>3300</v>
      </c>
      <c r="N168" s="20" t="n">
        <v>3233</v>
      </c>
      <c r="V168" s="20" t="n">
        <v>3491</v>
      </c>
      <c r="W168" s="20" t="n">
        <v>3662</v>
      </c>
      <c r="X168" s="20" t="n">
        <v>3889</v>
      </c>
    </row>
    <row r="169">
      <c r="A169" s="18" t="inlineStr">
        <is>
          <t>합계 · 계</t>
        </is>
      </c>
      <c r="C169" s="20" t="n">
        <v>173156</v>
      </c>
      <c r="D169" s="20" t="n">
        <v>164914</v>
      </c>
      <c r="E169" s="20" t="n">
        <v>168796</v>
      </c>
      <c r="F169" s="20" t="n">
        <v>161348</v>
      </c>
      <c r="G169" s="20" t="n">
        <v>188092</v>
      </c>
      <c r="H169" s="20" t="n">
        <v>176967</v>
      </c>
      <c r="I169" s="20" t="n">
        <v>173879</v>
      </c>
      <c r="J169" s="20" t="n">
        <v>165996</v>
      </c>
      <c r="K169" s="20" t="n">
        <v>195731</v>
      </c>
      <c r="L169" s="20" t="n">
        <v>179477</v>
      </c>
      <c r="M169" s="20" t="n">
        <v>175639</v>
      </c>
      <c r="N169" s="20" t="n">
        <v>175376</v>
      </c>
      <c r="V169" s="20" t="n">
        <v>173156</v>
      </c>
      <c r="W169" s="20" t="n">
        <v>188092</v>
      </c>
      <c r="X169" s="20" t="n">
        <v>195731</v>
      </c>
    </row>
    <row r="170">
      <c r="A170" s="18" t="inlineStr">
        <is>
          <t>조정액 · 계</t>
        </is>
      </c>
      <c r="C170" s="20" t="n">
        <v>-8234</v>
      </c>
      <c r="D170" s="20" t="n">
        <v>-7687</v>
      </c>
      <c r="E170" s="20" t="n">
        <v>-7120</v>
      </c>
      <c r="F170" s="20" t="n">
        <v>-7070</v>
      </c>
      <c r="G170" s="20" t="n">
        <v>-7354</v>
      </c>
      <c r="H170" s="20" t="n">
        <v>-9650</v>
      </c>
      <c r="I170" s="20" t="n">
        <v>-7346</v>
      </c>
      <c r="J170" s="20" t="n">
        <v>-8023</v>
      </c>
      <c r="K170" s="20" t="n">
        <v>-7754</v>
      </c>
      <c r="L170" s="20" t="n">
        <v>-7811</v>
      </c>
      <c r="M170" s="20" t="n">
        <v>-7514</v>
      </c>
      <c r="N170" s="20" t="n">
        <v>-7496</v>
      </c>
      <c r="V170" s="20" t="n">
        <v>-8234</v>
      </c>
      <c r="W170" s="20" t="n">
        <v>-7354</v>
      </c>
      <c r="X170" s="20" t="n">
        <v>-7754</v>
      </c>
    </row>
    <row r="171">
      <c r="A171" s="9" t="inlineStr">
        <is>
          <t>계</t>
        </is>
      </c>
      <c r="C171" s="12" t="n">
        <v>164923</v>
      </c>
      <c r="D171" s="12" t="n">
        <v>157226</v>
      </c>
      <c r="E171" s="12" t="n">
        <v>161677</v>
      </c>
      <c r="F171" s="12" t="n">
        <v>154278</v>
      </c>
      <c r="G171" s="12" t="n">
        <v>180738</v>
      </c>
      <c r="H171" s="12" t="n">
        <v>167316</v>
      </c>
      <c r="I171" s="12" t="n">
        <v>166533</v>
      </c>
      <c r="J171" s="12" t="n">
        <v>157973</v>
      </c>
      <c r="K171" s="12" t="n">
        <v>187977</v>
      </c>
      <c r="V171" s="12" t="n">
        <v>164923</v>
      </c>
      <c r="W171" s="12" t="n">
        <v>180738</v>
      </c>
      <c r="X171" s="12" t="n">
        <v>187977</v>
      </c>
    </row>
    <row r="172">
      <c r="A172" s="18" t="inlineStr">
        <is>
          <t>EntityTotalMember · 계</t>
        </is>
      </c>
      <c r="H172" s="20" t="n">
        <v>167316</v>
      </c>
      <c r="L172" s="20" t="n">
        <v>171666</v>
      </c>
    </row>
    <row r="173">
      <c r="A173" s="18" t="inlineStr">
        <is>
          <t>EnterpriseReportableSegmentMember · 부문 이익(손실)</t>
        </is>
      </c>
      <c r="C173" s="20" t="n">
        <v>5278</v>
      </c>
      <c r="D173" s="20" t="n">
        <v>5340</v>
      </c>
      <c r="E173" s="20" t="n">
        <v>3998</v>
      </c>
      <c r="F173" s="20" t="n">
        <v>3802</v>
      </c>
      <c r="G173" s="20" t="n">
        <v>6256</v>
      </c>
      <c r="H173" s="20" t="n">
        <v>5089</v>
      </c>
      <c r="I173" s="20" t="n">
        <v>6254</v>
      </c>
      <c r="J173" s="20" t="n">
        <v>2748</v>
      </c>
      <c r="K173" s="20" t="n">
        <v>6995</v>
      </c>
      <c r="L173" s="20" t="n">
        <v>7351</v>
      </c>
      <c r="M173" s="20" t="n">
        <v>5609</v>
      </c>
      <c r="N173" s="20" t="n">
        <v>3921</v>
      </c>
      <c r="V173" s="20" t="n">
        <v>5278</v>
      </c>
      <c r="W173" s="20" t="n">
        <v>6256</v>
      </c>
      <c r="X173" s="20" t="n">
        <v>6995</v>
      </c>
    </row>
    <row r="174">
      <c r="A174" s="18" t="inlineStr">
        <is>
          <t>AreaReportableSegmentMember · 부문 이익(손실)</t>
        </is>
      </c>
      <c r="C174" s="20" t="n">
        <v>4610</v>
      </c>
      <c r="D174" s="20" t="n">
        <v>5243</v>
      </c>
      <c r="E174" s="20" t="n">
        <v>4500</v>
      </c>
      <c r="F174" s="20" t="n">
        <v>3553</v>
      </c>
      <c r="G174" s="20" t="n">
        <v>5029</v>
      </c>
      <c r="H174" s="20" t="n">
        <v>5487</v>
      </c>
      <c r="I174" s="20" t="n">
        <v>-494</v>
      </c>
      <c r="J174" s="20" t="n">
        <v>11135</v>
      </c>
      <c r="K174" s="20" t="n">
        <v>6196</v>
      </c>
      <c r="L174" s="20" t="n">
        <v>7329</v>
      </c>
      <c r="M174" s="20" t="n">
        <v>-658</v>
      </c>
      <c r="N174" s="20" t="n">
        <v>11912</v>
      </c>
      <c r="V174" s="20" t="n">
        <v>4610</v>
      </c>
      <c r="W174" s="20" t="n">
        <v>5029</v>
      </c>
      <c r="X174" s="20" t="n">
        <v>6196</v>
      </c>
    </row>
    <row r="175">
      <c r="A175" s="18" t="inlineStr">
        <is>
          <t>ConsumerReportableSegmentMember · 부문 이익(손실)</t>
        </is>
      </c>
      <c r="D175" s="20" t="n">
        <v>2127</v>
      </c>
      <c r="E175" s="20" t="n">
        <v>3134</v>
      </c>
      <c r="F175" s="20" t="n">
        <v>2927</v>
      </c>
      <c r="H175" s="20" t="n">
        <v>2083</v>
      </c>
      <c r="I175" s="20" t="n">
        <v>7632</v>
      </c>
      <c r="J175" s="20" t="n">
        <v>-2429</v>
      </c>
      <c r="L175" s="20" t="n">
        <v>2726</v>
      </c>
      <c r="M175" s="20" t="n">
        <v>8808</v>
      </c>
      <c r="N175" s="20" t="n">
        <v>-2015</v>
      </c>
    </row>
    <row r="176">
      <c r="A176" s="18" t="inlineStr">
        <is>
          <t>ProfessionalReportableSegmentMember · 부문 이익(손실)</t>
        </is>
      </c>
      <c r="C176" s="20" t="n">
        <v>207</v>
      </c>
      <c r="D176" s="20" t="n">
        <v>1753</v>
      </c>
      <c r="E176" s="20" t="n">
        <v>1432</v>
      </c>
      <c r="F176" s="20" t="n">
        <v>801</v>
      </c>
      <c r="G176" s="20" t="n">
        <v>564</v>
      </c>
      <c r="H176" s="20" t="n">
        <v>1219</v>
      </c>
      <c r="I176" s="20" t="n">
        <v>1654</v>
      </c>
      <c r="J176" s="20" t="n">
        <v>734</v>
      </c>
      <c r="K176" s="20" t="n">
        <v>1938</v>
      </c>
      <c r="L176" s="20" t="n">
        <v>1701</v>
      </c>
      <c r="M176" s="20" t="n">
        <v>1002</v>
      </c>
      <c r="N176" s="20" t="n">
        <v>1303</v>
      </c>
      <c r="V176" s="20" t="n">
        <v>207</v>
      </c>
      <c r="W176" s="20" t="n">
        <v>564</v>
      </c>
      <c r="X176" s="20" t="n">
        <v>1938</v>
      </c>
    </row>
    <row r="177">
      <c r="A177" s="18" t="inlineStr">
        <is>
          <t>기타 · 부문 이익(손실)</t>
        </is>
      </c>
      <c r="C177" s="20" t="n">
        <v>-485</v>
      </c>
      <c r="D177" s="20" t="n">
        <v>-733</v>
      </c>
      <c r="E177" s="20" t="n">
        <v>-814</v>
      </c>
      <c r="F177" s="20" t="n">
        <v>-774</v>
      </c>
      <c r="G177" s="20" t="n">
        <v>-618</v>
      </c>
      <c r="H177" s="20" t="n">
        <v>-739</v>
      </c>
      <c r="I177" s="20" t="n">
        <v>-958</v>
      </c>
      <c r="J177" s="20" t="n">
        <v>-1261</v>
      </c>
      <c r="K177" s="20" t="n">
        <v>-914</v>
      </c>
      <c r="L177" s="20" t="n">
        <v>-640</v>
      </c>
      <c r="M177" s="20" t="n">
        <v>-825</v>
      </c>
      <c r="N177" s="20" t="n">
        <v>-728</v>
      </c>
      <c r="V177" s="20" t="n">
        <v>-485</v>
      </c>
      <c r="W177" s="20" t="n">
        <v>-618</v>
      </c>
      <c r="X177" s="20" t="n">
        <v>-914</v>
      </c>
    </row>
    <row r="178">
      <c r="A178" s="18" t="inlineStr">
        <is>
          <t>합계 · 부문 이익(손실)</t>
        </is>
      </c>
      <c r="C178" s="20" t="n">
        <v>14817</v>
      </c>
      <c r="D178" s="20" t="n">
        <v>13731</v>
      </c>
      <c r="E178" s="20" t="n">
        <v>12249</v>
      </c>
      <c r="F178" s="20" t="n">
        <v>10310</v>
      </c>
      <c r="G178" s="20" t="n">
        <v>16813</v>
      </c>
      <c r="H178" s="20" t="n">
        <v>13140</v>
      </c>
      <c r="I178" s="20" t="n">
        <v>14088</v>
      </c>
      <c r="J178" s="20" t="n">
        <v>10927</v>
      </c>
      <c r="K178" s="20" t="n">
        <v>19951</v>
      </c>
      <c r="L178" s="20" t="n">
        <v>18468</v>
      </c>
      <c r="M178" s="20" t="n">
        <v>13936</v>
      </c>
      <c r="N178" s="20" t="n">
        <v>14393</v>
      </c>
      <c r="V178" s="20" t="n">
        <v>14817</v>
      </c>
      <c r="W178" s="20" t="n">
        <v>16813</v>
      </c>
      <c r="X178" s="20" t="n">
        <v>19951</v>
      </c>
    </row>
    <row r="179">
      <c r="A179" s="18" t="inlineStr">
        <is>
          <t>조정액 · 부문 이익(손실)</t>
        </is>
      </c>
      <c r="C179" s="20" t="n">
        <v>-5</v>
      </c>
      <c r="D179" s="20" t="n">
        <v>76</v>
      </c>
      <c r="E179" s="20" t="n">
        <v>-23</v>
      </c>
      <c r="F179" s="20" t="n">
        <v>-53</v>
      </c>
      <c r="G179" s="20" t="n">
        <v>20</v>
      </c>
      <c r="H179" s="20" t="n">
        <v>29</v>
      </c>
      <c r="I179" s="20" t="n">
        <v>68</v>
      </c>
      <c r="J179" s="20" t="n">
        <v>-52</v>
      </c>
      <c r="K179" s="20" t="n">
        <v>36</v>
      </c>
      <c r="L179" s="20" t="n">
        <v>58</v>
      </c>
      <c r="M179" s="20" t="n">
        <v>25</v>
      </c>
      <c r="N179" s="20" t="n">
        <v>35</v>
      </c>
      <c r="V179" s="20" t="n">
        <v>-5</v>
      </c>
      <c r="W179" s="20" t="n">
        <v>20</v>
      </c>
      <c r="X179" s="20" t="n">
        <v>36</v>
      </c>
    </row>
    <row r="180">
      <c r="A180" s="9" t="inlineStr">
        <is>
          <t>부문 이익(손실)</t>
        </is>
      </c>
      <c r="C180" s="12" t="n">
        <v>14813</v>
      </c>
      <c r="D180" s="12" t="n">
        <v>13808</v>
      </c>
      <c r="E180" s="12" t="n">
        <v>12225</v>
      </c>
      <c r="F180" s="12" t="n">
        <v>10257</v>
      </c>
      <c r="G180" s="12" t="n">
        <v>16833</v>
      </c>
      <c r="H180" s="12" t="n">
        <v>13169</v>
      </c>
      <c r="I180" s="12" t="n">
        <v>14156</v>
      </c>
      <c r="J180" s="12" t="n">
        <v>10876</v>
      </c>
      <c r="K180" s="12" t="n">
        <v>19987</v>
      </c>
      <c r="V180" s="12" t="n">
        <v>14813</v>
      </c>
      <c r="W180" s="12" t="n">
        <v>16833</v>
      </c>
      <c r="X180" s="12" t="n">
        <v>19987</v>
      </c>
    </row>
    <row r="181">
      <c r="A181" s="18" t="inlineStr">
        <is>
          <t>EntityTotalMember · 부문 이익(손실)</t>
        </is>
      </c>
      <c r="H181" s="20" t="n">
        <v>13169</v>
      </c>
      <c r="L181" s="20" t="n">
        <v>18526</v>
      </c>
    </row>
    <row r="183">
      <c r="A183" s="16" t="inlineStr">
        <is>
          <t>현금흐름표 · 전 항목</t>
        </is>
      </c>
      <c r="B183" s="42" t="inlineStr">
        <is>
          <t>분기 = 결산기 첫날부터 누계(공시 그대로)</t>
        </is>
      </c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  <c r="AA183" s="16" t="n"/>
      <c r="AB183" s="16" t="n"/>
      <c r="AC183" s="16" t="n"/>
    </row>
    <row r="184">
      <c r="A184" s="5" t="inlineStr">
        <is>
          <t>항목</t>
        </is>
      </c>
      <c r="B184" s="5" t="inlineStr">
        <is>
          <t>참고</t>
        </is>
      </c>
      <c r="C184" s="5" t="inlineStr">
        <is>
          <t>2023.4Q</t>
        </is>
      </c>
      <c r="D184" s="5" t="inlineStr">
        <is>
          <t>2024.1Q</t>
        </is>
      </c>
      <c r="E184" s="5" t="inlineStr">
        <is>
          <t>2024.2Q</t>
        </is>
      </c>
      <c r="F184" s="5" t="inlineStr">
        <is>
          <t>2024.3Q</t>
        </is>
      </c>
      <c r="G184" s="5" t="inlineStr">
        <is>
          <t>2024.4Q</t>
        </is>
      </c>
      <c r="H184" s="5" t="inlineStr">
        <is>
          <t>2025.1Q</t>
        </is>
      </c>
      <c r="I184" s="5" t="inlineStr">
        <is>
          <t>2025.2Q</t>
        </is>
      </c>
      <c r="J184" s="5" t="inlineStr">
        <is>
          <t>2025.3Q</t>
        </is>
      </c>
      <c r="K184" s="5" t="inlineStr">
        <is>
          <t>2025.4Q</t>
        </is>
      </c>
      <c r="L184" s="5" t="inlineStr">
        <is>
          <t>2026.1Q</t>
        </is>
      </c>
      <c r="M184" s="5" t="inlineStr">
        <is>
          <t>2026.2Q</t>
        </is>
      </c>
      <c r="N184" s="5" t="inlineStr">
        <is>
          <t>2026.3Q</t>
        </is>
      </c>
      <c r="O184" s="5" t="inlineStr">
        <is>
          <t>2016</t>
        </is>
      </c>
      <c r="P184" s="5" t="inlineStr">
        <is>
          <t>2017</t>
        </is>
      </c>
      <c r="Q184" s="5" t="inlineStr">
        <is>
          <t>2018</t>
        </is>
      </c>
      <c r="R184" s="5" t="inlineStr">
        <is>
          <t>2019</t>
        </is>
      </c>
      <c r="S184" s="5" t="inlineStr">
        <is>
          <t>2020</t>
        </is>
      </c>
      <c r="T184" s="5" t="inlineStr">
        <is>
          <t>2021</t>
        </is>
      </c>
      <c r="U184" s="5" t="inlineStr">
        <is>
          <t>2022</t>
        </is>
      </c>
      <c r="V184" s="5" t="inlineStr">
        <is>
          <t>2023</t>
        </is>
      </c>
      <c r="W184" s="5" t="inlineStr">
        <is>
          <t>2024</t>
        </is>
      </c>
      <c r="X184" s="5" t="inlineStr">
        <is>
          <t>2025</t>
        </is>
      </c>
      <c r="Y184" s="5" t="inlineStr">
        <is>
          <t>2026(MW)</t>
        </is>
      </c>
      <c r="Z184" s="5" t="inlineStr">
        <is>
          <t>2027(MW)</t>
        </is>
      </c>
      <c r="AA184" s="5" t="inlineStr">
        <is>
          <t>2028(MW)</t>
        </is>
      </c>
      <c r="AB184" s="5" t="inlineStr">
        <is>
          <t>2029(MW)</t>
        </is>
      </c>
      <c r="AC184" s="5" t="inlineStr">
        <is>
          <t>2030(MW)</t>
        </is>
      </c>
    </row>
    <row r="185">
      <c r="A185" s="9" t="inlineStr">
        <is>
          <t>법인세차감전 순이익</t>
        </is>
      </c>
      <c r="C185" s="12" t="n">
        <v>53057</v>
      </c>
      <c r="D185" s="12" t="n">
        <v>13932</v>
      </c>
      <c r="E185" s="12" t="n">
        <v>29806</v>
      </c>
      <c r="F185" s="12" t="n">
        <v>40039</v>
      </c>
      <c r="G185" s="12" t="n">
        <v>57148</v>
      </c>
      <c r="H185" s="12" t="n">
        <v>12966</v>
      </c>
      <c r="I185" s="12" t="n">
        <v>27941</v>
      </c>
      <c r="J185" s="12" t="n">
        <v>40512</v>
      </c>
      <c r="K185" s="12" t="n">
        <v>60630</v>
      </c>
      <c r="L185" s="12" t="n">
        <v>18994</v>
      </c>
      <c r="M185" s="12" t="n">
        <v>33646</v>
      </c>
      <c r="N185" s="12" t="n">
        <v>48717</v>
      </c>
      <c r="O185" s="12" t="n">
        <v>28903</v>
      </c>
      <c r="P185" s="12" t="n">
        <v>30918</v>
      </c>
      <c r="Q185" s="12" t="n">
        <v>30708</v>
      </c>
      <c r="R185" s="12" t="n">
        <v>33302</v>
      </c>
      <c r="S185" s="12" t="n">
        <v>33463</v>
      </c>
      <c r="T185" s="12" t="n">
        <v>43094</v>
      </c>
      <c r="U185" s="12" t="n">
        <v>51523</v>
      </c>
      <c r="V185" s="12" t="n">
        <v>53057</v>
      </c>
      <c r="W185" s="12" t="n">
        <v>57148</v>
      </c>
      <c r="X185" s="12" t="n">
        <v>60630</v>
      </c>
    </row>
    <row r="186">
      <c r="A186" s="18" t="inlineStr">
        <is>
          <t>감가상각비</t>
        </is>
      </c>
      <c r="C186" s="20" t="n">
        <v>9738</v>
      </c>
      <c r="D186" s="20" t="n">
        <v>2489</v>
      </c>
      <c r="E186" s="20" t="n">
        <v>5002</v>
      </c>
      <c r="F186" s="20" t="n">
        <v>7628</v>
      </c>
      <c r="G186" s="20" t="n">
        <v>10454</v>
      </c>
      <c r="H186" s="20" t="n">
        <v>2769</v>
      </c>
      <c r="I186" s="20" t="n">
        <v>5771</v>
      </c>
      <c r="J186" s="20" t="n">
        <v>8909</v>
      </c>
      <c r="K186" s="20" t="n">
        <v>12143</v>
      </c>
      <c r="L186" s="20" t="n">
        <v>3170</v>
      </c>
      <c r="M186" s="20" t="n">
        <v>6413</v>
      </c>
      <c r="N186" s="20" t="n">
        <v>9790</v>
      </c>
      <c r="O186" s="20" t="n">
        <v>14870</v>
      </c>
      <c r="P186" s="20" t="n">
        <v>14268</v>
      </c>
      <c r="Q186" s="20" t="n">
        <v>13281</v>
      </c>
      <c r="R186" s="20" t="n">
        <v>12257</v>
      </c>
      <c r="S186" s="20" t="n">
        <v>11253</v>
      </c>
      <c r="T186" s="20" t="n">
        <v>10246</v>
      </c>
      <c r="U186" s="20" t="n">
        <v>9592</v>
      </c>
      <c r="V186" s="20" t="n">
        <v>9738</v>
      </c>
      <c r="W186" s="20" t="n">
        <v>10454</v>
      </c>
      <c r="X186" s="20" t="n">
        <v>12143</v>
      </c>
    </row>
    <row r="187">
      <c r="A187" s="18" t="inlineStr">
        <is>
          <t>손상차손</t>
        </is>
      </c>
      <c r="D187" s="20" t="n">
        <v>0</v>
      </c>
      <c r="E187" s="20" t="n">
        <v>0</v>
      </c>
      <c r="F187" s="20" t="n">
        <v>0</v>
      </c>
      <c r="G187" s="20" t="n">
        <v>0</v>
      </c>
      <c r="H187" s="20" t="n">
        <v>275</v>
      </c>
      <c r="I187" s="20" t="n">
        <v>494</v>
      </c>
      <c r="J187" s="20" t="n">
        <v>494</v>
      </c>
      <c r="K187" s="20" t="n">
        <v>494</v>
      </c>
      <c r="L187" s="20" t="n">
        <v>0</v>
      </c>
      <c r="M187" s="20" t="n">
        <v>0</v>
      </c>
      <c r="N187" s="20" t="n">
        <v>0</v>
      </c>
      <c r="O187" s="20" t="n">
        <v>131</v>
      </c>
      <c r="P187" s="20" t="n">
        <v>1033</v>
      </c>
      <c r="Q187" s="20" t="n">
        <v>15</v>
      </c>
      <c r="R187" s="20" t="n">
        <v>82</v>
      </c>
      <c r="S187" s="20" t="n">
        <v>0</v>
      </c>
      <c r="W187" s="20" t="n">
        <v>0</v>
      </c>
      <c r="X187" s="20" t="n">
        <v>494</v>
      </c>
    </row>
    <row r="188">
      <c r="A188" s="18" t="inlineStr">
        <is>
          <t>영업권 상각</t>
        </is>
      </c>
      <c r="C188" s="20" t="n">
        <v>198</v>
      </c>
      <c r="D188" s="20" t="n">
        <v>121</v>
      </c>
      <c r="E188" s="20" t="n">
        <v>610</v>
      </c>
      <c r="F188" s="20" t="n">
        <v>1052</v>
      </c>
      <c r="G188" s="20" t="n">
        <v>1518</v>
      </c>
      <c r="H188" s="20" t="n">
        <v>465</v>
      </c>
      <c r="I188" s="20" t="n">
        <v>931</v>
      </c>
      <c r="J188" s="20" t="n">
        <v>1397</v>
      </c>
      <c r="K188" s="20" t="n">
        <v>1862</v>
      </c>
      <c r="L188" s="20" t="n">
        <v>465</v>
      </c>
      <c r="M188" s="20" t="n">
        <v>931</v>
      </c>
      <c r="N188" s="20" t="n">
        <v>1397</v>
      </c>
      <c r="O188" s="20" t="n">
        <v>799</v>
      </c>
      <c r="P188" s="20" t="n">
        <v>0</v>
      </c>
      <c r="T188" s="20" t="n">
        <v>0</v>
      </c>
      <c r="U188" s="20" t="n">
        <v>29</v>
      </c>
      <c r="V188" s="20" t="n">
        <v>198</v>
      </c>
      <c r="W188" s="20" t="n">
        <v>1518</v>
      </c>
      <c r="X188" s="20" t="n">
        <v>1862</v>
      </c>
    </row>
    <row r="189">
      <c r="A189" s="18" t="inlineStr">
        <is>
          <t>고객 관련 자산 상각액</t>
        </is>
      </c>
      <c r="C189" s="20" t="n">
        <v>303</v>
      </c>
      <c r="D189" s="20" t="n">
        <v>54</v>
      </c>
      <c r="G189" s="20" t="n">
        <v>1243</v>
      </c>
      <c r="H189" s="20" t="n">
        <v>396</v>
      </c>
      <c r="K189" s="20" t="n">
        <v>1585</v>
      </c>
      <c r="L189" s="20" t="n">
        <v>246</v>
      </c>
      <c r="U189" s="20" t="n">
        <v>0</v>
      </c>
      <c r="V189" s="20" t="n">
        <v>303</v>
      </c>
      <c r="W189" s="20" t="n">
        <v>1243</v>
      </c>
      <c r="X189" s="20" t="n">
        <v>1585</v>
      </c>
    </row>
    <row r="190">
      <c r="A190" s="18" t="inlineStr">
        <is>
          <t>고객 관련 자산 상각액</t>
        </is>
      </c>
      <c r="E190" s="20" t="n">
        <v>476</v>
      </c>
      <c r="F190" s="20" t="n">
        <v>846</v>
      </c>
      <c r="I190" s="20" t="n">
        <v>792</v>
      </c>
      <c r="J190" s="20" t="n">
        <v>1189</v>
      </c>
      <c r="M190" s="20" t="n">
        <v>492</v>
      </c>
      <c r="N190" s="20" t="n">
        <v>738</v>
      </c>
    </row>
    <row r="191">
      <c r="A191" s="18" t="inlineStr">
        <is>
          <t>대손충당금 증감</t>
        </is>
      </c>
      <c r="C191" s="20" t="n">
        <v>-7</v>
      </c>
      <c r="D191" s="20" t="n">
        <v>11</v>
      </c>
      <c r="E191" s="20" t="n">
        <v>-19</v>
      </c>
      <c r="F191" s="20" t="n">
        <v>-22</v>
      </c>
      <c r="G191" s="20" t="n">
        <v>-16</v>
      </c>
      <c r="H191" s="20" t="n">
        <v>-3</v>
      </c>
      <c r="I191" s="20" t="n">
        <v>-4</v>
      </c>
      <c r="J191" s="20" t="n">
        <v>103</v>
      </c>
      <c r="K191" s="20" t="n">
        <v>104</v>
      </c>
      <c r="L191" s="20" t="n">
        <v>-1</v>
      </c>
      <c r="M191" s="20" t="n">
        <v>-1</v>
      </c>
      <c r="N191" s="20" t="n">
        <v>-2</v>
      </c>
      <c r="O191" s="20" t="n">
        <v>-34</v>
      </c>
      <c r="P191" s="20" t="n">
        <v>-40</v>
      </c>
      <c r="Q191" s="20" t="n">
        <v>99</v>
      </c>
      <c r="R191" s="20" t="n">
        <v>-66</v>
      </c>
      <c r="S191" s="20" t="n">
        <v>-179</v>
      </c>
      <c r="T191" s="20" t="n">
        <v>-242</v>
      </c>
      <c r="U191" s="20" t="n">
        <v>111</v>
      </c>
      <c r="V191" s="20" t="n">
        <v>-7</v>
      </c>
      <c r="W191" s="20" t="n">
        <v>-16</v>
      </c>
      <c r="X191" s="20" t="n">
        <v>104</v>
      </c>
    </row>
    <row r="192">
      <c r="A192" s="18" t="inlineStr">
        <is>
          <t>퇴직급여부채 증감</t>
        </is>
      </c>
      <c r="C192" s="20" t="n">
        <v>-13347</v>
      </c>
      <c r="D192" s="20" t="n">
        <v>-2521</v>
      </c>
      <c r="E192" s="20" t="n">
        <v>-2467</v>
      </c>
      <c r="F192" s="20" t="n">
        <v>-2389</v>
      </c>
      <c r="G192" s="20" t="n">
        <v>-2352</v>
      </c>
      <c r="H192" s="20" t="n">
        <v>-12</v>
      </c>
      <c r="I192" s="20" t="n">
        <v>51</v>
      </c>
      <c r="J192" s="20" t="n">
        <v>126</v>
      </c>
      <c r="K192" s="20" t="n">
        <v>171</v>
      </c>
      <c r="L192" s="20" t="n">
        <v>-34</v>
      </c>
      <c r="M192" s="20" t="n">
        <v>-41</v>
      </c>
      <c r="N192" s="20" t="n">
        <v>4</v>
      </c>
      <c r="O192" s="20" t="n">
        <v>-1271</v>
      </c>
      <c r="P192" s="20" t="n">
        <v>-959</v>
      </c>
      <c r="Q192" s="20" t="n">
        <v>1228</v>
      </c>
      <c r="R192" s="20" t="n">
        <v>4468</v>
      </c>
      <c r="S192" s="20" t="n">
        <v>2028</v>
      </c>
      <c r="T192" s="20" t="n">
        <v>-544</v>
      </c>
      <c r="U192" s="20" t="n">
        <v>-3480</v>
      </c>
      <c r="V192" s="20" t="n">
        <v>-13347</v>
      </c>
      <c r="W192" s="20" t="n">
        <v>-2352</v>
      </c>
      <c r="X192" s="20" t="n">
        <v>171</v>
      </c>
    </row>
    <row r="193">
      <c r="A193" s="18" t="inlineStr">
        <is>
          <t>퇴직급여자산 증감</t>
        </is>
      </c>
      <c r="C193" s="20" t="n">
        <v>10386</v>
      </c>
      <c r="D193" s="20" t="n">
        <v>1636</v>
      </c>
      <c r="E193" s="20" t="n">
        <v>803</v>
      </c>
      <c r="F193" s="20" t="n">
        <v>-29</v>
      </c>
      <c r="G193" s="20" t="n">
        <v>-1029</v>
      </c>
      <c r="H193" s="20" t="n">
        <v>-1613</v>
      </c>
      <c r="I193" s="20" t="n">
        <v>-3044</v>
      </c>
      <c r="J193" s="20" t="n">
        <v>-4473</v>
      </c>
      <c r="K193" s="20" t="n">
        <v>-5961</v>
      </c>
      <c r="L193" s="20" t="n">
        <v>-2266</v>
      </c>
      <c r="M193" s="20" t="n">
        <v>-4547</v>
      </c>
      <c r="N193" s="20" t="n">
        <v>-6794</v>
      </c>
      <c r="O193" s="20" t="n">
        <v>0</v>
      </c>
      <c r="P193" s="20" t="n">
        <v>-206</v>
      </c>
      <c r="Q193" s="20" t="n">
        <v>-66</v>
      </c>
      <c r="R193" s="20" t="n">
        <v>-19</v>
      </c>
      <c r="S193" s="20" t="n">
        <v>-19</v>
      </c>
      <c r="T193" s="20" t="n">
        <v>-45</v>
      </c>
      <c r="U193" s="20" t="n">
        <v>-46</v>
      </c>
      <c r="V193" s="20" t="n">
        <v>10386</v>
      </c>
      <c r="W193" s="20" t="n">
        <v>-1029</v>
      </c>
      <c r="X193" s="20" t="n">
        <v>-5961</v>
      </c>
    </row>
    <row r="194">
      <c r="A194" s="18" t="inlineStr">
        <is>
          <t>퇴직급여 신탁 설정액</t>
        </is>
      </c>
      <c r="F194" s="20" t="n">
        <v>0</v>
      </c>
    </row>
    <row r="195">
      <c r="A195" s="18" t="inlineStr">
        <is>
          <t>퇴직급여 신탁 설정액</t>
        </is>
      </c>
      <c r="C195" s="20" t="n">
        <v>-18000</v>
      </c>
      <c r="G195" s="20" t="n">
        <v>0</v>
      </c>
      <c r="U195" s="20" t="n">
        <v>0</v>
      </c>
      <c r="V195" s="20" t="n">
        <v>-18000</v>
      </c>
      <c r="W195" s="20" t="n">
        <v>0</v>
      </c>
    </row>
    <row r="196">
      <c r="A196" s="18" t="inlineStr">
        <is>
          <t>상여충당금 증감</t>
        </is>
      </c>
      <c r="C196" s="20" t="n">
        <v>-298</v>
      </c>
      <c r="D196" s="20" t="n">
        <v>9115</v>
      </c>
      <c r="E196" s="20" t="n">
        <v>1042</v>
      </c>
      <c r="F196" s="20" t="n">
        <v>9977</v>
      </c>
      <c r="G196" s="20" t="n">
        <v>627</v>
      </c>
      <c r="H196" s="20" t="n">
        <v>9041</v>
      </c>
      <c r="I196" s="20" t="n">
        <v>690</v>
      </c>
      <c r="J196" s="20" t="n">
        <v>9947</v>
      </c>
      <c r="K196" s="20" t="n">
        <v>-229</v>
      </c>
      <c r="L196" s="20" t="n">
        <v>8649</v>
      </c>
      <c r="M196" s="20" t="n">
        <v>56</v>
      </c>
      <c r="N196" s="20" t="n">
        <v>9248</v>
      </c>
      <c r="P196" s="20" t="n">
        <v>-30</v>
      </c>
      <c r="Q196" s="20" t="n">
        <v>2</v>
      </c>
      <c r="R196" s="20" t="n">
        <v>-64</v>
      </c>
      <c r="S196" s="20" t="n">
        <v>2323</v>
      </c>
      <c r="T196" s="20" t="n">
        <v>-1486</v>
      </c>
      <c r="U196" s="20" t="n">
        <v>-716</v>
      </c>
      <c r="V196" s="20" t="n">
        <v>-298</v>
      </c>
      <c r="W196" s="20" t="n">
        <v>627</v>
      </c>
      <c r="X196" s="20" t="n">
        <v>-229</v>
      </c>
    </row>
    <row r="197">
      <c r="A197" s="18" t="inlineStr">
        <is>
          <t>이자·배당금 수익</t>
        </is>
      </c>
      <c r="C197" s="20" t="n">
        <v>-621</v>
      </c>
      <c r="D197" s="20" t="n">
        <v>-136</v>
      </c>
      <c r="E197" s="20" t="n">
        <v>-369</v>
      </c>
      <c r="F197" s="20" t="n">
        <v>-621</v>
      </c>
      <c r="G197" s="20" t="n">
        <v>-776</v>
      </c>
      <c r="H197" s="20" t="n">
        <v>-119</v>
      </c>
      <c r="I197" s="20" t="n">
        <v>-402</v>
      </c>
      <c r="J197" s="20" t="n">
        <v>-556</v>
      </c>
      <c r="K197" s="20" t="n">
        <v>-786</v>
      </c>
      <c r="L197" s="20" t="n">
        <v>-115</v>
      </c>
      <c r="M197" s="20" t="n">
        <v>-405</v>
      </c>
      <c r="N197" s="20" t="n">
        <v>-574</v>
      </c>
      <c r="O197" s="20" t="n">
        <v>-352</v>
      </c>
      <c r="P197" s="20" t="n">
        <v>-286</v>
      </c>
      <c r="Q197" s="20" t="n">
        <v>-351</v>
      </c>
      <c r="R197" s="20" t="n">
        <v>-350</v>
      </c>
      <c r="S197" s="20" t="n">
        <v>-398</v>
      </c>
      <c r="T197" s="20" t="n">
        <v>-558</v>
      </c>
      <c r="U197" s="20" t="n">
        <v>-509</v>
      </c>
      <c r="V197" s="20" t="n">
        <v>-621</v>
      </c>
      <c r="W197" s="20" t="n">
        <v>-776</v>
      </c>
      <c r="X197" s="20" t="n">
        <v>-786</v>
      </c>
    </row>
    <row r="198">
      <c r="A198" s="18" t="inlineStr">
        <is>
          <t>이자비용</t>
        </is>
      </c>
      <c r="C198" s="20" t="n">
        <v>11</v>
      </c>
      <c r="D198" s="20" t="n">
        <v>2</v>
      </c>
      <c r="E198" s="20" t="n">
        <v>10</v>
      </c>
      <c r="F198" s="20" t="n">
        <v>63</v>
      </c>
      <c r="G198" s="20" t="n">
        <v>75</v>
      </c>
      <c r="H198" s="20" t="n">
        <v>13</v>
      </c>
      <c r="I198" s="20" t="n">
        <v>32</v>
      </c>
      <c r="J198" s="20" t="n">
        <v>50</v>
      </c>
      <c r="K198" s="20" t="n">
        <v>71</v>
      </c>
      <c r="L198" s="20" t="n">
        <v>20</v>
      </c>
      <c r="M198" s="20" t="n">
        <v>46</v>
      </c>
      <c r="N198" s="20" t="n">
        <v>73</v>
      </c>
      <c r="O198" s="20" t="n">
        <v>15</v>
      </c>
      <c r="P198" s="20" t="n">
        <v>12</v>
      </c>
      <c r="Q198" s="20" t="n">
        <v>12</v>
      </c>
      <c r="R198" s="20" t="n">
        <v>12</v>
      </c>
      <c r="S198" s="20" t="n">
        <v>12</v>
      </c>
      <c r="T198" s="20" t="n">
        <v>12</v>
      </c>
      <c r="U198" s="20" t="n">
        <v>12</v>
      </c>
      <c r="V198" s="20" t="n">
        <v>11</v>
      </c>
      <c r="W198" s="20" t="n">
        <v>75</v>
      </c>
      <c r="X198" s="20" t="n">
        <v>71</v>
      </c>
    </row>
    <row r="199">
      <c r="A199" s="18" t="inlineStr">
        <is>
          <t>유형자산 제각·매각손익</t>
        </is>
      </c>
      <c r="C199" s="20" t="n">
        <v>151</v>
      </c>
      <c r="D199" s="20" t="n">
        <v>35</v>
      </c>
      <c r="E199" s="20" t="n">
        <v>82</v>
      </c>
      <c r="F199" s="20" t="n">
        <v>94</v>
      </c>
      <c r="G199" s="20" t="n">
        <v>139</v>
      </c>
      <c r="H199" s="20" t="n">
        <v>9</v>
      </c>
      <c r="I199" s="20" t="n">
        <v>39</v>
      </c>
      <c r="J199" s="20" t="n">
        <v>61</v>
      </c>
      <c r="K199" s="20" t="n">
        <v>131</v>
      </c>
      <c r="L199" s="20" t="n">
        <v>27</v>
      </c>
      <c r="M199" s="20" t="n">
        <v>63</v>
      </c>
      <c r="N199" s="20" t="n">
        <v>90</v>
      </c>
      <c r="O199" s="20" t="n">
        <v>78</v>
      </c>
      <c r="P199" s="20" t="n">
        <v>6</v>
      </c>
      <c r="Q199" s="20" t="n">
        <v>182</v>
      </c>
      <c r="R199" s="20" t="n">
        <v>190</v>
      </c>
      <c r="S199" s="20" t="n">
        <v>-150</v>
      </c>
      <c r="T199" s="20" t="n">
        <v>111</v>
      </c>
      <c r="U199" s="20" t="n">
        <v>107</v>
      </c>
      <c r="V199" s="20" t="n">
        <v>151</v>
      </c>
      <c r="W199" s="20" t="n">
        <v>139</v>
      </c>
      <c r="X199" s="20" t="n">
        <v>131</v>
      </c>
    </row>
    <row r="200">
      <c r="A200" s="18" t="inlineStr">
        <is>
          <t>투자유가증권 매각손익</t>
        </is>
      </c>
      <c r="C200" s="20" t="n">
        <v>-111</v>
      </c>
      <c r="D200" s="20" t="n">
        <v>0</v>
      </c>
      <c r="E200" s="20" t="n">
        <v>0</v>
      </c>
      <c r="F200" s="20" t="n">
        <v>0</v>
      </c>
      <c r="G200" s="20" t="n">
        <v>-22</v>
      </c>
      <c r="H200" s="20" t="n">
        <v>-51</v>
      </c>
      <c r="I200" s="20" t="n">
        <v>-439</v>
      </c>
      <c r="J200" s="20" t="n">
        <v>-1552</v>
      </c>
      <c r="K200" s="20" t="n">
        <v>-1478</v>
      </c>
      <c r="L200" s="20" t="n">
        <v>-455</v>
      </c>
      <c r="M200" s="20" t="n">
        <v>-502</v>
      </c>
      <c r="N200" s="20" t="n">
        <v>-1108</v>
      </c>
      <c r="O200" s="20" t="n">
        <v>-661</v>
      </c>
      <c r="P200" s="20" t="n">
        <v>-539</v>
      </c>
      <c r="Q200" s="20" t="n">
        <v>-488</v>
      </c>
      <c r="R200" s="20" t="n">
        <v>-2</v>
      </c>
      <c r="S200" s="20" t="n">
        <v>-278</v>
      </c>
      <c r="T200" s="20" t="n">
        <v>-1255</v>
      </c>
      <c r="U200" s="20" t="n">
        <v>-711</v>
      </c>
      <c r="V200" s="20" t="n">
        <v>-111</v>
      </c>
      <c r="W200" s="20" t="n">
        <v>-22</v>
      </c>
      <c r="X200" s="20" t="n">
        <v>-1478</v>
      </c>
    </row>
    <row r="201">
      <c r="A201" s="18" t="inlineStr">
        <is>
          <t>투자유가증권 평가손익</t>
        </is>
      </c>
      <c r="C201" s="20" t="n">
        <v>0</v>
      </c>
      <c r="G201" s="20" t="n">
        <v>0</v>
      </c>
      <c r="K201" s="20" t="n">
        <v>40</v>
      </c>
      <c r="Q201" s="20" t="n">
        <v>158</v>
      </c>
      <c r="R201" s="20" t="n">
        <v>329</v>
      </c>
      <c r="S201" s="20" t="n">
        <v>316</v>
      </c>
      <c r="T201" s="20" t="n">
        <v>18</v>
      </c>
      <c r="U201" s="20" t="n">
        <v>57</v>
      </c>
      <c r="V201" s="20" t="n">
        <v>0</v>
      </c>
      <c r="W201" s="20" t="n">
        <v>0</v>
      </c>
      <c r="X201" s="20" t="n">
        <v>40</v>
      </c>
    </row>
    <row r="202">
      <c r="A202" s="18" t="inlineStr">
        <is>
          <t>관계회사 주식 매각손익</t>
        </is>
      </c>
      <c r="C202" s="20" t="n">
        <v>159</v>
      </c>
      <c r="D202" s="20" t="n">
        <v>0</v>
      </c>
      <c r="E202" s="20" t="n">
        <v>-2902</v>
      </c>
      <c r="F202" s="20" t="n">
        <v>-2876</v>
      </c>
      <c r="G202" s="20" t="n">
        <v>-2876</v>
      </c>
      <c r="I202" s="20" t="n">
        <v>0</v>
      </c>
      <c r="J202" s="20" t="n">
        <v>0</v>
      </c>
      <c r="K202" s="20" t="n">
        <v>0</v>
      </c>
      <c r="R202" s="20" t="n">
        <v>0</v>
      </c>
      <c r="S202" s="20" t="n">
        <v>737</v>
      </c>
      <c r="T202" s="20" t="n">
        <v>-855</v>
      </c>
      <c r="U202" s="20" t="n">
        <v>0</v>
      </c>
      <c r="V202" s="20" t="n">
        <v>159</v>
      </c>
      <c r="W202" s="20" t="n">
        <v>-2876</v>
      </c>
      <c r="X202" s="20" t="n">
        <v>0</v>
      </c>
    </row>
    <row r="203">
      <c r="A203" s="18" t="inlineStr">
        <is>
          <t>투자사업조합 운용 손익(△는 이익)</t>
        </is>
      </c>
      <c r="C203" s="20" t="n">
        <v>31</v>
      </c>
      <c r="D203" s="20" t="n">
        <v>21</v>
      </c>
      <c r="E203" s="20" t="n">
        <v>48</v>
      </c>
      <c r="F203" s="20" t="n">
        <v>-74</v>
      </c>
      <c r="G203" s="20" t="n">
        <v>-105</v>
      </c>
      <c r="H203" s="20" t="n">
        <v>16</v>
      </c>
      <c r="I203" s="20" t="n">
        <v>16</v>
      </c>
      <c r="J203" s="20" t="n">
        <v>-435</v>
      </c>
      <c r="K203" s="20" t="n">
        <v>-475</v>
      </c>
      <c r="L203" s="20" t="n">
        <v>33</v>
      </c>
      <c r="M203" s="20" t="n">
        <v>33</v>
      </c>
      <c r="N203" s="20" t="n">
        <v>14</v>
      </c>
      <c r="P203" s="20" t="n">
        <v>31</v>
      </c>
      <c r="Q203" s="20" t="n">
        <v>-494</v>
      </c>
      <c r="R203" s="20" t="n">
        <v>-247</v>
      </c>
      <c r="S203" s="20" t="n">
        <v>-231</v>
      </c>
      <c r="T203" s="20" t="n">
        <v>-278</v>
      </c>
      <c r="U203" s="20" t="n">
        <v>29</v>
      </c>
      <c r="V203" s="20" t="n">
        <v>31</v>
      </c>
      <c r="W203" s="20" t="n">
        <v>-105</v>
      </c>
      <c r="X203" s="20" t="n">
        <v>-475</v>
      </c>
    </row>
    <row r="204">
      <c r="A204" s="18" t="inlineStr">
        <is>
          <t>투자사업조합 관리 비용</t>
        </is>
      </c>
      <c r="C204" s="20" t="n">
        <v>0</v>
      </c>
      <c r="D204" s="20" t="n">
        <v>0</v>
      </c>
      <c r="E204" s="20" t="n">
        <v>0</v>
      </c>
      <c r="F204" s="20" t="n">
        <v>137</v>
      </c>
      <c r="G204" s="20" t="n">
        <v>188</v>
      </c>
      <c r="H204" s="20" t="n">
        <v>56</v>
      </c>
      <c r="I204" s="20" t="n">
        <v>101</v>
      </c>
      <c r="J204" s="20" t="n">
        <v>152</v>
      </c>
      <c r="K204" s="20" t="n">
        <v>203</v>
      </c>
      <c r="L204" s="20" t="n">
        <v>51</v>
      </c>
      <c r="M204" s="20" t="n">
        <v>102</v>
      </c>
      <c r="N204" s="20" t="n">
        <v>153</v>
      </c>
      <c r="V204" s="20" t="n">
        <v>0</v>
      </c>
      <c r="W204" s="20" t="n">
        <v>188</v>
      </c>
      <c r="X204" s="20" t="n">
        <v>203</v>
      </c>
    </row>
    <row r="205">
      <c r="A205" s="18" t="inlineStr">
        <is>
          <t>매출채권 증감</t>
        </is>
      </c>
      <c r="C205" s="20" t="n">
        <v>-61</v>
      </c>
      <c r="D205" s="20" t="n">
        <v>3441</v>
      </c>
      <c r="E205" s="20" t="n">
        <v>7788</v>
      </c>
      <c r="F205" s="20" t="n">
        <v>12795</v>
      </c>
      <c r="G205" s="20" t="n">
        <v>-5696</v>
      </c>
      <c r="H205" s="20" t="n">
        <v>9078</v>
      </c>
      <c r="I205" s="20" t="n">
        <v>13925</v>
      </c>
      <c r="J205" s="20" t="n">
        <v>16704</v>
      </c>
      <c r="K205" s="20" t="n">
        <v>-7706</v>
      </c>
      <c r="L205" s="20" t="n">
        <v>10936</v>
      </c>
      <c r="M205" s="20" t="n">
        <v>20613</v>
      </c>
      <c r="N205" s="20" t="n">
        <v>18089</v>
      </c>
      <c r="O205" s="20" t="n">
        <v>1248</v>
      </c>
      <c r="P205" s="20" t="n">
        <v>-1098</v>
      </c>
      <c r="Q205" s="20" t="n">
        <v>8355</v>
      </c>
      <c r="R205" s="20" t="n">
        <v>4857</v>
      </c>
      <c r="S205" s="20" t="n">
        <v>5276</v>
      </c>
      <c r="T205" s="20" t="n">
        <v>-1987</v>
      </c>
      <c r="U205" s="20" t="n">
        <v>-2894</v>
      </c>
      <c r="V205" s="20" t="n">
        <v>-61</v>
      </c>
      <c r="W205" s="20" t="n">
        <v>-5696</v>
      </c>
      <c r="X205" s="20" t="n">
        <v>-7706</v>
      </c>
    </row>
    <row r="206">
      <c r="A206" s="18" t="inlineStr">
        <is>
          <t>재고자산 증감</t>
        </is>
      </c>
      <c r="C206" s="20" t="n">
        <v>-691</v>
      </c>
      <c r="D206" s="20" t="n">
        <v>812</v>
      </c>
      <c r="E206" s="20" t="n">
        <v>3969</v>
      </c>
      <c r="F206" s="20" t="n">
        <v>-5162</v>
      </c>
      <c r="G206" s="20" t="n">
        <v>-1735</v>
      </c>
      <c r="H206" s="20" t="n">
        <v>-1148</v>
      </c>
      <c r="I206" s="20" t="n">
        <v>1185</v>
      </c>
      <c r="J206" s="20" t="n">
        <v>-4307</v>
      </c>
      <c r="K206" s="20" t="n">
        <v>1969</v>
      </c>
      <c r="L206" s="20" t="n">
        <v>-6226</v>
      </c>
      <c r="M206" s="20" t="n">
        <v>-8214</v>
      </c>
      <c r="N206" s="20" t="n">
        <v>-14057</v>
      </c>
      <c r="O206" s="20" t="n">
        <v>87</v>
      </c>
      <c r="P206" s="20" t="n">
        <v>-3917</v>
      </c>
      <c r="Q206" s="20" t="n">
        <v>858</v>
      </c>
      <c r="R206" s="20" t="n">
        <v>-1805</v>
      </c>
      <c r="S206" s="20" t="n">
        <v>5357</v>
      </c>
      <c r="T206" s="20" t="n">
        <v>-7467</v>
      </c>
      <c r="U206" s="20" t="n">
        <v>-3280</v>
      </c>
      <c r="V206" s="20" t="n">
        <v>-691</v>
      </c>
      <c r="W206" s="20" t="n">
        <v>-1735</v>
      </c>
      <c r="X206" s="20" t="n">
        <v>1969</v>
      </c>
    </row>
    <row r="207">
      <c r="A207" s="18" t="inlineStr">
        <is>
          <t>매입채무 증감</t>
        </is>
      </c>
      <c r="C207" s="20" t="n">
        <v>-2503</v>
      </c>
      <c r="D207" s="20" t="n">
        <v>1421</v>
      </c>
      <c r="E207" s="20" t="n">
        <v>-1219</v>
      </c>
      <c r="F207" s="20" t="n">
        <v>4400</v>
      </c>
      <c r="G207" s="20" t="n">
        <v>4075</v>
      </c>
      <c r="H207" s="20" t="n">
        <v>5359</v>
      </c>
      <c r="I207" s="20" t="n">
        <v>-2547</v>
      </c>
      <c r="J207" s="20" t="n">
        <v>695</v>
      </c>
      <c r="K207" s="20" t="n">
        <v>1891</v>
      </c>
      <c r="L207" s="20" t="n">
        <v>7247</v>
      </c>
      <c r="M207" s="20" t="n">
        <v>-125</v>
      </c>
      <c r="N207" s="20" t="n">
        <v>-2129</v>
      </c>
      <c r="O207" s="20" t="n">
        <v>843</v>
      </c>
      <c r="P207" s="20" t="n">
        <v>-1812</v>
      </c>
      <c r="Q207" s="20" t="n">
        <v>-25105</v>
      </c>
      <c r="R207" s="20" t="n">
        <v>-24301</v>
      </c>
      <c r="S207" s="20" t="n">
        <v>-6262</v>
      </c>
      <c r="T207" s="20" t="n">
        <v>2222</v>
      </c>
      <c r="U207" s="20" t="n">
        <v>985</v>
      </c>
      <c r="V207" s="20" t="n">
        <v>-2503</v>
      </c>
      <c r="W207" s="20" t="n">
        <v>4075</v>
      </c>
      <c r="X207" s="20" t="n">
        <v>1891</v>
      </c>
    </row>
    <row r="208">
      <c r="A208" s="18" t="inlineStr">
        <is>
          <t>기타</t>
        </is>
      </c>
      <c r="C208" s="20" t="n">
        <v>3992</v>
      </c>
      <c r="D208" s="20" t="n">
        <v>-9172</v>
      </c>
      <c r="E208" s="20" t="n">
        <v>-4267</v>
      </c>
      <c r="F208" s="20" t="n">
        <v>-12537</v>
      </c>
      <c r="G208" s="20" t="n">
        <v>-241</v>
      </c>
      <c r="H208" s="20" t="n">
        <v>-10917</v>
      </c>
      <c r="I208" s="20" t="n">
        <v>-3498</v>
      </c>
      <c r="J208" s="20" t="n">
        <v>-11794</v>
      </c>
      <c r="K208" s="20" t="n">
        <v>474</v>
      </c>
      <c r="L208" s="20" t="n">
        <v>-11150</v>
      </c>
      <c r="M208" s="20" t="n">
        <v>-2960</v>
      </c>
      <c r="N208" s="20" t="n">
        <v>-9130</v>
      </c>
      <c r="O208" s="20" t="n">
        <v>-716</v>
      </c>
      <c r="P208" s="20" t="n">
        <v>395</v>
      </c>
      <c r="Q208" s="20" t="n">
        <v>-3032</v>
      </c>
      <c r="R208" s="20" t="n">
        <v>4038</v>
      </c>
      <c r="S208" s="20" t="n">
        <v>-1567</v>
      </c>
      <c r="T208" s="20" t="n">
        <v>4332</v>
      </c>
      <c r="U208" s="20" t="n">
        <v>241</v>
      </c>
      <c r="V208" s="20" t="n">
        <v>3992</v>
      </c>
      <c r="W208" s="20" t="n">
        <v>-241</v>
      </c>
      <c r="X208" s="20" t="n">
        <v>474</v>
      </c>
    </row>
    <row r="209">
      <c r="A209" s="18" t="inlineStr">
        <is>
          <t>소계</t>
        </is>
      </c>
      <c r="C209" s="20" t="n">
        <v>42389</v>
      </c>
      <c r="D209" s="20" t="n">
        <v>21266</v>
      </c>
      <c r="E209" s="20" t="n">
        <v>38395</v>
      </c>
      <c r="F209" s="20" t="n">
        <v>53322</v>
      </c>
      <c r="G209" s="20" t="n">
        <v>60618</v>
      </c>
      <c r="H209" s="20" t="n">
        <v>26579</v>
      </c>
      <c r="I209" s="20" t="n">
        <v>42035</v>
      </c>
      <c r="J209" s="20" t="n">
        <v>57224</v>
      </c>
      <c r="K209" s="20" t="n">
        <v>65136</v>
      </c>
      <c r="L209" s="20" t="n">
        <v>29592</v>
      </c>
      <c r="M209" s="20" t="n">
        <v>45598</v>
      </c>
      <c r="N209" s="20" t="n">
        <v>54519</v>
      </c>
      <c r="O209" s="20" t="n">
        <v>43939</v>
      </c>
      <c r="P209" s="20" t="n">
        <v>37774</v>
      </c>
      <c r="Q209" s="20" t="n">
        <v>25365</v>
      </c>
      <c r="R209" s="20" t="n">
        <v>32683</v>
      </c>
      <c r="S209" s="20" t="n">
        <v>51682</v>
      </c>
      <c r="T209" s="20" t="n">
        <v>45317</v>
      </c>
      <c r="U209" s="20" t="n">
        <v>51051</v>
      </c>
      <c r="V209" s="20" t="n">
        <v>42389</v>
      </c>
      <c r="W209" s="20" t="n">
        <v>60618</v>
      </c>
      <c r="X209" s="20" t="n">
        <v>65136</v>
      </c>
    </row>
    <row r="210">
      <c r="A210" s="18" t="inlineStr">
        <is>
          <t>이자·배당금 수취</t>
        </is>
      </c>
      <c r="C210" s="20" t="n">
        <v>614</v>
      </c>
      <c r="D210" s="20" t="n">
        <v>136</v>
      </c>
      <c r="E210" s="20" t="n">
        <v>372</v>
      </c>
      <c r="F210" s="20" t="n">
        <v>630</v>
      </c>
      <c r="G210" s="20" t="n">
        <v>789</v>
      </c>
      <c r="H210" s="20" t="n">
        <v>116</v>
      </c>
      <c r="I210" s="20" t="n">
        <v>395</v>
      </c>
      <c r="J210" s="20" t="n">
        <v>536</v>
      </c>
      <c r="K210" s="20" t="n">
        <v>784</v>
      </c>
      <c r="L210" s="20" t="n">
        <v>108</v>
      </c>
      <c r="M210" s="20" t="n">
        <v>396</v>
      </c>
      <c r="N210" s="20" t="n">
        <v>558</v>
      </c>
      <c r="O210" s="20" t="n">
        <v>366</v>
      </c>
      <c r="P210" s="20" t="n">
        <v>285</v>
      </c>
      <c r="Q210" s="20" t="n">
        <v>351</v>
      </c>
      <c r="R210" s="20" t="n">
        <v>346</v>
      </c>
      <c r="S210" s="20" t="n">
        <v>394</v>
      </c>
      <c r="T210" s="20" t="n">
        <v>555</v>
      </c>
      <c r="U210" s="20" t="n">
        <v>506</v>
      </c>
      <c r="V210" s="20" t="n">
        <v>614</v>
      </c>
      <c r="W210" s="20" t="n">
        <v>789</v>
      </c>
      <c r="X210" s="20" t="n">
        <v>784</v>
      </c>
    </row>
    <row r="211">
      <c r="A211" s="18" t="inlineStr">
        <is>
          <t>이자 지급</t>
        </is>
      </c>
      <c r="C211" s="20" t="n">
        <v>-11</v>
      </c>
      <c r="D211" s="20" t="n">
        <v>-2</v>
      </c>
      <c r="E211" s="20" t="n">
        <v>-9</v>
      </c>
      <c r="F211" s="20" t="n">
        <v>-62</v>
      </c>
      <c r="G211" s="20" t="n">
        <v>-75</v>
      </c>
      <c r="H211" s="20" t="n">
        <v>-12</v>
      </c>
      <c r="I211" s="20" t="n">
        <v>-30</v>
      </c>
      <c r="J211" s="20" t="n">
        <v>-48</v>
      </c>
      <c r="K211" s="20" t="n">
        <v>-71</v>
      </c>
      <c r="L211" s="20" t="n">
        <v>-21</v>
      </c>
      <c r="M211" s="20" t="n">
        <v>-47</v>
      </c>
      <c r="N211" s="20" t="n">
        <v>-73</v>
      </c>
      <c r="O211" s="20" t="n">
        <v>-17</v>
      </c>
      <c r="P211" s="20" t="n">
        <v>-12</v>
      </c>
      <c r="Q211" s="20" t="n">
        <v>-12</v>
      </c>
      <c r="R211" s="20" t="n">
        <v>-12</v>
      </c>
      <c r="S211" s="20" t="n">
        <v>-12</v>
      </c>
      <c r="T211" s="20" t="n">
        <v>-12</v>
      </c>
      <c r="U211" s="20" t="n">
        <v>-12</v>
      </c>
      <c r="V211" s="20" t="n">
        <v>-11</v>
      </c>
      <c r="W211" s="20" t="n">
        <v>-75</v>
      </c>
      <c r="X211" s="20" t="n">
        <v>-71</v>
      </c>
    </row>
    <row r="212">
      <c r="A212" s="18" t="inlineStr">
        <is>
          <t>법인세 납부</t>
        </is>
      </c>
      <c r="C212" s="20" t="n">
        <v>-14809</v>
      </c>
      <c r="D212" s="20" t="n">
        <v>-6761</v>
      </c>
      <c r="E212" s="20" t="n">
        <v>-6999</v>
      </c>
      <c r="F212" s="20" t="n">
        <v>-13264</v>
      </c>
      <c r="G212" s="20" t="n">
        <v>-13665</v>
      </c>
      <c r="H212" s="20" t="n">
        <v>-10865</v>
      </c>
      <c r="I212" s="20" t="n">
        <v>-10931</v>
      </c>
      <c r="J212" s="20" t="n">
        <v>-19350</v>
      </c>
      <c r="K212" s="20" t="n">
        <v>-19937</v>
      </c>
      <c r="L212" s="20" t="n">
        <v>-8969</v>
      </c>
      <c r="M212" s="20" t="n">
        <v>-8954</v>
      </c>
      <c r="N212" s="20" t="n">
        <v>-17701</v>
      </c>
      <c r="O212" s="20" t="n">
        <v>-10982</v>
      </c>
      <c r="P212" s="20" t="n">
        <v>-9162</v>
      </c>
      <c r="Q212" s="20" t="n">
        <v>-8713</v>
      </c>
      <c r="R212" s="20" t="n">
        <v>-10965</v>
      </c>
      <c r="S212" s="20" t="n">
        <v>-13574</v>
      </c>
      <c r="T212" s="20" t="n">
        <v>-13103</v>
      </c>
      <c r="U212" s="20" t="n">
        <v>-13820</v>
      </c>
      <c r="V212" s="20" t="n">
        <v>-14809</v>
      </c>
      <c r="W212" s="20" t="n">
        <v>-13665</v>
      </c>
      <c r="X212" s="20" t="n">
        <v>-19937</v>
      </c>
    </row>
    <row r="213">
      <c r="A213" s="9" t="inlineStr">
        <is>
          <t>영업활동 현금흐름</t>
        </is>
      </c>
      <c r="C213" s="12" t="n">
        <v>28182</v>
      </c>
      <c r="D213" s="12" t="n">
        <v>14638</v>
      </c>
      <c r="E213" s="12" t="n">
        <v>31759</v>
      </c>
      <c r="F213" s="12" t="n">
        <v>40625</v>
      </c>
      <c r="G213" s="12" t="n">
        <v>47667</v>
      </c>
      <c r="H213" s="12" t="n">
        <v>15816</v>
      </c>
      <c r="I213" s="12" t="n">
        <v>31469</v>
      </c>
      <c r="J213" s="12" t="n">
        <v>38361</v>
      </c>
      <c r="K213" s="12" t="n">
        <v>45912</v>
      </c>
      <c r="L213" s="12" t="n">
        <v>20709</v>
      </c>
      <c r="M213" s="12" t="n">
        <v>36993</v>
      </c>
      <c r="N213" s="12" t="n">
        <v>37302</v>
      </c>
      <c r="O213" s="12" t="n">
        <v>33306</v>
      </c>
      <c r="P213" s="12" t="n">
        <v>28885</v>
      </c>
      <c r="Q213" s="12" t="n">
        <v>16990</v>
      </c>
      <c r="R213" s="12" t="n">
        <v>22052</v>
      </c>
      <c r="S213" s="12" t="n">
        <v>38490</v>
      </c>
      <c r="T213" s="12" t="n">
        <v>32756</v>
      </c>
      <c r="U213" s="12" t="n">
        <v>37725</v>
      </c>
      <c r="V213" s="12" t="n">
        <v>28182</v>
      </c>
      <c r="W213" s="12" t="n">
        <v>47667</v>
      </c>
      <c r="X213" s="12" t="n">
        <v>45912</v>
      </c>
    </row>
    <row r="214">
      <c r="A214" s="18" t="inlineStr">
        <is>
          <t>유형자산 취득(설비투자)</t>
        </is>
      </c>
      <c r="C214" s="20" t="n">
        <v>-8343</v>
      </c>
      <c r="D214" s="20" t="n">
        <v>-2351</v>
      </c>
      <c r="E214" s="20" t="n">
        <v>-4202</v>
      </c>
      <c r="F214" s="20" t="n">
        <v>-7004</v>
      </c>
      <c r="G214" s="20" t="n">
        <v>-9403</v>
      </c>
      <c r="H214" s="20" t="n">
        <v>-1309</v>
      </c>
      <c r="I214" s="20" t="n">
        <v>-4642</v>
      </c>
      <c r="J214" s="20" t="n">
        <v>-7412</v>
      </c>
      <c r="K214" s="20" t="n">
        <v>-9566</v>
      </c>
      <c r="L214" s="20" t="n">
        <v>-3178</v>
      </c>
      <c r="M214" s="20" t="n">
        <v>-5948</v>
      </c>
      <c r="N214" s="20" t="n">
        <v>-8607</v>
      </c>
      <c r="O214" s="20" t="n">
        <v>-10990</v>
      </c>
      <c r="P214" s="20" t="n">
        <v>-12070</v>
      </c>
      <c r="Q214" s="20" t="n">
        <v>-9905</v>
      </c>
      <c r="R214" s="20" t="n">
        <v>-11651</v>
      </c>
      <c r="S214" s="20" t="n">
        <v>-14695</v>
      </c>
      <c r="T214" s="20" t="n">
        <v>-14587</v>
      </c>
      <c r="U214" s="20" t="n">
        <v>-8889</v>
      </c>
      <c r="V214" s="20" t="n">
        <v>-8343</v>
      </c>
      <c r="W214" s="20" t="n">
        <v>-9403</v>
      </c>
      <c r="X214" s="20" t="n">
        <v>-9566</v>
      </c>
    </row>
    <row r="215">
      <c r="A215" s="18" t="inlineStr">
        <is>
          <t>유형자산 매각</t>
        </is>
      </c>
      <c r="C215" s="20" t="n">
        <v>19</v>
      </c>
      <c r="D215" s="20" t="n">
        <v>2</v>
      </c>
      <c r="E215" s="20" t="n">
        <v>3</v>
      </c>
      <c r="F215" s="20" t="n">
        <v>5</v>
      </c>
      <c r="G215" s="20" t="n">
        <v>10</v>
      </c>
      <c r="H215" s="20" t="n">
        <v>0</v>
      </c>
      <c r="I215" s="20" t="n">
        <v>0</v>
      </c>
      <c r="J215" s="20" t="n">
        <v>38</v>
      </c>
      <c r="K215" s="20" t="n">
        <v>39</v>
      </c>
      <c r="L215" s="20" t="n">
        <v>8</v>
      </c>
      <c r="M215" s="20" t="n">
        <v>8</v>
      </c>
      <c r="N215" s="20" t="n">
        <v>8</v>
      </c>
      <c r="O215" s="20" t="n">
        <v>2307</v>
      </c>
      <c r="P215" s="20" t="n">
        <v>21355</v>
      </c>
      <c r="Q215" s="20" t="n">
        <v>263</v>
      </c>
      <c r="R215" s="20" t="n">
        <v>16</v>
      </c>
      <c r="S215" s="20" t="n">
        <v>1010</v>
      </c>
      <c r="T215" s="20" t="n">
        <v>18</v>
      </c>
      <c r="U215" s="20" t="n">
        <v>23</v>
      </c>
      <c r="V215" s="20" t="n">
        <v>19</v>
      </c>
      <c r="W215" s="20" t="n">
        <v>10</v>
      </c>
      <c r="X215" s="20" t="n">
        <v>39</v>
      </c>
    </row>
    <row r="216">
      <c r="A216" s="18" t="inlineStr">
        <is>
          <t>무형자산 취득</t>
        </is>
      </c>
      <c r="C216" s="20" t="n">
        <v>-1960</v>
      </c>
      <c r="D216" s="20" t="n">
        <v>-529</v>
      </c>
      <c r="E216" s="20" t="n">
        <v>-1430</v>
      </c>
      <c r="F216" s="20" t="n">
        <v>-1956</v>
      </c>
      <c r="G216" s="20" t="n">
        <v>-2845</v>
      </c>
      <c r="H216" s="20" t="n">
        <v>-1397</v>
      </c>
      <c r="I216" s="20" t="n">
        <v>-3307</v>
      </c>
      <c r="J216" s="20" t="n">
        <v>-4799</v>
      </c>
      <c r="K216" s="20" t="n">
        <v>-8173</v>
      </c>
      <c r="L216" s="20" t="n">
        <v>-1030</v>
      </c>
      <c r="M216" s="20" t="n">
        <v>-4656</v>
      </c>
      <c r="N216" s="20" t="n">
        <v>-7940</v>
      </c>
      <c r="O216" s="20" t="n">
        <v>-1441</v>
      </c>
      <c r="P216" s="20" t="n">
        <v>-1230</v>
      </c>
      <c r="Q216" s="20" t="n">
        <v>-2238</v>
      </c>
      <c r="R216" s="20" t="n">
        <v>-1450</v>
      </c>
      <c r="S216" s="20" t="n">
        <v>-3729</v>
      </c>
      <c r="T216" s="20" t="n">
        <v>-2242</v>
      </c>
      <c r="U216" s="20" t="n">
        <v>-894</v>
      </c>
      <c r="V216" s="20" t="n">
        <v>-1960</v>
      </c>
      <c r="W216" s="20" t="n">
        <v>-2845</v>
      </c>
      <c r="X216" s="20" t="n">
        <v>-8173</v>
      </c>
    </row>
    <row r="217">
      <c r="A217" s="18" t="inlineStr">
        <is>
          <t>투자유가증권 취득</t>
        </is>
      </c>
      <c r="C217" s="20" t="n">
        <v>-743</v>
      </c>
      <c r="D217" s="20" t="n">
        <v>-3</v>
      </c>
      <c r="E217" s="20" t="n">
        <v>-420</v>
      </c>
      <c r="F217" s="20" t="n">
        <v>-802</v>
      </c>
      <c r="G217" s="20" t="n">
        <v>-1414</v>
      </c>
      <c r="H217" s="20" t="n">
        <v>-320</v>
      </c>
      <c r="I217" s="20" t="n">
        <v>-835</v>
      </c>
      <c r="J217" s="20" t="n">
        <v>-1058</v>
      </c>
      <c r="K217" s="20" t="n">
        <v>-2270</v>
      </c>
      <c r="L217" s="20" t="n">
        <v>-4305</v>
      </c>
      <c r="M217" s="20" t="n">
        <v>-4559</v>
      </c>
      <c r="N217" s="20" t="n">
        <v>-5344</v>
      </c>
      <c r="O217" s="20" t="n">
        <v>-454</v>
      </c>
      <c r="P217" s="20" t="n">
        <v>-733</v>
      </c>
      <c r="Q217" s="20" t="n">
        <v>-677</v>
      </c>
      <c r="R217" s="20" t="n">
        <v>-1383</v>
      </c>
      <c r="S217" s="20" t="n">
        <v>-310</v>
      </c>
      <c r="T217" s="20" t="n">
        <v>-1089</v>
      </c>
      <c r="U217" s="20" t="n">
        <v>-676</v>
      </c>
      <c r="V217" s="20" t="n">
        <v>-743</v>
      </c>
      <c r="W217" s="20" t="n">
        <v>-1414</v>
      </c>
      <c r="X217" s="20" t="n">
        <v>-2270</v>
      </c>
    </row>
    <row r="218">
      <c r="A218" s="18" t="inlineStr">
        <is>
          <t>투자유가증권 매각</t>
        </is>
      </c>
      <c r="C218" s="20" t="n">
        <v>244</v>
      </c>
      <c r="D218" s="20" t="n">
        <v>0</v>
      </c>
      <c r="E218" s="20" t="n">
        <v>0</v>
      </c>
      <c r="F218" s="20" t="n">
        <v>0</v>
      </c>
      <c r="G218" s="20" t="n">
        <v>88</v>
      </c>
      <c r="H218" s="20" t="n">
        <v>103</v>
      </c>
      <c r="I218" s="20" t="n">
        <v>1020</v>
      </c>
      <c r="J218" s="20" t="n">
        <v>2368</v>
      </c>
      <c r="K218" s="20" t="n">
        <v>2591</v>
      </c>
      <c r="L218" s="20" t="n">
        <v>416</v>
      </c>
      <c r="M218" s="20" t="n">
        <v>554</v>
      </c>
      <c r="N218" s="20" t="n">
        <v>1274</v>
      </c>
      <c r="O218" s="20" t="n">
        <v>796</v>
      </c>
      <c r="P218" s="20" t="n">
        <v>880</v>
      </c>
      <c r="Q218" s="20" t="n">
        <v>1534</v>
      </c>
      <c r="R218" s="20" t="n">
        <v>328</v>
      </c>
      <c r="S218" s="20" t="n">
        <v>697</v>
      </c>
      <c r="T218" s="20" t="n">
        <v>1893</v>
      </c>
      <c r="U218" s="20" t="n">
        <v>1330</v>
      </c>
      <c r="V218" s="20" t="n">
        <v>244</v>
      </c>
      <c r="W218" s="20" t="n">
        <v>88</v>
      </c>
      <c r="X218" s="20" t="n">
        <v>2591</v>
      </c>
    </row>
    <row r="219">
      <c r="A219" s="18" t="inlineStr">
        <is>
          <t>연결범위 변경 자회사 주식 취득</t>
        </is>
      </c>
      <c r="C219" s="20" t="n">
        <v>-7618</v>
      </c>
      <c r="D219" s="20" t="n">
        <v>-32671</v>
      </c>
      <c r="E219" s="20" t="n">
        <v>-32667</v>
      </c>
      <c r="F219" s="20" t="n">
        <v>-32667</v>
      </c>
      <c r="G219" s="20" t="n">
        <v>-32667</v>
      </c>
      <c r="H219" s="20" t="n">
        <v>0</v>
      </c>
      <c r="I219" s="20" t="n">
        <v>0</v>
      </c>
      <c r="J219" s="20" t="n">
        <v>0</v>
      </c>
      <c r="K219" s="20" t="n">
        <v>0</v>
      </c>
      <c r="T219" s="20" t="n">
        <v>0</v>
      </c>
      <c r="U219" s="20" t="n">
        <v>-209</v>
      </c>
      <c r="V219" s="20" t="n">
        <v>-7618</v>
      </c>
      <c r="W219" s="20" t="n">
        <v>-32667</v>
      </c>
      <c r="X219" s="20" t="n">
        <v>0</v>
      </c>
    </row>
    <row r="220">
      <c r="A220" s="18" t="inlineStr">
        <is>
          <t>연결범위 변경 자회사 주식 매각</t>
        </is>
      </c>
      <c r="C220" s="20" t="n">
        <v>0</v>
      </c>
      <c r="E220" s="20" t="n">
        <v>3257</v>
      </c>
      <c r="F220" s="20" t="n">
        <v>3231</v>
      </c>
      <c r="G220" s="20" t="n">
        <v>3231</v>
      </c>
      <c r="I220" s="20" t="n">
        <v>0</v>
      </c>
      <c r="J220" s="20" t="n">
        <v>0</v>
      </c>
      <c r="K220" s="20" t="n">
        <v>0</v>
      </c>
      <c r="P220" s="20" t="n">
        <v>0</v>
      </c>
      <c r="Q220" s="20" t="n">
        <v>526</v>
      </c>
      <c r="R220" s="20" t="n">
        <v>0</v>
      </c>
      <c r="S220" s="20" t="n">
        <v>828</v>
      </c>
      <c r="T220" s="20" t="n">
        <v>847</v>
      </c>
      <c r="U220" s="20" t="n">
        <v>0</v>
      </c>
      <c r="V220" s="20" t="n">
        <v>0</v>
      </c>
      <c r="W220" s="20" t="n">
        <v>3231</v>
      </c>
      <c r="X220" s="20" t="n">
        <v>0</v>
      </c>
    </row>
    <row r="221">
      <c r="A221" s="18" t="inlineStr">
        <is>
          <t>단기대여금 순증감</t>
        </is>
      </c>
      <c r="C221" s="20" t="n">
        <v>10012</v>
      </c>
      <c r="D221" s="20" t="n">
        <v>40000</v>
      </c>
      <c r="E221" s="20" t="n">
        <v>40000</v>
      </c>
      <c r="F221" s="20" t="n">
        <v>120000</v>
      </c>
      <c r="G221" s="20" t="n">
        <v>120005</v>
      </c>
      <c r="H221" s="20" t="n">
        <v>50000</v>
      </c>
      <c r="I221" s="20" t="n">
        <v>50010</v>
      </c>
      <c r="J221" s="20" t="n">
        <v>50010</v>
      </c>
      <c r="K221" s="20" t="n">
        <v>50010</v>
      </c>
      <c r="L221" s="20" t="n">
        <v>0</v>
      </c>
      <c r="M221" s="20" t="n">
        <v>0</v>
      </c>
      <c r="N221" s="20" t="n">
        <v>0</v>
      </c>
      <c r="O221" s="20" t="n">
        <v>-9990</v>
      </c>
      <c r="P221" s="20" t="n">
        <v>10</v>
      </c>
      <c r="Q221" s="20" t="n">
        <v>-0</v>
      </c>
      <c r="R221" s="20" t="n">
        <v>-79997</v>
      </c>
      <c r="S221" s="20" t="n">
        <v>-9994</v>
      </c>
      <c r="T221" s="20" t="n">
        <v>2</v>
      </c>
      <c r="U221" s="20" t="n">
        <v>11</v>
      </c>
      <c r="V221" s="20" t="n">
        <v>10012</v>
      </c>
      <c r="W221" s="20" t="n">
        <v>120005</v>
      </c>
      <c r="X221" s="20" t="n">
        <v>50010</v>
      </c>
    </row>
    <row r="222">
      <c r="A222" s="18" t="inlineStr">
        <is>
          <t>사업양수 지출</t>
        </is>
      </c>
      <c r="C222" s="20" t="n">
        <v>-750</v>
      </c>
      <c r="D222" s="20" t="n">
        <v>0</v>
      </c>
      <c r="E222" s="20" t="n">
        <v>0</v>
      </c>
      <c r="F222" s="20" t="n">
        <v>0</v>
      </c>
      <c r="G222" s="20" t="n">
        <v>0</v>
      </c>
      <c r="U222" s="20" t="n">
        <v>0</v>
      </c>
      <c r="V222" s="20" t="n">
        <v>-750</v>
      </c>
      <c r="W222" s="20" t="n">
        <v>0</v>
      </c>
    </row>
    <row r="223">
      <c r="A223" s="18" t="inlineStr">
        <is>
          <t>기타</t>
        </is>
      </c>
      <c r="C223" s="20" t="n">
        <v>-872</v>
      </c>
      <c r="D223" s="20" t="n">
        <v>-549</v>
      </c>
      <c r="E223" s="20" t="n">
        <v>-366</v>
      </c>
      <c r="F223" s="20" t="n">
        <v>-559</v>
      </c>
      <c r="G223" s="20" t="n">
        <v>-1270</v>
      </c>
      <c r="H223" s="20" t="n">
        <v>141</v>
      </c>
      <c r="I223" s="20" t="n">
        <v>-214</v>
      </c>
      <c r="J223" s="20" t="n">
        <v>-651</v>
      </c>
      <c r="K223" s="20" t="n">
        <v>-1574</v>
      </c>
      <c r="L223" s="20" t="n">
        <v>-298</v>
      </c>
      <c r="M223" s="20" t="n">
        <v>-653</v>
      </c>
      <c r="N223" s="20" t="n">
        <v>-982</v>
      </c>
      <c r="O223" s="20" t="n">
        <v>311</v>
      </c>
      <c r="P223" s="20" t="n">
        <v>-247</v>
      </c>
      <c r="Q223" s="20" t="n">
        <v>-30</v>
      </c>
      <c r="R223" s="20" t="n">
        <v>-446</v>
      </c>
      <c r="S223" s="20" t="n">
        <v>19</v>
      </c>
      <c r="T223" s="20" t="n">
        <v>-737</v>
      </c>
      <c r="U223" s="20" t="n">
        <v>-802</v>
      </c>
      <c r="V223" s="20" t="n">
        <v>-872</v>
      </c>
      <c r="W223" s="20" t="n">
        <v>-1270</v>
      </c>
      <c r="X223" s="20" t="n">
        <v>-1574</v>
      </c>
    </row>
    <row r="224">
      <c r="A224" s="9" t="inlineStr">
        <is>
          <t>투자활동 현금흐름</t>
        </is>
      </c>
      <c r="C224" s="12" t="n">
        <v>-10011</v>
      </c>
      <c r="D224" s="12" t="n">
        <v>3895</v>
      </c>
      <c r="E224" s="12" t="n">
        <v>4173</v>
      </c>
      <c r="F224" s="12" t="n">
        <v>80246</v>
      </c>
      <c r="G224" s="12" t="n">
        <v>75735</v>
      </c>
      <c r="H224" s="12" t="n">
        <v>47217</v>
      </c>
      <c r="I224" s="12" t="n">
        <v>42029</v>
      </c>
      <c r="J224" s="12" t="n">
        <v>38495</v>
      </c>
      <c r="K224" s="12" t="n">
        <v>31055</v>
      </c>
      <c r="L224" s="12" t="n">
        <v>-8387</v>
      </c>
      <c r="M224" s="12" t="n">
        <v>-15255</v>
      </c>
      <c r="N224" s="12" t="n">
        <v>-21592</v>
      </c>
      <c r="O224" s="12" t="n">
        <v>-19460</v>
      </c>
      <c r="P224" s="12" t="n">
        <v>7963</v>
      </c>
      <c r="Q224" s="12" t="n">
        <v>-10526</v>
      </c>
      <c r="R224" s="12" t="n">
        <v>-94584</v>
      </c>
      <c r="S224" s="12" t="n">
        <v>-26174</v>
      </c>
      <c r="T224" s="12" t="n">
        <v>-15894</v>
      </c>
      <c r="U224" s="12" t="n">
        <v>-10107</v>
      </c>
      <c r="V224" s="12" t="n">
        <v>-10011</v>
      </c>
      <c r="W224" s="12" t="n">
        <v>75735</v>
      </c>
      <c r="X224" s="12" t="n">
        <v>31055</v>
      </c>
    </row>
    <row r="225">
      <c r="A225" s="18" t="inlineStr">
        <is>
          <t>단기차입금 순증감</t>
        </is>
      </c>
      <c r="O225" s="20" t="n">
        <v>0</v>
      </c>
      <c r="P225" s="20" t="n">
        <v>147</v>
      </c>
      <c r="Q225" s="20" t="n">
        <v>91</v>
      </c>
      <c r="R225" s="20" t="n">
        <v>0</v>
      </c>
    </row>
    <row r="226">
      <c r="A226" s="18" t="inlineStr">
        <is>
          <t>금융리스부채 상환</t>
        </is>
      </c>
      <c r="C226" s="20" t="n">
        <v>-12</v>
      </c>
      <c r="D226" s="20" t="n">
        <v>-0</v>
      </c>
      <c r="E226" s="20" t="n">
        <v>-1</v>
      </c>
      <c r="F226" s="20" t="n">
        <v>-1</v>
      </c>
      <c r="G226" s="20" t="n">
        <v>-1</v>
      </c>
      <c r="H226" s="20" t="n">
        <v>-0</v>
      </c>
      <c r="I226" s="20" t="n">
        <v>-0</v>
      </c>
      <c r="J226" s="20" t="n">
        <v>-0</v>
      </c>
      <c r="K226" s="20" t="n">
        <v>-26</v>
      </c>
      <c r="L226" s="20" t="n">
        <v>-38</v>
      </c>
      <c r="M226" s="20" t="n">
        <v>-79</v>
      </c>
      <c r="N226" s="20" t="n">
        <v>-119</v>
      </c>
      <c r="O226" s="20" t="n">
        <v>-239</v>
      </c>
      <c r="P226" s="20" t="n">
        <v>-192</v>
      </c>
      <c r="Q226" s="20" t="n">
        <v>-135</v>
      </c>
      <c r="R226" s="20" t="n">
        <v>-109</v>
      </c>
      <c r="S226" s="20" t="n">
        <v>-72</v>
      </c>
      <c r="T226" s="20" t="n">
        <v>-61</v>
      </c>
      <c r="U226" s="20" t="n">
        <v>-56</v>
      </c>
      <c r="V226" s="20" t="n">
        <v>-12</v>
      </c>
      <c r="W226" s="20" t="n">
        <v>-1</v>
      </c>
      <c r="X226" s="20" t="n">
        <v>-26</v>
      </c>
    </row>
    <row r="227">
      <c r="A227" s="18" t="inlineStr">
        <is>
          <t>장기차입금 상환</t>
        </is>
      </c>
      <c r="C227" s="20" t="n">
        <v>0</v>
      </c>
      <c r="D227" s="20" t="n">
        <v>0</v>
      </c>
      <c r="E227" s="20" t="n">
        <v>-36</v>
      </c>
      <c r="F227" s="20" t="n">
        <v>-79</v>
      </c>
      <c r="G227" s="20" t="n">
        <v>-157</v>
      </c>
      <c r="H227" s="20" t="n">
        <v>-36</v>
      </c>
      <c r="I227" s="20" t="n">
        <v>-108</v>
      </c>
      <c r="J227" s="20" t="n">
        <v>-167</v>
      </c>
      <c r="K227" s="20" t="n">
        <v>-209</v>
      </c>
      <c r="L227" s="20" t="n">
        <v>-62</v>
      </c>
      <c r="M227" s="20" t="n">
        <v>-114</v>
      </c>
      <c r="N227" s="20" t="n">
        <v>-167</v>
      </c>
      <c r="V227" s="20" t="n">
        <v>0</v>
      </c>
      <c r="W227" s="20" t="n">
        <v>-157</v>
      </c>
      <c r="X227" s="20" t="n">
        <v>-209</v>
      </c>
    </row>
    <row r="228">
      <c r="A228" s="18" t="inlineStr">
        <is>
          <t>연결범위 변경 없는 자회사 주식 취득</t>
        </is>
      </c>
      <c r="C228" s="20" t="n">
        <v>-260</v>
      </c>
      <c r="F228" s="20" t="n">
        <v>0</v>
      </c>
      <c r="G228" s="20" t="n">
        <v>0</v>
      </c>
      <c r="H228" s="20" t="n">
        <v>0</v>
      </c>
      <c r="I228" s="20" t="n">
        <v>0</v>
      </c>
      <c r="J228" s="20" t="n">
        <v>0</v>
      </c>
      <c r="L228" s="20" t="n">
        <v>-361</v>
      </c>
      <c r="M228" s="20" t="n">
        <v>-361</v>
      </c>
      <c r="N228" s="20" t="n">
        <v>-361</v>
      </c>
      <c r="U228" s="20" t="n">
        <v>0</v>
      </c>
      <c r="V228" s="20" t="n">
        <v>-260</v>
      </c>
      <c r="W228" s="20" t="n">
        <v>0</v>
      </c>
    </row>
    <row r="229">
      <c r="A229" s="18" t="inlineStr">
        <is>
          <t>자기주식 취득</t>
        </is>
      </c>
      <c r="C229" s="20" t="n">
        <v>-5</v>
      </c>
      <c r="D229" s="20" t="n">
        <v>-2</v>
      </c>
      <c r="E229" s="20" t="n">
        <v>-4</v>
      </c>
      <c r="F229" s="20" t="n">
        <v>-81929</v>
      </c>
      <c r="G229" s="20" t="n">
        <v>-85648</v>
      </c>
      <c r="H229" s="20" t="n">
        <v>-0</v>
      </c>
      <c r="I229" s="20" t="n">
        <v>-2</v>
      </c>
      <c r="J229" s="20" t="n">
        <v>-1072</v>
      </c>
      <c r="K229" s="20" t="n">
        <v>-11073</v>
      </c>
      <c r="L229" s="20" t="n">
        <v>-30001</v>
      </c>
      <c r="M229" s="20" t="n">
        <v>-30001</v>
      </c>
      <c r="N229" s="20" t="n">
        <v>-30351</v>
      </c>
      <c r="O229" s="20" t="n">
        <v>-2</v>
      </c>
      <c r="P229" s="20" t="n">
        <v>-6</v>
      </c>
      <c r="Q229" s="20" t="n">
        <v>-3</v>
      </c>
      <c r="R229" s="20" t="n">
        <v>-2</v>
      </c>
      <c r="S229" s="20" t="n">
        <v>-2</v>
      </c>
      <c r="T229" s="20" t="n">
        <v>-2</v>
      </c>
      <c r="U229" s="20" t="n">
        <v>-4</v>
      </c>
      <c r="V229" s="20" t="n">
        <v>-5</v>
      </c>
      <c r="W229" s="20" t="n">
        <v>-85648</v>
      </c>
      <c r="X229" s="20" t="n">
        <v>-11073</v>
      </c>
    </row>
    <row r="230">
      <c r="A230" s="18" t="inlineStr">
        <is>
          <t>배당금 지급</t>
        </is>
      </c>
      <c r="C230" s="20" t="n">
        <v>-12961</v>
      </c>
      <c r="D230" s="20" t="n">
        <v>-8981</v>
      </c>
      <c r="E230" s="20" t="n">
        <v>-9075</v>
      </c>
      <c r="F230" s="20" t="n">
        <v>-16844</v>
      </c>
      <c r="G230" s="20" t="n">
        <v>-16851</v>
      </c>
      <c r="H230" s="20" t="n">
        <v>-8612</v>
      </c>
      <c r="I230" s="20" t="n">
        <v>-8709</v>
      </c>
      <c r="J230" s="20" t="n">
        <v>-16325</v>
      </c>
      <c r="K230" s="20" t="n">
        <v>-16330</v>
      </c>
      <c r="L230" s="20" t="n">
        <v>-10602</v>
      </c>
      <c r="M230" s="20" t="n">
        <v>-10713</v>
      </c>
      <c r="N230" s="20" t="n">
        <v>-18947</v>
      </c>
      <c r="O230" s="20" t="n">
        <v>-5833</v>
      </c>
      <c r="P230" s="20" t="n">
        <v>-7127</v>
      </c>
      <c r="Q230" s="20" t="n">
        <v>-7778</v>
      </c>
      <c r="R230" s="20" t="n">
        <v>-8426</v>
      </c>
      <c r="S230" s="20" t="n">
        <v>-6485</v>
      </c>
      <c r="T230" s="20" t="n">
        <v>-9073</v>
      </c>
      <c r="U230" s="20" t="n">
        <v>-11020</v>
      </c>
      <c r="V230" s="20" t="n">
        <v>-12961</v>
      </c>
      <c r="W230" s="20" t="n">
        <v>-16851</v>
      </c>
      <c r="X230" s="20" t="n">
        <v>-16330</v>
      </c>
    </row>
    <row r="231">
      <c r="A231" s="18" t="inlineStr">
        <is>
          <t>비지배주주 배당금 지급</t>
        </is>
      </c>
      <c r="C231" s="20" t="n">
        <v>-22</v>
      </c>
      <c r="D231" s="20" t="n">
        <v>-25</v>
      </c>
      <c r="E231" s="20" t="n">
        <v>-25</v>
      </c>
      <c r="F231" s="20" t="n">
        <v>-25</v>
      </c>
      <c r="G231" s="20" t="n">
        <v>-25</v>
      </c>
      <c r="H231" s="20" t="n">
        <v>-26</v>
      </c>
      <c r="I231" s="20" t="n">
        <v>-26</v>
      </c>
      <c r="J231" s="20" t="n">
        <v>-26</v>
      </c>
      <c r="K231" s="20" t="n">
        <v>-26</v>
      </c>
      <c r="L231" s="20" t="n">
        <v>-26</v>
      </c>
      <c r="M231" s="20" t="n">
        <v>-26</v>
      </c>
      <c r="N231" s="20" t="n">
        <v>-26</v>
      </c>
      <c r="O231" s="20" t="n">
        <v>-10</v>
      </c>
      <c r="P231" s="20" t="n">
        <v>-12</v>
      </c>
      <c r="Q231" s="20" t="n">
        <v>-11</v>
      </c>
      <c r="R231" s="20" t="n">
        <v>-15</v>
      </c>
      <c r="S231" s="20" t="n">
        <v>-26</v>
      </c>
      <c r="T231" s="20" t="n">
        <v>-21</v>
      </c>
      <c r="U231" s="20" t="n">
        <v>-23</v>
      </c>
      <c r="V231" s="20" t="n">
        <v>-22</v>
      </c>
      <c r="W231" s="20" t="n">
        <v>-25</v>
      </c>
      <c r="X231" s="20" t="n">
        <v>-26</v>
      </c>
    </row>
    <row r="232">
      <c r="A232" s="18" t="inlineStr">
        <is>
          <t>비지배주주 납입</t>
        </is>
      </c>
      <c r="C232" s="20" t="n">
        <v>0</v>
      </c>
      <c r="D232" s="20" t="n">
        <v>5</v>
      </c>
      <c r="E232" s="20" t="n">
        <v>5</v>
      </c>
      <c r="F232" s="20" t="n">
        <v>10</v>
      </c>
      <c r="G232" s="20" t="n">
        <v>10</v>
      </c>
      <c r="H232" s="20" t="n">
        <v>0</v>
      </c>
      <c r="I232" s="20" t="n">
        <v>5</v>
      </c>
      <c r="J232" s="20" t="n">
        <v>5</v>
      </c>
      <c r="K232" s="20" t="n">
        <v>10</v>
      </c>
      <c r="M232" s="20" t="n">
        <v>0</v>
      </c>
      <c r="N232" s="20" t="n">
        <v>5</v>
      </c>
      <c r="O232" s="20" t="n">
        <v>0</v>
      </c>
      <c r="P232" s="20" t="n">
        <v>49</v>
      </c>
      <c r="Q232" s="20" t="n">
        <v>0</v>
      </c>
      <c r="V232" s="20" t="n">
        <v>0</v>
      </c>
      <c r="W232" s="20" t="n">
        <v>10</v>
      </c>
      <c r="X232" s="20" t="n">
        <v>10</v>
      </c>
    </row>
    <row r="233">
      <c r="A233" s="18" t="inlineStr">
        <is>
          <t>기타</t>
        </is>
      </c>
      <c r="C233" s="20" t="n">
        <v>0</v>
      </c>
      <c r="D233" s="20" t="n">
        <v>0</v>
      </c>
      <c r="E233" s="20" t="n">
        <v>0</v>
      </c>
      <c r="F233" s="20" t="n">
        <v>0</v>
      </c>
      <c r="G233" s="20" t="n">
        <v>0</v>
      </c>
      <c r="H233" s="20" t="n">
        <v>0</v>
      </c>
      <c r="I233" s="20" t="n">
        <v>-0</v>
      </c>
      <c r="J233" s="20" t="n">
        <v>-0</v>
      </c>
      <c r="K233" s="20" t="n">
        <v>-0</v>
      </c>
      <c r="M233" s="20" t="n">
        <v>0</v>
      </c>
      <c r="N233" s="20" t="n">
        <v>0</v>
      </c>
      <c r="O233" s="20" t="n">
        <v>0</v>
      </c>
      <c r="P233" s="20" t="n">
        <v>-1</v>
      </c>
      <c r="Q233" s="20" t="n">
        <v>0</v>
      </c>
      <c r="R233" s="20" t="n">
        <v>-2</v>
      </c>
      <c r="S233" s="20" t="n">
        <v>0</v>
      </c>
      <c r="T233" s="20" t="n">
        <v>0</v>
      </c>
      <c r="U233" s="20" t="n">
        <v>-155</v>
      </c>
      <c r="V233" s="20" t="n">
        <v>0</v>
      </c>
      <c r="W233" s="20" t="n">
        <v>0</v>
      </c>
      <c r="X233" s="20" t="n">
        <v>-0</v>
      </c>
    </row>
    <row r="234">
      <c r="A234" s="9" t="inlineStr">
        <is>
          <t>재무활동 현금흐름</t>
        </is>
      </c>
      <c r="C234" s="12" t="n">
        <v>-13260</v>
      </c>
      <c r="D234" s="12" t="n">
        <v>-9004</v>
      </c>
      <c r="E234" s="12" t="n">
        <v>-9137</v>
      </c>
      <c r="F234" s="12" t="n">
        <v>-98869</v>
      </c>
      <c r="G234" s="12" t="n">
        <v>-102675</v>
      </c>
      <c r="H234" s="12" t="n">
        <v>-8676</v>
      </c>
      <c r="I234" s="12" t="n">
        <v>-8843</v>
      </c>
      <c r="J234" s="12" t="n">
        <v>-17588</v>
      </c>
      <c r="K234" s="12" t="n">
        <v>-27657</v>
      </c>
      <c r="L234" s="12" t="n">
        <v>-41091</v>
      </c>
      <c r="M234" s="12" t="n">
        <v>-41297</v>
      </c>
      <c r="N234" s="12" t="n">
        <v>-49967</v>
      </c>
      <c r="O234" s="12" t="n">
        <v>-6086</v>
      </c>
      <c r="P234" s="12" t="n">
        <v>-7145</v>
      </c>
      <c r="Q234" s="12" t="n">
        <v>-7838</v>
      </c>
      <c r="R234" s="12" t="n">
        <v>-8557</v>
      </c>
      <c r="S234" s="12" t="n">
        <v>-6587</v>
      </c>
      <c r="T234" s="12" t="n">
        <v>-9160</v>
      </c>
      <c r="U234" s="12" t="n">
        <v>-11259</v>
      </c>
      <c r="V234" s="12" t="n">
        <v>-13260</v>
      </c>
      <c r="W234" s="12" t="n">
        <v>-102675</v>
      </c>
      <c r="X234" s="12" t="n">
        <v>-27657</v>
      </c>
    </row>
    <row r="235">
      <c r="A235" s="18" t="inlineStr">
        <is>
          <t>현금성자산 환산차이</t>
        </is>
      </c>
      <c r="C235" s="20" t="n">
        <v>147</v>
      </c>
      <c r="D235" s="20" t="n">
        <v>147</v>
      </c>
      <c r="E235" s="20" t="n">
        <v>331</v>
      </c>
      <c r="F235" s="20" t="n">
        <v>47</v>
      </c>
      <c r="G235" s="20" t="n">
        <v>307</v>
      </c>
      <c r="H235" s="20" t="n">
        <v>-150</v>
      </c>
      <c r="I235" s="20" t="n">
        <v>-207</v>
      </c>
      <c r="J235" s="20" t="n">
        <v>-123</v>
      </c>
      <c r="K235" s="20" t="n">
        <v>37</v>
      </c>
      <c r="L235" s="20" t="n">
        <v>34</v>
      </c>
      <c r="M235" s="20" t="n">
        <v>67</v>
      </c>
      <c r="N235" s="20" t="n">
        <v>-28</v>
      </c>
      <c r="O235" s="20" t="n">
        <v>-47</v>
      </c>
      <c r="P235" s="20" t="n">
        <v>-9</v>
      </c>
      <c r="Q235" s="20" t="n">
        <v>-33</v>
      </c>
      <c r="R235" s="20" t="n">
        <v>11</v>
      </c>
      <c r="S235" s="20" t="n">
        <v>-91</v>
      </c>
      <c r="T235" s="20" t="n">
        <v>195</v>
      </c>
      <c r="U235" s="20" t="n">
        <v>245</v>
      </c>
      <c r="V235" s="20" t="n">
        <v>147</v>
      </c>
      <c r="W235" s="20" t="n">
        <v>307</v>
      </c>
      <c r="X235" s="20" t="n">
        <v>37</v>
      </c>
    </row>
    <row r="236">
      <c r="A236" s="18" t="inlineStr">
        <is>
          <t>현금성자산 증감</t>
        </is>
      </c>
      <c r="C236" s="20" t="n">
        <v>5058</v>
      </c>
      <c r="D236" s="20" t="n">
        <v>9676</v>
      </c>
      <c r="E236" s="20" t="n">
        <v>27126</v>
      </c>
      <c r="F236" s="20" t="n">
        <v>22049</v>
      </c>
      <c r="G236" s="20" t="n">
        <v>21035</v>
      </c>
      <c r="H236" s="20" t="n">
        <v>54207</v>
      </c>
      <c r="I236" s="20" t="n">
        <v>64447</v>
      </c>
      <c r="J236" s="20" t="n">
        <v>59144</v>
      </c>
      <c r="K236" s="20" t="n">
        <v>49347</v>
      </c>
      <c r="L236" s="20" t="n">
        <v>-28734</v>
      </c>
      <c r="M236" s="20" t="n">
        <v>-19491</v>
      </c>
      <c r="N236" s="20" t="n">
        <v>-34285</v>
      </c>
      <c r="O236" s="20" t="n">
        <v>7712</v>
      </c>
      <c r="P236" s="20" t="n">
        <v>29693</v>
      </c>
      <c r="Q236" s="20" t="n">
        <v>-1407</v>
      </c>
      <c r="R236" s="20" t="n">
        <v>-81077</v>
      </c>
      <c r="S236" s="20" t="n">
        <v>5637</v>
      </c>
      <c r="T236" s="20" t="n">
        <v>7897</v>
      </c>
      <c r="U236" s="20" t="n">
        <v>16603</v>
      </c>
      <c r="V236" s="20" t="n">
        <v>5058</v>
      </c>
      <c r="W236" s="20" t="n">
        <v>21035</v>
      </c>
      <c r="X236" s="20" t="n">
        <v>49347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캐논마케팅재팬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330891</v>
      </c>
      <c r="D5" s="12" t="n">
        <v>339646</v>
      </c>
      <c r="E5" s="12" t="n">
        <v>321575</v>
      </c>
      <c r="F5" s="12" t="n">
        <v>309899</v>
      </c>
      <c r="G5" s="12" t="n">
        <v>302194</v>
      </c>
      <c r="H5" s="11" t="n">
        <v>396082</v>
      </c>
      <c r="I5" s="12" t="n">
        <v>419708</v>
      </c>
      <c r="J5" s="12" t="n">
        <v>418611</v>
      </c>
      <c r="K5" s="12" t="n">
        <v>332185</v>
      </c>
      <c r="L5" s="12" t="n">
        <v>339646</v>
      </c>
    </row>
    <row r="6">
      <c r="A6" s="18" t="inlineStr">
        <is>
          <t>현금및현금성자산</t>
        </is>
      </c>
      <c r="B6" s="10" t="n"/>
      <c r="C6" s="19" t="n">
        <v>169370</v>
      </c>
      <c r="D6" s="20" t="n">
        <v>159573</v>
      </c>
      <c r="E6" s="20" t="n">
        <v>130839</v>
      </c>
      <c r="F6" s="20" t="n">
        <v>140582</v>
      </c>
      <c r="G6" s="20" t="n">
        <v>125788</v>
      </c>
      <c r="H6" s="19" t="n">
        <v>67528</v>
      </c>
      <c r="I6" s="20" t="n">
        <v>84132</v>
      </c>
      <c r="J6" s="20" t="n">
        <v>88190</v>
      </c>
      <c r="K6" s="20" t="n">
        <v>109226</v>
      </c>
      <c r="L6" s="20" t="n">
        <v>159573</v>
      </c>
    </row>
    <row r="7">
      <c r="A7" s="18" t="inlineStr">
        <is>
          <t>단기금융상품</t>
        </is>
      </c>
      <c r="B7" s="10" t="n"/>
      <c r="C7" s="19" t="n">
        <v>500</v>
      </c>
      <c r="D7" s="20" t="n">
        <v>500</v>
      </c>
      <c r="E7" s="20" t="n">
        <v>500</v>
      </c>
      <c r="F7" s="20" t="n">
        <v>0</v>
      </c>
      <c r="G7" s="20" t="n">
        <v>0</v>
      </c>
      <c r="H7" s="19" t="n">
        <v>500</v>
      </c>
      <c r="I7" s="20" t="n">
        <v>500</v>
      </c>
      <c r="J7" s="20" t="n">
        <v>1500</v>
      </c>
      <c r="K7" s="20" t="n">
        <v>1500</v>
      </c>
      <c r="L7" s="20" t="n">
        <v>500</v>
      </c>
    </row>
    <row r="8">
      <c r="A8" s="18" t="inlineStr">
        <is>
          <t>매출채권</t>
        </is>
      </c>
      <c r="B8" s="10" t="n"/>
      <c r="C8" s="19" t="n">
        <v>102125</v>
      </c>
      <c r="D8" s="20" t="n">
        <v>126624</v>
      </c>
      <c r="E8" s="20" t="n"/>
      <c r="F8" s="20" t="n">
        <v>106148</v>
      </c>
      <c r="G8" s="20" t="n">
        <v>108710</v>
      </c>
      <c r="H8" s="19" t="n">
        <v>0</v>
      </c>
      <c r="I8" s="20" t="n">
        <v>110431</v>
      </c>
      <c r="J8" s="20" t="n">
        <v>111649</v>
      </c>
      <c r="K8" s="20" t="n">
        <v>119016</v>
      </c>
      <c r="L8" s="20" t="n">
        <v>126624</v>
      </c>
    </row>
    <row r="9">
      <c r="A9" s="18" t="inlineStr">
        <is>
          <t>재고자산</t>
        </is>
      </c>
      <c r="B9" s="10" t="n"/>
      <c r="C9" s="19" t="n">
        <v>46637</v>
      </c>
      <c r="D9" s="20" t="n">
        <v>40361</v>
      </c>
      <c r="E9" s="20" t="n">
        <v>46588</v>
      </c>
      <c r="F9" s="20" t="n">
        <v>48578</v>
      </c>
      <c r="G9" s="20" t="n">
        <v>54419</v>
      </c>
      <c r="H9" s="19" t="n">
        <v>35234</v>
      </c>
      <c r="I9" s="20" t="n">
        <v>38519</v>
      </c>
      <c r="J9" s="20" t="n">
        <v>39824</v>
      </c>
      <c r="K9" s="20" t="n">
        <v>42326</v>
      </c>
      <c r="L9" s="20" t="n">
        <v>40361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196876</v>
      </c>
      <c r="D11" s="12" t="n">
        <v>224780</v>
      </c>
      <c r="E11" s="12" t="n">
        <v>224674</v>
      </c>
      <c r="F11" s="12" t="n">
        <v>228010</v>
      </c>
      <c r="G11" s="12" t="n">
        <v>236556</v>
      </c>
      <c r="H11" s="11" t="n">
        <v>130336</v>
      </c>
      <c r="I11" s="12" t="n">
        <v>124032</v>
      </c>
      <c r="J11" s="12" t="n">
        <v>138755</v>
      </c>
      <c r="K11" s="12" t="n">
        <v>192406</v>
      </c>
      <c r="L11" s="12" t="n">
        <v>224780</v>
      </c>
    </row>
    <row r="12">
      <c r="A12" s="18" t="inlineStr">
        <is>
          <t>유형자산</t>
        </is>
      </c>
      <c r="B12" s="10" t="n"/>
      <c r="C12" s="19" t="n">
        <v>87582</v>
      </c>
      <c r="D12" s="20" t="n">
        <v>86797</v>
      </c>
      <c r="E12" s="20" t="n">
        <v>86836</v>
      </c>
      <c r="F12" s="20" t="n">
        <v>87057</v>
      </c>
      <c r="G12" s="20" t="n">
        <v>86392</v>
      </c>
      <c r="H12" s="19" t="n">
        <v>85154</v>
      </c>
      <c r="I12" s="20" t="n">
        <v>85276</v>
      </c>
      <c r="J12" s="20" t="n">
        <v>85024</v>
      </c>
      <c r="K12" s="20" t="n">
        <v>88101</v>
      </c>
      <c r="L12" s="20" t="n">
        <v>86797</v>
      </c>
    </row>
    <row r="13">
      <c r="A13" s="18" t="inlineStr">
        <is>
          <t>무형자산</t>
        </is>
      </c>
      <c r="B13" s="10" t="n"/>
      <c r="C13" s="19" t="n">
        <v>49925</v>
      </c>
      <c r="D13" s="20" t="n">
        <v>51961</v>
      </c>
      <c r="E13" s="20" t="n">
        <v>51618</v>
      </c>
      <c r="F13" s="20" t="n">
        <v>53795</v>
      </c>
      <c r="G13" s="20" t="n">
        <v>57837</v>
      </c>
      <c r="H13" s="19" t="n">
        <v>6530</v>
      </c>
      <c r="I13" s="20" t="n">
        <v>5995</v>
      </c>
      <c r="J13" s="20" t="n">
        <v>14181</v>
      </c>
      <c r="K13" s="20" t="n">
        <v>49033</v>
      </c>
      <c r="L13" s="20" t="n">
        <v>51961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527768</v>
      </c>
      <c r="D16" s="12" t="n">
        <v>564426</v>
      </c>
      <c r="E16" s="12" t="n">
        <v>546250</v>
      </c>
      <c r="F16" s="12" t="n">
        <v>537909</v>
      </c>
      <c r="G16" s="12" t="n">
        <v>538750</v>
      </c>
      <c r="H16" s="11" t="n">
        <v>526418</v>
      </c>
      <c r="I16" s="12" t="n">
        <v>543740</v>
      </c>
      <c r="J16" s="12" t="n">
        <v>557366</v>
      </c>
      <c r="K16" s="12" t="n">
        <v>524591</v>
      </c>
      <c r="L16" s="12" t="n">
        <v>564426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118263</v>
      </c>
      <c r="D18" s="12" t="n">
        <v>125081</v>
      </c>
      <c r="E18" s="12" t="n">
        <v>126357</v>
      </c>
      <c r="F18" s="12" t="n">
        <v>125597</v>
      </c>
      <c r="G18" s="12" t="n">
        <v>123287</v>
      </c>
      <c r="H18" s="11" t="n">
        <v>107109</v>
      </c>
      <c r="I18" s="12" t="n">
        <v>108062</v>
      </c>
      <c r="J18" s="12" t="n">
        <v>110590</v>
      </c>
      <c r="K18" s="12" t="n">
        <v>123539</v>
      </c>
      <c r="L18" s="12" t="n">
        <v>125081</v>
      </c>
    </row>
    <row r="19">
      <c r="A19" s="18" t="inlineStr">
        <is>
          <t>매입채무</t>
        </is>
      </c>
      <c r="B19" s="10" t="n"/>
      <c r="C19" s="19" t="n">
        <v>50840</v>
      </c>
      <c r="D19" s="20" t="n">
        <v>52125</v>
      </c>
      <c r="E19" s="20" t="n">
        <v>59320</v>
      </c>
      <c r="F19" s="20" t="n">
        <v>51928</v>
      </c>
      <c r="G19" s="20" t="n">
        <v>52466</v>
      </c>
      <c r="H19" s="19" t="n">
        <v>46323</v>
      </c>
      <c r="I19" s="20" t="n">
        <v>47376</v>
      </c>
      <c r="J19" s="20" t="n">
        <v>45552</v>
      </c>
      <c r="K19" s="20" t="n">
        <v>50124</v>
      </c>
      <c r="L19" s="20" t="n">
        <v>52125</v>
      </c>
    </row>
    <row r="20">
      <c r="A20" s="18" t="inlineStr">
        <is>
          <t>단기차입금</t>
        </is>
      </c>
      <c r="B20" s="10" t="n"/>
      <c r="C20" s="19" t="n">
        <v>1100</v>
      </c>
      <c r="D20" s="20" t="n">
        <v>1100</v>
      </c>
      <c r="E20" s="20" t="n">
        <v>1100</v>
      </c>
      <c r="F20" s="20" t="n">
        <v>1100</v>
      </c>
      <c r="G20" s="20" t="n">
        <v>1100</v>
      </c>
      <c r="H20" s="19" t="n"/>
      <c r="I20" s="20" t="n"/>
      <c r="J20" s="20" t="n">
        <v>0</v>
      </c>
      <c r="K20" s="20" t="n">
        <v>1100</v>
      </c>
      <c r="L20" s="20" t="n">
        <v>1100</v>
      </c>
    </row>
    <row r="21">
      <c r="A21" s="18" t="inlineStr">
        <is>
          <t>유동성장기부채</t>
        </is>
      </c>
      <c r="B21" s="10" t="n"/>
      <c r="C21" s="19" t="n">
        <v>209</v>
      </c>
      <c r="D21" s="20" t="n">
        <v>209</v>
      </c>
      <c r="E21" s="20" t="n">
        <v>809</v>
      </c>
      <c r="F21" s="20" t="n">
        <v>809</v>
      </c>
      <c r="G21" s="20" t="n">
        <v>809</v>
      </c>
      <c r="H21" s="19" t="n"/>
      <c r="I21" s="20" t="n"/>
      <c r="J21" s="20" t="n">
        <v>0</v>
      </c>
      <c r="K21" s="20" t="n">
        <v>209</v>
      </c>
      <c r="L21" s="20" t="n">
        <v>209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16837</v>
      </c>
      <c r="D23" s="12" t="n">
        <v>25530</v>
      </c>
      <c r="E23" s="12" t="n">
        <v>22968</v>
      </c>
      <c r="F23" s="12" t="n">
        <v>22316</v>
      </c>
      <c r="G23" s="12" t="n">
        <v>22770</v>
      </c>
      <c r="H23" s="11" t="n">
        <v>44632</v>
      </c>
      <c r="I23" s="12" t="n">
        <v>35305</v>
      </c>
      <c r="J23" s="12" t="n">
        <v>11266</v>
      </c>
      <c r="K23" s="12" t="n">
        <v>17350</v>
      </c>
      <c r="L23" s="12" t="n">
        <v>25530</v>
      </c>
    </row>
    <row r="24">
      <c r="A24" s="18" t="inlineStr">
        <is>
          <t>장기차입금</t>
        </is>
      </c>
      <c r="B24" s="10" t="n"/>
      <c r="C24" s="19" t="n">
        <v>1531</v>
      </c>
      <c r="D24" s="20" t="n">
        <v>1489</v>
      </c>
      <c r="E24" s="20" t="n">
        <v>826</v>
      </c>
      <c r="F24" s="20" t="n">
        <v>774</v>
      </c>
      <c r="G24" s="20" t="n">
        <v>721</v>
      </c>
      <c r="H24" s="19" t="n"/>
      <c r="I24" s="20" t="n"/>
      <c r="J24" s="20" t="n">
        <v>0</v>
      </c>
      <c r="K24" s="20" t="n">
        <v>1699</v>
      </c>
      <c r="L24" s="20" t="n">
        <v>1489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135101</v>
      </c>
      <c r="D27" s="12" t="n">
        <v>150612</v>
      </c>
      <c r="E27" s="12" t="n">
        <v>149325</v>
      </c>
      <c r="F27" s="12" t="n">
        <v>147913</v>
      </c>
      <c r="G27" s="12" t="n">
        <v>146057</v>
      </c>
      <c r="H27" s="11" t="n">
        <v>151741</v>
      </c>
      <c r="I27" s="12" t="n">
        <v>143368</v>
      </c>
      <c r="J27" s="12" t="n">
        <v>121856</v>
      </c>
      <c r="K27" s="12" t="n">
        <v>140889</v>
      </c>
      <c r="L27" s="12" t="n">
        <v>150612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391691</v>
      </c>
      <c r="D31" s="12" t="n">
        <v>412785</v>
      </c>
      <c r="E31" s="12" t="n">
        <v>396244</v>
      </c>
      <c r="F31" s="12" t="n">
        <v>389297</v>
      </c>
      <c r="G31" s="12" t="n">
        <v>391969</v>
      </c>
      <c r="H31" s="11" t="n">
        <v>373949</v>
      </c>
      <c r="I31" s="12" t="n">
        <v>399542</v>
      </c>
      <c r="J31" s="12" t="n">
        <v>434722</v>
      </c>
      <c r="K31" s="12" t="n">
        <v>382766</v>
      </c>
      <c r="L31" s="12" t="n">
        <v>412785</v>
      </c>
    </row>
    <row r="32">
      <c r="A32" s="18" t="inlineStr">
        <is>
          <t>자본금</t>
        </is>
      </c>
      <c r="B32" s="10" t="n"/>
      <c r="C32" s="19" t="n">
        <v>73303</v>
      </c>
      <c r="D32" s="20" t="n">
        <v>73303</v>
      </c>
      <c r="E32" s="20" t="n">
        <v>73303</v>
      </c>
      <c r="F32" s="20" t="n">
        <v>73303</v>
      </c>
      <c r="G32" s="20" t="n">
        <v>73303</v>
      </c>
      <c r="H32" s="19" t="n">
        <v>73303</v>
      </c>
      <c r="I32" s="20" t="n">
        <v>73303</v>
      </c>
      <c r="J32" s="20" t="n">
        <v>73303</v>
      </c>
      <c r="K32" s="20" t="n">
        <v>73303</v>
      </c>
      <c r="L32" s="20" t="n">
        <v>73303</v>
      </c>
    </row>
    <row r="33">
      <c r="A33" s="18" t="inlineStr">
        <is>
          <t>이익잉여금</t>
        </is>
      </c>
      <c r="B33" s="10" t="n"/>
      <c r="C33" s="19" t="n">
        <v>211864</v>
      </c>
      <c r="D33" s="20" t="n">
        <v>226048</v>
      </c>
      <c r="E33" s="20" t="n">
        <v>228127</v>
      </c>
      <c r="F33" s="20" t="n">
        <v>237933</v>
      </c>
      <c r="G33" s="20" t="n">
        <v>239679</v>
      </c>
      <c r="H33" s="19" t="n">
        <v>208824</v>
      </c>
      <c r="I33" s="20" t="n">
        <v>233354</v>
      </c>
      <c r="J33" s="20" t="n">
        <v>256880</v>
      </c>
      <c r="K33" s="20" t="n">
        <v>200928</v>
      </c>
      <c r="L33" s="20" t="n">
        <v>226048</v>
      </c>
    </row>
    <row r="34">
      <c r="A34" s="18" t="inlineStr">
        <is>
          <t>비지배지분</t>
        </is>
      </c>
      <c r="B34" s="10" t="n"/>
      <c r="C34" s="19" t="n">
        <v>873</v>
      </c>
      <c r="D34" s="20" t="n">
        <v>917</v>
      </c>
      <c r="E34" s="20" t="n">
        <v>560</v>
      </c>
      <c r="F34" s="20" t="n">
        <v>578</v>
      </c>
      <c r="G34" s="20" t="n">
        <v>589</v>
      </c>
      <c r="H34" s="19" t="n">
        <v>727</v>
      </c>
      <c r="I34" s="20" t="n">
        <v>801</v>
      </c>
      <c r="J34" s="20" t="n">
        <v>729</v>
      </c>
      <c r="K34" s="20" t="n">
        <v>849</v>
      </c>
      <c r="L34" s="20" t="n">
        <v>917</v>
      </c>
    </row>
    <row r="35">
      <c r="A35" s="9" t="inlineStr">
        <is>
          <t>자본총계</t>
        </is>
      </c>
      <c r="B35" s="10" t="n"/>
      <c r="C35" s="11" t="n">
        <v>392667</v>
      </c>
      <c r="D35" s="12" t="n">
        <v>413814</v>
      </c>
      <c r="E35" s="12" t="n">
        <v>396924</v>
      </c>
      <c r="F35" s="12" t="n">
        <v>389996</v>
      </c>
      <c r="G35" s="12" t="n">
        <v>392692</v>
      </c>
      <c r="H35" s="11" t="n">
        <v>374676</v>
      </c>
      <c r="I35" s="12" t="n">
        <v>400372</v>
      </c>
      <c r="J35" s="12" t="n">
        <v>435509</v>
      </c>
      <c r="K35" s="12" t="n">
        <v>383701</v>
      </c>
      <c r="L35" s="12" t="n">
        <v>413814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45403</v>
      </c>
      <c r="D37" s="12" t="n">
        <v>45912</v>
      </c>
      <c r="E37" s="12" t="n">
        <v>50805</v>
      </c>
      <c r="F37" s="12" t="n">
        <v>51436</v>
      </c>
      <c r="G37" s="12" t="n">
        <v>44853</v>
      </c>
      <c r="H37" s="11" t="n">
        <v>32756</v>
      </c>
      <c r="I37" s="12" t="n">
        <v>37725</v>
      </c>
      <c r="J37" s="12" t="n">
        <v>28182</v>
      </c>
      <c r="K37" s="12" t="n">
        <v>47667</v>
      </c>
      <c r="L37" s="12" t="n">
        <v>45912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15499</v>
      </c>
      <c r="D38" s="20" t="n">
        <v>17739</v>
      </c>
      <c r="E38" s="20" t="n">
        <v>19241</v>
      </c>
      <c r="F38" s="20" t="n">
        <v>20394</v>
      </c>
      <c r="G38" s="20" t="n">
        <v>22075</v>
      </c>
      <c r="H38" s="19" t="n">
        <v>16829</v>
      </c>
      <c r="I38" s="20" t="n">
        <v>9783</v>
      </c>
      <c r="J38" s="20" t="n">
        <v>10303</v>
      </c>
      <c r="K38" s="20" t="n">
        <v>12248</v>
      </c>
      <c r="L38" s="20" t="n">
        <v>17739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16332</v>
      </c>
      <c r="D40" s="20" t="n">
        <v>16330</v>
      </c>
      <c r="E40" s="20" t="n">
        <v>18320</v>
      </c>
      <c r="F40" s="20" t="n">
        <v>18334</v>
      </c>
      <c r="G40" s="20" t="n">
        <v>18952</v>
      </c>
      <c r="H40" s="19" t="n">
        <v>9073</v>
      </c>
      <c r="I40" s="20" t="n">
        <v>11020</v>
      </c>
      <c r="J40" s="20" t="n">
        <v>12961</v>
      </c>
      <c r="K40" s="20" t="n">
        <v>16851</v>
      </c>
      <c r="L40" s="20" t="n">
        <v>16330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IFERROR(IF((IF(COUNT('연간'!G62:J62)&lt;4,"",SUM('연간'!G62:J62)))&lt;=0,"적자",C28/(IF(COUNT('연간'!G62:J62)&lt;4,"",SUM('연간'!G62:J62)))),"")</f>
        <v/>
      </c>
      <c r="D49" s="46">
        <f>IFERROR(IF((IF(COUNT('연간'!H62:K62)&lt;4,"",SUM('연간'!H62:K62)))&lt;=0,"적자",D28/(IF(COUNT('연간'!H62:K62)&lt;4,"",SUM('연간'!H62:K62)))),"")</f>
        <v/>
      </c>
      <c r="E49" s="46">
        <f>IFERROR(IF((IF(COUNT('연간'!I62:L62)&lt;4,"",SUM('연간'!I62:L62)))&lt;=0,"적자",E28/(IF(COUNT('연간'!I62:L62)&lt;4,"",SUM('연간'!I62:L62)))),"")</f>
        <v/>
      </c>
      <c r="F49" s="46">
        <f>IFERROR(IF((IF(COUNT('연간'!J62:M62)&lt;4,"",SUM('연간'!J62:M62)))&lt;=0,"적자",F28/(IF(COUNT('연간'!J62:M62)&lt;4,"",SUM('연간'!J62:M62)))),"")</f>
        <v/>
      </c>
      <c r="G49" s="46">
        <f>IFERROR(IF((IF(COUNT('연간'!K62:N62)&lt;4,"",SUM('연간'!K62:N62)))&lt;=0,"적자",G28/(IF(COUNT('연간'!K62:N62)&lt;4,"",SUM('연간'!K62:N62)))),"")</f>
        <v/>
      </c>
      <c r="H49" s="45">
        <f>IFERROR(IF(('연간'!T62)&lt;=0,"적자",H28/('연간'!T62)),"")</f>
        <v/>
      </c>
      <c r="I49" s="46">
        <f>IFERROR(IF(('연간'!U62)&lt;=0,"적자",I28/('연간'!U62)),"")</f>
        <v/>
      </c>
      <c r="J49" s="46">
        <f>IFERROR(IF(('연간'!V62)&lt;=0,"적자",J28/('연간'!V62)),"")</f>
        <v/>
      </c>
      <c r="K49" s="46">
        <f>IFERROR(IF(('연간'!W62)&lt;=0,"적자",K28/('연간'!W62)),"")</f>
        <v/>
      </c>
      <c r="L49" s="46">
        <f>IFERROR(IF(('연간'!X62)&lt;=0,"적자",L28/('연간'!X62)),"")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IFERROR((IF(COUNT('연간'!G62:J62)&lt;4,"",SUM('연간'!G62:J62)))/C31,"")</f>
        <v/>
      </c>
      <c r="D51" s="36">
        <f>IFERROR((IF(COUNT('연간'!H62:K62)&lt;4,"",SUM('연간'!H62:K62)))/D31,"")</f>
        <v/>
      </c>
      <c r="E51" s="36">
        <f>IFERROR((IF(COUNT('연간'!I62:L62)&lt;4,"",SUM('연간'!I62:L62)))/E31,"")</f>
        <v/>
      </c>
      <c r="F51" s="36">
        <f>IFERROR((IF(COUNT('연간'!J62:M62)&lt;4,"",SUM('연간'!J62:M62)))/F31,"")</f>
        <v/>
      </c>
      <c r="G51" s="36">
        <f>IFERROR((IF(COUNT('연간'!K62:N62)&lt;4,"",SUM('연간'!K62:N62)))/G31,"")</f>
        <v/>
      </c>
      <c r="H51" s="35">
        <f>IFERROR(('연간'!T62)/H31,"")</f>
        <v/>
      </c>
      <c r="I51" s="36">
        <f>IFERROR(('연간'!U62)/I31,"")</f>
        <v/>
      </c>
      <c r="J51" s="36">
        <f>IFERROR(('연간'!V62)/J31,"")</f>
        <v/>
      </c>
      <c r="K51" s="36">
        <f>IFERROR(('연간'!W62)/K31,"")</f>
        <v/>
      </c>
      <c r="L51" s="36">
        <f>IFERROR(('연간'!X62)/L31,"")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IFERROR((IF(COUNT('연간'!G61:J61)&lt;4,"",SUM('연간'!G61:J61)))/C16,"")</f>
        <v/>
      </c>
      <c r="D52" s="36">
        <f>IFERROR((IF(COUNT('연간'!H61:K61)&lt;4,"",SUM('연간'!H61:K61)))/D16,"")</f>
        <v/>
      </c>
      <c r="E52" s="36">
        <f>IFERROR((IF(COUNT('연간'!I61:L61)&lt;4,"",SUM('연간'!I61:L61)))/E16,"")</f>
        <v/>
      </c>
      <c r="F52" s="36">
        <f>IFERROR((IF(COUNT('연간'!J61:M61)&lt;4,"",SUM('연간'!J61:M61)))/F16,"")</f>
        <v/>
      </c>
      <c r="G52" s="36">
        <f>IFERROR((IF(COUNT('연간'!K61:N61)&lt;4,"",SUM('연간'!K61:N61)))/G16,"")</f>
        <v/>
      </c>
      <c r="H52" s="35">
        <f>IFERROR(('연간'!T61)/H16,"")</f>
        <v/>
      </c>
      <c r="I52" s="36">
        <f>IFERROR(('연간'!U61)/I16,"")</f>
        <v/>
      </c>
      <c r="J52" s="36">
        <f>IFERROR(('연간'!V61)/J16,"")</f>
        <v/>
      </c>
      <c r="K52" s="36">
        <f>IFERROR(('연간'!W61)/K16,"")</f>
        <v/>
      </c>
      <c r="L52" s="36">
        <f>IFERROR(('연간'!X61)/L16,"")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IFERROR((IF(COUNT('연간'!G30:J30)&lt;4,"",SUM('연간'!G30:J30)))/(IF(COUNT('연간'!G4:J4)&lt;4,"",SUM('연간'!G4:J4))),"")</f>
        <v/>
      </c>
      <c r="D54" s="36">
        <f>IFERROR((IF(COUNT('연간'!H30:K30)&lt;4,"",SUM('연간'!H30:K30)))/(IF(COUNT('연간'!H4:K4)&lt;4,"",SUM('연간'!H4:K4))),"")</f>
        <v/>
      </c>
      <c r="E54" s="36">
        <f>IFERROR((IF(COUNT('연간'!I30:L30)&lt;4,"",SUM('연간'!I30:L30)))/(IF(COUNT('연간'!I4:L4)&lt;4,"",SUM('연간'!I4:L4))),"")</f>
        <v/>
      </c>
      <c r="F54" s="36">
        <f>IFERROR((IF(COUNT('연간'!J30:M30)&lt;4,"",SUM('연간'!J30:M30)))/(IF(COUNT('연간'!J4:M4)&lt;4,"",SUM('연간'!J4:M4))),"")</f>
        <v/>
      </c>
      <c r="G54" s="36">
        <f>IFERROR((IF(COUNT('연간'!K30:N30)&lt;4,"",SUM('연간'!K30:N30)))/(IF(COUNT('연간'!K4:N4)&lt;4,"",SUM('연간'!K4:N4))),"")</f>
        <v/>
      </c>
      <c r="H54" s="35">
        <f>IFERROR(('연간'!T30)/('연간'!T4),"")</f>
        <v/>
      </c>
      <c r="I54" s="36">
        <f>IFERROR(('연간'!U30)/('연간'!U4),"")</f>
        <v/>
      </c>
      <c r="J54" s="36">
        <f>IFERROR(('연간'!V30)/('연간'!V4),"")</f>
        <v/>
      </c>
      <c r="K54" s="36">
        <f>IFERROR(('연간'!W30)/('연간'!W4),"")</f>
        <v/>
      </c>
      <c r="L54" s="36">
        <f>IFERROR(('연간'!X30)/('연간'!X4),"")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IFERROR((IF(COUNT('연간'!G61:J61)&lt;4,"",SUM('연간'!G61:J61)))/(IF(COUNT('연간'!G4:J4)&lt;4,"",SUM('연간'!G4:J4))),"")</f>
        <v/>
      </c>
      <c r="D56" s="36">
        <f>IFERROR((IF(COUNT('연간'!H61:K61)&lt;4,"",SUM('연간'!H61:K61)))/(IF(COUNT('연간'!H4:K4)&lt;4,"",SUM('연간'!H4:K4))),"")</f>
        <v/>
      </c>
      <c r="E56" s="36">
        <f>IFERROR((IF(COUNT('연간'!I61:L61)&lt;4,"",SUM('연간'!I61:L61)))/(IF(COUNT('연간'!I4:L4)&lt;4,"",SUM('연간'!I4:L4))),"")</f>
        <v/>
      </c>
      <c r="F56" s="36">
        <f>IFERROR((IF(COUNT('연간'!J61:M61)&lt;4,"",SUM('연간'!J61:M61)))/(IF(COUNT('연간'!J4:M4)&lt;4,"",SUM('연간'!J4:M4))),"")</f>
        <v/>
      </c>
      <c r="G56" s="36">
        <f>IFERROR((IF(COUNT('연간'!K61:N61)&lt;4,"",SUM('연간'!K61:N61)))/(IF(COUNT('연간'!K4:N4)&lt;4,"",SUM('연간'!K4:N4))),"")</f>
        <v/>
      </c>
      <c r="H56" s="35">
        <f>IFERROR(('연간'!T61)/('연간'!T4),"")</f>
        <v/>
      </c>
      <c r="I56" s="36">
        <f>IFERROR(('연간'!U61)/('연간'!U4),"")</f>
        <v/>
      </c>
      <c r="J56" s="36">
        <f>IFERROR(('연간'!V61)/('연간'!V4),"")</f>
        <v/>
      </c>
      <c r="K56" s="36">
        <f>IFERROR(('연간'!W61)/('연간'!W4),"")</f>
        <v/>
      </c>
      <c r="L56" s="36">
        <f>IFERROR(('연간'!X61)/('연간'!X4),"")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IFERROR(C9/(IF(COUNT('연간'!G29:J29)&lt;4,"",SUM('연간'!G29:J29)))*365,"")</f>
        <v/>
      </c>
      <c r="D60" s="48">
        <f>IFERROR(D9/(IF(COUNT('연간'!H29:K29)&lt;4,"",SUM('연간'!H29:K29)))*365,"")</f>
        <v/>
      </c>
      <c r="E60" s="48">
        <f>IFERROR(E9/(IF(COUNT('연간'!I29:L29)&lt;4,"",SUM('연간'!I29:L29)))*365,"")</f>
        <v/>
      </c>
      <c r="F60" s="48">
        <f>IFERROR(F9/(IF(COUNT('연간'!J29:M29)&lt;4,"",SUM('연간'!J29:M29)))*365,"")</f>
        <v/>
      </c>
      <c r="G60" s="48">
        <f>IFERROR(G9/(IF(COUNT('연간'!K29:N29)&lt;4,"",SUM('연간'!K29:N29)))*365,"")</f>
        <v/>
      </c>
      <c r="H60" s="47">
        <f>IFERROR(H9/('연간'!T29)*365,"")</f>
        <v/>
      </c>
      <c r="I60" s="48">
        <f>IFERROR(I9/('연간'!U29)*365,"")</f>
        <v/>
      </c>
      <c r="J60" s="48">
        <f>IFERROR(J9/('연간'!V29)*365,"")</f>
        <v/>
      </c>
      <c r="K60" s="48">
        <f>IFERROR(K9/('연간'!W29)*365,"")</f>
        <v/>
      </c>
      <c r="L60" s="48">
        <f>IFERROR(L9/('연간'!X29)*365,"")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IFERROR(C19/(IF(COUNT('연간'!G29:J29)&lt;4,"",SUM('연간'!G29:J29)))*365,"")</f>
        <v/>
      </c>
      <c r="D61" s="48">
        <f>IFERROR(D19/(IF(COUNT('연간'!H29:K29)&lt;4,"",SUM('연간'!H29:K29)))*365,"")</f>
        <v/>
      </c>
      <c r="E61" s="48">
        <f>IFERROR(E19/(IF(COUNT('연간'!I29:L29)&lt;4,"",SUM('연간'!I29:L29)))*365,"")</f>
        <v/>
      </c>
      <c r="F61" s="48">
        <f>IFERROR(F19/(IF(COUNT('연간'!J29:M29)&lt;4,"",SUM('연간'!J29:M29)))*365,"")</f>
        <v/>
      </c>
      <c r="G61" s="48">
        <f>IFERROR(G19/(IF(COUNT('연간'!K29:N29)&lt;4,"",SUM('연간'!K29:N29)))*365,"")</f>
        <v/>
      </c>
      <c r="H61" s="47">
        <f>IFERROR(H19/('연간'!T29)*365,"")</f>
        <v/>
      </c>
      <c r="I61" s="48">
        <f>IFERROR(I19/('연간'!U29)*365,"")</f>
        <v/>
      </c>
      <c r="J61" s="48">
        <f>IFERROR(J19/('연간'!V29)*365,"")</f>
        <v/>
      </c>
      <c r="K61" s="48">
        <f>IFERROR(K19/('연간'!W29)*365,"")</f>
        <v/>
      </c>
      <c r="L61" s="48">
        <f>IFERROR(L19/('연간'!X29)*365,"")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IF(C37="","",IFERROR(C37/(IF(COUNT('연간'!G61:J61)&lt;4,"",SUM('연간'!G61:J61))),""))</f>
        <v/>
      </c>
      <c r="D64" s="31">
        <f>IF(D37="","",IFERROR(D37/(IF(COUNT('연간'!H61:K61)&lt;4,"",SUM('연간'!H61:K61))),""))</f>
        <v/>
      </c>
      <c r="E64" s="31">
        <f>IF(E37="","",IFERROR(E37/(IF(COUNT('연간'!I61:L61)&lt;4,"",SUM('연간'!I61:L61))),""))</f>
        <v/>
      </c>
      <c r="F64" s="31">
        <f>IF(F37="","",IFERROR(F37/(IF(COUNT('연간'!J61:M61)&lt;4,"",SUM('연간'!J61:M61))),""))</f>
        <v/>
      </c>
      <c r="G64" s="31">
        <f>IF(G37="","",IFERROR(G37/(IF(COUNT('연간'!K61:N61)&lt;4,"",SUM('연간'!K61:N61))),""))</f>
        <v/>
      </c>
      <c r="H64" s="30">
        <f>IF(H37="","",IFERROR(H37/('연간'!T61),""))</f>
        <v/>
      </c>
      <c r="I64" s="31">
        <f>IF(I37="","",IFERROR(I37/('연간'!U61),""))</f>
        <v/>
      </c>
      <c r="J64" s="31">
        <f>IF(J37="","",IFERROR(J37/('연간'!V61),""))</f>
        <v/>
      </c>
      <c r="K64" s="31">
        <f>IF(K37="","",IFERROR(K37/('연간'!W61),""))</f>
        <v/>
      </c>
      <c r="L64" s="31">
        <f>IF(L37="","",IFERROR(L37/('연간'!X61),""))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IF(C40="","",IFERROR(C40/(IF(COUNT('연간'!G62:J62)&lt;4,"",SUM('연간'!G62:J62))),""))</f>
        <v/>
      </c>
      <c r="D67" s="36">
        <f>IF(D40="","",IFERROR(D40/(IF(COUNT('연간'!H62:K62)&lt;4,"",SUM('연간'!H62:K62))),""))</f>
        <v/>
      </c>
      <c r="E67" s="36">
        <f>IF(E40="","",IFERROR(E40/(IF(COUNT('연간'!I62:L62)&lt;4,"",SUM('연간'!I62:L62))),""))</f>
        <v/>
      </c>
      <c r="F67" s="36">
        <f>IF(F40="","",IFERROR(F40/(IF(COUNT('연간'!J62:M62)&lt;4,"",SUM('연간'!J62:M62))),""))</f>
        <v/>
      </c>
      <c r="G67" s="36">
        <f>IF(G40="","",IFERROR(G40/(IF(COUNT('연간'!K62:N62)&lt;4,"",SUM('연간'!K62:N62))),""))</f>
        <v/>
      </c>
      <c r="H67" s="35">
        <f>IF(H40="","",IFERROR(H40/('연간'!T62),""))</f>
        <v/>
      </c>
      <c r="I67" s="36">
        <f>IF(I40="","",IFERROR(I40/('연간'!U62),""))</f>
        <v/>
      </c>
      <c r="J67" s="36">
        <f>IF(J40="","",IFERROR(J40/('연간'!V62),""))</f>
        <v/>
      </c>
      <c r="K67" s="36">
        <f>IF(K40="","",IFERROR(K40/('연간'!W62),""))</f>
        <v/>
      </c>
      <c r="L67" s="36">
        <f>IF(L40="","",IFERROR(L40/('연간'!X62),""))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 및 예금</t>
        </is>
      </c>
      <c r="C71" s="20" t="n">
        <v>169370</v>
      </c>
      <c r="D71" s="20" t="n">
        <v>159573</v>
      </c>
      <c r="E71" s="20" t="n">
        <v>130839</v>
      </c>
      <c r="F71" s="20" t="n">
        <v>140582</v>
      </c>
      <c r="G71" s="20" t="n">
        <v>125788</v>
      </c>
      <c r="H71" s="20" t="n">
        <v>67528</v>
      </c>
      <c r="I71" s="20" t="n">
        <v>84132</v>
      </c>
      <c r="J71" s="20" t="n">
        <v>88190</v>
      </c>
      <c r="K71" s="20" t="n">
        <v>109226</v>
      </c>
      <c r="L71" s="20" t="n">
        <v>159573</v>
      </c>
    </row>
    <row r="72">
      <c r="A72" s="18" t="inlineStr">
        <is>
          <t>받을어음·매출채권</t>
        </is>
      </c>
      <c r="H72" s="20" t="n">
        <v>107367</v>
      </c>
      <c r="I72" s="20" t="n">
        <v>0</v>
      </c>
    </row>
    <row r="73">
      <c r="A73" s="18" t="inlineStr">
        <is>
          <t>받을어음·매출채권·계약자산</t>
        </is>
      </c>
      <c r="D73" s="20" t="n">
        <v>126624</v>
      </c>
      <c r="E73" s="20" t="n">
        <v>115760</v>
      </c>
      <c r="J73" s="20" t="n">
        <v>111649</v>
      </c>
      <c r="K73" s="20" t="n">
        <v>119016</v>
      </c>
      <c r="L73" s="20" t="n">
        <v>126624</v>
      </c>
    </row>
    <row r="74">
      <c r="A74" s="18" t="inlineStr">
        <is>
          <t>받을어음·매출채권·계약자산</t>
        </is>
      </c>
      <c r="C74" s="20" t="n">
        <v>102125</v>
      </c>
      <c r="D74" s="20" t="n">
        <v>126624</v>
      </c>
      <c r="F74" s="20" t="n">
        <v>106148</v>
      </c>
      <c r="G74" s="20" t="n">
        <v>108710</v>
      </c>
      <c r="H74" s="20" t="n">
        <v>0</v>
      </c>
      <c r="I74" s="20" t="n">
        <v>110431</v>
      </c>
      <c r="J74" s="20" t="n">
        <v>111649</v>
      </c>
      <c r="K74" s="20" t="n">
        <v>119016</v>
      </c>
      <c r="L74" s="20" t="n">
        <v>126624</v>
      </c>
    </row>
    <row r="75">
      <c r="A75" s="18" t="inlineStr">
        <is>
          <t>유가증권</t>
        </is>
      </c>
      <c r="C75" s="20" t="n">
        <v>500</v>
      </c>
      <c r="D75" s="20" t="n">
        <v>500</v>
      </c>
      <c r="E75" s="20" t="n">
        <v>500</v>
      </c>
      <c r="F75" s="20" t="n">
        <v>0</v>
      </c>
      <c r="G75" s="20" t="n">
        <v>0</v>
      </c>
      <c r="H75" s="20" t="n">
        <v>500</v>
      </c>
      <c r="I75" s="20" t="n">
        <v>500</v>
      </c>
      <c r="J75" s="20" t="n">
        <v>1500</v>
      </c>
      <c r="K75" s="20" t="n">
        <v>1500</v>
      </c>
      <c r="L75" s="20" t="n">
        <v>500</v>
      </c>
    </row>
    <row r="76">
      <c r="A76" s="18" t="inlineStr">
        <is>
          <t>상품·제품</t>
        </is>
      </c>
      <c r="C76" s="20" t="n">
        <v>45585</v>
      </c>
      <c r="D76" s="20" t="n">
        <v>39681</v>
      </c>
      <c r="E76" s="20" t="n">
        <v>45825</v>
      </c>
      <c r="F76" s="20" t="n">
        <v>47627</v>
      </c>
      <c r="G76" s="20" t="n">
        <v>53462</v>
      </c>
      <c r="H76" s="20" t="n">
        <v>34578</v>
      </c>
      <c r="I76" s="20" t="n">
        <v>37897</v>
      </c>
      <c r="J76" s="20" t="n">
        <v>39149</v>
      </c>
      <c r="K76" s="20" t="n">
        <v>41423</v>
      </c>
      <c r="L76" s="20" t="n">
        <v>39681</v>
      </c>
    </row>
    <row r="77">
      <c r="A77" s="18" t="inlineStr">
        <is>
          <t>재공품</t>
        </is>
      </c>
      <c r="C77" s="20" t="n">
        <v>587</v>
      </c>
      <c r="D77" s="20" t="n">
        <v>217</v>
      </c>
      <c r="E77" s="20" t="n">
        <v>291</v>
      </c>
      <c r="F77" s="20" t="n">
        <v>494</v>
      </c>
      <c r="G77" s="20" t="n">
        <v>482</v>
      </c>
      <c r="H77" s="20" t="n">
        <v>145</v>
      </c>
      <c r="I77" s="20" t="n">
        <v>99</v>
      </c>
      <c r="J77" s="20" t="n">
        <v>196</v>
      </c>
      <c r="K77" s="20" t="n">
        <v>444</v>
      </c>
      <c r="L77" s="20" t="n">
        <v>217</v>
      </c>
    </row>
    <row r="78">
      <c r="A78" s="18" t="inlineStr">
        <is>
          <t>원재료·저장품</t>
        </is>
      </c>
      <c r="C78" s="20" t="n">
        <v>465</v>
      </c>
      <c r="D78" s="20" t="n">
        <v>463</v>
      </c>
      <c r="E78" s="20" t="n">
        <v>472</v>
      </c>
      <c r="F78" s="20" t="n">
        <v>457</v>
      </c>
      <c r="G78" s="20" t="n">
        <v>475</v>
      </c>
      <c r="H78" s="20" t="n">
        <v>511</v>
      </c>
      <c r="I78" s="20" t="n">
        <v>523</v>
      </c>
      <c r="J78" s="20" t="n">
        <v>479</v>
      </c>
      <c r="K78" s="20" t="n">
        <v>459</v>
      </c>
      <c r="L78" s="20" t="n">
        <v>463</v>
      </c>
    </row>
    <row r="79">
      <c r="A79" s="18" t="inlineStr">
        <is>
          <t>단기대여금</t>
        </is>
      </c>
      <c r="C79" s="20" t="n">
        <v>0</v>
      </c>
      <c r="D79" s="20" t="n">
        <v>0</v>
      </c>
      <c r="H79" s="20" t="n">
        <v>180004</v>
      </c>
      <c r="I79" s="20" t="n">
        <v>180012</v>
      </c>
      <c r="J79" s="20" t="n">
        <v>170005</v>
      </c>
      <c r="K79" s="20" t="n">
        <v>50010</v>
      </c>
      <c r="L79" s="20" t="n">
        <v>0</v>
      </c>
    </row>
    <row r="80">
      <c r="A80" s="18" t="inlineStr">
        <is>
          <t>기타</t>
        </is>
      </c>
      <c r="C80" s="20" t="n">
        <v>12311</v>
      </c>
      <c r="D80" s="20" t="n">
        <v>12641</v>
      </c>
      <c r="E80" s="20" t="n">
        <v>27940</v>
      </c>
      <c r="F80" s="20" t="n">
        <v>14641</v>
      </c>
      <c r="G80" s="20" t="n">
        <v>13326</v>
      </c>
      <c r="H80" s="20" t="n">
        <v>5469</v>
      </c>
      <c r="I80" s="20" t="n">
        <v>6153</v>
      </c>
      <c r="J80" s="20" t="n">
        <v>7482</v>
      </c>
      <c r="K80" s="20" t="n">
        <v>10132</v>
      </c>
      <c r="L80" s="20" t="n">
        <v>12641</v>
      </c>
    </row>
    <row r="81">
      <c r="A81" s="18" t="inlineStr">
        <is>
          <t>대손충당금</t>
        </is>
      </c>
      <c r="C81" s="20" t="n">
        <v>-53</v>
      </c>
      <c r="D81" s="20" t="n">
        <v>-55</v>
      </c>
      <c r="E81" s="20" t="n">
        <v>-53</v>
      </c>
      <c r="F81" s="20" t="n">
        <v>-51</v>
      </c>
      <c r="G81" s="20" t="n">
        <v>-51</v>
      </c>
      <c r="H81" s="20" t="n">
        <v>-24</v>
      </c>
      <c r="I81" s="20" t="n">
        <v>-43</v>
      </c>
      <c r="J81" s="20" t="n">
        <v>-42</v>
      </c>
      <c r="K81" s="20" t="n">
        <v>-28</v>
      </c>
      <c r="L81" s="20" t="n">
        <v>-55</v>
      </c>
    </row>
    <row r="82">
      <c r="A82" s="9" t="inlineStr">
        <is>
          <t>유동자산 합계</t>
        </is>
      </c>
      <c r="C82" s="12" t="n">
        <v>330891</v>
      </c>
      <c r="D82" s="12" t="n">
        <v>339646</v>
      </c>
      <c r="E82" s="12" t="n">
        <v>321575</v>
      </c>
      <c r="F82" s="12" t="n">
        <v>309899</v>
      </c>
      <c r="G82" s="12" t="n">
        <v>302194</v>
      </c>
      <c r="H82" s="12" t="n">
        <v>396082</v>
      </c>
      <c r="I82" s="12" t="n">
        <v>419708</v>
      </c>
      <c r="J82" s="12" t="n">
        <v>418611</v>
      </c>
      <c r="K82" s="12" t="n">
        <v>332185</v>
      </c>
      <c r="L82" s="12" t="n">
        <v>339646</v>
      </c>
    </row>
    <row r="83">
      <c r="A83" s="18" t="inlineStr">
        <is>
          <t>건물·구축물(순액)</t>
        </is>
      </c>
      <c r="C83" s="20" t="n">
        <v>44245</v>
      </c>
      <c r="D83" s="20" t="n">
        <v>43549</v>
      </c>
      <c r="E83" s="20" t="n">
        <v>46613</v>
      </c>
      <c r="F83" s="20" t="n">
        <v>46296</v>
      </c>
      <c r="G83" s="20" t="n">
        <v>45903</v>
      </c>
      <c r="H83" s="20" t="n">
        <v>45916</v>
      </c>
      <c r="I83" s="20" t="n">
        <v>48384</v>
      </c>
      <c r="J83" s="20" t="n">
        <v>47714</v>
      </c>
      <c r="K83" s="20" t="n">
        <v>45801</v>
      </c>
      <c r="L83" s="20" t="n">
        <v>43549</v>
      </c>
    </row>
    <row r="84">
      <c r="A84" s="18" t="inlineStr">
        <is>
          <t>기계장치·운반구(순액)</t>
        </is>
      </c>
      <c r="C84" s="20" t="n">
        <v>52</v>
      </c>
      <c r="D84" s="20" t="n">
        <v>51</v>
      </c>
      <c r="E84" s="20" t="n">
        <v>49</v>
      </c>
      <c r="F84" s="20" t="n">
        <v>47</v>
      </c>
      <c r="G84" s="20" t="n">
        <v>45</v>
      </c>
      <c r="H84" s="20" t="n">
        <v>77</v>
      </c>
      <c r="I84" s="20" t="n">
        <v>68</v>
      </c>
      <c r="J84" s="20" t="n">
        <v>60</v>
      </c>
      <c r="K84" s="20" t="n">
        <v>58</v>
      </c>
      <c r="L84" s="20" t="n">
        <v>51</v>
      </c>
    </row>
    <row r="85">
      <c r="A85" s="18" t="inlineStr">
        <is>
          <t>공구·기구·비품(순액)</t>
        </is>
      </c>
      <c r="C85" s="20" t="n">
        <v>4535</v>
      </c>
      <c r="D85" s="20" t="n">
        <v>4429</v>
      </c>
      <c r="E85" s="20" t="n">
        <v>4441</v>
      </c>
      <c r="F85" s="20" t="n">
        <v>4380</v>
      </c>
      <c r="G85" s="20" t="n">
        <v>4234</v>
      </c>
      <c r="H85" s="20" t="n">
        <v>2760</v>
      </c>
      <c r="I85" s="20" t="n">
        <v>2670</v>
      </c>
      <c r="J85" s="20" t="n">
        <v>3029</v>
      </c>
      <c r="K85" s="20" t="n">
        <v>4411</v>
      </c>
      <c r="L85" s="20" t="n">
        <v>4429</v>
      </c>
    </row>
    <row r="86">
      <c r="A86" s="18" t="inlineStr">
        <is>
          <t>렌탈 자산(순액)</t>
        </is>
      </c>
      <c r="C86" s="20" t="n">
        <v>7037</v>
      </c>
      <c r="D86" s="20" t="n">
        <v>7365</v>
      </c>
      <c r="E86" s="20" t="n">
        <v>7421</v>
      </c>
      <c r="F86" s="20" t="n">
        <v>7958</v>
      </c>
      <c r="G86" s="20" t="n">
        <v>8021</v>
      </c>
      <c r="H86" s="20" t="n">
        <v>5639</v>
      </c>
      <c r="I86" s="20" t="n">
        <v>4890</v>
      </c>
      <c r="J86" s="20" t="n">
        <v>5585</v>
      </c>
      <c r="K86" s="20" t="n">
        <v>6980</v>
      </c>
      <c r="L86" s="20" t="n">
        <v>7365</v>
      </c>
    </row>
    <row r="87">
      <c r="A87" s="18" t="inlineStr">
        <is>
          <t>토지</t>
        </is>
      </c>
      <c r="C87" s="20" t="n">
        <v>28154</v>
      </c>
      <c r="D87" s="20" t="n">
        <v>28154</v>
      </c>
      <c r="E87" s="20" t="n">
        <v>28154</v>
      </c>
      <c r="F87" s="20" t="n">
        <v>28154</v>
      </c>
      <c r="G87" s="20" t="n">
        <v>28154</v>
      </c>
      <c r="H87" s="20" t="n">
        <v>28359</v>
      </c>
      <c r="I87" s="20" t="n">
        <v>28359</v>
      </c>
      <c r="J87" s="20" t="n">
        <v>28359</v>
      </c>
      <c r="K87" s="20" t="n">
        <v>28359</v>
      </c>
      <c r="L87" s="20" t="n">
        <v>28154</v>
      </c>
    </row>
    <row r="88">
      <c r="A88" s="18" t="inlineStr">
        <is>
          <t>리스자산(순액)</t>
        </is>
      </c>
      <c r="C88" s="20" t="n">
        <v>1</v>
      </c>
      <c r="D88" s="20" t="n">
        <v>1</v>
      </c>
      <c r="E88" s="20" t="n">
        <v>0</v>
      </c>
      <c r="F88" s="20" t="n">
        <v>0</v>
      </c>
      <c r="G88" s="20" t="n">
        <v>0</v>
      </c>
      <c r="H88" s="20" t="n">
        <v>7</v>
      </c>
      <c r="I88" s="20" t="n">
        <v>5</v>
      </c>
      <c r="J88" s="20" t="n">
        <v>3</v>
      </c>
      <c r="K88" s="20" t="n">
        <v>1</v>
      </c>
      <c r="L88" s="20" t="n">
        <v>1</v>
      </c>
    </row>
    <row r="89">
      <c r="A89" s="18" t="inlineStr">
        <is>
          <t>건설중인자산</t>
        </is>
      </c>
      <c r="C89" s="20" t="n">
        <v>3555</v>
      </c>
      <c r="D89" s="20" t="n">
        <v>3246</v>
      </c>
      <c r="E89" s="20" t="n">
        <v>154</v>
      </c>
      <c r="F89" s="20" t="n">
        <v>219</v>
      </c>
      <c r="G89" s="20" t="n">
        <v>32</v>
      </c>
      <c r="H89" s="20" t="n">
        <v>2392</v>
      </c>
      <c r="I89" s="20" t="n">
        <v>897</v>
      </c>
      <c r="J89" s="20" t="n">
        <v>271</v>
      </c>
      <c r="K89" s="20" t="n">
        <v>2488</v>
      </c>
      <c r="L89" s="20" t="n">
        <v>3246</v>
      </c>
    </row>
    <row r="90">
      <c r="A90" s="18" t="inlineStr">
        <is>
          <t>유형자산 합계</t>
        </is>
      </c>
      <c r="C90" s="20" t="n">
        <v>87582</v>
      </c>
      <c r="D90" s="20" t="n">
        <v>86797</v>
      </c>
      <c r="E90" s="20" t="n">
        <v>86836</v>
      </c>
      <c r="F90" s="20" t="n">
        <v>87057</v>
      </c>
      <c r="G90" s="20" t="n">
        <v>86392</v>
      </c>
      <c r="H90" s="20" t="n">
        <v>85154</v>
      </c>
      <c r="I90" s="20" t="n">
        <v>85276</v>
      </c>
      <c r="J90" s="20" t="n">
        <v>85024</v>
      </c>
      <c r="K90" s="20" t="n">
        <v>88101</v>
      </c>
      <c r="L90" s="20" t="n">
        <v>86797</v>
      </c>
    </row>
    <row r="91">
      <c r="A91" s="18" t="inlineStr">
        <is>
          <t>소프트웨어</t>
        </is>
      </c>
      <c r="C91" s="20" t="n">
        <v>11188</v>
      </c>
      <c r="D91" s="20" t="n">
        <v>14087</v>
      </c>
      <c r="E91" s="20" t="n">
        <v>14455</v>
      </c>
      <c r="F91" s="20" t="n">
        <v>17344</v>
      </c>
      <c r="G91" s="20" t="n">
        <v>22098</v>
      </c>
      <c r="H91" s="20" t="n">
        <v>6226</v>
      </c>
      <c r="I91" s="20" t="n">
        <v>5364</v>
      </c>
      <c r="J91" s="20" t="n">
        <v>5600</v>
      </c>
      <c r="K91" s="20" t="n">
        <v>7709</v>
      </c>
      <c r="L91" s="20" t="n">
        <v>14087</v>
      </c>
    </row>
    <row r="92">
      <c r="A92" s="18" t="inlineStr">
        <is>
          <t>리스자산</t>
        </is>
      </c>
      <c r="H92" s="20" t="n">
        <v>0</v>
      </c>
    </row>
    <row r="93">
      <c r="A93" s="18" t="inlineStr">
        <is>
          <t>영업권</t>
        </is>
      </c>
      <c r="C93" s="20" t="n">
        <v>21240</v>
      </c>
      <c r="D93" s="20" t="n">
        <v>20774</v>
      </c>
      <c r="E93" s="20" t="n">
        <v>20308</v>
      </c>
      <c r="F93" s="20" t="n">
        <v>19843</v>
      </c>
      <c r="G93" s="20" t="n">
        <v>19377</v>
      </c>
      <c r="H93" s="20" t="n">
        <v>0</v>
      </c>
      <c r="I93" s="20" t="n">
        <v>327</v>
      </c>
      <c r="J93" s="20" t="n">
        <v>4868</v>
      </c>
      <c r="K93" s="20" t="n">
        <v>22637</v>
      </c>
      <c r="L93" s="20" t="n">
        <v>20774</v>
      </c>
    </row>
    <row r="94">
      <c r="A94" s="18" t="inlineStr">
        <is>
          <t>고객관계자산</t>
        </is>
      </c>
      <c r="C94" s="20" t="n">
        <v>17195</v>
      </c>
      <c r="D94" s="20" t="n">
        <v>16799</v>
      </c>
      <c r="E94" s="20" t="n">
        <v>16553</v>
      </c>
      <c r="F94" s="20" t="n">
        <v>16306</v>
      </c>
      <c r="G94" s="20" t="n">
        <v>16060</v>
      </c>
      <c r="I94" s="20" t="n">
        <v>0</v>
      </c>
      <c r="J94" s="20" t="n">
        <v>3408</v>
      </c>
      <c r="K94" s="20" t="n">
        <v>18384</v>
      </c>
      <c r="L94" s="20" t="n">
        <v>16799</v>
      </c>
    </row>
    <row r="95">
      <c r="A95" s="18" t="inlineStr">
        <is>
          <t>시설 이용권</t>
        </is>
      </c>
      <c r="C95" s="20" t="n">
        <v>300</v>
      </c>
      <c r="D95" s="20" t="n">
        <v>299</v>
      </c>
      <c r="E95" s="20" t="n">
        <v>299</v>
      </c>
      <c r="F95" s="20" t="n">
        <v>299</v>
      </c>
      <c r="G95" s="20" t="n">
        <v>299</v>
      </c>
      <c r="H95" s="20" t="n">
        <v>303</v>
      </c>
      <c r="I95" s="20" t="n">
        <v>302</v>
      </c>
      <c r="J95" s="20" t="n">
        <v>302</v>
      </c>
      <c r="K95" s="20" t="n">
        <v>300</v>
      </c>
      <c r="L95" s="20" t="n">
        <v>299</v>
      </c>
    </row>
    <row r="96">
      <c r="A96" s="18" t="inlineStr">
        <is>
          <t>기타</t>
        </is>
      </c>
      <c r="C96" s="20" t="n">
        <v>1</v>
      </c>
      <c r="D96" s="20" t="n">
        <v>0</v>
      </c>
      <c r="E96" s="20" t="n">
        <v>0</v>
      </c>
      <c r="F96" s="20" t="n">
        <v>0</v>
      </c>
      <c r="G96" s="20" t="n">
        <v>0</v>
      </c>
      <c r="H96" s="20" t="n">
        <v>0</v>
      </c>
      <c r="I96" s="20" t="n">
        <v>0</v>
      </c>
      <c r="J96" s="20" t="n">
        <v>1</v>
      </c>
      <c r="K96" s="20" t="n">
        <v>1</v>
      </c>
      <c r="L96" s="20" t="n">
        <v>0</v>
      </c>
    </row>
    <row r="97">
      <c r="A97" s="18" t="inlineStr">
        <is>
          <t>무형자산 합계</t>
        </is>
      </c>
      <c r="C97" s="20" t="n">
        <v>49925</v>
      </c>
      <c r="D97" s="20" t="n">
        <v>51961</v>
      </c>
      <c r="E97" s="20" t="n">
        <v>51618</v>
      </c>
      <c r="F97" s="20" t="n">
        <v>53795</v>
      </c>
      <c r="G97" s="20" t="n">
        <v>57837</v>
      </c>
      <c r="H97" s="20" t="n">
        <v>6530</v>
      </c>
      <c r="I97" s="20" t="n">
        <v>5995</v>
      </c>
      <c r="J97" s="20" t="n">
        <v>14181</v>
      </c>
      <c r="K97" s="20" t="n">
        <v>49033</v>
      </c>
      <c r="L97" s="20" t="n">
        <v>51961</v>
      </c>
    </row>
    <row r="98">
      <c r="A98" s="18" t="inlineStr">
        <is>
          <t>투자유가증권</t>
        </is>
      </c>
      <c r="C98" s="20" t="n">
        <v>19900</v>
      </c>
      <c r="D98" s="20" t="n">
        <v>21971</v>
      </c>
      <c r="E98" s="20" t="n">
        <v>21802</v>
      </c>
      <c r="F98" s="20" t="n">
        <v>22037</v>
      </c>
      <c r="G98" s="20" t="n">
        <v>26800</v>
      </c>
      <c r="H98" s="20" t="n">
        <v>17353</v>
      </c>
      <c r="I98" s="20" t="n">
        <v>13312</v>
      </c>
      <c r="J98" s="20" t="n">
        <v>16314</v>
      </c>
      <c r="K98" s="20" t="n">
        <v>17771</v>
      </c>
      <c r="L98" s="20" t="n">
        <v>21971</v>
      </c>
    </row>
    <row r="99">
      <c r="A99" s="18" t="inlineStr">
        <is>
          <t>장기대여금</t>
        </is>
      </c>
      <c r="H99" s="20" t="n">
        <v>35</v>
      </c>
      <c r="I99" s="20" t="n">
        <v>15</v>
      </c>
      <c r="J99" s="20" t="n">
        <v>10</v>
      </c>
      <c r="K99" s="20" t="n">
        <v>0</v>
      </c>
    </row>
    <row r="100">
      <c r="A100" s="18" t="inlineStr">
        <is>
          <t>퇴직급여자산</t>
        </is>
      </c>
      <c r="C100" s="20" t="n">
        <v>31714</v>
      </c>
      <c r="D100" s="20" t="n">
        <v>55930</v>
      </c>
      <c r="E100" s="20" t="n">
        <v>56641</v>
      </c>
      <c r="F100" s="20" t="n">
        <v>57053</v>
      </c>
      <c r="G100" s="20" t="n">
        <v>57431</v>
      </c>
      <c r="H100" s="20" t="n">
        <v>421</v>
      </c>
      <c r="I100" s="20" t="n">
        <v>392</v>
      </c>
      <c r="J100" s="20" t="n">
        <v>10987</v>
      </c>
      <c r="K100" s="20" t="n">
        <v>29842</v>
      </c>
      <c r="L100" s="20" t="n">
        <v>55930</v>
      </c>
    </row>
    <row r="101">
      <c r="A101" s="18" t="inlineStr">
        <is>
          <t>이연법인세자산</t>
        </is>
      </c>
      <c r="C101" s="20" t="n">
        <v>585</v>
      </c>
      <c r="D101" s="20" t="n">
        <v>302</v>
      </c>
      <c r="E101" s="20" t="n">
        <v>316</v>
      </c>
      <c r="F101" s="20" t="n">
        <v>314</v>
      </c>
      <c r="G101" s="20" t="n">
        <v>339</v>
      </c>
      <c r="H101" s="20" t="n">
        <v>14974</v>
      </c>
      <c r="I101" s="20" t="n">
        <v>12904</v>
      </c>
      <c r="J101" s="20" t="n">
        <v>5916</v>
      </c>
      <c r="K101" s="20" t="n">
        <v>478</v>
      </c>
      <c r="L101" s="20" t="n">
        <v>302</v>
      </c>
    </row>
    <row r="102">
      <c r="A102" s="18" t="inlineStr">
        <is>
          <t>보증금</t>
        </is>
      </c>
      <c r="C102" s="20" t="n">
        <v>2653</v>
      </c>
      <c r="D102" s="20" t="n">
        <v>2730</v>
      </c>
      <c r="E102" s="20" t="n">
        <v>2626</v>
      </c>
      <c r="F102" s="20" t="n">
        <v>2621</v>
      </c>
      <c r="G102" s="20" t="n">
        <v>2579</v>
      </c>
      <c r="H102" s="20" t="n">
        <v>2961</v>
      </c>
      <c r="I102" s="20" t="n">
        <v>2767</v>
      </c>
      <c r="J102" s="20" t="n">
        <v>2559</v>
      </c>
      <c r="K102" s="20" t="n">
        <v>3003</v>
      </c>
      <c r="L102" s="20" t="n">
        <v>2730</v>
      </c>
    </row>
    <row r="103">
      <c r="A103" s="18" t="inlineStr">
        <is>
          <t>기타</t>
        </is>
      </c>
      <c r="C103" s="20" t="n">
        <v>4792</v>
      </c>
      <c r="D103" s="20" t="n">
        <v>5363</v>
      </c>
      <c r="E103" s="20" t="n">
        <v>5109</v>
      </c>
      <c r="F103" s="20" t="n">
        <v>5409</v>
      </c>
      <c r="G103" s="20" t="n">
        <v>5453</v>
      </c>
      <c r="H103" s="20" t="n">
        <v>2999</v>
      </c>
      <c r="I103" s="20" t="n">
        <v>3555</v>
      </c>
      <c r="J103" s="20" t="n">
        <v>3962</v>
      </c>
      <c r="K103" s="20" t="n">
        <v>4374</v>
      </c>
      <c r="L103" s="20" t="n">
        <v>5363</v>
      </c>
    </row>
    <row r="104">
      <c r="A104" s="18" t="inlineStr">
        <is>
          <t>대손충당금</t>
        </is>
      </c>
      <c r="C104" s="20" t="n">
        <v>-277</v>
      </c>
      <c r="D104" s="20" t="n">
        <v>-276</v>
      </c>
      <c r="E104" s="20" t="n">
        <v>-277</v>
      </c>
      <c r="F104" s="20" t="n">
        <v>-279</v>
      </c>
      <c r="G104" s="20" t="n">
        <v>-277</v>
      </c>
      <c r="H104" s="20" t="n">
        <v>-95</v>
      </c>
      <c r="I104" s="20" t="n">
        <v>-187</v>
      </c>
      <c r="J104" s="20" t="n">
        <v>-201</v>
      </c>
      <c r="K104" s="20" t="n">
        <v>-199</v>
      </c>
      <c r="L104" s="20" t="n">
        <v>-276</v>
      </c>
    </row>
    <row r="105">
      <c r="A105" s="18" t="inlineStr">
        <is>
          <t>투자 및 기타자산 합계</t>
        </is>
      </c>
      <c r="C105" s="20" t="n">
        <v>59369</v>
      </c>
      <c r="D105" s="20" t="n">
        <v>86021</v>
      </c>
      <c r="E105" s="20" t="n">
        <v>86219</v>
      </c>
      <c r="F105" s="20" t="n">
        <v>87157</v>
      </c>
      <c r="G105" s="20" t="n">
        <v>92326</v>
      </c>
      <c r="H105" s="20" t="n">
        <v>38651</v>
      </c>
      <c r="I105" s="20" t="n">
        <v>32760</v>
      </c>
      <c r="J105" s="20" t="n">
        <v>39548</v>
      </c>
      <c r="K105" s="20" t="n">
        <v>55271</v>
      </c>
      <c r="L105" s="20" t="n">
        <v>86021</v>
      </c>
    </row>
    <row r="106">
      <c r="A106" s="9" t="inlineStr">
        <is>
          <t>비유동자산 합계</t>
        </is>
      </c>
      <c r="C106" s="12" t="n">
        <v>196876</v>
      </c>
      <c r="D106" s="12" t="n">
        <v>224780</v>
      </c>
      <c r="E106" s="12" t="n">
        <v>224674</v>
      </c>
      <c r="F106" s="12" t="n">
        <v>228010</v>
      </c>
      <c r="G106" s="12" t="n">
        <v>236556</v>
      </c>
      <c r="H106" s="12" t="n">
        <v>130336</v>
      </c>
      <c r="I106" s="12" t="n">
        <v>124032</v>
      </c>
      <c r="J106" s="12" t="n">
        <v>138755</v>
      </c>
      <c r="K106" s="12" t="n">
        <v>192406</v>
      </c>
      <c r="L106" s="12" t="n">
        <v>224780</v>
      </c>
    </row>
    <row r="107">
      <c r="A107" s="9" t="inlineStr">
        <is>
          <t>자산 합계</t>
        </is>
      </c>
      <c r="C107" s="12" t="n">
        <v>527768</v>
      </c>
      <c r="D107" s="12" t="n">
        <v>564426</v>
      </c>
      <c r="E107" s="12" t="n">
        <v>546250</v>
      </c>
      <c r="F107" s="12" t="n">
        <v>537909</v>
      </c>
      <c r="G107" s="12" t="n">
        <v>538750</v>
      </c>
      <c r="H107" s="12" t="n">
        <v>526418</v>
      </c>
      <c r="I107" s="12" t="n">
        <v>543740</v>
      </c>
      <c r="J107" s="12" t="n">
        <v>557366</v>
      </c>
      <c r="K107" s="12" t="n">
        <v>524591</v>
      </c>
      <c r="L107" s="12" t="n">
        <v>564426</v>
      </c>
    </row>
    <row r="108">
      <c r="A108" s="18" t="inlineStr">
        <is>
          <t>지급어음·매입채무</t>
        </is>
      </c>
      <c r="C108" s="20" t="n">
        <v>50840</v>
      </c>
      <c r="D108" s="20" t="n">
        <v>52125</v>
      </c>
      <c r="E108" s="20" t="n">
        <v>59320</v>
      </c>
      <c r="F108" s="20" t="n">
        <v>51928</v>
      </c>
      <c r="G108" s="20" t="n">
        <v>52466</v>
      </c>
      <c r="H108" s="20" t="n">
        <v>46323</v>
      </c>
      <c r="I108" s="20" t="n">
        <v>47376</v>
      </c>
      <c r="J108" s="20" t="n">
        <v>45552</v>
      </c>
      <c r="K108" s="20" t="n">
        <v>50124</v>
      </c>
      <c r="L108" s="20" t="n">
        <v>52125</v>
      </c>
    </row>
    <row r="109">
      <c r="A109" s="18" t="inlineStr">
        <is>
          <t>단기차입금</t>
        </is>
      </c>
      <c r="C109" s="20" t="n">
        <v>1100</v>
      </c>
      <c r="D109" s="20" t="n">
        <v>1100</v>
      </c>
      <c r="E109" s="20" t="n">
        <v>1100</v>
      </c>
      <c r="F109" s="20" t="n">
        <v>1100</v>
      </c>
      <c r="G109" s="20" t="n">
        <v>1100</v>
      </c>
      <c r="J109" s="20" t="n">
        <v>0</v>
      </c>
      <c r="K109" s="20" t="n">
        <v>1100</v>
      </c>
      <c r="L109" s="20" t="n">
        <v>1100</v>
      </c>
    </row>
    <row r="110">
      <c r="A110" s="18" t="inlineStr">
        <is>
          <t>1년 내 상환 장기차입금</t>
        </is>
      </c>
      <c r="C110" s="20" t="n">
        <v>209</v>
      </c>
      <c r="D110" s="20" t="n">
        <v>209</v>
      </c>
      <c r="E110" s="20" t="n">
        <v>809</v>
      </c>
      <c r="F110" s="20" t="n">
        <v>809</v>
      </c>
      <c r="G110" s="20" t="n">
        <v>809</v>
      </c>
      <c r="J110" s="20" t="n">
        <v>0</v>
      </c>
      <c r="K110" s="20" t="n">
        <v>209</v>
      </c>
      <c r="L110" s="20" t="n">
        <v>209</v>
      </c>
    </row>
    <row r="111">
      <c r="A111" s="18" t="inlineStr">
        <is>
          <t>리스부채</t>
        </is>
      </c>
      <c r="C111" s="20" t="n">
        <v>147</v>
      </c>
      <c r="D111" s="20" t="n">
        <v>142</v>
      </c>
      <c r="E111" s="20" t="n">
        <v>138</v>
      </c>
      <c r="F111" s="20" t="n">
        <v>154</v>
      </c>
      <c r="G111" s="20" t="n">
        <v>150</v>
      </c>
      <c r="H111" s="20" t="n">
        <v>52</v>
      </c>
      <c r="I111" s="20" t="n">
        <v>45</v>
      </c>
      <c r="J111" s="20" t="n">
        <v>99</v>
      </c>
      <c r="K111" s="20" t="n">
        <v>160</v>
      </c>
      <c r="L111" s="20" t="n">
        <v>142</v>
      </c>
    </row>
    <row r="112">
      <c r="A112" s="18" t="inlineStr">
        <is>
          <t>미지급비용</t>
        </is>
      </c>
      <c r="C112" s="20" t="n">
        <v>13024</v>
      </c>
      <c r="D112" s="20" t="n">
        <v>17652</v>
      </c>
      <c r="E112" s="20" t="n">
        <v>13765</v>
      </c>
      <c r="F112" s="20" t="n">
        <v>15699</v>
      </c>
      <c r="G112" s="20" t="n">
        <v>15455</v>
      </c>
      <c r="H112" s="20" t="n">
        <v>16127</v>
      </c>
      <c r="I112" s="20" t="n">
        <v>16627</v>
      </c>
      <c r="J112" s="20" t="n">
        <v>16585</v>
      </c>
      <c r="K112" s="20" t="n">
        <v>17029</v>
      </c>
      <c r="L112" s="20" t="n">
        <v>17652</v>
      </c>
    </row>
    <row r="113">
      <c r="A113" s="18" t="inlineStr">
        <is>
          <t>미지급법인세</t>
        </is>
      </c>
      <c r="C113" s="20" t="n">
        <v>5825</v>
      </c>
      <c r="D113" s="20" t="n">
        <v>10170</v>
      </c>
      <c r="E113" s="20" t="n">
        <v>6828</v>
      </c>
      <c r="F113" s="20" t="n">
        <v>12371</v>
      </c>
      <c r="G113" s="20" t="n">
        <v>8072</v>
      </c>
      <c r="H113" s="20" t="n">
        <v>6954</v>
      </c>
      <c r="I113" s="20" t="n">
        <v>7453</v>
      </c>
      <c r="J113" s="20" t="n">
        <v>8233</v>
      </c>
      <c r="K113" s="20" t="n">
        <v>12126</v>
      </c>
      <c r="L113" s="20" t="n">
        <v>10170</v>
      </c>
    </row>
    <row r="114">
      <c r="A114" s="18" t="inlineStr">
        <is>
          <t>미지급 소비세</t>
        </is>
      </c>
      <c r="C114" s="20" t="n">
        <v>4029</v>
      </c>
      <c r="D114" s="20" t="n">
        <v>7182</v>
      </c>
      <c r="E114" s="20" t="n">
        <v>4689</v>
      </c>
      <c r="F114" s="20" t="n">
        <v>3527</v>
      </c>
      <c r="G114" s="20" t="n">
        <v>3270</v>
      </c>
      <c r="H114" s="20" t="n">
        <v>6089</v>
      </c>
      <c r="I114" s="20" t="n">
        <v>5426</v>
      </c>
      <c r="J114" s="20" t="n">
        <v>6712</v>
      </c>
      <c r="K114" s="20" t="n">
        <v>6914</v>
      </c>
      <c r="L114" s="20" t="n">
        <v>7182</v>
      </c>
    </row>
    <row r="115">
      <c r="A115" s="18" t="inlineStr">
        <is>
          <t>상여충당금</t>
        </is>
      </c>
      <c r="C115" s="20" t="n">
        <v>13764</v>
      </c>
      <c r="D115" s="20" t="n">
        <v>3588</v>
      </c>
      <c r="E115" s="20" t="n">
        <v>12238</v>
      </c>
      <c r="F115" s="20" t="n">
        <v>3644</v>
      </c>
      <c r="G115" s="20" t="n">
        <v>12836</v>
      </c>
      <c r="H115" s="20" t="n">
        <v>4148</v>
      </c>
      <c r="I115" s="20" t="n">
        <v>3439</v>
      </c>
      <c r="J115" s="20" t="n">
        <v>3222</v>
      </c>
      <c r="K115" s="20" t="n">
        <v>3816</v>
      </c>
      <c r="L115" s="20" t="n">
        <v>3588</v>
      </c>
    </row>
    <row r="116">
      <c r="A116" s="18" t="inlineStr">
        <is>
          <t>임원 상여충당금</t>
        </is>
      </c>
      <c r="C116" s="20" t="n">
        <v>69</v>
      </c>
      <c r="D116" s="20" t="n">
        <v>140</v>
      </c>
      <c r="E116" s="20" t="n">
        <v>25</v>
      </c>
      <c r="F116" s="20" t="n">
        <v>50</v>
      </c>
      <c r="G116" s="20" t="n">
        <v>75</v>
      </c>
      <c r="H116" s="20" t="n">
        <v>98</v>
      </c>
      <c r="I116" s="20" t="n">
        <v>118</v>
      </c>
      <c r="J116" s="20" t="n">
        <v>107</v>
      </c>
      <c r="K116" s="20" t="n">
        <v>128</v>
      </c>
      <c r="L116" s="20" t="n">
        <v>140</v>
      </c>
    </row>
    <row r="117">
      <c r="A117" s="18" t="inlineStr">
        <is>
          <t>제품보증 충당금</t>
        </is>
      </c>
      <c r="C117" s="20" t="n">
        <v>216</v>
      </c>
      <c r="D117" s="20" t="n">
        <v>196</v>
      </c>
      <c r="E117" s="20" t="n">
        <v>189</v>
      </c>
      <c r="F117" s="20" t="n">
        <v>191</v>
      </c>
      <c r="G117" s="20" t="n">
        <v>202</v>
      </c>
      <c r="H117" s="20" t="n">
        <v>291</v>
      </c>
      <c r="I117" s="20" t="n">
        <v>243</v>
      </c>
      <c r="J117" s="20" t="n">
        <v>269</v>
      </c>
      <c r="K117" s="20" t="n">
        <v>224</v>
      </c>
      <c r="L117" s="20" t="n">
        <v>196</v>
      </c>
    </row>
    <row r="118">
      <c r="A118" s="18" t="inlineStr">
        <is>
          <t>수주손실 충당금</t>
        </is>
      </c>
      <c r="C118" s="20" t="n">
        <v>121</v>
      </c>
      <c r="D118" s="20" t="n">
        <v>123</v>
      </c>
      <c r="E118" s="20" t="n">
        <v>77</v>
      </c>
      <c r="F118" s="20" t="n">
        <v>261</v>
      </c>
      <c r="G118" s="20" t="n">
        <v>179</v>
      </c>
      <c r="H118" s="20" t="n">
        <v>308</v>
      </c>
      <c r="I118" s="20" t="n">
        <v>114</v>
      </c>
      <c r="J118" s="20" t="n">
        <v>51</v>
      </c>
      <c r="K118" s="20" t="n">
        <v>64</v>
      </c>
      <c r="L118" s="20" t="n">
        <v>123</v>
      </c>
    </row>
    <row r="119">
      <c r="A119" s="18" t="inlineStr">
        <is>
          <t>기타</t>
        </is>
      </c>
      <c r="C119" s="20" t="n">
        <v>28916</v>
      </c>
      <c r="D119" s="20" t="n">
        <v>32448</v>
      </c>
      <c r="E119" s="20" t="n">
        <v>27173</v>
      </c>
      <c r="F119" s="20" t="n">
        <v>35857</v>
      </c>
      <c r="G119" s="20" t="n">
        <v>28667</v>
      </c>
      <c r="H119" s="20" t="n">
        <v>26715</v>
      </c>
      <c r="I119" s="20" t="n">
        <v>27216</v>
      </c>
      <c r="J119" s="20" t="n">
        <v>29755</v>
      </c>
      <c r="K119" s="20" t="n">
        <v>31640</v>
      </c>
      <c r="L119" s="20" t="n">
        <v>32448</v>
      </c>
    </row>
    <row r="120">
      <c r="A120" s="9" t="inlineStr">
        <is>
          <t>유동부채 합계</t>
        </is>
      </c>
      <c r="C120" s="12" t="n">
        <v>118263</v>
      </c>
      <c r="D120" s="12" t="n">
        <v>125081</v>
      </c>
      <c r="E120" s="12" t="n">
        <v>126357</v>
      </c>
      <c r="F120" s="12" t="n">
        <v>125597</v>
      </c>
      <c r="G120" s="12" t="n">
        <v>123287</v>
      </c>
      <c r="H120" s="12" t="n">
        <v>107109</v>
      </c>
      <c r="I120" s="12" t="n">
        <v>108062</v>
      </c>
      <c r="J120" s="12" t="n">
        <v>110590</v>
      </c>
      <c r="K120" s="12" t="n">
        <v>123539</v>
      </c>
      <c r="L120" s="12" t="n">
        <v>125081</v>
      </c>
    </row>
    <row r="121">
      <c r="A121" s="18" t="inlineStr">
        <is>
          <t>장기차입금</t>
        </is>
      </c>
      <c r="C121" s="20" t="n">
        <v>1531</v>
      </c>
      <c r="D121" s="20" t="n">
        <v>1489</v>
      </c>
      <c r="E121" s="20" t="n">
        <v>826</v>
      </c>
      <c r="F121" s="20" t="n">
        <v>774</v>
      </c>
      <c r="G121" s="20" t="n">
        <v>721</v>
      </c>
      <c r="J121" s="20" t="n">
        <v>0</v>
      </c>
      <c r="K121" s="20" t="n">
        <v>1699</v>
      </c>
      <c r="L121" s="20" t="n">
        <v>1489</v>
      </c>
    </row>
    <row r="122">
      <c r="A122" s="18" t="inlineStr">
        <is>
          <t>리스부채</t>
        </is>
      </c>
      <c r="C122" s="20" t="n">
        <v>249</v>
      </c>
      <c r="D122" s="20" t="n">
        <v>219</v>
      </c>
      <c r="E122" s="20" t="n">
        <v>185</v>
      </c>
      <c r="F122" s="20" t="n">
        <v>229</v>
      </c>
      <c r="G122" s="20" t="n">
        <v>193</v>
      </c>
      <c r="H122" s="20" t="n">
        <v>81</v>
      </c>
      <c r="I122" s="20" t="n">
        <v>73</v>
      </c>
      <c r="J122" s="20" t="n">
        <v>206</v>
      </c>
      <c r="K122" s="20" t="n">
        <v>335</v>
      </c>
      <c r="L122" s="20" t="n">
        <v>219</v>
      </c>
    </row>
    <row r="123">
      <c r="A123" s="18" t="inlineStr">
        <is>
          <t>장기근속 위로 충당금</t>
        </is>
      </c>
      <c r="C123" s="20" t="n">
        <v>727</v>
      </c>
      <c r="D123" s="20" t="n">
        <v>784</v>
      </c>
      <c r="E123" s="20" t="n">
        <v>852</v>
      </c>
      <c r="F123" s="20" t="n">
        <v>866</v>
      </c>
      <c r="G123" s="20" t="n">
        <v>701</v>
      </c>
      <c r="H123" s="20" t="n">
        <v>899</v>
      </c>
      <c r="I123" s="20" t="n">
        <v>749</v>
      </c>
      <c r="J123" s="20" t="n">
        <v>723</v>
      </c>
      <c r="K123" s="20" t="n">
        <v>796</v>
      </c>
      <c r="L123" s="20" t="n">
        <v>784</v>
      </c>
    </row>
    <row r="124">
      <c r="A124" s="18" t="inlineStr">
        <is>
          <t>퇴직급여부채</t>
        </is>
      </c>
      <c r="C124" s="20" t="n">
        <v>7466</v>
      </c>
      <c r="D124" s="20" t="n">
        <v>6915</v>
      </c>
      <c r="E124" s="20" t="n">
        <v>6929</v>
      </c>
      <c r="F124" s="20" t="n">
        <v>6972</v>
      </c>
      <c r="G124" s="20" t="n">
        <v>7064</v>
      </c>
      <c r="H124" s="20" t="n">
        <v>40913</v>
      </c>
      <c r="I124" s="20" t="n">
        <v>32141</v>
      </c>
      <c r="J124" s="20" t="n">
        <v>7760</v>
      </c>
      <c r="K124" s="20" t="n">
        <v>7409</v>
      </c>
      <c r="L124" s="20" t="n">
        <v>6915</v>
      </c>
    </row>
    <row r="125">
      <c r="A125" s="18" t="inlineStr">
        <is>
          <t>이연법인세부채</t>
        </is>
      </c>
      <c r="C125" s="20" t="n">
        <v>4461</v>
      </c>
      <c r="D125" s="20" t="n">
        <v>13764</v>
      </c>
      <c r="E125" s="20" t="n">
        <v>11836</v>
      </c>
      <c r="F125" s="20" t="n">
        <v>11151</v>
      </c>
      <c r="G125" s="20" t="n">
        <v>11777</v>
      </c>
      <c r="H125" s="20" t="n">
        <v>0</v>
      </c>
      <c r="I125" s="20" t="n">
        <v>0</v>
      </c>
      <c r="J125" s="20" t="n">
        <v>178</v>
      </c>
      <c r="K125" s="20" t="n">
        <v>4699</v>
      </c>
      <c r="L125" s="20" t="n">
        <v>13764</v>
      </c>
    </row>
    <row r="126">
      <c r="A126" s="18" t="inlineStr">
        <is>
          <t>기타</t>
        </is>
      </c>
      <c r="C126" s="20" t="n">
        <v>2399</v>
      </c>
      <c r="D126" s="20" t="n">
        <v>2357</v>
      </c>
      <c r="E126" s="20" t="n">
        <v>2337</v>
      </c>
      <c r="F126" s="20" t="n">
        <v>2322</v>
      </c>
      <c r="G126" s="20" t="n">
        <v>2311</v>
      </c>
      <c r="H126" s="20" t="n">
        <v>2738</v>
      </c>
      <c r="I126" s="20" t="n">
        <v>2340</v>
      </c>
      <c r="J126" s="20" t="n">
        <v>2397</v>
      </c>
      <c r="K126" s="20" t="n">
        <v>2410</v>
      </c>
      <c r="L126" s="20" t="n">
        <v>2357</v>
      </c>
    </row>
    <row r="127">
      <c r="A127" s="9" t="inlineStr">
        <is>
          <t>비유동부채 합계</t>
        </is>
      </c>
      <c r="C127" s="12" t="n">
        <v>16837</v>
      </c>
      <c r="D127" s="12" t="n">
        <v>25530</v>
      </c>
      <c r="E127" s="12" t="n">
        <v>22968</v>
      </c>
      <c r="F127" s="12" t="n">
        <v>22316</v>
      </c>
      <c r="G127" s="12" t="n">
        <v>22770</v>
      </c>
      <c r="H127" s="12" t="n">
        <v>44632</v>
      </c>
      <c r="I127" s="12" t="n">
        <v>35305</v>
      </c>
      <c r="J127" s="12" t="n">
        <v>11266</v>
      </c>
      <c r="K127" s="12" t="n">
        <v>17350</v>
      </c>
      <c r="L127" s="12" t="n">
        <v>25530</v>
      </c>
    </row>
    <row r="128">
      <c r="A128" s="9" t="inlineStr">
        <is>
          <t>부채 합계</t>
        </is>
      </c>
      <c r="C128" s="12" t="n">
        <v>135101</v>
      </c>
      <c r="D128" s="12" t="n">
        <v>150612</v>
      </c>
      <c r="E128" s="12" t="n">
        <v>149325</v>
      </c>
      <c r="F128" s="12" t="n">
        <v>147913</v>
      </c>
      <c r="G128" s="12" t="n">
        <v>146057</v>
      </c>
      <c r="H128" s="12" t="n">
        <v>151741</v>
      </c>
      <c r="I128" s="12" t="n">
        <v>143368</v>
      </c>
      <c r="J128" s="12" t="n">
        <v>121856</v>
      </c>
      <c r="K128" s="12" t="n">
        <v>140889</v>
      </c>
      <c r="L128" s="12" t="n">
        <v>150612</v>
      </c>
    </row>
    <row r="129">
      <c r="A129" s="18" t="inlineStr">
        <is>
          <t>자본금</t>
        </is>
      </c>
      <c r="C129" s="20" t="n">
        <v>73303</v>
      </c>
      <c r="D129" s="20" t="n">
        <v>73303</v>
      </c>
      <c r="E129" s="20" t="n">
        <v>73303</v>
      </c>
      <c r="F129" s="20" t="n">
        <v>73303</v>
      </c>
      <c r="G129" s="20" t="n">
        <v>73303</v>
      </c>
      <c r="H129" s="20" t="n">
        <v>73303</v>
      </c>
      <c r="I129" s="20" t="n">
        <v>73303</v>
      </c>
      <c r="J129" s="20" t="n">
        <v>73303</v>
      </c>
      <c r="K129" s="20" t="n">
        <v>73303</v>
      </c>
      <c r="L129" s="20" t="n">
        <v>73303</v>
      </c>
    </row>
    <row r="130">
      <c r="A130" s="18" t="inlineStr">
        <is>
          <t>자본잉여금</t>
        </is>
      </c>
      <c r="C130" s="20" t="n">
        <v>82710</v>
      </c>
      <c r="D130" s="20" t="n">
        <v>82710</v>
      </c>
      <c r="E130" s="20" t="n">
        <v>82695</v>
      </c>
      <c r="F130" s="20" t="n">
        <v>82695</v>
      </c>
      <c r="G130" s="20" t="n">
        <v>82695</v>
      </c>
      <c r="H130" s="20" t="n">
        <v>82824</v>
      </c>
      <c r="I130" s="20" t="n">
        <v>82827</v>
      </c>
      <c r="J130" s="20" t="n">
        <v>82727</v>
      </c>
      <c r="K130" s="20" t="n">
        <v>82710</v>
      </c>
      <c r="L130" s="20" t="n">
        <v>82710</v>
      </c>
    </row>
    <row r="131">
      <c r="A131" s="18" t="inlineStr">
        <is>
          <t>이익잉여금</t>
        </is>
      </c>
      <c r="C131" s="20" t="n">
        <v>211864</v>
      </c>
      <c r="D131" s="20" t="n">
        <v>226048</v>
      </c>
      <c r="E131" s="20" t="n">
        <v>228127</v>
      </c>
      <c r="F131" s="20" t="n">
        <v>237933</v>
      </c>
      <c r="G131" s="20" t="n">
        <v>239679</v>
      </c>
      <c r="H131" s="20" t="n">
        <v>208824</v>
      </c>
      <c r="I131" s="20" t="n">
        <v>233354</v>
      </c>
      <c r="J131" s="20" t="n">
        <v>256880</v>
      </c>
      <c r="K131" s="20" t="n">
        <v>200928</v>
      </c>
      <c r="L131" s="20" t="n">
        <v>226048</v>
      </c>
    </row>
    <row r="132">
      <c r="A132" s="18" t="inlineStr">
        <is>
          <t>자기주식</t>
        </is>
      </c>
      <c r="C132" s="20" t="n">
        <v>-10363</v>
      </c>
      <c r="D132" s="20" t="n">
        <v>-20365</v>
      </c>
      <c r="E132" s="20" t="n">
        <v>-34967</v>
      </c>
      <c r="F132" s="20" t="n">
        <v>-50351</v>
      </c>
      <c r="G132" s="20" t="n">
        <v>-50700</v>
      </c>
      <c r="H132" s="20" t="n">
        <v>-2092</v>
      </c>
      <c r="I132" s="20" t="n">
        <v>-2092</v>
      </c>
      <c r="J132" s="20" t="n">
        <v>-2092</v>
      </c>
      <c r="K132" s="20" t="n">
        <v>-9303</v>
      </c>
      <c r="L132" s="20" t="n">
        <v>-20365</v>
      </c>
    </row>
    <row r="133">
      <c r="A133" s="9" t="inlineStr">
        <is>
          <t>주주자본 합계</t>
        </is>
      </c>
      <c r="C133" s="12" t="n">
        <v>357514</v>
      </c>
      <c r="D133" s="12" t="n">
        <v>361696</v>
      </c>
      <c r="E133" s="12" t="n">
        <v>349158</v>
      </c>
      <c r="F133" s="12" t="n">
        <v>343579</v>
      </c>
      <c r="G133" s="12" t="n">
        <v>344977</v>
      </c>
      <c r="H133" s="12" t="n">
        <v>362859</v>
      </c>
      <c r="I133" s="12" t="n">
        <v>387392</v>
      </c>
      <c r="J133" s="12" t="n">
        <v>410817</v>
      </c>
      <c r="K133" s="12" t="n">
        <v>347637</v>
      </c>
      <c r="L133" s="12" t="n">
        <v>361696</v>
      </c>
    </row>
    <row r="134">
      <c r="A134" s="18" t="inlineStr">
        <is>
          <t>기타유가증권 평가차액</t>
        </is>
      </c>
      <c r="C134" s="20" t="n">
        <v>8220</v>
      </c>
      <c r="D134" s="20" t="n">
        <v>9049</v>
      </c>
      <c r="E134" s="20" t="n">
        <v>6081</v>
      </c>
      <c r="F134" s="20" t="n">
        <v>6105</v>
      </c>
      <c r="G134" s="20" t="n">
        <v>8865</v>
      </c>
      <c r="H134" s="20" t="n">
        <v>7873</v>
      </c>
      <c r="I134" s="20" t="n">
        <v>5202</v>
      </c>
      <c r="J134" s="20" t="n">
        <v>6860</v>
      </c>
      <c r="K134" s="20" t="n">
        <v>6954</v>
      </c>
      <c r="L134" s="20" t="n">
        <v>9049</v>
      </c>
    </row>
    <row r="135">
      <c r="A135" s="18" t="inlineStr">
        <is>
          <t>이연헤지손익</t>
        </is>
      </c>
      <c r="C135" s="20" t="n">
        <v>38</v>
      </c>
      <c r="D135" s="20" t="n">
        <v>166</v>
      </c>
      <c r="E135" s="20" t="n">
        <v>193</v>
      </c>
      <c r="F135" s="20" t="n">
        <v>93</v>
      </c>
      <c r="G135" s="20" t="n">
        <v>-12</v>
      </c>
      <c r="H135" s="20" t="n">
        <v>22</v>
      </c>
      <c r="I135" s="20" t="n">
        <v>-14</v>
      </c>
      <c r="J135" s="20" t="n">
        <v>87</v>
      </c>
      <c r="K135" s="20" t="n">
        <v>86</v>
      </c>
      <c r="L135" s="20" t="n">
        <v>166</v>
      </c>
    </row>
    <row r="136">
      <c r="A136" s="18" t="inlineStr">
        <is>
          <t>해외사업환산조정</t>
        </is>
      </c>
      <c r="C136" s="20" t="n">
        <v>400</v>
      </c>
      <c r="D136" s="20" t="n">
        <v>475</v>
      </c>
      <c r="E136" s="20" t="n">
        <v>521</v>
      </c>
      <c r="F136" s="20" t="n">
        <v>552</v>
      </c>
      <c r="G136" s="20" t="n">
        <v>498</v>
      </c>
      <c r="H136" s="20" t="n">
        <v>125</v>
      </c>
      <c r="I136" s="20" t="n">
        <v>293</v>
      </c>
      <c r="J136" s="20" t="n">
        <v>345</v>
      </c>
      <c r="K136" s="20" t="n">
        <v>508</v>
      </c>
      <c r="L136" s="20" t="n">
        <v>475</v>
      </c>
    </row>
    <row r="137">
      <c r="A137" s="18" t="inlineStr">
        <is>
          <t>퇴직급여 조정누계액</t>
        </is>
      </c>
      <c r="C137" s="20" t="n">
        <v>25517</v>
      </c>
      <c r="D137" s="20" t="n">
        <v>41398</v>
      </c>
      <c r="E137" s="20" t="n">
        <v>40288</v>
      </c>
      <c r="F137" s="20" t="n">
        <v>38963</v>
      </c>
      <c r="G137" s="20" t="n">
        <v>37639</v>
      </c>
      <c r="H137" s="20" t="n">
        <v>3067</v>
      </c>
      <c r="I137" s="20" t="n">
        <v>6667</v>
      </c>
      <c r="J137" s="20" t="n">
        <v>16610</v>
      </c>
      <c r="K137" s="20" t="n">
        <v>27578</v>
      </c>
      <c r="L137" s="20" t="n">
        <v>41398</v>
      </c>
    </row>
    <row r="138">
      <c r="A138" s="18" t="inlineStr">
        <is>
          <t>기타포괄손익누계액 합계</t>
        </is>
      </c>
      <c r="C138" s="20" t="n">
        <v>34175</v>
      </c>
      <c r="D138" s="20" t="n">
        <v>51089</v>
      </c>
      <c r="E138" s="20" t="n">
        <v>47084</v>
      </c>
      <c r="F138" s="20" t="n">
        <v>45715</v>
      </c>
      <c r="G138" s="20" t="n">
        <v>46992</v>
      </c>
      <c r="H138" s="20" t="n">
        <v>11089</v>
      </c>
      <c r="I138" s="20" t="n">
        <v>12149</v>
      </c>
      <c r="J138" s="20" t="n">
        <v>23903</v>
      </c>
      <c r="K138" s="20" t="n">
        <v>35128</v>
      </c>
      <c r="L138" s="20" t="n">
        <v>51089</v>
      </c>
    </row>
    <row r="139">
      <c r="A139" s="18" t="inlineStr">
        <is>
          <t>신주예약권</t>
        </is>
      </c>
      <c r="C139" s="20" t="n">
        <v>103</v>
      </c>
      <c r="D139" s="20" t="n">
        <v>112</v>
      </c>
      <c r="E139" s="20" t="n">
        <v>120</v>
      </c>
      <c r="F139" s="20" t="n">
        <v>121</v>
      </c>
      <c r="G139" s="20" t="n">
        <v>134</v>
      </c>
      <c r="H139" s="20" t="n">
        <v>0</v>
      </c>
      <c r="I139" s="20" t="n">
        <v>29</v>
      </c>
      <c r="J139" s="20" t="n">
        <v>58</v>
      </c>
      <c r="K139" s="20" t="n">
        <v>86</v>
      </c>
      <c r="L139" s="20" t="n">
        <v>112</v>
      </c>
    </row>
    <row r="140">
      <c r="A140" s="18" t="inlineStr">
        <is>
          <t>비지배지분</t>
        </is>
      </c>
      <c r="C140" s="20" t="n">
        <v>873</v>
      </c>
      <c r="D140" s="20" t="n">
        <v>917</v>
      </c>
      <c r="E140" s="20" t="n">
        <v>560</v>
      </c>
      <c r="F140" s="20" t="n">
        <v>578</v>
      </c>
      <c r="G140" s="20" t="n">
        <v>589</v>
      </c>
      <c r="H140" s="20" t="n">
        <v>727</v>
      </c>
      <c r="I140" s="20" t="n">
        <v>801</v>
      </c>
      <c r="J140" s="20" t="n">
        <v>729</v>
      </c>
      <c r="K140" s="20" t="n">
        <v>849</v>
      </c>
      <c r="L140" s="20" t="n">
        <v>917</v>
      </c>
    </row>
    <row r="141">
      <c r="A141" s="9" t="inlineStr">
        <is>
          <t>순자산 합계</t>
        </is>
      </c>
      <c r="C141" s="12" t="n">
        <v>392667</v>
      </c>
      <c r="D141" s="12" t="n">
        <v>413814</v>
      </c>
      <c r="E141" s="12" t="n">
        <v>396924</v>
      </c>
      <c r="F141" s="12" t="n">
        <v>389996</v>
      </c>
      <c r="G141" s="12" t="n">
        <v>392692</v>
      </c>
      <c r="H141" s="12" t="n">
        <v>374676</v>
      </c>
      <c r="I141" s="12" t="n">
        <v>400372</v>
      </c>
      <c r="J141" s="12" t="n">
        <v>435509</v>
      </c>
      <c r="K141" s="12" t="n">
        <v>383701</v>
      </c>
      <c r="L141" s="12" t="n">
        <v>413814</v>
      </c>
    </row>
    <row r="142">
      <c r="A142" s="9" t="inlineStr">
        <is>
          <t>부채·순자산 합계</t>
        </is>
      </c>
      <c r="C142" s="12" t="n">
        <v>527768</v>
      </c>
      <c r="D142" s="12" t="n">
        <v>564426</v>
      </c>
      <c r="E142" s="12" t="n">
        <v>546250</v>
      </c>
      <c r="F142" s="12" t="n">
        <v>537909</v>
      </c>
      <c r="G142" s="12" t="n">
        <v>538750</v>
      </c>
      <c r="H142" s="12" t="n">
        <v>526418</v>
      </c>
      <c r="I142" s="12" t="n">
        <v>543740</v>
      </c>
      <c r="J142" s="12" t="n">
        <v>557366</v>
      </c>
      <c r="K142" s="12" t="n">
        <v>524591</v>
      </c>
      <c r="L142" s="12" t="n">
        <v>564426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49" t="inlineStr">
        <is>
          <t>캐논마케팅재팬 섹터·사업 데이터</t>
        </is>
      </c>
    </row>
    <row r="2">
      <c r="A2" s="50" t="inlineStr">
        <is>
          <t>2단계 보고서를 만들 때 모은 자료 · 월차 · 출처는 맨 오른쪽</t>
        </is>
      </c>
    </row>
    <row r="4">
      <c r="A4" s="51" t="inlineStr">
        <is>
          <t>this results · 3Q</t>
        </is>
      </c>
      <c r="B4" s="51" t="n"/>
      <c r="C4" s="51" t="n"/>
      <c r="D4" s="51" t="n"/>
      <c r="E4" s="51" t="n"/>
      <c r="F4" s="51" t="n"/>
      <c r="G4" s="51" t="n"/>
    </row>
    <row r="5">
      <c r="A5" s="52" t="inlineStr">
        <is>
          <t>항목</t>
        </is>
      </c>
      <c r="B5" s="52" t="inlineStr">
        <is>
          <t>값</t>
        </is>
      </c>
      <c r="G5" s="52" t="inlineStr">
        <is>
          <t>출처</t>
        </is>
      </c>
    </row>
    <row r="6">
      <c r="A6" s="53" t="inlineStr">
        <is>
          <t>매출</t>
        </is>
      </c>
      <c r="B6" s="54" t="n">
        <v>1678.8</v>
      </c>
      <c r="G6" s="55" t="inlineStr">
        <is>
          <t>2단계 보고서 자료(회사 설명회 자료·공시)</t>
        </is>
      </c>
    </row>
    <row r="7">
      <c r="A7" s="53" t="inlineStr">
        <is>
          <t>gp</t>
        </is>
      </c>
      <c r="B7" s="54" t="n">
        <v>533.5</v>
      </c>
    </row>
    <row r="8">
      <c r="A8" s="53" t="inlineStr">
        <is>
          <t>sga</t>
        </is>
      </c>
      <c r="B8" s="54" t="n">
        <v>389.3</v>
      </c>
    </row>
    <row r="9">
      <c r="A9" s="53" t="inlineStr">
        <is>
          <t>영업이익</t>
        </is>
      </c>
      <c r="B9" s="54" t="n">
        <v>144.3</v>
      </c>
    </row>
    <row r="10">
      <c r="A10" s="53" t="inlineStr">
        <is>
          <t>ordinary</t>
        </is>
      </c>
      <c r="B10" s="54" t="n">
        <v>145</v>
      </c>
    </row>
    <row r="11">
      <c r="A11" s="53" t="inlineStr">
        <is>
          <t>순이익</t>
        </is>
      </c>
      <c r="B11" s="54" t="n">
        <v>99.90000000000001</v>
      </c>
    </row>
    <row r="12">
      <c r="A12" s="53" t="inlineStr">
        <is>
          <t>EPS 3Q calc</t>
        </is>
      </c>
      <c r="B12" s="54" t="n">
        <v>48.57</v>
      </c>
    </row>
    <row r="14">
      <c r="A14" s="51" t="inlineStr">
        <is>
          <t>this results · 9m</t>
        </is>
      </c>
      <c r="B14" s="51" t="n"/>
      <c r="C14" s="51" t="n"/>
      <c r="D14" s="51" t="n"/>
      <c r="E14" s="51" t="n"/>
      <c r="F14" s="51" t="n"/>
      <c r="G14" s="51" t="n"/>
    </row>
    <row r="15">
      <c r="A15" s="52" t="inlineStr">
        <is>
          <t>항목</t>
        </is>
      </c>
      <c r="B15" s="52" t="inlineStr">
        <is>
          <t>값</t>
        </is>
      </c>
      <c r="G15" s="52" t="inlineStr">
        <is>
          <t>출처</t>
        </is>
      </c>
    </row>
    <row r="16">
      <c r="A16" s="53" t="inlineStr">
        <is>
          <t>매출</t>
        </is>
      </c>
      <c r="B16" s="54" t="n">
        <v>5076.7</v>
      </c>
      <c r="G16" s="55" t="inlineStr">
        <is>
          <t>2단계 보고서 자료(회사 설명회 자료·공시)</t>
        </is>
      </c>
    </row>
    <row r="17">
      <c r="A17" s="53" t="inlineStr">
        <is>
          <t>gp</t>
        </is>
      </c>
      <c r="B17" s="54" t="n">
        <v>1623.6</v>
      </c>
    </row>
    <row r="18">
      <c r="A18" s="53" t="inlineStr">
        <is>
          <t>sga</t>
        </is>
      </c>
      <c r="B18" s="54" t="n">
        <v>1154.4</v>
      </c>
    </row>
    <row r="19">
      <c r="A19" s="53" t="inlineStr">
        <is>
          <t>영업이익</t>
        </is>
      </c>
      <c r="B19" s="54" t="n">
        <v>469.2</v>
      </c>
    </row>
    <row r="20">
      <c r="A20" s="53" t="inlineStr">
        <is>
          <t>ordinary</t>
        </is>
      </c>
      <c r="B20" s="54" t="n">
        <v>477</v>
      </c>
    </row>
    <row r="21">
      <c r="A21" s="53" t="inlineStr">
        <is>
          <t>순이익</t>
        </is>
      </c>
      <c r="B21" s="54" t="n">
        <v>326</v>
      </c>
    </row>
    <row r="22">
      <c r="A22" s="53" t="inlineStr">
        <is>
          <t>EPS</t>
        </is>
      </c>
      <c r="B22" s="54" t="n">
        <v>156.15</v>
      </c>
    </row>
    <row r="24">
      <c r="A24" s="51" t="inlineStr">
        <is>
          <t>this results · bs 2026 9</t>
        </is>
      </c>
      <c r="B24" s="51" t="n"/>
      <c r="C24" s="51" t="n"/>
      <c r="D24" s="51" t="n"/>
      <c r="E24" s="51" t="n"/>
      <c r="F24" s="51" t="n"/>
      <c r="G24" s="51" t="n"/>
    </row>
    <row r="25">
      <c r="A25" s="52" t="inlineStr">
        <is>
          <t>항목</t>
        </is>
      </c>
      <c r="B25" s="52" t="inlineStr">
        <is>
          <t>값</t>
        </is>
      </c>
      <c r="G25" s="52" t="inlineStr">
        <is>
          <t>출처</t>
        </is>
      </c>
    </row>
    <row r="26">
      <c r="A26" s="53" t="inlineStr">
        <is>
          <t>현금및예금</t>
        </is>
      </c>
      <c r="B26" s="54" t="n">
        <v>1257.9</v>
      </c>
      <c r="G26" s="55" t="inlineStr">
        <is>
          <t>2단계 보고서 자료(회사 설명회 자료·공시)</t>
        </is>
      </c>
    </row>
    <row r="27">
      <c r="A27" s="53" t="inlineStr">
        <is>
          <t>매출채권</t>
        </is>
      </c>
      <c r="B27" s="54" t="n">
        <v>1087.1</v>
      </c>
    </row>
    <row r="28">
      <c r="A28" s="53" t="inlineStr">
        <is>
          <t>재고(상품·제품)</t>
        </is>
      </c>
      <c r="B28" s="54" t="n">
        <v>534.6</v>
      </c>
    </row>
    <row r="29">
      <c r="A29" s="53" t="inlineStr">
        <is>
          <t>재고 합계</t>
        </is>
      </c>
      <c r="B29" s="56" t="n">
        <v>544</v>
      </c>
    </row>
    <row r="30">
      <c r="A30" s="53" t="inlineStr">
        <is>
          <t>소프트웨어</t>
        </is>
      </c>
      <c r="B30" s="54" t="n">
        <v>221</v>
      </c>
    </row>
    <row r="31">
      <c r="A31" s="53" t="inlineStr">
        <is>
          <t>영업권</t>
        </is>
      </c>
      <c r="B31" s="54" t="n">
        <v>193.8</v>
      </c>
    </row>
    <row r="32">
      <c r="A32" s="53" t="inlineStr">
        <is>
          <t>자기주식</t>
        </is>
      </c>
      <c r="B32" s="54" t="n">
        <v>-507</v>
      </c>
    </row>
    <row r="33">
      <c r="A33" s="53" t="inlineStr">
        <is>
          <t>순자산</t>
        </is>
      </c>
      <c r="B33" s="54" t="n">
        <v>3926.9</v>
      </c>
    </row>
    <row r="35">
      <c r="A35" s="51" t="inlineStr">
        <is>
          <t>this results · shares</t>
        </is>
      </c>
      <c r="B35" s="51" t="n"/>
      <c r="C35" s="51" t="n"/>
      <c r="D35" s="51" t="n"/>
      <c r="E35" s="51" t="n"/>
      <c r="F35" s="51" t="n"/>
      <c r="G35" s="51" t="n"/>
    </row>
    <row r="36">
      <c r="A36" s="52" t="inlineStr">
        <is>
          <t>항목</t>
        </is>
      </c>
      <c r="B36" s="52" t="inlineStr">
        <is>
          <t>값</t>
        </is>
      </c>
      <c r="G36" s="52" t="inlineStr">
        <is>
          <t>출처</t>
        </is>
      </c>
    </row>
    <row r="37">
      <c r="A37" s="53" t="inlineStr">
        <is>
          <t>issued</t>
        </is>
      </c>
      <c r="B37" s="56" t="n">
        <v>222159944</v>
      </c>
      <c r="G37" s="55" t="inlineStr">
        <is>
          <t>2단계 보고서 자료(회사 설명회 자료·공시)</t>
        </is>
      </c>
    </row>
    <row r="38">
      <c r="A38" s="53" t="inlineStr">
        <is>
          <t>treasury</t>
        </is>
      </c>
      <c r="B38" s="56" t="n">
        <v>16262001</v>
      </c>
    </row>
    <row r="39">
      <c r="A39" s="53" t="inlineStr">
        <is>
          <t>outstanding</t>
        </is>
      </c>
      <c r="B39" s="56" t="n">
        <v>205897943</v>
      </c>
    </row>
    <row r="40">
      <c r="A40" s="53" t="inlineStr">
        <is>
          <t>avg 9m</t>
        </is>
      </c>
      <c r="B40" s="56" t="n">
        <v>208772109</v>
      </c>
    </row>
    <row r="42">
      <c r="A42" s="51" t="inlineStr">
        <is>
          <t>컨센서스</t>
        </is>
      </c>
      <c r="B42" s="51" t="n"/>
      <c r="C42" s="51" t="n"/>
      <c r="D42" s="51" t="n"/>
      <c r="E42" s="51" t="n"/>
      <c r="F42" s="51" t="n"/>
      <c r="G42" s="51" t="n"/>
    </row>
    <row r="43">
      <c r="A43" s="52" t="inlineStr">
        <is>
          <t>항목</t>
        </is>
      </c>
      <c r="B43" s="52" t="inlineStr">
        <is>
          <t>값</t>
        </is>
      </c>
      <c r="G43" s="52" t="inlineStr">
        <is>
          <t>출처</t>
        </is>
      </c>
    </row>
    <row r="44">
      <c r="A44" s="53" t="inlineStr">
        <is>
          <t>3Q 매출 avg</t>
        </is>
      </c>
      <c r="B44" s="54" t="n">
        <v>1631.4</v>
      </c>
      <c r="G44" s="55" t="inlineStr">
        <is>
          <t>야후 파이낸스(jp_consensus) 2026-10-26 · 분기 EPS 추정은 애널리스트 1명 — '컨센'이라 부르지 말 것. 3Q 매출은 4명 평균 1631.4억 대비 실제 1678.8억(+2.9%). 연간 컨센 영업이익은 이 도구에 없음.</t>
        </is>
      </c>
    </row>
    <row r="45">
      <c r="A45" s="53" t="inlineStr">
        <is>
          <t>3Q 매출 애널리스트 수</t>
        </is>
      </c>
      <c r="B45" s="56" t="n">
        <v>4</v>
      </c>
    </row>
    <row r="46">
      <c r="A46" s="53" t="inlineStr">
        <is>
          <t>3Q EPS avg</t>
        </is>
      </c>
      <c r="B46" s="54" t="n">
        <v>69.40000000000001</v>
      </c>
    </row>
    <row r="47">
      <c r="A47" s="53" t="inlineStr">
        <is>
          <t>3Q EPS 애널리스트 수</t>
        </is>
      </c>
      <c r="B47" s="56" t="n">
        <v>1</v>
      </c>
    </row>
    <row r="48">
      <c r="A48" s="53" t="inlineStr">
        <is>
          <t>4Q 매출 avg</t>
        </is>
      </c>
      <c r="B48" s="54" t="n">
        <v>1884.9</v>
      </c>
    </row>
    <row r="49">
      <c r="A49" s="53" t="inlineStr">
        <is>
          <t>4Q 매출 애널리스트 수</t>
        </is>
      </c>
      <c r="B49" s="56" t="n">
        <v>4</v>
      </c>
    </row>
    <row r="50">
      <c r="A50" s="53" t="inlineStr">
        <is>
          <t>4Q EPS avg</t>
        </is>
      </c>
      <c r="B50" s="54" t="n">
        <v>108.6</v>
      </c>
    </row>
    <row r="51">
      <c r="A51" s="53" t="inlineStr">
        <is>
          <t>4Q EPS 애널리스트 수</t>
        </is>
      </c>
      <c r="B51" s="56" t="n">
        <v>1</v>
      </c>
    </row>
    <row r="53">
      <c r="A53" s="51" t="inlineStr">
        <is>
          <t>컨센서스 · fy2026</t>
        </is>
      </c>
      <c r="B53" s="51" t="n"/>
      <c r="C53" s="51" t="n"/>
      <c r="D53" s="51" t="n"/>
      <c r="E53" s="51" t="n"/>
      <c r="F53" s="51" t="n"/>
      <c r="G53" s="51" t="n"/>
    </row>
    <row r="54">
      <c r="A54" s="52" t="inlineStr">
        <is>
          <t>항목</t>
        </is>
      </c>
      <c r="B54" s="52" t="inlineStr">
        <is>
          <t>값</t>
        </is>
      </c>
      <c r="G54" s="52" t="inlineStr">
        <is>
          <t>출처</t>
        </is>
      </c>
    </row>
    <row r="55">
      <c r="A55" s="53" t="inlineStr">
        <is>
          <t>매출</t>
        </is>
      </c>
      <c r="B55" s="54" t="n">
        <v>6919.1</v>
      </c>
      <c r="G55" s="55" t="inlineStr">
        <is>
          <t>야후 파이낸스(jp_consensus) 2026-10-26 · 분기 EPS 추정은 애널리스트 1명 — '컨센'이라 부르지 말 것. 3Q 매출은 4명 평균 1631.4억 대비 실제 1678.8억(+2.9%). 연간 컨센 영업이익은 이 도구에 없음.</t>
        </is>
      </c>
    </row>
    <row r="56">
      <c r="A56" s="53" t="inlineStr">
        <is>
          <t>EPS</t>
        </is>
      </c>
      <c r="B56" s="54" t="n">
        <v>219.1</v>
      </c>
    </row>
    <row r="57">
      <c r="A57" s="53" t="inlineStr">
        <is>
          <t>EPS 최저</t>
        </is>
      </c>
      <c r="B57" s="54" t="n">
        <v>214.4</v>
      </c>
    </row>
    <row r="58">
      <c r="A58" s="53" t="inlineStr">
        <is>
          <t>EPS 최고</t>
        </is>
      </c>
      <c r="B58" s="54" t="n">
        <v>222.8</v>
      </c>
    </row>
    <row r="59">
      <c r="A59" s="53" t="inlineStr">
        <is>
          <t>애널리스트 수</t>
        </is>
      </c>
      <c r="B59" s="56" t="n">
        <v>5</v>
      </c>
    </row>
    <row r="61">
      <c r="A61" s="51" t="inlineStr">
        <is>
          <t>컨센서스 · fy2027</t>
        </is>
      </c>
      <c r="B61" s="51" t="n"/>
      <c r="C61" s="51" t="n"/>
      <c r="D61" s="51" t="n"/>
      <c r="E61" s="51" t="n"/>
      <c r="F61" s="51" t="n"/>
      <c r="G61" s="51" t="n"/>
    </row>
    <row r="62">
      <c r="A62" s="52" t="inlineStr">
        <is>
          <t>항목</t>
        </is>
      </c>
      <c r="B62" s="52" t="inlineStr">
        <is>
          <t>값</t>
        </is>
      </c>
      <c r="G62" s="52" t="inlineStr">
        <is>
          <t>출처</t>
        </is>
      </c>
    </row>
    <row r="63">
      <c r="A63" s="53" t="inlineStr">
        <is>
          <t>매출</t>
        </is>
      </c>
      <c r="B63" s="54" t="n">
        <v>7158.7</v>
      </c>
      <c r="G63" s="55" t="inlineStr">
        <is>
          <t>야후 파이낸스(jp_consensus) 2026-10-26 · 분기 EPS 추정은 애널리스트 1명 — '컨센'이라 부르지 말 것. 3Q 매출은 4명 평균 1631.4억 대비 실제 1678.8억(+2.9%). 연간 컨센 영업이익은 이 도구에 없음.</t>
        </is>
      </c>
    </row>
    <row r="64">
      <c r="A64" s="53" t="inlineStr">
        <is>
          <t>EPS</t>
        </is>
      </c>
      <c r="B64" s="54" t="n">
        <v>232.6</v>
      </c>
    </row>
    <row r="65">
      <c r="A65" s="53" t="inlineStr">
        <is>
          <t>애널리스트 수</t>
        </is>
      </c>
      <c r="B65" s="56" t="n">
        <v>5</v>
      </c>
    </row>
    <row r="67">
      <c r="A67" s="51" t="inlineStr">
        <is>
          <t>컨센서스 · 목표주가 가격</t>
        </is>
      </c>
      <c r="B67" s="51" t="n"/>
      <c r="C67" s="51" t="n"/>
      <c r="D67" s="51" t="n"/>
      <c r="E67" s="51" t="n"/>
      <c r="F67" s="51" t="n"/>
      <c r="G67" s="51" t="n"/>
    </row>
    <row r="68">
      <c r="A68" s="52" t="inlineStr">
        <is>
          <t>항목</t>
        </is>
      </c>
      <c r="B68" s="52" t="inlineStr">
        <is>
          <t>값</t>
        </is>
      </c>
      <c r="G68" s="52" t="inlineStr">
        <is>
          <t>출처</t>
        </is>
      </c>
    </row>
    <row r="69">
      <c r="A69" s="53" t="inlineStr">
        <is>
          <t>평균</t>
        </is>
      </c>
      <c r="B69" s="56" t="n">
        <v>4130</v>
      </c>
      <c r="G69" s="55" t="inlineStr">
        <is>
          <t>야후 파이낸스(jp_consensus) 2026-10-26 · 분기 EPS 추정은 애널리스트 1명 — '컨센'이라 부르지 말 것. 3Q 매출은 4명 평균 1631.4억 대비 실제 1678.8억(+2.9%). 연간 컨센 영업이익은 이 도구에 없음.</t>
        </is>
      </c>
    </row>
    <row r="70">
      <c r="A70" s="53" t="inlineStr">
        <is>
          <t>중앙값</t>
        </is>
      </c>
      <c r="B70" s="56" t="n">
        <v>3900</v>
      </c>
    </row>
    <row r="71">
      <c r="A71" s="53" t="inlineStr">
        <is>
          <t>최고</t>
        </is>
      </c>
      <c r="B71" s="56" t="n">
        <v>5000</v>
      </c>
    </row>
    <row r="72">
      <c r="A72" s="53" t="inlineStr">
        <is>
          <t>최저</t>
        </is>
      </c>
      <c r="B72" s="56" t="n">
        <v>3700</v>
      </c>
    </row>
    <row r="73">
      <c r="A73" s="53" t="inlineStr">
        <is>
          <t>애널리스트 수</t>
        </is>
      </c>
      <c r="B73" s="56" t="n">
        <v>5</v>
      </c>
    </row>
    <row r="75">
      <c r="A75" s="51" t="inlineStr">
        <is>
          <t>bs annual</t>
        </is>
      </c>
      <c r="B75" s="51" t="n"/>
      <c r="C75" s="51" t="n"/>
      <c r="D75" s="51" t="n"/>
      <c r="E75" s="51" t="n"/>
      <c r="F75" s="51" t="n"/>
      <c r="G75" s="51" t="n"/>
    </row>
    <row r="76">
      <c r="A76" s="52" t="inlineStr">
        <is>
          <t>항목</t>
        </is>
      </c>
      <c r="B76" s="52" t="inlineStr">
        <is>
          <t>2021</t>
        </is>
      </c>
      <c r="C76" s="52" t="inlineStr">
        <is>
          <t>2022</t>
        </is>
      </c>
      <c r="D76" s="52" t="inlineStr">
        <is>
          <t>2023</t>
        </is>
      </c>
      <c r="E76" s="52" t="inlineStr">
        <is>
          <t>2024</t>
        </is>
      </c>
      <c r="F76" s="52" t="inlineStr">
        <is>
          <t>2025</t>
        </is>
      </c>
      <c r="G76" s="52" t="inlineStr">
        <is>
          <t>출처</t>
        </is>
      </c>
    </row>
    <row r="77">
      <c r="A77" s="53" t="inlineStr">
        <is>
          <t>labels</t>
        </is>
      </c>
      <c r="B77" s="56" t="n">
        <v>2021</v>
      </c>
      <c r="C77" s="56" t="n">
        <v>2022</v>
      </c>
      <c r="D77" s="56" t="n">
        <v>2023</v>
      </c>
      <c r="E77" s="56" t="n">
        <v>2024</v>
      </c>
      <c r="F77" s="56" t="n">
        <v>2025</v>
      </c>
      <c r="G77" s="55" t="inlineStr">
        <is>
          <t>2단계 보고서 자료(회사 설명회 자료·공시)</t>
        </is>
      </c>
    </row>
    <row r="78">
      <c r="A78" s="53" t="inlineStr">
        <is>
          <t>current assets</t>
        </is>
      </c>
      <c r="B78" s="54" t="n">
        <v>3960.8</v>
      </c>
      <c r="C78" s="54" t="n">
        <v>4197.1</v>
      </c>
      <c r="D78" s="54" t="n">
        <v>4186.1</v>
      </c>
      <c r="E78" s="54" t="n">
        <v>3321.8</v>
      </c>
      <c r="F78" s="54" t="n">
        <v>3396.5</v>
      </c>
    </row>
    <row r="79">
      <c r="A79" s="53" t="inlineStr">
        <is>
          <t>cash</t>
        </is>
      </c>
      <c r="B79" s="54" t="n">
        <v>675.3</v>
      </c>
      <c r="C79" s="54" t="n">
        <v>841.3</v>
      </c>
      <c r="D79" s="54" t="n">
        <v>881.9</v>
      </c>
      <c r="E79" s="54" t="n">
        <v>1092.3</v>
      </c>
      <c r="F79" s="54" t="n">
        <v>1595.7</v>
      </c>
    </row>
    <row r="80">
      <c r="A80" s="53" t="inlineStr">
        <is>
          <t>st fin</t>
        </is>
      </c>
      <c r="B80" s="54" t="n">
        <v>5</v>
      </c>
      <c r="C80" s="54" t="n">
        <v>5</v>
      </c>
      <c r="D80" s="54" t="n">
        <v>15</v>
      </c>
      <c r="E80" s="54" t="n">
        <v>15</v>
      </c>
      <c r="F80" s="54" t="n">
        <v>5</v>
      </c>
    </row>
    <row r="81">
      <c r="A81" s="53" t="inlineStr">
        <is>
          <t>receivables</t>
        </is>
      </c>
      <c r="B81" s="54" t="n">
        <v>0</v>
      </c>
      <c r="C81" s="54" t="n">
        <v>1104.3</v>
      </c>
      <c r="D81" s="54" t="n">
        <v>1116.5</v>
      </c>
      <c r="E81" s="54" t="n">
        <v>1190.2</v>
      </c>
      <c r="F81" s="54" t="n">
        <v>1266.2</v>
      </c>
    </row>
    <row r="82">
      <c r="A82" s="53" t="inlineStr">
        <is>
          <t>inventory</t>
        </is>
      </c>
      <c r="B82" s="54" t="n">
        <v>352.3</v>
      </c>
      <c r="C82" s="54" t="n">
        <v>385.2</v>
      </c>
      <c r="D82" s="54" t="n">
        <v>398.2</v>
      </c>
      <c r="E82" s="54" t="n">
        <v>423.3</v>
      </c>
      <c r="F82" s="54" t="n">
        <v>403.6</v>
      </c>
    </row>
    <row r="83">
      <c r="A83" s="53" t="inlineStr">
        <is>
          <t>noncurrent assets</t>
        </is>
      </c>
      <c r="B83" s="54" t="n">
        <v>1303.4</v>
      </c>
      <c r="C83" s="54" t="n">
        <v>1240.3</v>
      </c>
      <c r="D83" s="54" t="n">
        <v>1387.5</v>
      </c>
      <c r="E83" s="54" t="n">
        <v>1924.1</v>
      </c>
      <c r="F83" s="54" t="n">
        <v>2247.8</v>
      </c>
    </row>
    <row r="84">
      <c r="A84" s="53" t="inlineStr">
        <is>
          <t>ppe</t>
        </is>
      </c>
      <c r="B84" s="54" t="n">
        <v>851.5</v>
      </c>
      <c r="C84" s="54" t="n">
        <v>852.8</v>
      </c>
      <c r="D84" s="54" t="n">
        <v>850.2</v>
      </c>
      <c r="E84" s="54" t="n">
        <v>881</v>
      </c>
      <c r="F84" s="54" t="n">
        <v>868</v>
      </c>
    </row>
    <row r="85">
      <c r="A85" s="53" t="inlineStr">
        <is>
          <t>intangibles</t>
        </is>
      </c>
      <c r="B85" s="54" t="n">
        <v>65.3</v>
      </c>
      <c r="C85" s="54" t="n">
        <v>60</v>
      </c>
      <c r="D85" s="54" t="n">
        <v>141.8</v>
      </c>
      <c r="E85" s="54" t="n">
        <v>490.3</v>
      </c>
      <c r="F85" s="54" t="n">
        <v>519.6</v>
      </c>
    </row>
    <row r="86">
      <c r="A86" s="53" t="inlineStr">
        <is>
          <t>inv property</t>
        </is>
      </c>
      <c r="B86" s="57" t="n"/>
      <c r="C86" s="57" t="n"/>
      <c r="D86" s="57" t="n"/>
      <c r="E86" s="57" t="n"/>
      <c r="F86" s="57" t="n"/>
    </row>
    <row r="87">
      <c r="A87" s="53" t="inlineStr">
        <is>
          <t>합계 assets</t>
        </is>
      </c>
      <c r="B87" s="54" t="n">
        <v>5264.2</v>
      </c>
      <c r="C87" s="54" t="n">
        <v>5437.4</v>
      </c>
      <c r="D87" s="54" t="n">
        <v>5573.7</v>
      </c>
      <c r="E87" s="54" t="n">
        <v>5245.9</v>
      </c>
      <c r="F87" s="54" t="n">
        <v>5644.3</v>
      </c>
    </row>
    <row r="88">
      <c r="A88" s="53" t="inlineStr">
        <is>
          <t>current liab</t>
        </is>
      </c>
      <c r="B88" s="54" t="n">
        <v>1071.1</v>
      </c>
      <c r="C88" s="54" t="n">
        <v>1080.6</v>
      </c>
      <c r="D88" s="54" t="n">
        <v>1105.9</v>
      </c>
      <c r="E88" s="54" t="n">
        <v>1235.4</v>
      </c>
      <c r="F88" s="54" t="n">
        <v>1250.8</v>
      </c>
    </row>
    <row r="89">
      <c r="A89" s="53" t="inlineStr">
        <is>
          <t>payables</t>
        </is>
      </c>
      <c r="B89" s="54" t="n">
        <v>463.2</v>
      </c>
      <c r="C89" s="54" t="n">
        <v>473.8</v>
      </c>
      <c r="D89" s="54" t="n">
        <v>455.5</v>
      </c>
      <c r="E89" s="54" t="n">
        <v>501.2</v>
      </c>
      <c r="F89" s="54" t="n">
        <v>521.2</v>
      </c>
    </row>
    <row r="90">
      <c r="A90" s="53" t="inlineStr">
        <is>
          <t>st debt</t>
        </is>
      </c>
      <c r="B90" s="57" t="n"/>
      <c r="C90" s="57" t="n"/>
      <c r="D90" s="54" t="n">
        <v>0</v>
      </c>
      <c r="E90" s="54" t="n">
        <v>11</v>
      </c>
      <c r="F90" s="54" t="n">
        <v>11</v>
      </c>
    </row>
    <row r="91">
      <c r="A91" s="53" t="inlineStr">
        <is>
          <t>noncurrent liab</t>
        </is>
      </c>
      <c r="B91" s="54" t="n">
        <v>446.3</v>
      </c>
      <c r="C91" s="54" t="n">
        <v>353.1</v>
      </c>
      <c r="D91" s="54" t="n">
        <v>112.7</v>
      </c>
      <c r="E91" s="54" t="n">
        <v>173.5</v>
      </c>
      <c r="F91" s="54" t="n">
        <v>255.3</v>
      </c>
    </row>
    <row r="92">
      <c r="A92" s="53" t="inlineStr">
        <is>
          <t>lt debt</t>
        </is>
      </c>
      <c r="B92" s="57" t="n"/>
      <c r="C92" s="57" t="n"/>
      <c r="D92" s="54" t="n">
        <v>0</v>
      </c>
      <c r="E92" s="54" t="n">
        <v>17</v>
      </c>
      <c r="F92" s="54" t="n">
        <v>14.9</v>
      </c>
    </row>
    <row r="93">
      <c r="A93" s="53" t="inlineStr">
        <is>
          <t>bonds</t>
        </is>
      </c>
      <c r="B93" s="57" t="n"/>
      <c r="C93" s="57" t="n"/>
      <c r="D93" s="57" t="n"/>
      <c r="E93" s="57" t="n"/>
      <c r="F93" s="57" t="n"/>
    </row>
    <row r="94">
      <c r="A94" s="53" t="inlineStr">
        <is>
          <t>합계 liab</t>
        </is>
      </c>
      <c r="B94" s="54" t="n">
        <v>1517.4</v>
      </c>
      <c r="C94" s="54" t="n">
        <v>1433.7</v>
      </c>
      <c r="D94" s="54" t="n">
        <v>1218.6</v>
      </c>
      <c r="E94" s="54" t="n">
        <v>1408.9</v>
      </c>
      <c r="F94" s="54" t="n">
        <v>1506.1</v>
      </c>
    </row>
    <row r="95">
      <c r="A95" s="53" t="inlineStr">
        <is>
          <t>capital stock</t>
        </is>
      </c>
      <c r="B95" s="54" t="n">
        <v>733</v>
      </c>
      <c r="C95" s="54" t="n">
        <v>733</v>
      </c>
      <c r="D95" s="54" t="n">
        <v>733</v>
      </c>
      <c r="E95" s="54" t="n">
        <v>733</v>
      </c>
      <c r="F95" s="54" t="n">
        <v>733</v>
      </c>
    </row>
    <row r="96">
      <c r="A96" s="53" t="inlineStr">
        <is>
          <t>retained</t>
        </is>
      </c>
      <c r="B96" s="54" t="n">
        <v>2088.2</v>
      </c>
      <c r="C96" s="54" t="n">
        <v>2333.5</v>
      </c>
      <c r="D96" s="54" t="n">
        <v>2568.8</v>
      </c>
      <c r="E96" s="54" t="n">
        <v>2009.3</v>
      </c>
      <c r="F96" s="54" t="n">
        <v>2260.5</v>
      </c>
    </row>
    <row r="97">
      <c r="A97" s="53" t="inlineStr">
        <is>
          <t>nci</t>
        </is>
      </c>
      <c r="B97" s="54" t="n">
        <v>7.3</v>
      </c>
      <c r="C97" s="54" t="n">
        <v>8</v>
      </c>
      <c r="D97" s="54" t="n">
        <v>7.3</v>
      </c>
      <c r="E97" s="54" t="n">
        <v>8.5</v>
      </c>
      <c r="F97" s="54" t="n">
        <v>9.199999999999999</v>
      </c>
    </row>
    <row r="98">
      <c r="A98" s="53" t="inlineStr">
        <is>
          <t>합계 equity</t>
        </is>
      </c>
      <c r="B98" s="54" t="n">
        <v>3746.8</v>
      </c>
      <c r="C98" s="54" t="n">
        <v>4003.7</v>
      </c>
      <c r="D98" s="54" t="n">
        <v>4355.1</v>
      </c>
      <c r="E98" s="54" t="n">
        <v>3837</v>
      </c>
      <c r="F98" s="54" t="n">
        <v>4138.1</v>
      </c>
    </row>
    <row r="99">
      <c r="A99" s="53" t="inlineStr">
        <is>
          <t>current ltd</t>
        </is>
      </c>
      <c r="B99" s="57" t="n"/>
      <c r="C99" s="57" t="n"/>
      <c r="D99" s="54" t="n">
        <v>0</v>
      </c>
      <c r="E99" s="54" t="n">
        <v>2.1</v>
      </c>
      <c r="F99" s="54" t="n">
        <v>2.1</v>
      </c>
    </row>
    <row r="100">
      <c r="A100" s="53" t="inlineStr">
        <is>
          <t>equity owner</t>
        </is>
      </c>
      <c r="B100" s="54" t="n">
        <v>3739.5</v>
      </c>
      <c r="C100" s="54" t="n">
        <v>3995.4</v>
      </c>
      <c r="D100" s="54" t="n">
        <v>4347.2</v>
      </c>
      <c r="E100" s="54" t="n">
        <v>3827.7</v>
      </c>
      <c r="F100" s="54" t="n">
        <v>4127.9</v>
      </c>
    </row>
    <row r="102">
      <c r="A102" s="51" t="inlineStr">
        <is>
          <t>cf annual</t>
        </is>
      </c>
      <c r="B102" s="51" t="n"/>
      <c r="C102" s="51" t="n"/>
      <c r="D102" s="51" t="n"/>
      <c r="E102" s="51" t="n"/>
      <c r="F102" s="51" t="n"/>
      <c r="G102" s="51" t="n"/>
    </row>
    <row r="103">
      <c r="A103" s="52" t="inlineStr">
        <is>
          <t>항목</t>
        </is>
      </c>
      <c r="B103" s="52" t="inlineStr">
        <is>
          <t>2021</t>
        </is>
      </c>
      <c r="C103" s="52" t="inlineStr">
        <is>
          <t>2022</t>
        </is>
      </c>
      <c r="D103" s="52" t="inlineStr">
        <is>
          <t>2023</t>
        </is>
      </c>
      <c r="E103" s="52" t="inlineStr">
        <is>
          <t>2024</t>
        </is>
      </c>
      <c r="F103" s="52" t="inlineStr">
        <is>
          <t>2025</t>
        </is>
      </c>
      <c r="G103" s="52" t="inlineStr">
        <is>
          <t>출처</t>
        </is>
      </c>
    </row>
    <row r="104">
      <c r="A104" s="53" t="inlineStr">
        <is>
          <t>labels</t>
        </is>
      </c>
      <c r="B104" s="56" t="n">
        <v>2021</v>
      </c>
      <c r="C104" s="56" t="n">
        <v>2022</v>
      </c>
      <c r="D104" s="56" t="n">
        <v>2023</v>
      </c>
      <c r="E104" s="56" t="n">
        <v>2024</v>
      </c>
      <c r="F104" s="56" t="n">
        <v>2025</v>
      </c>
      <c r="G104" s="55" t="inlineStr">
        <is>
          <t>2단계 보고서 자료(회사 설명회 자료·공시)</t>
        </is>
      </c>
    </row>
    <row r="105">
      <c r="A105" s="53" t="inlineStr">
        <is>
          <t>ocf</t>
        </is>
      </c>
      <c r="B105" s="54" t="n">
        <v>327.6</v>
      </c>
      <c r="C105" s="54" t="n">
        <v>377.2</v>
      </c>
      <c r="D105" s="54" t="n">
        <v>281.8</v>
      </c>
      <c r="E105" s="54" t="n">
        <v>476.7</v>
      </c>
      <c r="F105" s="54" t="n">
        <v>459.1</v>
      </c>
    </row>
    <row r="106">
      <c r="A106" s="53" t="inlineStr">
        <is>
          <t>설비투자</t>
        </is>
      </c>
      <c r="B106" s="54" t="n">
        <v>168.3</v>
      </c>
      <c r="C106" s="54" t="n">
        <v>97.8</v>
      </c>
      <c r="D106" s="54" t="n">
        <v>103</v>
      </c>
      <c r="E106" s="54" t="n">
        <v>122.5</v>
      </c>
      <c r="F106" s="54" t="n">
        <v>177.4</v>
      </c>
    </row>
    <row r="107">
      <c r="A107" s="53" t="inlineStr">
        <is>
          <t>dividends</t>
        </is>
      </c>
      <c r="B107" s="54" t="n">
        <v>90.7</v>
      </c>
      <c r="C107" s="54" t="n">
        <v>110.2</v>
      </c>
      <c r="D107" s="54" t="n">
        <v>129.6</v>
      </c>
      <c r="E107" s="54" t="n">
        <v>168.5</v>
      </c>
      <c r="F107" s="54" t="n">
        <v>163.3</v>
      </c>
    </row>
    <row r="109">
      <c r="A109" s="51" t="inlineStr">
        <is>
          <t>dps split adj</t>
        </is>
      </c>
      <c r="B109" s="51" t="n"/>
      <c r="C109" s="51" t="n"/>
      <c r="D109" s="51" t="n"/>
      <c r="E109" s="51" t="n"/>
      <c r="F109" s="51" t="n"/>
      <c r="G109" s="51" t="n"/>
    </row>
    <row r="110">
      <c r="A110" s="52" t="inlineStr">
        <is>
          <t>항목</t>
        </is>
      </c>
      <c r="B110" s="52" t="inlineStr">
        <is>
          <t>값</t>
        </is>
      </c>
      <c r="G110" s="52" t="inlineStr">
        <is>
          <t>출처</t>
        </is>
      </c>
    </row>
    <row r="111">
      <c r="A111" s="53" t="inlineStr">
        <is>
          <t>2021</t>
        </is>
      </c>
      <c r="B111" s="54" t="n">
        <v>37.5</v>
      </c>
      <c r="G111" s="55" t="inlineStr">
        <is>
          <t>2단계 보고서 자료(회사 설명회 자료·공시)</t>
        </is>
      </c>
    </row>
    <row r="112">
      <c r="A112" s="53" t="inlineStr">
        <is>
          <t>2022</t>
        </is>
      </c>
      <c r="B112" s="56" t="n">
        <v>45</v>
      </c>
    </row>
    <row r="113">
      <c r="A113" s="53" t="inlineStr">
        <is>
          <t>2023</t>
        </is>
      </c>
      <c r="B113" s="56" t="n">
        <v>60</v>
      </c>
    </row>
    <row r="114">
      <c r="A114" s="53" t="inlineStr">
        <is>
          <t>2024</t>
        </is>
      </c>
      <c r="B114" s="56" t="n">
        <v>70</v>
      </c>
    </row>
    <row r="115">
      <c r="A115" s="53" t="inlineStr">
        <is>
          <t>2025</t>
        </is>
      </c>
      <c r="B115" s="56" t="n">
        <v>85</v>
      </c>
    </row>
    <row r="116">
      <c r="A116" s="53" t="inlineStr">
        <is>
          <t>2026G</t>
        </is>
      </c>
      <c r="B116" s="56" t="n">
        <v>95</v>
      </c>
    </row>
    <row r="118">
      <c r="A118" s="51" t="inlineStr">
        <is>
          <t>EPS split adj deck</t>
        </is>
      </c>
      <c r="B118" s="51" t="n"/>
      <c r="C118" s="51" t="n"/>
      <c r="D118" s="51" t="n"/>
      <c r="E118" s="51" t="n"/>
      <c r="F118" s="51" t="n"/>
      <c r="G118" s="51" t="n"/>
    </row>
    <row r="119">
      <c r="A119" s="52" t="inlineStr">
        <is>
          <t>항목</t>
        </is>
      </c>
      <c r="B119" s="52" t="inlineStr">
        <is>
          <t>값</t>
        </is>
      </c>
      <c r="G119" s="52" t="inlineStr">
        <is>
          <t>출처</t>
        </is>
      </c>
    </row>
    <row r="120">
      <c r="A120" s="53" t="inlineStr">
        <is>
          <t>2021</t>
        </is>
      </c>
      <c r="B120" s="56" t="n">
        <v>113</v>
      </c>
      <c r="G120" s="55" t="inlineStr">
        <is>
          <t>2단계 보고서 자료(회사 설명회 자료·공시)</t>
        </is>
      </c>
    </row>
    <row r="121">
      <c r="A121" s="53" t="inlineStr">
        <is>
          <t>2022</t>
        </is>
      </c>
      <c r="B121" s="56" t="n">
        <v>137</v>
      </c>
    </row>
    <row r="122">
      <c r="A122" s="53" t="inlineStr">
        <is>
          <t>2023</t>
        </is>
      </c>
      <c r="B122" s="56" t="n">
        <v>141</v>
      </c>
    </row>
    <row r="123">
      <c r="A123" s="53" t="inlineStr">
        <is>
          <t>2024</t>
        </is>
      </c>
      <c r="B123" s="56" t="n">
        <v>160</v>
      </c>
    </row>
    <row r="124">
      <c r="A124" s="53" t="inlineStr">
        <is>
          <t>2025</t>
        </is>
      </c>
      <c r="B124" s="56" t="n">
        <v>191</v>
      </c>
    </row>
    <row r="125">
      <c r="A125" s="53" t="inlineStr">
        <is>
          <t>2026G</t>
        </is>
      </c>
      <c r="B125" s="56" t="n">
        <v>211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2026-10-26</t>
        </is>
      </c>
      <c r="B4" t="inlineStr">
        <is>
          <t>2026년 12월 결산기 3분기 결산단신</t>
        </is>
      </c>
      <c r="C4" t="inlineStr">
        <is>
          <t>https://www2.jpx.co.jp/disc/80600/140120261023555565.pdf</t>
        </is>
      </c>
    </row>
    <row r="5">
      <c r="A5" t="inlineStr">
        <is>
          <t>2026-07-24</t>
        </is>
      </c>
      <c r="B5" t="inlineStr">
        <is>
          <t>2026년 12월 결산기 2분기 결산단신</t>
        </is>
      </c>
      <c r="C5" t="inlineStr">
        <is>
          <t>https://www2.jpx.co.jp/disc/80600/140120260721596814.pdf</t>
        </is>
      </c>
    </row>
    <row r="6">
      <c r="A6" t="inlineStr">
        <is>
          <t>2026-04-28</t>
        </is>
      </c>
      <c r="B6" t="inlineStr">
        <is>
          <t>2026년 12월 결산기 1분기 결산단신</t>
        </is>
      </c>
      <c r="C6" t="inlineStr">
        <is>
          <t>https://www2.jpx.co.jp/disc/80600/140120260427511553.pdf</t>
        </is>
      </c>
    </row>
    <row r="7">
      <c r="A7" t="inlineStr">
        <is>
          <t>2026-04-22</t>
        </is>
      </c>
      <c r="B7" t="inlineStr">
        <is>
          <t>2026년 12월 결산기 1분기 결산단신</t>
        </is>
      </c>
      <c r="C7" t="inlineStr">
        <is>
          <t>https://www2.jpx.co.jp/disc/80600/140120260421507582.pdf</t>
        </is>
      </c>
    </row>
    <row r="8">
      <c r="A8" t="inlineStr">
        <is>
          <t>2026-01-28</t>
        </is>
      </c>
      <c r="B8" t="inlineStr">
        <is>
          <t>2025년 12월 결산기 연간 결산단신</t>
        </is>
      </c>
      <c r="C8" t="inlineStr">
        <is>
          <t>https://www2.jpx.co.jp/disc/80600/140120260122537344.pdf</t>
        </is>
      </c>
    </row>
    <row r="9">
      <c r="A9" t="inlineStr">
        <is>
          <t>2025-10-29</t>
        </is>
      </c>
      <c r="B9" t="inlineStr">
        <is>
          <t>2025년 12월 결산기 3분기 결산단신</t>
        </is>
      </c>
      <c r="C9" t="inlineStr">
        <is>
          <t>https://www2.jpx.co.jp/disc/80600/140120251028579951.pdf</t>
        </is>
      </c>
    </row>
    <row r="10">
      <c r="A10" t="inlineStr">
        <is>
          <t>2025-10-24</t>
        </is>
      </c>
      <c r="B10" t="inlineStr">
        <is>
          <t>2025년 12월 결산기 3분기 결산단신</t>
        </is>
      </c>
      <c r="C10" t="inlineStr">
        <is>
          <t>https://www2.jpx.co.jp/disc/80600/140120251023577692.pdf</t>
        </is>
      </c>
    </row>
    <row r="11">
      <c r="A11" t="inlineStr">
        <is>
          <t>2025-07-23</t>
        </is>
      </c>
      <c r="B11" t="inlineStr">
        <is>
          <t>2025년 12월 결산기 2분기 결산단신</t>
        </is>
      </c>
      <c r="C11" t="inlineStr">
        <is>
          <t>https://www2.jpx.co.jp/disc/80600/140120250723518256.pdf</t>
        </is>
      </c>
    </row>
    <row r="12">
      <c r="A12" t="inlineStr">
        <is>
          <t>2025-04-28</t>
        </is>
      </c>
      <c r="B12" t="inlineStr">
        <is>
          <t>2025년 12월 결산기 1분기 결산단신</t>
        </is>
      </c>
      <c r="C12" t="inlineStr">
        <is>
          <t>https://www2.jpx.co.jp/disc/80600/140120250422519912.pdf</t>
        </is>
      </c>
    </row>
    <row r="13">
      <c r="A13" t="inlineStr">
        <is>
          <t>2025-04-23</t>
        </is>
      </c>
      <c r="B13" t="inlineStr">
        <is>
          <t>2025년 12월 결산기 1분기 결산단신</t>
        </is>
      </c>
      <c r="C13" t="inlineStr">
        <is>
          <t>https://www2.jpx.co.jp/disc/80600/140120250325599893.pdf</t>
        </is>
      </c>
    </row>
    <row r="14">
      <c r="A14" t="inlineStr">
        <is>
          <t>2025-01-29</t>
        </is>
      </c>
      <c r="B14" t="inlineStr">
        <is>
          <t>2024년 12월 결산기 연간 결산단신</t>
        </is>
      </c>
      <c r="C14" t="inlineStr">
        <is>
          <t>https://www2.jpx.co.jp/disc/80600/140120250122553817.pdf</t>
        </is>
      </c>
    </row>
    <row r="15">
      <c r="A15" t="inlineStr">
        <is>
          <t>2024-10-30</t>
        </is>
      </c>
      <c r="B15" t="inlineStr">
        <is>
          <t>2024년 12월 결산기 3분기 결산단신</t>
        </is>
      </c>
      <c r="C15" t="inlineStr">
        <is>
          <t>https://www2.jpx.co.jp/disc/80600/140120241028504019.pdf</t>
        </is>
      </c>
    </row>
    <row r="16">
      <c r="A16" t="inlineStr">
        <is>
          <t>2024-10-23</t>
        </is>
      </c>
      <c r="B16" t="inlineStr">
        <is>
          <t>2024년 12월 결산기 3분기 결산단신</t>
        </is>
      </c>
      <c r="C16" t="inlineStr">
        <is>
          <t>https://www2.jpx.co.jp/disc/80600/140120241017599325.pdf</t>
        </is>
      </c>
    </row>
    <row r="17">
      <c r="A17" t="inlineStr">
        <is>
          <t>2024-07-24</t>
        </is>
      </c>
      <c r="B17" t="inlineStr">
        <is>
          <t>2024년 12월 결산기 2분기 결산단신</t>
        </is>
      </c>
      <c r="C17" t="inlineStr">
        <is>
          <t>https://www2.jpx.co.jp/disc/80600/140120240724553996.pdf</t>
        </is>
      </c>
    </row>
    <row r="18">
      <c r="A18" t="inlineStr">
        <is>
          <t>2024-04-23</t>
        </is>
      </c>
      <c r="B18" t="inlineStr">
        <is>
          <t>2024년 12월 결산기 1분기 결산단신</t>
        </is>
      </c>
      <c r="C18" t="inlineStr">
        <is>
          <t>https://www2.jpx.co.jp/disc/80600/140120240422573978.pdf</t>
        </is>
      </c>
    </row>
    <row r="19">
      <c r="A19" t="inlineStr">
        <is>
          <t>2024-01-29</t>
        </is>
      </c>
      <c r="B19" t="inlineStr">
        <is>
          <t>2023년 12월 결산기 연간 결산단신</t>
        </is>
      </c>
      <c r="C19" t="inlineStr">
        <is>
          <t>https://www2.jpx.co.jp/disc/80600/140120240129520372.pdf</t>
        </is>
      </c>
    </row>
    <row r="20">
      <c r="A20" t="inlineStr">
        <is>
          <t>2023-01-27</t>
        </is>
      </c>
      <c r="B20" t="inlineStr">
        <is>
          <t>2022년 12월 결산기 연간 결산단신</t>
        </is>
      </c>
      <c r="C20" t="inlineStr">
        <is>
          <t>https://www2.jpx.co.jp/disc/80600/140120230113589442.pdf</t>
        </is>
      </c>
    </row>
    <row r="21">
      <c r="A21" t="inlineStr">
        <is>
          <t>2022-01-26</t>
        </is>
      </c>
      <c r="B21" t="inlineStr">
        <is>
          <t>2021년 12월 결산기 연간 결산단신</t>
        </is>
      </c>
      <c r="C21" t="inlineStr">
        <is>
          <t>https://www2.jpx.co.jp/disc/80600/140120220112566852.pdf</t>
        </is>
      </c>
    </row>
    <row r="22">
      <c r="A22" t="inlineStr">
        <is>
          <t>2021-01-27</t>
        </is>
      </c>
      <c r="B22" t="inlineStr">
        <is>
          <t>2020년 12월 결산기 연간 결산단신</t>
        </is>
      </c>
      <c r="C22" t="inlineStr">
        <is>
          <t>https://www2.jpx.co.jp/disc/80600/140120210109442641.pdf</t>
        </is>
      </c>
    </row>
    <row r="23">
      <c r="A23" t="inlineStr">
        <is>
          <t>2020-01-28</t>
        </is>
      </c>
      <c r="B23" t="inlineStr">
        <is>
          <t>2019년 12월 결산기 연간 결산단신</t>
        </is>
      </c>
      <c r="C23" t="inlineStr">
        <is>
          <t>https://www2.jpx.co.jp/disc/80600/140120191226442392.pdf</t>
        </is>
      </c>
    </row>
    <row r="24">
      <c r="A24" t="inlineStr">
        <is>
          <t>2019-01-29</t>
        </is>
      </c>
      <c r="B24" t="inlineStr">
        <is>
          <t>2018년 12월 결산기 연간 결산단신</t>
        </is>
      </c>
      <c r="C24" t="inlineStr">
        <is>
          <t>https://www2.jpx.co.jp/disc/80600/140120181226454715.pdf</t>
        </is>
      </c>
    </row>
    <row r="25">
      <c r="A25" t="inlineStr">
        <is>
          <t>2018-01-29</t>
        </is>
      </c>
      <c r="B25" t="inlineStr">
        <is>
          <t>연간 결산단신</t>
        </is>
      </c>
      <c r="C25" t="inlineStr">
        <is>
          <t>https://www2.jpx.co.jp/disc/80600/140120171201428939.pdf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2026-10-26T07:53:51Z</dcterms:created>
  <dcterms:modified xmlns:dcterms="http://purl.org/dc/terms/" xmlns:xsi="http://www.w3.org/2001/XMLSchema-instance" xsi:type="dcterms:W3CDTF">2026-10-26T07:53:52Z</dcterms:modified>
</cp:coreProperties>
</file>