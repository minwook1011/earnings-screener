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6923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129235</v>
      </c>
      <c r="D4" s="12" t="n">
        <v>-182205</v>
      </c>
      <c r="E4" s="12" t="n">
        <v>121441</v>
      </c>
      <c r="F4" s="12" t="n">
        <v>122546</v>
      </c>
      <c r="G4" s="12" t="n">
        <v>131910</v>
      </c>
      <c r="H4" s="12" t="n">
        <v>133668</v>
      </c>
      <c r="I4" s="12" t="n">
        <v>119838</v>
      </c>
      <c r="J4" s="12" t="n">
        <v>128636</v>
      </c>
      <c r="K4" s="12" t="n">
        <v>131813</v>
      </c>
      <c r="L4" s="12" t="n">
        <v>138169</v>
      </c>
      <c r="M4" s="12" t="n">
        <v>145856</v>
      </c>
      <c r="N4" s="12" t="n">
        <v>157237</v>
      </c>
      <c r="O4" s="11" t="n">
        <v>388560</v>
      </c>
      <c r="P4" s="12" t="n">
        <v>442165</v>
      </c>
      <c r="Q4" s="12" t="n">
        <v>434124</v>
      </c>
      <c r="R4" s="12" t="n">
        <v>391622</v>
      </c>
      <c r="S4" s="12" t="n">
        <v>159474</v>
      </c>
      <c r="T4" s="12" t="n">
        <v>160429</v>
      </c>
      <c r="U4" s="12" t="n">
        <v>164864</v>
      </c>
      <c r="V4" s="12" t="n">
        <v>173193</v>
      </c>
      <c r="W4" s="12" t="n">
        <v>509565</v>
      </c>
      <c r="X4" s="12" t="n">
        <v>518456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AutomotiveEquipmentBusinessReportableSegmentsMember</t>
        </is>
      </c>
      <c r="B7" s="10" t="n"/>
      <c r="C7" s="19" t="n">
        <v>106506</v>
      </c>
      <c r="D7" s="20" t="n">
        <v>95500</v>
      </c>
      <c r="E7" s="20" t="n">
        <v>104438</v>
      </c>
      <c r="F7" s="20" t="n">
        <v>104749</v>
      </c>
      <c r="G7" s="20" t="n">
        <v>113698</v>
      </c>
      <c r="H7" s="20" t="n">
        <v>115588</v>
      </c>
      <c r="I7" s="20" t="n">
        <v>102632</v>
      </c>
      <c r="J7" s="20" t="n">
        <v>110730</v>
      </c>
      <c r="K7" s="20" t="n">
        <v>114172</v>
      </c>
      <c r="L7" s="20" t="n">
        <v>117681</v>
      </c>
      <c r="M7" s="20" t="n">
        <v>111139</v>
      </c>
      <c r="N7" s="20" t="n">
        <v>115257</v>
      </c>
      <c r="O7" s="19" t="n"/>
      <c r="P7" s="20" t="n"/>
      <c r="Q7" s="20" t="n"/>
      <c r="R7" s="20" t="n"/>
      <c r="S7" s="20" t="n"/>
      <c r="T7" s="20" t="n"/>
      <c r="U7" s="20" t="n"/>
      <c r="V7" s="20" t="n">
        <v>386174</v>
      </c>
      <c r="W7" s="20" t="n">
        <v>438473</v>
      </c>
      <c r="X7" s="20" t="n">
        <v>445215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ElectricComponentsBusinessReportableSegmentsMember</t>
        </is>
      </c>
      <c r="B10" s="10" t="n"/>
      <c r="C10" s="19" t="n">
        <v>5424</v>
      </c>
      <c r="D10" s="20" t="n">
        <v>5095</v>
      </c>
      <c r="E10" s="20" t="n">
        <v>4831</v>
      </c>
      <c r="F10" s="20" t="n">
        <v>4762</v>
      </c>
      <c r="G10" s="20" t="n">
        <v>4795</v>
      </c>
      <c r="H10" s="20" t="n">
        <v>4956</v>
      </c>
      <c r="I10" s="20" t="n">
        <v>4598</v>
      </c>
      <c r="J10" s="20" t="n">
        <v>4927</v>
      </c>
      <c r="K10" s="20" t="n">
        <v>4970</v>
      </c>
      <c r="L10" s="20" t="n">
        <v>5861</v>
      </c>
      <c r="M10" s="20" t="n">
        <v>5180</v>
      </c>
      <c r="N10" s="20" t="n">
        <v>5282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21724</v>
      </c>
      <c r="W10" s="20" t="n">
        <v>19344</v>
      </c>
      <c r="X10" s="20" t="n">
        <v>20356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AppliedElectronicProductsBisinessReportableSegmentsMember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64423</v>
      </c>
      <c r="W13" s="20" t="n">
        <v>51742</v>
      </c>
      <c r="X13" s="20" t="n">
        <v>52879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OtherReportableSegmentsMember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75</v>
      </c>
      <c r="W16" s="20" t="n">
        <v>4</v>
      </c>
      <c r="X16" s="20" t="n">
        <v>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AppliedElectronicProductsBusinessReportableSegmentsMember</t>
        </is>
      </c>
      <c r="B19" s="10" t="n"/>
      <c r="C19" s="19" t="n">
        <v>17299</v>
      </c>
      <c r="D19" s="20" t="n"/>
      <c r="E19" s="20" t="n">
        <v>12166</v>
      </c>
      <c r="F19" s="20" t="n">
        <v>13040</v>
      </c>
      <c r="G19" s="20" t="n">
        <v>13415</v>
      </c>
      <c r="H19" s="20" t="n"/>
      <c r="I19" s="20" t="n">
        <v>12607</v>
      </c>
      <c r="J19" s="20" t="n">
        <v>12974</v>
      </c>
      <c r="K19" s="20" t="n">
        <v>12668</v>
      </c>
      <c r="L19" s="20" t="n"/>
      <c r="M19" s="20" t="n">
        <v>29535</v>
      </c>
      <c r="N19" s="20" t="n">
        <v>36684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>
        <v>7</v>
      </c>
      <c r="D22" s="20" t="n"/>
      <c r="E22" s="20" t="n">
        <v>4</v>
      </c>
      <c r="F22" s="20" t="n">
        <v>-4</v>
      </c>
      <c r="G22" s="20" t="n">
        <v>2</v>
      </c>
      <c r="H22" s="20" t="n"/>
      <c r="I22" s="20" t="n">
        <v>0</v>
      </c>
      <c r="J22" s="20" t="n">
        <v>4</v>
      </c>
      <c r="K22" s="20" t="n">
        <v>3</v>
      </c>
      <c r="L22" s="20" t="n"/>
      <c r="M22" s="20" t="n">
        <v>0</v>
      </c>
      <c r="N22" s="20" t="n">
        <v>13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EntityTotalMember</t>
        </is>
      </c>
      <c r="B25" s="10" t="n"/>
      <c r="C25" s="19" t="n"/>
      <c r="D25" s="20" t="n"/>
      <c r="E25" s="20" t="n">
        <v>121441</v>
      </c>
      <c r="F25" s="20" t="n"/>
      <c r="G25" s="20" t="n"/>
      <c r="H25" s="20" t="n"/>
      <c r="I25" s="20" t="n">
        <v>119838</v>
      </c>
      <c r="J25" s="20" t="n"/>
      <c r="K25" s="20" t="n"/>
      <c r="L25" s="20" t="n"/>
      <c r="M25" s="20" t="n">
        <v>145856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103480</v>
      </c>
      <c r="D29" s="20" t="n">
        <v>-146312</v>
      </c>
      <c r="E29" s="20" t="n">
        <v>97951</v>
      </c>
      <c r="F29" s="20" t="n">
        <v>99820</v>
      </c>
      <c r="G29" s="20" t="n">
        <v>102111</v>
      </c>
      <c r="H29" s="20" t="n">
        <v>104010</v>
      </c>
      <c r="I29" s="20" t="n">
        <v>96138</v>
      </c>
      <c r="J29" s="20" t="n">
        <v>103249</v>
      </c>
      <c r="K29" s="20" t="n">
        <v>104588</v>
      </c>
      <c r="L29" s="20" t="n">
        <v>106606</v>
      </c>
      <c r="M29" s="20" t="n">
        <v>112333</v>
      </c>
      <c r="N29" s="20" t="n">
        <v>121735</v>
      </c>
      <c r="O29" s="19" t="n">
        <v>304477</v>
      </c>
      <c r="P29" s="20" t="n">
        <v>343735</v>
      </c>
      <c r="Q29" s="20" t="n">
        <v>334570</v>
      </c>
      <c r="R29" s="20" t="n">
        <v>323199</v>
      </c>
      <c r="S29" s="20" t="n">
        <v>129023</v>
      </c>
      <c r="T29" s="20" t="n">
        <v>135467</v>
      </c>
      <c r="U29" s="20" t="n">
        <v>130829</v>
      </c>
      <c r="V29" s="20" t="n">
        <v>145624</v>
      </c>
      <c r="W29" s="20" t="n">
        <v>403892</v>
      </c>
      <c r="X29" s="20" t="n">
        <v>410581</v>
      </c>
      <c r="Y29" s="19" t="n"/>
      <c r="Z29" s="20" t="n"/>
      <c r="AA29" s="20" t="n"/>
      <c r="AB29" s="20" t="n"/>
      <c r="AC29" s="20" t="n"/>
    </row>
    <row r="30">
      <c r="A30" s="18" t="inlineStr">
        <is>
          <t>매출총이익</t>
        </is>
      </c>
      <c r="B30" s="10" t="n"/>
      <c r="C30" s="19">
        <f>IF(OR(C4="",C29=""),"",IFERROR(C4-C29,""))</f>
        <v/>
      </c>
      <c r="D30" s="20">
        <f>IF(OR(D4="",D29=""),"",IFERROR(D4-D29,""))</f>
        <v/>
      </c>
      <c r="E30" s="20">
        <f>IF(OR(E4="",E29=""),"",IFERROR(E4-E29,""))</f>
        <v/>
      </c>
      <c r="F30" s="20">
        <f>IF(OR(F4="",F29=""),"",IFERROR(F4-F29,""))</f>
        <v/>
      </c>
      <c r="G30" s="20">
        <f>IF(OR(G4="",G29=""),"",IFERROR(G4-G29,""))</f>
        <v/>
      </c>
      <c r="H30" s="20">
        <f>IF(OR(H4="",H29=""),"",IFERROR(H4-H29,""))</f>
        <v/>
      </c>
      <c r="I30" s="20">
        <f>IF(OR(I4="",I29=""),"",IFERROR(I4-I29,""))</f>
        <v/>
      </c>
      <c r="J30" s="20">
        <f>IF(OR(J4="",J29=""),"",IFERROR(J4-J29,""))</f>
        <v/>
      </c>
      <c r="K30" s="20">
        <f>IF(OR(K4="",K29=""),"",IFERROR(K4-K29,""))</f>
        <v/>
      </c>
      <c r="L30" s="20">
        <f>IF(OR(L4="",L29=""),"",IFERROR(L4-L29,""))</f>
        <v/>
      </c>
      <c r="M30" s="20">
        <f>IF(OR(M4="",M29=""),"",IFERROR(M4-M29,""))</f>
        <v/>
      </c>
      <c r="N30" s="20">
        <f>IF(OR(N4="",N29=""),"",IFERROR(N4-N29,""))</f>
        <v/>
      </c>
      <c r="O30" s="19">
        <f>IF(OR(O4="",O29=""),"",IFERROR(O4-O29,""))</f>
        <v/>
      </c>
      <c r="P30" s="20">
        <f>IF(OR(P4="",P29=""),"",IFERROR(P4-P29,""))</f>
        <v/>
      </c>
      <c r="Q30" s="20">
        <f>IF(OR(Q4="",Q29=""),"",IFERROR(Q4-Q29,""))</f>
        <v/>
      </c>
      <c r="R30" s="20">
        <f>IF(OR(R4="",R29=""),"",IFERROR(R4-R29,""))</f>
        <v/>
      </c>
      <c r="S30" s="20">
        <f>IF(OR(S4="",S29=""),"",IFERROR(S4-S29,""))</f>
        <v/>
      </c>
      <c r="T30" s="20">
        <f>IF(OR(T4="",T29=""),"",IFERROR(T4-T29,""))</f>
        <v/>
      </c>
      <c r="U30" s="20">
        <f>IF(OR(U4="",U29=""),"",IFERROR(U4-U29,""))</f>
        <v/>
      </c>
      <c r="V30" s="20">
        <f>IF(OR(V4="",V29=""),"",IFERROR(V4-V29,""))</f>
        <v/>
      </c>
      <c r="W30" s="20">
        <f>IF(OR(W4="",W29=""),"",IFERROR(W4-W29,""))</f>
        <v/>
      </c>
      <c r="X30" s="20">
        <f>IF(OR(X4="",X29=""),"",IFERROR(X4-X29,""))</f>
        <v/>
      </c>
      <c r="Y30" s="19" t="n"/>
      <c r="Z30" s="20" t="n"/>
      <c r="AA30" s="20" t="n"/>
      <c r="AB30" s="20" t="n"/>
      <c r="AC30" s="20" t="n"/>
    </row>
    <row r="31">
      <c r="A31" s="13" t="inlineStr">
        <is>
          <t>GPM</t>
        </is>
      </c>
      <c r="B31" s="10" t="n"/>
      <c r="C31" s="14">
        <f>IF(OR(C30="",C4=""),"",IFERROR(C30/C4,""))</f>
        <v/>
      </c>
      <c r="D31" s="15">
        <f>IF(OR(D30="",D4=""),"",IFERROR(D30/D4,""))</f>
        <v/>
      </c>
      <c r="E31" s="15">
        <f>IF(OR(E30="",E4=""),"",IFERROR(E30/E4,""))</f>
        <v/>
      </c>
      <c r="F31" s="15">
        <f>IF(OR(F30="",F4=""),"",IFERROR(F30/F4,""))</f>
        <v/>
      </c>
      <c r="G31" s="15">
        <f>IF(OR(G30="",G4=""),"",IFERROR(G30/G4,""))</f>
        <v/>
      </c>
      <c r="H31" s="15">
        <f>IF(OR(H30="",H4=""),"",IFERROR(H30/H4,""))</f>
        <v/>
      </c>
      <c r="I31" s="15">
        <f>IF(OR(I30="",I4=""),"",IFERROR(I30/I4,""))</f>
        <v/>
      </c>
      <c r="J31" s="15">
        <f>IF(OR(J30="",J4=""),"",IFERROR(J30/J4,""))</f>
        <v/>
      </c>
      <c r="K31" s="15">
        <f>IF(OR(K30="",K4=""),"",IFERROR(K30/K4,""))</f>
        <v/>
      </c>
      <c r="L31" s="15">
        <f>IF(OR(L30="",L4=""),"",IFERROR(L30/L4,""))</f>
        <v/>
      </c>
      <c r="M31" s="15">
        <f>IF(OR(M30="",M4=""),"",IFERROR(M30/M4,""))</f>
        <v/>
      </c>
      <c r="N31" s="15">
        <f>IF(OR(N30="",N4=""),"",IFERROR(N30/N4,""))</f>
        <v/>
      </c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>
        <f>IF(OR(Y30="",Y4=""),"",IFERROR(Y30/Y4,""))</f>
        <v/>
      </c>
      <c r="Z31" s="15">
        <f>IF(OR(Z30="",Z4=""),"",IFERROR(Z30/Z4,""))</f>
        <v/>
      </c>
      <c r="AA31" s="15">
        <f>IF(OR(AA30="",AA4=""),"",IFERROR(AA30/AA4,""))</f>
        <v/>
      </c>
      <c r="AB31" s="15">
        <f>IF(OR(AB30="",AB4=""),"",IFERROR(AB30/AB4,""))</f>
        <v/>
      </c>
      <c r="AC31" s="15">
        <f>IF(OR(AC30="",AC4=""),"",IFERROR(AC30/AC4,""))</f>
        <v/>
      </c>
    </row>
    <row r="32">
      <c r="A32" s="23" t="inlineStr">
        <is>
          <t>판매관리비</t>
        </is>
      </c>
      <c r="B32" s="23" t="n"/>
      <c r="C32" s="24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</row>
    <row r="33">
      <c r="A33" s="18" t="inlineStr">
        <is>
          <t>전체 판관비</t>
        </is>
      </c>
      <c r="B33" s="10" t="n"/>
      <c r="C33" s="19" t="n">
        <v>12418</v>
      </c>
      <c r="D33" s="20" t="n">
        <v>-11373</v>
      </c>
      <c r="E33" s="20" t="n">
        <v>13954</v>
      </c>
      <c r="F33" s="20" t="n">
        <v>13064</v>
      </c>
      <c r="G33" s="20" t="n">
        <v>16046</v>
      </c>
      <c r="H33" s="20" t="n">
        <v>13605</v>
      </c>
      <c r="I33" s="20" t="n">
        <v>15092</v>
      </c>
      <c r="J33" s="20" t="n">
        <v>15532</v>
      </c>
      <c r="K33" s="20" t="n">
        <v>17103</v>
      </c>
      <c r="L33" s="20" t="n">
        <v>17472</v>
      </c>
      <c r="M33" s="20" t="n">
        <v>24762</v>
      </c>
      <c r="N33" s="20" t="n">
        <v>25856</v>
      </c>
      <c r="O33" s="19" t="n">
        <v>41776</v>
      </c>
      <c r="P33" s="20" t="n">
        <v>45260</v>
      </c>
      <c r="Q33" s="20" t="n">
        <v>45626</v>
      </c>
      <c r="R33" s="20" t="n">
        <v>43589</v>
      </c>
      <c r="S33" s="20" t="n">
        <v>23246</v>
      </c>
      <c r="T33" s="20" t="n">
        <v>25244</v>
      </c>
      <c r="U33" s="20" t="n">
        <v>25745</v>
      </c>
      <c r="V33" s="20" t="n">
        <v>24674</v>
      </c>
      <c r="W33" s="20" t="n">
        <v>56669</v>
      </c>
      <c r="X33" s="20" t="n">
        <v>65199</v>
      </c>
      <c r="Y33" s="19" t="n"/>
      <c r="Z33" s="20" t="n"/>
      <c r="AA33" s="20" t="n"/>
      <c r="AB33" s="20" t="n"/>
      <c r="AC33" s="20" t="n"/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13337</v>
      </c>
      <c r="D34" s="12" t="n">
        <v>-24519</v>
      </c>
      <c r="E34" s="12" t="n">
        <v>9535</v>
      </c>
      <c r="F34" s="12" t="n">
        <v>9662</v>
      </c>
      <c r="G34" s="12" t="n">
        <v>13752</v>
      </c>
      <c r="H34" s="12" t="n">
        <v>16053</v>
      </c>
      <c r="I34" s="12" t="n">
        <v>8607</v>
      </c>
      <c r="J34" s="12" t="n">
        <v>9855</v>
      </c>
      <c r="K34" s="12" t="n">
        <v>10122</v>
      </c>
      <c r="L34" s="12" t="n">
        <v>14090</v>
      </c>
      <c r="M34" s="12" t="n">
        <v>8760</v>
      </c>
      <c r="N34" s="12" t="n">
        <v>9645</v>
      </c>
      <c r="O34" s="11" t="n">
        <v>42305</v>
      </c>
      <c r="P34" s="12" t="n">
        <v>53169</v>
      </c>
      <c r="Q34" s="12" t="n">
        <v>53927</v>
      </c>
      <c r="R34" s="12" t="n">
        <v>24833</v>
      </c>
      <c r="S34" s="12" t="n">
        <v>7205</v>
      </c>
      <c r="T34" s="12" t="n">
        <v>-282</v>
      </c>
      <c r="U34" s="12" t="n">
        <v>8288</v>
      </c>
      <c r="V34" s="12" t="n">
        <v>2895</v>
      </c>
      <c r="W34" s="12" t="n">
        <v>49002</v>
      </c>
      <c r="X34" s="12" t="n">
        <v>42674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IF(O33="","",O33)</f>
        <v/>
      </c>
      <c r="P38" s="12">
        <f>IF(P33="","",P33)</f>
        <v/>
      </c>
      <c r="Q38" s="12">
        <f>IF(Q33="","",Q33)</f>
        <v/>
      </c>
      <c r="R38" s="12">
        <f>IF(R33="","",R33)</f>
        <v/>
      </c>
      <c r="S38" s="12">
        <f>IF(S33="","",S33)</f>
        <v/>
      </c>
      <c r="T38" s="12">
        <f>IF(T33="","",T33)</f>
        <v/>
      </c>
      <c r="U38" s="12">
        <f>IF(U33="","",U33)</f>
        <v/>
      </c>
      <c r="V38" s="12">
        <f>IF(V33="","",V33)</f>
        <v/>
      </c>
      <c r="W38" s="12">
        <f>IF(W33="","",W33)</f>
        <v/>
      </c>
      <c r="X38" s="12">
        <f>IF(X33="","",X33)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2540</v>
      </c>
      <c r="D50" s="20" t="n">
        <v>3611</v>
      </c>
      <c r="E50" s="20" t="n">
        <v>10079</v>
      </c>
      <c r="F50" s="20" t="n">
        <v>209</v>
      </c>
      <c r="G50" s="20" t="n">
        <v>461</v>
      </c>
      <c r="H50" s="20" t="n">
        <v>3547</v>
      </c>
      <c r="I50" s="20" t="n">
        <v>16</v>
      </c>
      <c r="J50" s="20" t="n">
        <v>54</v>
      </c>
      <c r="K50" s="20" t="n">
        <v>7134</v>
      </c>
      <c r="L50" s="20" t="n">
        <v>2936</v>
      </c>
      <c r="M50" s="20" t="n">
        <v>1292</v>
      </c>
      <c r="N50" s="20" t="n">
        <v>31</v>
      </c>
      <c r="O50" s="19" t="n">
        <v>66</v>
      </c>
      <c r="P50" s="20" t="n">
        <v>112</v>
      </c>
      <c r="Q50" s="20" t="n">
        <v>37</v>
      </c>
      <c r="R50" s="20" t="n">
        <v>19</v>
      </c>
      <c r="S50" s="20" t="n">
        <v>10</v>
      </c>
      <c r="T50" s="20" t="n">
        <v>542</v>
      </c>
      <c r="U50" s="20" t="n">
        <v>2160</v>
      </c>
      <c r="V50" s="20" t="n">
        <v>6221</v>
      </c>
      <c r="W50" s="20" t="n">
        <v>14296</v>
      </c>
      <c r="X50" s="20" t="n">
        <v>10140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6739</v>
      </c>
      <c r="D52" s="20" t="n">
        <v>-9141</v>
      </c>
      <c r="E52" s="20" t="n">
        <v>3407</v>
      </c>
      <c r="F52" s="20" t="n">
        <v>7905</v>
      </c>
      <c r="G52" s="20" t="n">
        <v>3482</v>
      </c>
      <c r="H52" s="20" t="n">
        <v>1926</v>
      </c>
      <c r="I52" s="20" t="n">
        <v>238</v>
      </c>
      <c r="J52" s="20" t="n">
        <v>1072</v>
      </c>
      <c r="K52" s="20" t="n">
        <v>1039</v>
      </c>
      <c r="L52" s="20" t="n">
        <v>2439</v>
      </c>
      <c r="M52" s="20" t="n">
        <v>467</v>
      </c>
      <c r="N52" s="20" t="n">
        <v>544</v>
      </c>
      <c r="O52" s="19" t="n">
        <v>1842</v>
      </c>
      <c r="P52" s="20" t="n">
        <v>4184</v>
      </c>
      <c r="Q52" s="20" t="n">
        <v>1336</v>
      </c>
      <c r="R52" s="20" t="n">
        <v>1429</v>
      </c>
      <c r="S52" s="20" t="n">
        <v>2621</v>
      </c>
      <c r="T52" s="20" t="n">
        <v>208</v>
      </c>
      <c r="U52" s="20" t="n">
        <v>985</v>
      </c>
      <c r="V52" s="20" t="n">
        <v>1728</v>
      </c>
      <c r="W52" s="20" t="n">
        <v>16720</v>
      </c>
      <c r="X52" s="20" t="n">
        <v>4788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1574</v>
      </c>
      <c r="D54" s="20" t="n">
        <v>6840</v>
      </c>
      <c r="E54" s="20" t="n">
        <v>2513</v>
      </c>
      <c r="F54" s="20" t="n">
        <v>2207</v>
      </c>
      <c r="G54" s="20" t="n">
        <v>1604</v>
      </c>
      <c r="H54" s="20" t="n">
        <v>3358</v>
      </c>
      <c r="I54" s="20" t="n">
        <v>1863</v>
      </c>
      <c r="J54" s="20" t="n">
        <v>2544</v>
      </c>
      <c r="K54" s="20" t="n">
        <v>1900</v>
      </c>
      <c r="L54" s="20" t="n">
        <v>3692</v>
      </c>
      <c r="M54" s="20" t="n">
        <v>1704</v>
      </c>
      <c r="N54" s="20" t="n">
        <v>2631</v>
      </c>
      <c r="O54" s="19" t="n">
        <v>4973</v>
      </c>
      <c r="P54" s="20" t="n">
        <v>6404</v>
      </c>
      <c r="Q54" s="20" t="n">
        <v>7990</v>
      </c>
      <c r="R54" s="20" t="n">
        <v>8154</v>
      </c>
      <c r="S54" s="20" t="n">
        <v>21745</v>
      </c>
      <c r="T54" s="20" t="n">
        <v>19411</v>
      </c>
      <c r="U54" s="20" t="n">
        <v>17960</v>
      </c>
      <c r="V54" s="20" t="n">
        <v>14838</v>
      </c>
      <c r="W54" s="20" t="n">
        <v>9682</v>
      </c>
      <c r="X54" s="20" t="n">
        <v>9999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191</v>
      </c>
      <c r="D56" s="20" t="n">
        <v>-81</v>
      </c>
      <c r="E56" s="20" t="n">
        <v>334</v>
      </c>
      <c r="F56" s="20" t="n">
        <v>1646</v>
      </c>
      <c r="G56" s="20" t="n">
        <v>537</v>
      </c>
      <c r="H56" s="20" t="n">
        <v>713</v>
      </c>
      <c r="I56" s="20" t="n">
        <v>240</v>
      </c>
      <c r="J56" s="20" t="n">
        <v>636</v>
      </c>
      <c r="K56" s="20" t="n">
        <v>527</v>
      </c>
      <c r="L56" s="20" t="n">
        <v>418</v>
      </c>
      <c r="M56" s="20" t="n">
        <v>912</v>
      </c>
      <c r="N56" s="20" t="n">
        <v>2595</v>
      </c>
      <c r="O56" s="19" t="n">
        <v>1558</v>
      </c>
      <c r="P56" s="20" t="n">
        <v>1916</v>
      </c>
      <c r="Q56" s="20" t="n">
        <v>902</v>
      </c>
      <c r="R56" s="20" t="n">
        <v>2953</v>
      </c>
      <c r="S56" s="20" t="n">
        <v>485</v>
      </c>
      <c r="T56" s="20" t="n">
        <v>237</v>
      </c>
      <c r="U56" s="20" t="n">
        <v>264</v>
      </c>
      <c r="V56" s="20" t="n">
        <v>426</v>
      </c>
      <c r="W56" s="20" t="n">
        <v>3230</v>
      </c>
      <c r="X56" s="20" t="n">
        <v>1821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10520</v>
      </c>
      <c r="D58" s="12" t="n">
        <v>-4846</v>
      </c>
      <c r="E58" s="12" t="n">
        <v>18386</v>
      </c>
      <c r="F58" s="12" t="n">
        <v>2526</v>
      </c>
      <c r="G58" s="12" t="n">
        <v>11798</v>
      </c>
      <c r="H58" s="12" t="n">
        <v>20320</v>
      </c>
      <c r="I58" s="12" t="n">
        <v>10008</v>
      </c>
      <c r="J58" s="12" t="n">
        <v>10745</v>
      </c>
      <c r="K58" s="12" t="n">
        <v>17589</v>
      </c>
      <c r="L58" s="12" t="n">
        <v>17862</v>
      </c>
      <c r="M58" s="12" t="n">
        <v>10377</v>
      </c>
      <c r="N58" s="12" t="n">
        <v>9168</v>
      </c>
      <c r="O58" s="11" t="n">
        <v>43944</v>
      </c>
      <c r="P58" s="12" t="n">
        <v>53585</v>
      </c>
      <c r="Q58" s="12" t="n">
        <v>59716</v>
      </c>
      <c r="R58" s="12" t="n">
        <v>28624</v>
      </c>
      <c r="S58" s="12" t="n">
        <v>25854</v>
      </c>
      <c r="T58" s="12" t="n">
        <v>19224</v>
      </c>
      <c r="U58" s="12" t="n">
        <v>27160</v>
      </c>
      <c r="V58" s="12" t="n">
        <v>21800</v>
      </c>
      <c r="W58" s="12" t="n">
        <v>53030</v>
      </c>
      <c r="X58" s="12" t="n">
        <v>56204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8" t="inlineStr">
        <is>
          <t>법인세비용(수익)</t>
        </is>
      </c>
      <c r="B59" s="10" t="n"/>
      <c r="C59" s="19" t="n">
        <v>2790</v>
      </c>
      <c r="D59" s="20" t="n">
        <v>-5136</v>
      </c>
      <c r="E59" s="20" t="n">
        <v>3678</v>
      </c>
      <c r="F59" s="20" t="n">
        <v>2224</v>
      </c>
      <c r="G59" s="20" t="n">
        <v>2393</v>
      </c>
      <c r="H59" s="20" t="n">
        <v>4375</v>
      </c>
      <c r="I59" s="20" t="n">
        <v>3217</v>
      </c>
      <c r="J59" s="20" t="n">
        <v>2805</v>
      </c>
      <c r="K59" s="20" t="n">
        <v>4068</v>
      </c>
      <c r="L59" s="20" t="n">
        <v>3835</v>
      </c>
      <c r="M59" s="20" t="n">
        <v>4181</v>
      </c>
      <c r="N59" s="20" t="n">
        <v>2056</v>
      </c>
      <c r="O59" s="19" t="n">
        <v>10399</v>
      </c>
      <c r="P59" s="20" t="n">
        <v>11712</v>
      </c>
      <c r="Q59" s="20" t="n">
        <v>13688</v>
      </c>
      <c r="R59" s="20" t="n">
        <v>5038</v>
      </c>
      <c r="S59" s="20" t="n">
        <v>4442</v>
      </c>
      <c r="T59" s="20" t="n">
        <v>2750</v>
      </c>
      <c r="U59" s="20" t="n">
        <v>3503</v>
      </c>
      <c r="V59" s="20" t="n">
        <v>2852</v>
      </c>
      <c r="W59" s="20" t="n">
        <v>12670</v>
      </c>
      <c r="X59" s="20" t="n">
        <v>13925</v>
      </c>
      <c r="Y59" s="19">
        <f>IF(OR(Y58="",Y60=""),"",IFERROR(MAX(Y58,0)*Y60,""))</f>
        <v/>
      </c>
      <c r="Z59" s="20">
        <f>IF(OR(Z58="",Z60=""),"",IFERROR(MAX(Z58,0)*Z60,""))</f>
        <v/>
      </c>
      <c r="AA59" s="20">
        <f>IF(OR(AA58="",AA60=""),"",IFERROR(MAX(AA58,0)*AA60,""))</f>
        <v/>
      </c>
      <c r="AB59" s="20">
        <f>IF(OR(AB58="",AB60=""),"",IFERROR(MAX(AB58,0)*AB60,""))</f>
        <v/>
      </c>
      <c r="AC59" s="20">
        <f>IF(OR(AC58="",AC60=""),"",IFERROR(MAX(AC58,0)*AC60,""))</f>
        <v/>
      </c>
    </row>
    <row r="60">
      <c r="A60" s="13" t="inlineStr">
        <is>
          <t>법인세율</t>
        </is>
      </c>
      <c r="B60" s="10" t="inlineStr">
        <is>
          <t>MW 기본 30%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0.3</v>
      </c>
      <c r="Z60" s="26" t="n">
        <v>0.3</v>
      </c>
      <c r="AA60" s="26" t="n">
        <v>0.3</v>
      </c>
      <c r="AB60" s="26" t="n">
        <v>0.3</v>
      </c>
      <c r="AC60" s="26" t="n">
        <v>0.3</v>
      </c>
    </row>
    <row r="61">
      <c r="A61" s="9" t="inlineStr">
        <is>
          <t>당기순이익(손실)</t>
        </is>
      </c>
      <c r="B61" s="10" t="n"/>
      <c r="C61" s="11" t="n">
        <v>7730</v>
      </c>
      <c r="D61" s="12" t="n">
        <v>290</v>
      </c>
      <c r="E61" s="12" t="n">
        <v>14707</v>
      </c>
      <c r="F61" s="12" t="n">
        <v>302</v>
      </c>
      <c r="G61" s="12" t="n">
        <v>9406</v>
      </c>
      <c r="H61" s="12" t="n">
        <v>15945</v>
      </c>
      <c r="I61" s="12" t="n">
        <v>6790</v>
      </c>
      <c r="J61" s="12" t="n">
        <v>7941</v>
      </c>
      <c r="K61" s="12" t="n">
        <v>13521</v>
      </c>
      <c r="L61" s="12" t="n">
        <v>14027</v>
      </c>
      <c r="M61" s="12" t="n">
        <v>6195</v>
      </c>
      <c r="N61" s="12" t="n">
        <v>7113</v>
      </c>
      <c r="O61" s="11" t="n">
        <v>33545</v>
      </c>
      <c r="P61" s="12" t="n">
        <v>41873</v>
      </c>
      <c r="Q61" s="12" t="n">
        <v>46027</v>
      </c>
      <c r="R61" s="12" t="n">
        <v>23585</v>
      </c>
      <c r="S61" s="12" t="n">
        <v>21411</v>
      </c>
      <c r="T61" s="12" t="n">
        <v>16473</v>
      </c>
      <c r="U61" s="12" t="n">
        <v>23657</v>
      </c>
      <c r="V61" s="12" t="n">
        <v>18947</v>
      </c>
      <c r="W61" s="12" t="n">
        <v>40360</v>
      </c>
      <c r="X61" s="12" t="n">
        <v>42279</v>
      </c>
      <c r="Y61" s="11">
        <f>IF(OR(Y58=""),"",IFERROR(Y58-Y59,""))</f>
        <v/>
      </c>
      <c r="Z61" s="12">
        <f>IF(OR(Z58=""),"",IFERROR(Z58-Z59,""))</f>
        <v/>
      </c>
      <c r="AA61" s="12">
        <f>IF(OR(AA58=""),"",IFERROR(AA58-AA59,""))</f>
        <v/>
      </c>
      <c r="AB61" s="12">
        <f>IF(OR(AB58=""),"",IFERROR(AB58-AB59,""))</f>
        <v/>
      </c>
      <c r="AC61" s="12">
        <f>IF(OR(AC58=""),"",IFERROR(AC58-AC59,""))</f>
        <v/>
      </c>
    </row>
    <row r="62">
      <c r="A62" s="9" t="inlineStr">
        <is>
          <t>지배주주 순이익</t>
        </is>
      </c>
      <c r="B62" s="10" t="n"/>
      <c r="C62" s="11" t="n">
        <v>5806</v>
      </c>
      <c r="D62" s="12" t="n">
        <v>12676</v>
      </c>
      <c r="E62" s="12" t="n">
        <v>12381</v>
      </c>
      <c r="F62" s="12" t="n">
        <v>-1003</v>
      </c>
      <c r="G62" s="12" t="n">
        <v>7589</v>
      </c>
      <c r="H62" s="12" t="n">
        <v>13091</v>
      </c>
      <c r="I62" s="12" t="n">
        <v>5156</v>
      </c>
      <c r="J62" s="12" t="n">
        <v>5006</v>
      </c>
      <c r="K62" s="12" t="n">
        <v>11204</v>
      </c>
      <c r="L62" s="12" t="n">
        <v>11447</v>
      </c>
      <c r="M62" s="12" t="n">
        <v>4140</v>
      </c>
      <c r="N62" s="12" t="n">
        <v>4517</v>
      </c>
      <c r="O62" s="11" t="n">
        <v>28685</v>
      </c>
      <c r="P62" s="12" t="n">
        <v>36008</v>
      </c>
      <c r="Q62" s="12" t="n">
        <v>40265</v>
      </c>
      <c r="R62" s="12" t="n">
        <v>18550</v>
      </c>
      <c r="S62" s="12" t="n">
        <v>22918</v>
      </c>
      <c r="T62" s="12" t="n">
        <v>21445</v>
      </c>
      <c r="U62" s="12" t="n">
        <v>26496</v>
      </c>
      <c r="V62" s="12" t="n">
        <v>26497</v>
      </c>
      <c r="W62" s="12" t="n">
        <v>32058</v>
      </c>
      <c r="X62" s="12" t="n">
        <v>32813</v>
      </c>
      <c r="Y62" s="11">
        <f>IF(OR(Y61="",Y63=""),"",IFERROR(Y61*Y63,""))</f>
        <v/>
      </c>
      <c r="Z62" s="12">
        <f>IF(OR(Z61="",Z63=""),"",IFERROR(Z61*Z63,""))</f>
        <v/>
      </c>
      <c r="AA62" s="12">
        <f>IF(OR(AA61="",AA63=""),"",IFERROR(AA61*AA63,""))</f>
        <v/>
      </c>
      <c r="AB62" s="12">
        <f>IF(OR(AB61="",AB63=""),"",IFERROR(AB61*AB63,""))</f>
        <v/>
      </c>
      <c r="AC62" s="12">
        <f>IF(OR(AC61="",AC63=""),"",IFERROR(AC61*AC63,""))</f>
        <v/>
      </c>
    </row>
    <row r="63">
      <c r="A63" s="13" t="inlineStr">
        <is>
          <t>지배주주 순이익률</t>
        </is>
      </c>
      <c r="B63" s="10" t="inlineStr">
        <is>
          <t>MW 기본 100%</t>
        </is>
      </c>
      <c r="C63" s="14">
        <f>IF(OR(C62="",C61=""),"",IFERROR(C62/C61,""))</f>
        <v/>
      </c>
      <c r="D63" s="15">
        <f>IF(OR(D62="",D61=""),"",IFERROR(D62/D61,""))</f>
        <v/>
      </c>
      <c r="E63" s="15">
        <f>IF(OR(E62="",E61=""),"",IFERROR(E62/E61,""))</f>
        <v/>
      </c>
      <c r="F63" s="15">
        <f>IF(OR(F62="",F61=""),"",IFERROR(F62/F61,""))</f>
        <v/>
      </c>
      <c r="G63" s="15">
        <f>IF(OR(G62="",G61=""),"",IFERROR(G62/G61,""))</f>
        <v/>
      </c>
      <c r="H63" s="15">
        <f>IF(OR(H62="",H61=""),"",IFERROR(H62/H61,""))</f>
        <v/>
      </c>
      <c r="I63" s="15">
        <f>IF(OR(I62="",I61=""),"",IFERROR(I62/I61,""))</f>
        <v/>
      </c>
      <c r="J63" s="15">
        <f>IF(OR(J62="",J61=""),"",IFERROR(J62/J61,""))</f>
        <v/>
      </c>
      <c r="K63" s="15">
        <f>IF(OR(K62="",K61=""),"",IFERROR(K62/K61,""))</f>
        <v/>
      </c>
      <c r="L63" s="15">
        <f>IF(OR(L62="",L61=""),"",IFERROR(L62/L61,""))</f>
        <v/>
      </c>
      <c r="M63" s="15">
        <f>IF(OR(M62="",M61=""),"",IFERROR(M62/M61,""))</f>
        <v/>
      </c>
      <c r="N63" s="15">
        <f>IF(OR(N62="",N61=""),"",IFERROR(N62/N61,""))</f>
        <v/>
      </c>
      <c r="O63" s="14">
        <f>IF(OR(O62="",O61=""),"",IFERROR(O62/O61,""))</f>
        <v/>
      </c>
      <c r="P63" s="15">
        <f>IF(OR(P62="",P61=""),"",IFERROR(P62/P61,""))</f>
        <v/>
      </c>
      <c r="Q63" s="15">
        <f>IF(OR(Q62="",Q61=""),"",IFERROR(Q62/Q61,""))</f>
        <v/>
      </c>
      <c r="R63" s="15">
        <f>IF(OR(R62="",R61=""),"",IFERROR(R62/R61,""))</f>
        <v/>
      </c>
      <c r="S63" s="15">
        <f>IF(OR(S62="",S61=""),"",IFERROR(S62/S61,""))</f>
        <v/>
      </c>
      <c r="T63" s="15">
        <f>IF(OR(T62="",T61=""),"",IFERROR(T62/T61,""))</f>
        <v/>
      </c>
      <c r="U63" s="15">
        <f>IF(OR(U62="",U61=""),"",IFERROR(U62/U61,""))</f>
        <v/>
      </c>
      <c r="V63" s="15">
        <f>IF(OR(V62="",V61=""),"",IFERROR(V62/V61,""))</f>
        <v/>
      </c>
      <c r="W63" s="15">
        <f>IF(OR(W62="",W61=""),"",IFERROR(W62/W61,""))</f>
        <v/>
      </c>
      <c r="X63" s="15">
        <f>IF(OR(X62="",X61=""),"",IFERROR(X62/X61,""))</f>
        <v/>
      </c>
      <c r="Y63" s="25" t="n">
        <v>1</v>
      </c>
      <c r="Z63" s="26" t="n">
        <v>1</v>
      </c>
      <c r="AA63" s="26" t="n">
        <v>1</v>
      </c>
      <c r="AB63" s="26" t="n">
        <v>1</v>
      </c>
      <c r="AC63" s="26" t="n">
        <v>1</v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(2026.10.26)</t>
        </is>
      </c>
      <c r="B65" s="27" t="n">
        <v>3360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126000000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IF(O35="","",O35)</f>
        <v/>
      </c>
      <c r="P68" s="15">
        <f>IF(P35="","",P35)</f>
        <v/>
      </c>
      <c r="Q68" s="15">
        <f>IF(Q35="","",Q35)</f>
        <v/>
      </c>
      <c r="R68" s="15">
        <f>IF(R35="","",R35)</f>
        <v/>
      </c>
      <c r="S68" s="15">
        <f>IF(S35="","",S35)</f>
        <v/>
      </c>
      <c r="T68" s="15">
        <f>IF(T35="","",T35)</f>
        <v/>
      </c>
      <c r="U68" s="15">
        <f>IF(U35="","",U35)</f>
        <v/>
      </c>
      <c r="V68" s="15">
        <f>IF(V35="","",V35)</f>
        <v/>
      </c>
      <c r="W68" s="15">
        <f>IF(W35="","",W35)</f>
        <v/>
      </c>
      <c r="X68" s="15">
        <f>IF(X35="","",X35)</f>
        <v/>
      </c>
      <c r="Y68" s="14">
        <f>IF(Y35="","",Y35)</f>
        <v/>
      </c>
      <c r="Z68" s="15">
        <f>IF(Z35="","",Z35)</f>
        <v/>
      </c>
      <c r="AA68" s="15">
        <f>IF(AA35="","",AA35)</f>
        <v/>
      </c>
      <c r="AB68" s="15">
        <f>IF(AB35="","",AB35)</f>
        <v/>
      </c>
      <c r="AC68" s="15">
        <f>IF(AC35="","",AC35)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IF(OR(P62="",O62=""),"",IFERROR(P62/O62-1,""))</f>
        <v/>
      </c>
      <c r="Q69" s="15">
        <f>IF(OR(Q62="",P62=""),"",IFERROR(Q62/P62-1,""))</f>
        <v/>
      </c>
      <c r="R69" s="15">
        <f>IF(OR(R62="",Q62=""),"",IFERROR(R62/Q62-1,""))</f>
        <v/>
      </c>
      <c r="S69" s="15">
        <f>IF(OR(S62="",R62=""),"",IFERROR(S62/R62-1,""))</f>
        <v/>
      </c>
      <c r="T69" s="15">
        <f>IF(OR(T62="",S62=""),"",IFERROR(T62/S62-1,""))</f>
        <v/>
      </c>
      <c r="U69" s="15">
        <f>IF(OR(U62="",T62=""),"",IFERROR(U62/T62-1,""))</f>
        <v/>
      </c>
      <c r="V69" s="15">
        <f>IF(OR(V62="",U62=""),"",IFERROR(V62/U62-1,""))</f>
        <v/>
      </c>
      <c r="W69" s="15">
        <f>IF(OR(W62="",V62=""),"",IFERROR(W62/V62-1,""))</f>
        <v/>
      </c>
      <c r="X69" s="15">
        <f>IF(OR(X62="",W62=""),"",IFERROR(X62/W62-1,""))</f>
        <v/>
      </c>
      <c r="Y69" s="14">
        <f>IF(OR(Y62="",X62=""),"",IFERROR(Y62/X62-1,""))</f>
        <v/>
      </c>
      <c r="Z69" s="15">
        <f>IF(OR(Z62="",Y62=""),"",IFERROR(Z62/Y62-1,""))</f>
        <v/>
      </c>
      <c r="AA69" s="15">
        <f>IF(OR(AA62="",Z62=""),"",IFERROR(AA62/Z62-1,""))</f>
        <v/>
      </c>
      <c r="AB69" s="15">
        <f>IF(OR(AB62="",AA62=""),"",IFERROR(AB62/AA62-1,""))</f>
        <v/>
      </c>
      <c r="AC69" s="15">
        <f>IF(OR(AC62="",AB62=""),"",IFERROR(AC62/AB62-1,""))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IF(OR($B$67="",X62=""),"",IFERROR($B$67/X62,""))</f>
        <v/>
      </c>
      <c r="Y70" s="30">
        <f>IF(OR($B$67="",Y62=""),"",IFERROR($B$67/Y62,""))</f>
        <v/>
      </c>
      <c r="Z70" s="31">
        <f>IF(OR($B$67="",Z62=""),"",IFERROR($B$67/Z62,""))</f>
        <v/>
      </c>
      <c r="AA70" s="31">
        <f>IF(OR($B$67="",AA62=""),"",IFERROR($B$67/AA62,""))</f>
        <v/>
      </c>
      <c r="AB70" s="31">
        <f>IF(OR($B$67="",AB62=""),"",IFERROR($B$67/AB62,""))</f>
        <v/>
      </c>
      <c r="AC70" s="31">
        <f>IF(OR($B$67="",AC62=""),"",IFERROR($B$67/AC62,""))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IF(OR(O62="",$B$66=""),"",IFERROR(O62*1000000.0/$B$66,""))</f>
        <v/>
      </c>
      <c r="P72" s="29">
        <f>IF(OR(P62="",$B$66=""),"",IFERROR(P62*1000000.0/$B$66,""))</f>
        <v/>
      </c>
      <c r="Q72" s="29">
        <f>IF(OR(Q62="",$B$66=""),"",IFERROR(Q62*1000000.0/$B$66,""))</f>
        <v/>
      </c>
      <c r="R72" s="29">
        <f>IF(OR(R62="",$B$66=""),"",IFERROR(R62*1000000.0/$B$66,""))</f>
        <v/>
      </c>
      <c r="S72" s="29">
        <f>IF(OR(S62="",$B$66=""),"",IFERROR(S62*1000000.0/$B$66,""))</f>
        <v/>
      </c>
      <c r="T72" s="29">
        <f>IF(OR(T62="",$B$66=""),"",IFERROR(T62*1000000.0/$B$66,""))</f>
        <v/>
      </c>
      <c r="U72" s="29">
        <f>IF(OR(U62="",$B$66=""),"",IFERROR(U62*1000000.0/$B$66,""))</f>
        <v/>
      </c>
      <c r="V72" s="29">
        <f>IF(OR(V62="",$B$66=""),"",IFERROR(V62*1000000.0/$B$66,""))</f>
        <v/>
      </c>
      <c r="W72" s="29">
        <f>IF(OR(W62="",$B$66=""),"",IFERROR(W62*1000000.0/$B$66,""))</f>
        <v/>
      </c>
      <c r="X72" s="29">
        <f>IF(OR(X62="",$B$66=""),"",IFERROR(X62*1000000.0/$B$66,""))</f>
        <v/>
      </c>
      <c r="Y72" s="28">
        <f>IF(OR(Y62="",$B$66=""),"",IFERROR(Y62*1000000.0/$B$66,""))</f>
        <v/>
      </c>
      <c r="Z72" s="29">
        <f>IF(OR(Z62="",$B$66=""),"",IFERROR(Z62*1000000.0/$B$66,""))</f>
        <v/>
      </c>
      <c r="AA72" s="29">
        <f>IF(OR(AA62="",$B$66=""),"",IFERROR(AA62*1000000.0/$B$66,""))</f>
        <v/>
      </c>
      <c r="AB72" s="29">
        <f>IF(OR(AB62="",$B$66=""),"",IFERROR(AB62*1000000.0/$B$66,""))</f>
        <v/>
      </c>
      <c r="AC72" s="29">
        <f>IF(OR(AC62="",$B$66=""),"",IFERROR(AC62*1000000.0/$B$66,""))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IF(OR(Y62="",Y71=""),"",IFERROR(Y62*Y71,""))</f>
        <v/>
      </c>
      <c r="Z84" s="20">
        <f>IF(OR(Z62="",Z71=""),"",IFERROR(Z62*Z71,""))</f>
        <v/>
      </c>
      <c r="AA84" s="20">
        <f>IF(OR(AA62="",AA71=""),"",IFERROR(AA62*AA71,""))</f>
        <v/>
      </c>
      <c r="AB84" s="20">
        <f>IF(OR(AB62="",AB71=""),"",IFERROR(AB62*AB71,""))</f>
        <v/>
      </c>
      <c r="AC84" s="20">
        <f>IF(OR(AC62="",AC71=""),"",IFERROR(AC62*AC71,""))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2026.10.26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129235</v>
      </c>
      <c r="D96" s="12" t="n">
        <v>-182205</v>
      </c>
      <c r="E96" s="12" t="n">
        <v>121441</v>
      </c>
      <c r="F96" s="12" t="n">
        <v>122546</v>
      </c>
      <c r="G96" s="12" t="n">
        <v>131910</v>
      </c>
      <c r="H96" s="12" t="n">
        <v>133668</v>
      </c>
      <c r="I96" s="12" t="n">
        <v>119838</v>
      </c>
      <c r="J96" s="12" t="n">
        <v>128636</v>
      </c>
      <c r="K96" s="12" t="n">
        <v>131813</v>
      </c>
      <c r="L96" s="12" t="n">
        <v>138169</v>
      </c>
      <c r="M96" s="12" t="n">
        <v>145856</v>
      </c>
      <c r="N96" s="12" t="n">
        <v>157237</v>
      </c>
      <c r="T96" s="12" t="n">
        <v>-119434</v>
      </c>
      <c r="U96" s="12" t="n">
        <v>-159086</v>
      </c>
      <c r="V96" s="12" t="n">
        <v>-182205</v>
      </c>
      <c r="W96" s="12" t="n">
        <v>133668</v>
      </c>
      <c r="X96" s="12" t="n">
        <v>138169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103480</v>
      </c>
      <c r="D98" s="20" t="n">
        <v>-146312</v>
      </c>
      <c r="E98" s="20" t="n">
        <v>97951</v>
      </c>
      <c r="F98" s="20" t="n">
        <v>99820</v>
      </c>
      <c r="G98" s="20" t="n">
        <v>102111</v>
      </c>
      <c r="H98" s="20" t="n">
        <v>104010</v>
      </c>
      <c r="I98" s="20" t="n">
        <v>96138</v>
      </c>
      <c r="J98" s="20" t="n">
        <v>103249</v>
      </c>
      <c r="K98" s="20" t="n">
        <v>104588</v>
      </c>
      <c r="L98" s="20" t="n">
        <v>106606</v>
      </c>
      <c r="M98" s="20" t="n">
        <v>112333</v>
      </c>
      <c r="N98" s="20" t="n">
        <v>121735</v>
      </c>
      <c r="T98" s="20" t="n">
        <v>-91252</v>
      </c>
      <c r="U98" s="20" t="n">
        <v>-135335</v>
      </c>
      <c r="V98" s="20" t="n">
        <v>-146312</v>
      </c>
      <c r="W98" s="20" t="n">
        <v>104010</v>
      </c>
      <c r="X98" s="20" t="n">
        <v>106606</v>
      </c>
    </row>
    <row r="99">
      <c r="A99" s="9" t="inlineStr">
        <is>
          <t>매출총이익</t>
        </is>
      </c>
      <c r="C99" s="12" t="n">
        <v>25754</v>
      </c>
      <c r="D99" s="12" t="n">
        <v>-35892</v>
      </c>
      <c r="E99" s="12" t="n">
        <v>23489</v>
      </c>
      <c r="F99" s="12" t="n">
        <v>22726</v>
      </c>
      <c r="G99" s="12" t="n">
        <v>29799</v>
      </c>
      <c r="H99" s="12" t="n">
        <v>29658</v>
      </c>
      <c r="I99" s="12" t="n">
        <v>23700</v>
      </c>
      <c r="J99" s="12" t="n">
        <v>25387</v>
      </c>
      <c r="K99" s="12" t="n">
        <v>27224</v>
      </c>
      <c r="L99" s="12" t="n">
        <v>31563</v>
      </c>
      <c r="M99" s="12" t="n">
        <v>33522</v>
      </c>
      <c r="N99" s="12" t="n">
        <v>35502</v>
      </c>
      <c r="T99" s="12" t="n">
        <v>-28183</v>
      </c>
      <c r="U99" s="12" t="n">
        <v>-23751</v>
      </c>
      <c r="V99" s="12" t="n">
        <v>-35892</v>
      </c>
      <c r="W99" s="12" t="n">
        <v>29658</v>
      </c>
      <c r="X99" s="12" t="n">
        <v>31563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판매비와 관리비</t>
        </is>
      </c>
      <c r="C101" s="20" t="n">
        <v>12418</v>
      </c>
      <c r="D101" s="20" t="n">
        <v>-11373</v>
      </c>
      <c r="E101" s="20" t="n">
        <v>13954</v>
      </c>
      <c r="F101" s="20" t="n">
        <v>13064</v>
      </c>
      <c r="G101" s="20" t="n">
        <v>16046</v>
      </c>
      <c r="H101" s="20" t="n">
        <v>13605</v>
      </c>
      <c r="I101" s="20" t="n">
        <v>15092</v>
      </c>
      <c r="J101" s="20" t="n">
        <v>15532</v>
      </c>
      <c r="K101" s="20" t="n">
        <v>17103</v>
      </c>
      <c r="L101" s="20" t="n">
        <v>17472</v>
      </c>
      <c r="M101" s="20" t="n">
        <v>24762</v>
      </c>
      <c r="N101" s="20" t="n">
        <v>25856</v>
      </c>
      <c r="T101" s="20" t="n">
        <v>-6496</v>
      </c>
      <c r="U101" s="20" t="n">
        <v>-9576</v>
      </c>
      <c r="V101" s="20" t="n">
        <v>-11373</v>
      </c>
      <c r="W101" s="20" t="n">
        <v>13605</v>
      </c>
      <c r="X101" s="20" t="n">
        <v>17472</v>
      </c>
    </row>
    <row r="102">
      <c r="A102" s="9" t="inlineStr">
        <is>
          <t>영업이익</t>
        </is>
      </c>
      <c r="C102" s="12" t="n">
        <v>13337</v>
      </c>
      <c r="D102" s="12" t="n">
        <v>-24519</v>
      </c>
      <c r="E102" s="12" t="n">
        <v>9535</v>
      </c>
      <c r="F102" s="12" t="n">
        <v>9662</v>
      </c>
      <c r="G102" s="12" t="n">
        <v>13752</v>
      </c>
      <c r="H102" s="12" t="n">
        <v>16053</v>
      </c>
      <c r="I102" s="12" t="n">
        <v>8607</v>
      </c>
      <c r="J102" s="12" t="n">
        <v>9855</v>
      </c>
      <c r="K102" s="12" t="n">
        <v>10122</v>
      </c>
      <c r="L102" s="12" t="n">
        <v>14090</v>
      </c>
      <c r="M102" s="12" t="n">
        <v>8760</v>
      </c>
      <c r="N102" s="12" t="n">
        <v>9645</v>
      </c>
      <c r="T102" s="12" t="n">
        <v>-21685</v>
      </c>
      <c r="U102" s="12" t="n">
        <v>-14176</v>
      </c>
      <c r="V102" s="12" t="n">
        <v>-24519</v>
      </c>
      <c r="W102" s="12" t="n">
        <v>16053</v>
      </c>
      <c r="X102" s="12" t="n">
        <v>14090</v>
      </c>
    </row>
    <row r="103">
      <c r="A103" s="43" t="inlineStr">
        <is>
          <t>OPM</t>
        </is>
      </c>
      <c r="B103" s="3" t="inlineStr">
        <is>
          <t>영업이익 ÷ 매출</t>
        </is>
      </c>
      <c r="C103" s="15">
        <f>IF(OR(C102="",C96=""),"",IF(C96&lt;=0,"",IFERROR(C102/C96,"")))</f>
        <v/>
      </c>
      <c r="D103" s="15">
        <f>IF(OR(D102="",D96=""),"",IF(D96&lt;=0,"",IFERROR(D102/D96,"")))</f>
        <v/>
      </c>
      <c r="E103" s="15">
        <f>IF(OR(E102="",E96=""),"",IF(E96&lt;=0,"",IFERROR(E102/E96,"")))</f>
        <v/>
      </c>
      <c r="F103" s="15">
        <f>IF(OR(F102="",F96=""),"",IF(F96&lt;=0,"",IFERROR(F102/F96,"")))</f>
        <v/>
      </c>
      <c r="G103" s="15">
        <f>IF(OR(G102="",G96=""),"",IF(G96&lt;=0,"",IFERROR(G102/G96,"")))</f>
        <v/>
      </c>
      <c r="H103" s="15">
        <f>IF(OR(H102="",H96=""),"",IF(H96&lt;=0,"",IFERROR(H102/H96,"")))</f>
        <v/>
      </c>
      <c r="I103" s="15">
        <f>IF(OR(I102="",I96=""),"",IF(I96&lt;=0,"",IFERROR(I102/I96,"")))</f>
        <v/>
      </c>
      <c r="J103" s="15">
        <f>IF(OR(J102="",J96=""),"",IF(J96&lt;=0,"",IFERROR(J102/J96,"")))</f>
        <v/>
      </c>
      <c r="K103" s="15">
        <f>IF(OR(K102="",K96=""),"",IF(K96&lt;=0,"",IFERROR(K102/K96,"")))</f>
        <v/>
      </c>
      <c r="L103" s="15">
        <f>IF(OR(L102="",L96=""),"",IF(L96&lt;=0,"",IFERROR(L102/L96,"")))</f>
        <v/>
      </c>
      <c r="M103" s="15">
        <f>IF(OR(M102="",M96=""),"",IF(M96&lt;=0,"",IFERROR(M102/M96,"")))</f>
        <v/>
      </c>
      <c r="N103" s="15">
        <f>IF(OR(N102="",N96=""),"",IF(N96&lt;=0,"",IFERROR(N102/N96,"")))</f>
        <v/>
      </c>
      <c r="T103" s="15">
        <f>IF(OR(T102="",T96=""),"",IF(T96&lt;=0,"",IFERROR(T102/T96,"")))</f>
        <v/>
      </c>
      <c r="U103" s="15">
        <f>IF(OR(U102="",U96=""),"",IF(U96&lt;=0,"",IFERROR(U102/U96,"")))</f>
        <v/>
      </c>
      <c r="V103" s="15">
        <f>IF(OR(V102="",V96=""),"",IF(V96&lt;=0,"",IFERROR(V102/V96,"")))</f>
        <v/>
      </c>
      <c r="W103" s="15">
        <f>IF(OR(W102="",W96=""),"",IF(W96&lt;=0,"",IFERROR(W102/W96,"")))</f>
        <v/>
      </c>
      <c r="X103" s="15">
        <f>IF(OR(X102="",X96=""),"",IF(X96&lt;=0,"",IFERROR(X102/X96,"")))</f>
        <v/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IF(OR(G102="",C102=""),"",IF(C102&lt;=0,"",IFERROR(G102/C102-1,"")))</f>
        <v/>
      </c>
      <c r="H104" s="15">
        <f>IF(OR(H102="",D102=""),"",IF(D102&lt;=0,"",IFERROR(H102/D102-1,"")))</f>
        <v/>
      </c>
      <c r="I104" s="15">
        <f>IF(OR(I102="",E102=""),"",IF(E102&lt;=0,"",IFERROR(I102/E102-1,"")))</f>
        <v/>
      </c>
      <c r="J104" s="15">
        <f>IF(OR(J102="",F102=""),"",IF(F102&lt;=0,"",IFERROR(J102/F102-1,"")))</f>
        <v/>
      </c>
      <c r="K104" s="15">
        <f>IF(OR(K102="",G102=""),"",IF(G102&lt;=0,"",IFERROR(K102/G102-1,"")))</f>
        <v/>
      </c>
      <c r="L104" s="15">
        <f>IF(OR(L102="",H102=""),"",IF(H102&lt;=0,"",IFERROR(L102/H102-1,"")))</f>
        <v/>
      </c>
      <c r="M104" s="15">
        <f>IF(OR(M102="",I102=""),"",IF(I102&lt;=0,"",IFERROR(M102/I102-1,"")))</f>
        <v/>
      </c>
      <c r="N104" s="15">
        <f>IF(OR(N102="",J102=""),"",IF(J102&lt;=0,"",IFERROR(N102/J102-1,"")))</f>
        <v/>
      </c>
      <c r="T104" s="15">
        <f>IF(OR(T102="",S102=""),"",IF(S102&lt;=0,"",IFERROR(T102/S102-1,"")))</f>
        <v/>
      </c>
      <c r="U104" s="15">
        <f>IF(OR(U102="",T102=""),"",IF(T102&lt;=0,"",IFERROR(U102/T102-1,"")))</f>
        <v/>
      </c>
      <c r="V104" s="15">
        <f>IF(OR(V102="",U102=""),"",IF(U102&lt;=0,"",IFERROR(V102/U102-1,"")))</f>
        <v/>
      </c>
      <c r="W104" s="15">
        <f>IF(OR(W102="",V102=""),"",IF(V102&lt;=0,"",IFERROR(W102/V102-1,"")))</f>
        <v/>
      </c>
      <c r="X104" s="15">
        <f>IF(OR(X102="",W102=""),"",IF(W102&lt;=0,"",IFERROR(X102/W102-1,"")))</f>
        <v/>
      </c>
    </row>
    <row r="105">
      <c r="A105" s="18" t="inlineStr">
        <is>
          <t>로열티 수입</t>
        </is>
      </c>
      <c r="T105" s="20" t="n">
        <v>6617</v>
      </c>
      <c r="U105" s="20" t="n">
        <v>7610</v>
      </c>
    </row>
    <row r="106">
      <c r="A106" s="18" t="inlineStr">
        <is>
          <t>이자수익</t>
        </is>
      </c>
      <c r="C106" s="20" t="n">
        <v>1113</v>
      </c>
      <c r="D106" s="20" t="n">
        <v>1165</v>
      </c>
      <c r="E106" s="20" t="n">
        <v>1309</v>
      </c>
      <c r="F106" s="20" t="n">
        <v>1203</v>
      </c>
      <c r="G106" s="20" t="n">
        <v>1298</v>
      </c>
      <c r="H106" s="20" t="n">
        <v>1084</v>
      </c>
      <c r="I106" s="20" t="n">
        <v>1041</v>
      </c>
      <c r="J106" s="20" t="n">
        <v>918</v>
      </c>
      <c r="K106" s="20" t="n">
        <v>1045</v>
      </c>
      <c r="L106" s="20" t="n">
        <v>1066</v>
      </c>
      <c r="M106" s="20" t="n">
        <v>1133</v>
      </c>
      <c r="N106" s="20" t="n">
        <v>1069</v>
      </c>
      <c r="T106" s="20" t="n">
        <v>451</v>
      </c>
      <c r="U106" s="20" t="n">
        <v>822</v>
      </c>
      <c r="V106" s="20" t="n">
        <v>1165</v>
      </c>
      <c r="W106" s="20" t="n">
        <v>1084</v>
      </c>
      <c r="X106" s="20" t="n">
        <v>1066</v>
      </c>
    </row>
    <row r="107">
      <c r="A107" s="18" t="inlineStr">
        <is>
          <t>배당금수익</t>
        </is>
      </c>
      <c r="C107" s="20" t="n">
        <v>144</v>
      </c>
      <c r="D107" s="20" t="n">
        <v>1594</v>
      </c>
      <c r="E107" s="20" t="n">
        <v>357</v>
      </c>
      <c r="F107" s="20" t="n">
        <v>1325</v>
      </c>
      <c r="G107" s="20" t="n">
        <v>15</v>
      </c>
      <c r="H107" s="20" t="n">
        <v>1858</v>
      </c>
      <c r="I107" s="20" t="n">
        <v>40</v>
      </c>
      <c r="J107" s="20" t="n">
        <v>1355</v>
      </c>
      <c r="K107" s="20" t="n">
        <v>25</v>
      </c>
      <c r="L107" s="20" t="n">
        <v>2258</v>
      </c>
      <c r="M107" s="20" t="n">
        <v>31</v>
      </c>
      <c r="N107" s="20" t="n">
        <v>1195</v>
      </c>
      <c r="T107" s="20" t="n">
        <v>871</v>
      </c>
      <c r="U107" s="20" t="n">
        <v>1298</v>
      </c>
      <c r="V107" s="20" t="n">
        <v>1594</v>
      </c>
      <c r="W107" s="20" t="n">
        <v>1858</v>
      </c>
      <c r="X107" s="20" t="n">
        <v>2258</v>
      </c>
    </row>
    <row r="108">
      <c r="A108" s="18" t="inlineStr">
        <is>
          <t>지분법이익</t>
        </is>
      </c>
      <c r="C108" s="20" t="n">
        <v>836</v>
      </c>
      <c r="D108" s="20" t="n">
        <v>1408</v>
      </c>
      <c r="E108" s="20" t="n">
        <v>107</v>
      </c>
      <c r="F108" s="20" t="n">
        <v>74</v>
      </c>
      <c r="G108" s="20" t="n">
        <v>148</v>
      </c>
      <c r="H108" s="20" t="n">
        <v>99</v>
      </c>
      <c r="I108" s="20" t="n">
        <v>319</v>
      </c>
      <c r="J108" s="20" t="n">
        <v>134</v>
      </c>
      <c r="K108" s="20" t="n">
        <v>346</v>
      </c>
      <c r="L108" s="20" t="n">
        <v>253</v>
      </c>
      <c r="M108" s="20" t="n">
        <v>327</v>
      </c>
      <c r="N108" s="20" t="n">
        <v>206</v>
      </c>
      <c r="T108" s="20" t="n">
        <v>699</v>
      </c>
      <c r="U108" s="20" t="n">
        <v>1041</v>
      </c>
      <c r="V108" s="20" t="n">
        <v>1408</v>
      </c>
      <c r="W108" s="20" t="n">
        <v>99</v>
      </c>
      <c r="X108" s="20" t="n">
        <v>253</v>
      </c>
    </row>
    <row r="109">
      <c r="A109" s="18" t="inlineStr">
        <is>
          <t>외환차익</t>
        </is>
      </c>
      <c r="C109" s="20" t="n">
        <v>-676</v>
      </c>
      <c r="D109" s="20" t="n">
        <v>-388</v>
      </c>
      <c r="E109" s="20" t="n">
        <v>536</v>
      </c>
      <c r="F109" s="20" t="n">
        <v>-536</v>
      </c>
      <c r="G109" s="20" t="n">
        <v>0</v>
      </c>
      <c r="H109" s="20" t="n">
        <v>0</v>
      </c>
      <c r="I109" s="20" t="n">
        <v>313</v>
      </c>
      <c r="J109" s="20" t="n">
        <v>-33</v>
      </c>
      <c r="K109" s="20" t="n">
        <v>299</v>
      </c>
      <c r="L109" s="20" t="n">
        <v>-104</v>
      </c>
      <c r="M109" s="20" t="n">
        <v>0</v>
      </c>
      <c r="N109" s="20" t="n">
        <v>0</v>
      </c>
      <c r="T109" s="20" t="n">
        <v>541</v>
      </c>
      <c r="U109" s="20" t="n">
        <v>-26</v>
      </c>
      <c r="V109" s="20" t="n">
        <v>-388</v>
      </c>
      <c r="W109" s="20" t="n">
        <v>0</v>
      </c>
      <c r="X109" s="20" t="n">
        <v>-104</v>
      </c>
    </row>
    <row r="110">
      <c r="A110" s="18" t="inlineStr">
        <is>
          <t>잡이익</t>
        </is>
      </c>
      <c r="C110" s="20" t="n">
        <v>156</v>
      </c>
      <c r="D110" s="20" t="n">
        <v>416</v>
      </c>
      <c r="E110" s="20" t="n">
        <v>202</v>
      </c>
      <c r="F110" s="20" t="n">
        <v>142</v>
      </c>
      <c r="G110" s="20" t="n">
        <v>143</v>
      </c>
      <c r="H110" s="20" t="n">
        <v>316</v>
      </c>
      <c r="I110" s="20" t="n">
        <v>148</v>
      </c>
      <c r="J110" s="20" t="n">
        <v>170</v>
      </c>
      <c r="K110" s="20" t="n">
        <v>185</v>
      </c>
      <c r="L110" s="20" t="n">
        <v>218</v>
      </c>
      <c r="M110" s="20" t="n">
        <v>212</v>
      </c>
      <c r="N110" s="20" t="n">
        <v>160</v>
      </c>
      <c r="T110" s="20" t="n">
        <v>232</v>
      </c>
      <c r="U110" s="20" t="n">
        <v>264</v>
      </c>
      <c r="V110" s="20" t="n">
        <v>416</v>
      </c>
      <c r="W110" s="20" t="n">
        <v>316</v>
      </c>
      <c r="X110" s="20" t="n">
        <v>218</v>
      </c>
    </row>
    <row r="111">
      <c r="A111" s="18" t="inlineStr">
        <is>
          <t>영업외수익 합계</t>
        </is>
      </c>
      <c r="C111" s="20" t="n">
        <v>1574</v>
      </c>
      <c r="D111" s="20" t="n">
        <v>6840</v>
      </c>
      <c r="E111" s="20" t="n">
        <v>2513</v>
      </c>
      <c r="F111" s="20" t="n">
        <v>2207</v>
      </c>
      <c r="G111" s="20" t="n">
        <v>1604</v>
      </c>
      <c r="H111" s="20" t="n">
        <v>3358</v>
      </c>
      <c r="I111" s="20" t="n">
        <v>1863</v>
      </c>
      <c r="J111" s="20" t="n">
        <v>2544</v>
      </c>
      <c r="K111" s="20" t="n">
        <v>1900</v>
      </c>
      <c r="L111" s="20" t="n">
        <v>3692</v>
      </c>
      <c r="M111" s="20" t="n">
        <v>1704</v>
      </c>
      <c r="N111" s="20" t="n">
        <v>2631</v>
      </c>
      <c r="T111" s="20" t="n">
        <v>13989</v>
      </c>
      <c r="U111" s="20" t="n">
        <v>12661</v>
      </c>
      <c r="V111" s="20" t="n">
        <v>6840</v>
      </c>
      <c r="W111" s="20" t="n">
        <v>3358</v>
      </c>
      <c r="X111" s="20" t="n">
        <v>3692</v>
      </c>
    </row>
    <row r="112">
      <c r="A112" s="18" t="inlineStr">
        <is>
          <t>이자비용</t>
        </is>
      </c>
      <c r="C112" s="20" t="n">
        <v>66</v>
      </c>
      <c r="D112" s="20" t="n">
        <v>-21</v>
      </c>
      <c r="E112" s="20" t="n">
        <v>88</v>
      </c>
      <c r="F112" s="20" t="n">
        <v>49</v>
      </c>
      <c r="G112" s="20" t="n">
        <v>133</v>
      </c>
      <c r="H112" s="20" t="n">
        <v>149</v>
      </c>
      <c r="I112" s="20" t="n">
        <v>142</v>
      </c>
      <c r="J112" s="20" t="n">
        <v>151</v>
      </c>
      <c r="K112" s="20" t="n">
        <v>277</v>
      </c>
      <c r="L112" s="20" t="n">
        <v>328</v>
      </c>
      <c r="M112" s="20" t="n">
        <v>655</v>
      </c>
      <c r="N112" s="20" t="n">
        <v>735</v>
      </c>
      <c r="T112" s="20" t="n">
        <v>-56</v>
      </c>
      <c r="U112" s="20" t="n">
        <v>-80</v>
      </c>
      <c r="V112" s="20" t="n">
        <v>-21</v>
      </c>
      <c r="W112" s="20" t="n">
        <v>149</v>
      </c>
      <c r="X112" s="20" t="n">
        <v>328</v>
      </c>
    </row>
    <row r="113">
      <c r="A113" s="18" t="inlineStr">
        <is>
          <t>대손손실</t>
        </is>
      </c>
      <c r="D113" s="20" t="n">
        <v>0</v>
      </c>
      <c r="T113" s="20" t="n">
        <v>0</v>
      </c>
      <c r="U113" s="20" t="n">
        <v>1</v>
      </c>
      <c r="V113" s="20" t="n">
        <v>0</v>
      </c>
    </row>
    <row r="114">
      <c r="A114" s="18" t="inlineStr">
        <is>
          <t>사채발행비</t>
        </is>
      </c>
      <c r="E114" s="20" t="n">
        <v>95</v>
      </c>
      <c r="I114" s="20" t="n">
        <v>0</v>
      </c>
    </row>
    <row r="115">
      <c r="A115" s="18" t="inlineStr">
        <is>
          <t>외환차손</t>
        </is>
      </c>
      <c r="C115" s="20" t="n">
        <v>0</v>
      </c>
      <c r="D115" s="20" t="n">
        <v>0</v>
      </c>
      <c r="G115" s="20" t="n">
        <v>175</v>
      </c>
      <c r="H115" s="20" t="n">
        <v>438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128</v>
      </c>
      <c r="N115" s="20" t="n">
        <v>1671</v>
      </c>
      <c r="V115" s="20" t="n">
        <v>0</v>
      </c>
      <c r="W115" s="20" t="n">
        <v>438</v>
      </c>
      <c r="X115" s="20" t="n">
        <v>0</v>
      </c>
    </row>
    <row r="116">
      <c r="A116" s="18" t="inlineStr">
        <is>
          <t>외국 원천세</t>
        </is>
      </c>
      <c r="C116" s="20" t="n">
        <v>37</v>
      </c>
      <c r="D116" s="20" t="n">
        <v>57</v>
      </c>
      <c r="U116" s="20" t="n">
        <v>29</v>
      </c>
      <c r="V116" s="20" t="n">
        <v>57</v>
      </c>
    </row>
    <row r="117">
      <c r="A117" s="18" t="inlineStr">
        <is>
          <t>보상비 지급</t>
        </is>
      </c>
      <c r="G117" s="20" t="n">
        <v>0</v>
      </c>
      <c r="H117" s="20" t="n">
        <v>0</v>
      </c>
      <c r="K117" s="20" t="n">
        <v>7</v>
      </c>
      <c r="L117" s="20" t="n">
        <v>5</v>
      </c>
      <c r="W117" s="20" t="n">
        <v>0</v>
      </c>
      <c r="X117" s="20" t="n">
        <v>5</v>
      </c>
    </row>
    <row r="118">
      <c r="A118" s="18" t="inlineStr">
        <is>
          <t>잡손실</t>
        </is>
      </c>
      <c r="C118" s="20" t="n">
        <v>214</v>
      </c>
      <c r="D118" s="20" t="n">
        <v>95</v>
      </c>
      <c r="E118" s="20" t="n">
        <v>151</v>
      </c>
      <c r="F118" s="20" t="n">
        <v>214</v>
      </c>
      <c r="G118" s="20" t="n">
        <v>230</v>
      </c>
      <c r="H118" s="20" t="n">
        <v>-79</v>
      </c>
      <c r="I118" s="20" t="n">
        <v>98</v>
      </c>
      <c r="J118" s="20" t="n">
        <v>152</v>
      </c>
      <c r="K118" s="20" t="n">
        <v>243</v>
      </c>
      <c r="L118" s="20" t="n">
        <v>-138</v>
      </c>
      <c r="M118" s="20" t="n">
        <v>128</v>
      </c>
      <c r="N118" s="20" t="n">
        <v>189</v>
      </c>
      <c r="T118" s="20" t="n">
        <v>-50</v>
      </c>
      <c r="U118" s="20" t="n">
        <v>44</v>
      </c>
      <c r="V118" s="20" t="n">
        <v>95</v>
      </c>
      <c r="W118" s="20" t="n">
        <v>-79</v>
      </c>
      <c r="X118" s="20" t="n">
        <v>-138</v>
      </c>
    </row>
    <row r="119">
      <c r="A119" s="18" t="inlineStr">
        <is>
          <t>영업외비용 합계</t>
        </is>
      </c>
      <c r="C119" s="20" t="n">
        <v>191</v>
      </c>
      <c r="D119" s="20" t="n">
        <v>-81</v>
      </c>
      <c r="E119" s="20" t="n">
        <v>334</v>
      </c>
      <c r="F119" s="20" t="n">
        <v>1646</v>
      </c>
      <c r="G119" s="20" t="n">
        <v>537</v>
      </c>
      <c r="H119" s="20" t="n">
        <v>713</v>
      </c>
      <c r="I119" s="20" t="n">
        <v>240</v>
      </c>
      <c r="J119" s="20" t="n">
        <v>636</v>
      </c>
      <c r="K119" s="20" t="n">
        <v>527</v>
      </c>
      <c r="L119" s="20" t="n">
        <v>418</v>
      </c>
      <c r="M119" s="20" t="n">
        <v>912</v>
      </c>
      <c r="N119" s="20" t="n">
        <v>2595</v>
      </c>
      <c r="T119" s="20" t="n">
        <v>-137</v>
      </c>
      <c r="U119" s="20" t="n">
        <v>-450</v>
      </c>
      <c r="V119" s="20" t="n">
        <v>-81</v>
      </c>
      <c r="W119" s="20" t="n">
        <v>713</v>
      </c>
      <c r="X119" s="20" t="n">
        <v>418</v>
      </c>
    </row>
    <row r="120">
      <c r="A120" s="9" t="inlineStr">
        <is>
          <t>경상이익</t>
        </is>
      </c>
      <c r="C120" s="12" t="n">
        <v>14719</v>
      </c>
      <c r="D120" s="12" t="n">
        <v>-17599</v>
      </c>
      <c r="E120" s="12" t="n">
        <v>11714</v>
      </c>
      <c r="F120" s="12" t="n">
        <v>10223</v>
      </c>
      <c r="G120" s="12" t="n">
        <v>14819</v>
      </c>
      <c r="H120" s="12" t="n">
        <v>18698</v>
      </c>
      <c r="I120" s="12" t="n">
        <v>10229</v>
      </c>
      <c r="J120" s="12" t="n">
        <v>11764</v>
      </c>
      <c r="K120" s="12" t="n">
        <v>11494</v>
      </c>
      <c r="L120" s="12" t="n">
        <v>17366</v>
      </c>
      <c r="M120" s="12" t="n">
        <v>9552</v>
      </c>
      <c r="N120" s="12" t="n">
        <v>9681</v>
      </c>
      <c r="T120" s="12" t="n">
        <v>-7560</v>
      </c>
      <c r="U120" s="12" t="n">
        <v>-1064</v>
      </c>
      <c r="V120" s="12" t="n">
        <v>-17599</v>
      </c>
      <c r="W120" s="12" t="n">
        <v>18698</v>
      </c>
      <c r="X120" s="12" t="n">
        <v>17366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IF(OR(G120="",C120=""),"",IF(C120&lt;=0,"",IFERROR(G120/C120-1,"")))</f>
        <v/>
      </c>
      <c r="H121" s="15">
        <f>IF(OR(H120="",D120=""),"",IF(D120&lt;=0,"",IFERROR(H120/D120-1,"")))</f>
        <v/>
      </c>
      <c r="I121" s="15">
        <f>IF(OR(I120="",E120=""),"",IF(E120&lt;=0,"",IFERROR(I120/E120-1,"")))</f>
        <v/>
      </c>
      <c r="J121" s="15">
        <f>IF(OR(J120="",F120=""),"",IF(F120&lt;=0,"",IFERROR(J120/F120-1,"")))</f>
        <v/>
      </c>
      <c r="K121" s="15">
        <f>IF(OR(K120="",G120=""),"",IF(G120&lt;=0,"",IFERROR(K120/G120-1,"")))</f>
        <v/>
      </c>
      <c r="L121" s="15">
        <f>IF(OR(L120="",H120=""),"",IF(H120&lt;=0,"",IFERROR(L120/H120-1,"")))</f>
        <v/>
      </c>
      <c r="M121" s="15">
        <f>IF(OR(M120="",I120=""),"",IF(I120&lt;=0,"",IFERROR(M120/I120-1,"")))</f>
        <v/>
      </c>
      <c r="N121" s="15">
        <f>IF(OR(N120="",J120=""),"",IF(J120&lt;=0,"",IFERROR(N120/J120-1,"")))</f>
        <v/>
      </c>
      <c r="T121" s="15">
        <f>IF(OR(T120="",S120=""),"",IF(S120&lt;=0,"",IFERROR(T120/S120-1,"")))</f>
        <v/>
      </c>
      <c r="U121" s="15">
        <f>IF(OR(U120="",T120=""),"",IF(T120&lt;=0,"",IFERROR(U120/T120-1,"")))</f>
        <v/>
      </c>
      <c r="V121" s="15">
        <f>IF(OR(V120="",U120=""),"",IF(U120&lt;=0,"",IFERROR(V120/U120-1,"")))</f>
        <v/>
      </c>
      <c r="W121" s="15">
        <f>IF(OR(W120="",V120=""),"",IF(V120&lt;=0,"",IFERROR(W120/V120-1,"")))</f>
        <v/>
      </c>
      <c r="X121" s="15">
        <f>IF(OR(X120="",W120=""),"",IF(W120&lt;=0,"",IFERROR(X120/W120-1,"")))</f>
        <v/>
      </c>
    </row>
    <row r="122">
      <c r="A122" s="18" t="inlineStr">
        <is>
          <t>고정자산 매각이익</t>
        </is>
      </c>
      <c r="C122" s="20" t="n">
        <v>67</v>
      </c>
      <c r="D122" s="20" t="n">
        <v>-137</v>
      </c>
      <c r="E122" s="20" t="n">
        <v>18</v>
      </c>
      <c r="F122" s="20" t="n">
        <v>38</v>
      </c>
      <c r="G122" s="20" t="n">
        <v>462</v>
      </c>
      <c r="H122" s="20" t="n">
        <v>66</v>
      </c>
      <c r="I122" s="20" t="n">
        <v>16</v>
      </c>
      <c r="J122" s="20" t="n">
        <v>54</v>
      </c>
      <c r="K122" s="20" t="n">
        <v>50</v>
      </c>
      <c r="L122" s="20" t="n">
        <v>166</v>
      </c>
      <c r="M122" s="20" t="n">
        <v>20</v>
      </c>
      <c r="N122" s="20" t="n">
        <v>31</v>
      </c>
      <c r="T122" s="20" t="n">
        <v>-16</v>
      </c>
      <c r="U122" s="20" t="n">
        <v>-60</v>
      </c>
      <c r="V122" s="20" t="n">
        <v>-137</v>
      </c>
      <c r="W122" s="20" t="n">
        <v>66</v>
      </c>
      <c r="X122" s="20" t="n">
        <v>166</v>
      </c>
    </row>
    <row r="123">
      <c r="A123" s="18" t="inlineStr">
        <is>
          <t>투자유가증권 매각이익</t>
        </is>
      </c>
      <c r="C123" s="20" t="n">
        <v>2473</v>
      </c>
      <c r="D123" s="20" t="n">
        <v>3748</v>
      </c>
      <c r="G123" s="20" t="n">
        <v>0</v>
      </c>
      <c r="H123" s="20" t="n">
        <v>3480</v>
      </c>
      <c r="I123" s="20" t="n">
        <v>0</v>
      </c>
      <c r="J123" s="20" t="n">
        <v>0</v>
      </c>
      <c r="K123" s="20" t="n">
        <v>7083</v>
      </c>
      <c r="L123" s="20" t="n">
        <v>2770</v>
      </c>
      <c r="M123" s="20" t="n">
        <v>1271</v>
      </c>
      <c r="N123" s="20" t="n">
        <v>0</v>
      </c>
      <c r="T123" s="20" t="n">
        <v>205</v>
      </c>
      <c r="U123" s="20" t="n">
        <v>1895</v>
      </c>
      <c r="V123" s="20" t="n">
        <v>3748</v>
      </c>
      <c r="W123" s="20" t="n">
        <v>3480</v>
      </c>
      <c r="X123" s="20" t="n">
        <v>2770</v>
      </c>
    </row>
    <row r="124">
      <c r="A124" s="18" t="inlineStr">
        <is>
          <t>부의 영업권 발생이익</t>
        </is>
      </c>
      <c r="C124" s="20" t="n">
        <v>0</v>
      </c>
      <c r="D124" s="20" t="n">
        <v>0</v>
      </c>
      <c r="E124" s="20" t="n">
        <v>10060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  <c r="K124" s="20" t="n">
        <v>0</v>
      </c>
      <c r="L124" s="20" t="n">
        <v>0</v>
      </c>
      <c r="V124" s="20" t="n">
        <v>0</v>
      </c>
      <c r="W124" s="20" t="n">
        <v>0</v>
      </c>
      <c r="X124" s="20" t="n">
        <v>0</v>
      </c>
    </row>
    <row r="125">
      <c r="A125" s="18" t="inlineStr">
        <is>
          <t>자회사 청산이익</t>
        </is>
      </c>
      <c r="C125" s="20" t="n">
        <v>0</v>
      </c>
      <c r="D125" s="20" t="n">
        <v>0</v>
      </c>
      <c r="G125" s="20" t="n">
        <v>0</v>
      </c>
      <c r="H125" s="20" t="n">
        <v>0</v>
      </c>
      <c r="K125" s="20" t="n">
        <v>0</v>
      </c>
      <c r="L125" s="20" t="n">
        <v>0</v>
      </c>
      <c r="V125" s="20" t="n">
        <v>0</v>
      </c>
      <c r="W125" s="20" t="n">
        <v>0</v>
      </c>
      <c r="X125" s="20" t="n">
        <v>0</v>
      </c>
    </row>
    <row r="126">
      <c r="A126" s="18" t="inlineStr">
        <is>
          <t>특별이익 합계</t>
        </is>
      </c>
      <c r="C126" s="20" t="n">
        <v>2540</v>
      </c>
      <c r="D126" s="20" t="n">
        <v>3611</v>
      </c>
      <c r="E126" s="20" t="n">
        <v>10079</v>
      </c>
      <c r="F126" s="20" t="n">
        <v>209</v>
      </c>
      <c r="G126" s="20" t="n">
        <v>461</v>
      </c>
      <c r="H126" s="20" t="n">
        <v>3547</v>
      </c>
      <c r="I126" s="20" t="n">
        <v>16</v>
      </c>
      <c r="J126" s="20" t="n">
        <v>54</v>
      </c>
      <c r="K126" s="20" t="n">
        <v>7134</v>
      </c>
      <c r="L126" s="20" t="n">
        <v>2936</v>
      </c>
      <c r="M126" s="20" t="n">
        <v>1292</v>
      </c>
      <c r="N126" s="20" t="n">
        <v>31</v>
      </c>
      <c r="T126" s="20" t="n">
        <v>190</v>
      </c>
      <c r="U126" s="20" t="n">
        <v>1834</v>
      </c>
      <c r="V126" s="20" t="n">
        <v>3611</v>
      </c>
      <c r="W126" s="20" t="n">
        <v>3547</v>
      </c>
      <c r="X126" s="20" t="n">
        <v>2936</v>
      </c>
    </row>
    <row r="127">
      <c r="A127" s="18" t="inlineStr">
        <is>
          <t>단계적 취득 차손</t>
        </is>
      </c>
      <c r="C127" s="20" t="n">
        <v>0</v>
      </c>
      <c r="D127" s="20" t="n">
        <v>0</v>
      </c>
      <c r="E127" s="20" t="n">
        <v>1130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0</v>
      </c>
      <c r="K127" s="20" t="n">
        <v>0</v>
      </c>
      <c r="L127" s="20" t="n">
        <v>0</v>
      </c>
      <c r="V127" s="20" t="n">
        <v>0</v>
      </c>
      <c r="W127" s="20" t="n">
        <v>0</v>
      </c>
      <c r="X127" s="20" t="n">
        <v>0</v>
      </c>
    </row>
    <row r="128">
      <c r="A128" s="18" t="inlineStr">
        <is>
          <t>손상차손</t>
        </is>
      </c>
      <c r="C128" s="20" t="n">
        <v>2214</v>
      </c>
      <c r="D128" s="20" t="n">
        <v>373</v>
      </c>
      <c r="E128" s="20" t="n">
        <v>224</v>
      </c>
      <c r="F128" s="20" t="n">
        <v>5956</v>
      </c>
      <c r="G128" s="20" t="n">
        <v>1770</v>
      </c>
      <c r="H128" s="20" t="n">
        <v>144</v>
      </c>
      <c r="I128" s="20" t="n">
        <v>0</v>
      </c>
      <c r="J128" s="20" t="n">
        <v>760</v>
      </c>
      <c r="K128" s="20" t="n">
        <v>402</v>
      </c>
      <c r="L128" s="20" t="n">
        <v>1166</v>
      </c>
      <c r="T128" s="20" t="n">
        <v>0</v>
      </c>
      <c r="U128" s="20" t="n">
        <v>496</v>
      </c>
      <c r="V128" s="20" t="n">
        <v>373</v>
      </c>
      <c r="W128" s="20" t="n">
        <v>144</v>
      </c>
      <c r="X128" s="20" t="n">
        <v>1166</v>
      </c>
    </row>
    <row r="129">
      <c r="A129" s="18" t="inlineStr">
        <is>
          <t>고정자산 제각손실</t>
        </is>
      </c>
      <c r="C129" s="20" t="n">
        <v>1170</v>
      </c>
      <c r="D129" s="20" t="n">
        <v>-1704</v>
      </c>
      <c r="E129" s="20" t="n">
        <v>976</v>
      </c>
      <c r="F129" s="20" t="n">
        <v>1323</v>
      </c>
      <c r="G129" s="20" t="n">
        <v>510</v>
      </c>
      <c r="H129" s="20" t="n">
        <v>179</v>
      </c>
      <c r="I129" s="20" t="n">
        <v>136</v>
      </c>
      <c r="J129" s="20" t="n">
        <v>202</v>
      </c>
      <c r="K129" s="20" t="n">
        <v>207</v>
      </c>
      <c r="L129" s="20" t="n">
        <v>975</v>
      </c>
      <c r="M129" s="20" t="n">
        <v>168</v>
      </c>
      <c r="N129" s="20" t="n">
        <v>205</v>
      </c>
      <c r="T129" s="20" t="n">
        <v>-1212</v>
      </c>
      <c r="U129" s="20" t="n">
        <v>-534</v>
      </c>
      <c r="V129" s="20" t="n">
        <v>-1704</v>
      </c>
      <c r="W129" s="20" t="n">
        <v>179</v>
      </c>
      <c r="X129" s="20" t="n">
        <v>975</v>
      </c>
    </row>
    <row r="130">
      <c r="A130" s="18" t="inlineStr">
        <is>
          <t>환경대책 충당금 전입</t>
        </is>
      </c>
      <c r="C130" s="20" t="n">
        <v>0</v>
      </c>
      <c r="D130" s="20" t="n">
        <v>-62</v>
      </c>
      <c r="G130" s="20" t="n">
        <v>0</v>
      </c>
      <c r="H130" s="20" t="n">
        <v>0</v>
      </c>
      <c r="U130" s="20" t="n">
        <v>0</v>
      </c>
      <c r="V130" s="20" t="n">
        <v>-62</v>
      </c>
      <c r="W130" s="20" t="n">
        <v>0</v>
      </c>
    </row>
    <row r="131">
      <c r="A131" s="18" t="inlineStr">
        <is>
          <t>사업구조개선비용</t>
        </is>
      </c>
      <c r="E131" s="20" t="n">
        <v>0</v>
      </c>
      <c r="F131" s="20" t="n">
        <v>0</v>
      </c>
      <c r="G131" s="20" t="n">
        <v>0</v>
      </c>
      <c r="H131" s="20" t="n">
        <v>117</v>
      </c>
      <c r="I131" s="20" t="n">
        <v>4</v>
      </c>
      <c r="J131" s="20" t="n">
        <v>9</v>
      </c>
      <c r="K131" s="20" t="n">
        <v>6</v>
      </c>
      <c r="L131" s="20" t="n">
        <v>13</v>
      </c>
      <c r="M131" s="20" t="n">
        <v>0</v>
      </c>
      <c r="N131" s="20" t="n">
        <v>0</v>
      </c>
      <c r="W131" s="20" t="n">
        <v>117</v>
      </c>
      <c r="X131" s="20" t="n">
        <v>13</v>
      </c>
    </row>
    <row r="132">
      <c r="A132" s="18" t="inlineStr">
        <is>
          <t>특별퇴직금</t>
        </is>
      </c>
      <c r="C132" s="20" t="n">
        <v>0</v>
      </c>
      <c r="D132" s="20" t="n">
        <v>0</v>
      </c>
      <c r="E132" s="20" t="n">
        <v>724</v>
      </c>
      <c r="F132" s="20" t="n">
        <v>534</v>
      </c>
      <c r="G132" s="20" t="n">
        <v>1039</v>
      </c>
      <c r="H132" s="20" t="n">
        <v>539</v>
      </c>
      <c r="I132" s="20" t="n">
        <v>85</v>
      </c>
      <c r="J132" s="20" t="n">
        <v>83</v>
      </c>
      <c r="K132" s="20" t="n">
        <v>314</v>
      </c>
      <c r="L132" s="20" t="n">
        <v>191</v>
      </c>
      <c r="M132" s="20" t="n">
        <v>299</v>
      </c>
      <c r="N132" s="20" t="n">
        <v>338</v>
      </c>
      <c r="V132" s="20" t="n">
        <v>0</v>
      </c>
      <c r="W132" s="20" t="n">
        <v>539</v>
      </c>
      <c r="X132" s="20" t="n">
        <v>191</v>
      </c>
    </row>
    <row r="133">
      <c r="A133" s="18" t="inlineStr">
        <is>
          <t>재고자산 폐기손실</t>
        </is>
      </c>
      <c r="C133" s="20" t="n">
        <v>0</v>
      </c>
      <c r="D133" s="20" t="n">
        <v>0</v>
      </c>
      <c r="E133" s="20" t="n">
        <v>301</v>
      </c>
      <c r="F133" s="20" t="n">
        <v>70</v>
      </c>
      <c r="G133" s="20" t="n">
        <v>152</v>
      </c>
      <c r="H133" s="20" t="n">
        <v>0</v>
      </c>
      <c r="I133" s="20" t="n">
        <v>0</v>
      </c>
      <c r="J133" s="20" t="n">
        <v>0</v>
      </c>
      <c r="K133" s="20" t="n">
        <v>0</v>
      </c>
      <c r="L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해외 자회사 송금사기 손실</t>
        </is>
      </c>
      <c r="D134" s="20" t="n">
        <v>98</v>
      </c>
      <c r="H134" s="20" t="n">
        <v>0</v>
      </c>
      <c r="U134" s="20" t="n">
        <v>0</v>
      </c>
      <c r="V134" s="20" t="n">
        <v>98</v>
      </c>
      <c r="W134" s="20" t="n">
        <v>0</v>
      </c>
    </row>
    <row r="135">
      <c r="A135" s="18" t="inlineStr">
        <is>
          <t>특별조사비용</t>
        </is>
      </c>
      <c r="C135" s="20" t="n">
        <v>0</v>
      </c>
      <c r="E135" s="20" t="n">
        <v>49</v>
      </c>
      <c r="F135" s="20" t="n">
        <v>23</v>
      </c>
      <c r="G135" s="20" t="n">
        <v>11</v>
      </c>
      <c r="I135" s="20" t="n">
        <v>11</v>
      </c>
      <c r="J135" s="20" t="n">
        <v>18</v>
      </c>
      <c r="K135" s="20" t="n">
        <v>110</v>
      </c>
      <c r="M135" s="20" t="n">
        <v>0</v>
      </c>
      <c r="N135" s="20" t="n">
        <v>0</v>
      </c>
    </row>
    <row r="136">
      <c r="A136" s="18" t="inlineStr">
        <is>
          <t>특별손실 합계</t>
        </is>
      </c>
      <c r="C136" s="20" t="n">
        <v>6739</v>
      </c>
      <c r="D136" s="20" t="n">
        <v>-9141</v>
      </c>
      <c r="E136" s="20" t="n">
        <v>3407</v>
      </c>
      <c r="F136" s="20" t="n">
        <v>7905</v>
      </c>
      <c r="G136" s="20" t="n">
        <v>3482</v>
      </c>
      <c r="H136" s="20" t="n">
        <v>1926</v>
      </c>
      <c r="I136" s="20" t="n">
        <v>238</v>
      </c>
      <c r="J136" s="20" t="n">
        <v>1072</v>
      </c>
      <c r="K136" s="20" t="n">
        <v>1039</v>
      </c>
      <c r="L136" s="20" t="n">
        <v>2439</v>
      </c>
      <c r="M136" s="20" t="n">
        <v>467</v>
      </c>
      <c r="N136" s="20" t="n">
        <v>544</v>
      </c>
      <c r="T136" s="20" t="n">
        <v>-1212</v>
      </c>
      <c r="U136" s="20" t="n">
        <v>-37</v>
      </c>
      <c r="V136" s="20" t="n">
        <v>-9141</v>
      </c>
      <c r="W136" s="20" t="n">
        <v>1926</v>
      </c>
      <c r="X136" s="20" t="n">
        <v>2439</v>
      </c>
    </row>
    <row r="137">
      <c r="A137" s="9" t="inlineStr">
        <is>
          <t>법인세차감전 순이익</t>
        </is>
      </c>
      <c r="C137" s="12" t="n">
        <v>10520</v>
      </c>
      <c r="D137" s="12" t="n">
        <v>-4846</v>
      </c>
      <c r="E137" s="12" t="n">
        <v>18386</v>
      </c>
      <c r="F137" s="12" t="n">
        <v>2526</v>
      </c>
      <c r="G137" s="12" t="n">
        <v>11798</v>
      </c>
      <c r="H137" s="12" t="n">
        <v>20320</v>
      </c>
      <c r="I137" s="12" t="n">
        <v>10008</v>
      </c>
      <c r="J137" s="12" t="n">
        <v>10745</v>
      </c>
      <c r="K137" s="12" t="n">
        <v>17589</v>
      </c>
      <c r="L137" s="12" t="n">
        <v>17862</v>
      </c>
      <c r="M137" s="12" t="n">
        <v>10377</v>
      </c>
      <c r="N137" s="12" t="n">
        <v>9168</v>
      </c>
      <c r="T137" s="12" t="n">
        <v>-6159</v>
      </c>
      <c r="U137" s="12" t="n">
        <v>808</v>
      </c>
      <c r="V137" s="12" t="n">
        <v>-4846</v>
      </c>
      <c r="W137" s="12" t="n">
        <v>20320</v>
      </c>
      <c r="X137" s="12" t="n">
        <v>17862</v>
      </c>
    </row>
    <row r="138">
      <c r="A138" s="18" t="inlineStr">
        <is>
          <t>법인세 등</t>
        </is>
      </c>
      <c r="C138" s="20" t="n">
        <v>2790</v>
      </c>
      <c r="D138" s="20" t="n">
        <v>-5136</v>
      </c>
      <c r="E138" s="20" t="n">
        <v>3678</v>
      </c>
      <c r="F138" s="20" t="n">
        <v>2224</v>
      </c>
      <c r="G138" s="20" t="n">
        <v>2393</v>
      </c>
      <c r="H138" s="20" t="n">
        <v>4375</v>
      </c>
      <c r="I138" s="20" t="n">
        <v>3217</v>
      </c>
      <c r="J138" s="20" t="n">
        <v>2805</v>
      </c>
      <c r="K138" s="20" t="n">
        <v>4068</v>
      </c>
      <c r="L138" s="20" t="n">
        <v>3835</v>
      </c>
      <c r="M138" s="20" t="n">
        <v>4181</v>
      </c>
      <c r="N138" s="20" t="n">
        <v>2056</v>
      </c>
      <c r="T138" s="20" t="n">
        <v>-3975</v>
      </c>
      <c r="U138" s="20" t="n">
        <v>-2961</v>
      </c>
      <c r="V138" s="20" t="n">
        <v>-5136</v>
      </c>
      <c r="W138" s="20" t="n">
        <v>4375</v>
      </c>
      <c r="X138" s="20" t="n">
        <v>3835</v>
      </c>
    </row>
    <row r="139">
      <c r="A139" s="9" t="inlineStr">
        <is>
          <t>순이익</t>
        </is>
      </c>
      <c r="C139" s="12" t="n">
        <v>7730</v>
      </c>
      <c r="D139" s="12" t="n">
        <v>290</v>
      </c>
      <c r="E139" s="12" t="n">
        <v>14707</v>
      </c>
      <c r="F139" s="12" t="n">
        <v>302</v>
      </c>
      <c r="G139" s="12" t="n">
        <v>9406</v>
      </c>
      <c r="H139" s="12" t="n">
        <v>15945</v>
      </c>
      <c r="I139" s="12" t="n">
        <v>6790</v>
      </c>
      <c r="J139" s="12" t="n">
        <v>7941</v>
      </c>
      <c r="K139" s="12" t="n">
        <v>13521</v>
      </c>
      <c r="L139" s="12" t="n">
        <v>14027</v>
      </c>
      <c r="M139" s="12" t="n">
        <v>6195</v>
      </c>
      <c r="N139" s="12" t="n">
        <v>7113</v>
      </c>
      <c r="T139" s="12" t="n">
        <v>-2185</v>
      </c>
      <c r="U139" s="12" t="n">
        <v>3769</v>
      </c>
      <c r="V139" s="12" t="n">
        <v>290</v>
      </c>
      <c r="W139" s="12" t="n">
        <v>15945</v>
      </c>
      <c r="X139" s="12" t="n">
        <v>14027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9" t="inlineStr">
        <is>
          <t>비지배주주 순이익</t>
        </is>
      </c>
      <c r="C141" s="12" t="n">
        <v>1924</v>
      </c>
      <c r="D141" s="12" t="n">
        <v>1920</v>
      </c>
      <c r="E141" s="12" t="n">
        <v>2326</v>
      </c>
      <c r="F141" s="12" t="n">
        <v>1305</v>
      </c>
      <c r="G141" s="12" t="n">
        <v>1816</v>
      </c>
      <c r="H141" s="12" t="n">
        <v>2854</v>
      </c>
      <c r="I141" s="12" t="n">
        <v>1634</v>
      </c>
      <c r="J141" s="12" t="n">
        <v>2934</v>
      </c>
      <c r="K141" s="12" t="n">
        <v>2318</v>
      </c>
      <c r="L141" s="12" t="n">
        <v>2579</v>
      </c>
      <c r="M141" s="12" t="n">
        <v>2055</v>
      </c>
      <c r="N141" s="12" t="n">
        <v>2595</v>
      </c>
      <c r="T141" s="12" t="n">
        <v>1693</v>
      </c>
      <c r="U141" s="12" t="n">
        <v>1951</v>
      </c>
      <c r="V141" s="12" t="n">
        <v>1920</v>
      </c>
      <c r="W141" s="12" t="n">
        <v>2854</v>
      </c>
      <c r="X141" s="12" t="n">
        <v>2579</v>
      </c>
    </row>
    <row r="142">
      <c r="A142" s="9" t="inlineStr">
        <is>
          <t>지배주주 순이익</t>
        </is>
      </c>
      <c r="C142" s="12" t="n">
        <v>5806</v>
      </c>
      <c r="D142" s="12" t="n">
        <v>12676</v>
      </c>
      <c r="E142" s="12" t="n">
        <v>12381</v>
      </c>
      <c r="F142" s="12" t="n">
        <v>-1003</v>
      </c>
      <c r="G142" s="12" t="n">
        <v>7589</v>
      </c>
      <c r="H142" s="12" t="n">
        <v>13091</v>
      </c>
      <c r="I142" s="12" t="n">
        <v>5156</v>
      </c>
      <c r="J142" s="12" t="n">
        <v>5006</v>
      </c>
      <c r="K142" s="12" t="n">
        <v>11204</v>
      </c>
      <c r="L142" s="12" t="n">
        <v>11447</v>
      </c>
      <c r="M142" s="12" t="n">
        <v>4140</v>
      </c>
      <c r="N142" s="12" t="n">
        <v>4517</v>
      </c>
      <c r="T142" s="12" t="n">
        <v>6627</v>
      </c>
      <c r="U142" s="12" t="n">
        <v>12437</v>
      </c>
      <c r="V142" s="12" t="n">
        <v>12676</v>
      </c>
      <c r="W142" s="12" t="n">
        <v>13091</v>
      </c>
      <c r="X142" s="12" t="n">
        <v>11447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5">
      <c r="A145" s="16" t="inlineStr">
        <is>
          <t>포괄손익 · 전 항목</t>
        </is>
      </c>
      <c r="B145" s="42" t="inlineStr">
        <is>
          <t>분기 = 3개월 단독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2024.3Q</t>
        </is>
      </c>
      <c r="D146" s="5" t="inlineStr">
        <is>
          <t>2024.4Q</t>
        </is>
      </c>
      <c r="E146" s="5" t="inlineStr">
        <is>
          <t>2025.1Q</t>
        </is>
      </c>
      <c r="F146" s="5" t="inlineStr">
        <is>
          <t>2025.2Q</t>
        </is>
      </c>
      <c r="G146" s="5" t="inlineStr">
        <is>
          <t>2025.3Q</t>
        </is>
      </c>
      <c r="H146" s="5" t="inlineStr">
        <is>
          <t>2025.4Q</t>
        </is>
      </c>
      <c r="I146" s="5" t="inlineStr">
        <is>
          <t>2026.1Q</t>
        </is>
      </c>
      <c r="J146" s="5" t="inlineStr">
        <is>
          <t>2026.2Q</t>
        </is>
      </c>
      <c r="K146" s="5" t="inlineStr">
        <is>
          <t>2026.3Q</t>
        </is>
      </c>
      <c r="L146" s="5" t="inlineStr">
        <is>
          <t>2026.4Q</t>
        </is>
      </c>
      <c r="M146" s="5" t="inlineStr">
        <is>
          <t>2027.1Q</t>
        </is>
      </c>
      <c r="N146" s="5" t="inlineStr">
        <is>
          <t>2027.2Q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9" t="inlineStr">
        <is>
          <t>순이익</t>
        </is>
      </c>
      <c r="C147" s="12" t="n">
        <v>7730</v>
      </c>
      <c r="D147" s="12" t="n">
        <v>14596</v>
      </c>
      <c r="E147" s="12" t="n">
        <v>14707</v>
      </c>
      <c r="F147" s="12" t="n">
        <v>302</v>
      </c>
      <c r="G147" s="12" t="n">
        <v>9406</v>
      </c>
      <c r="H147" s="12" t="n">
        <v>15945</v>
      </c>
      <c r="I147" s="12" t="n">
        <v>6790</v>
      </c>
      <c r="J147" s="12" t="n">
        <v>7941</v>
      </c>
      <c r="K147" s="12" t="n">
        <v>13521</v>
      </c>
      <c r="L147" s="12" t="n">
        <v>14027</v>
      </c>
      <c r="M147" s="12" t="n">
        <v>6195</v>
      </c>
      <c r="N147" s="12" t="n">
        <v>7113</v>
      </c>
      <c r="T147" s="12" t="n">
        <v>8321</v>
      </c>
      <c r="U147" s="12" t="n">
        <v>14389</v>
      </c>
      <c r="V147" s="12" t="n">
        <v>14596</v>
      </c>
      <c r="W147" s="12" t="n">
        <v>15945</v>
      </c>
      <c r="X147" s="12" t="n">
        <v>14027</v>
      </c>
    </row>
    <row r="148">
      <c r="A148" s="18" t="inlineStr">
        <is>
          <t>기타유가증권 평가차액</t>
        </is>
      </c>
      <c r="C148" s="20" t="n">
        <v>-6322</v>
      </c>
      <c r="D148" s="20" t="n">
        <v>8228</v>
      </c>
      <c r="E148" s="20" t="n">
        <v>470</v>
      </c>
      <c r="F148" s="20" t="n">
        <v>-8832</v>
      </c>
      <c r="G148" s="20" t="n">
        <v>829</v>
      </c>
      <c r="H148" s="20" t="n">
        <v>-5702</v>
      </c>
      <c r="I148" s="20" t="n">
        <v>-489</v>
      </c>
      <c r="J148" s="20" t="n">
        <v>5079</v>
      </c>
      <c r="K148" s="20" t="n">
        <v>-1926</v>
      </c>
      <c r="L148" s="20" t="n">
        <v>-6124</v>
      </c>
      <c r="M148" s="20" t="n">
        <v>4714</v>
      </c>
      <c r="N148" s="20" t="n">
        <v>4331</v>
      </c>
      <c r="T148" s="20" t="n">
        <v>-248</v>
      </c>
      <c r="U148" s="20" t="n">
        <v>4034</v>
      </c>
      <c r="V148" s="20" t="n">
        <v>8228</v>
      </c>
      <c r="W148" s="20" t="n">
        <v>-5702</v>
      </c>
      <c r="X148" s="20" t="n">
        <v>-6124</v>
      </c>
    </row>
    <row r="149">
      <c r="A149" s="18" t="inlineStr">
        <is>
          <t>해외사업환산조정</t>
        </is>
      </c>
      <c r="C149" s="20" t="n">
        <v>-10684</v>
      </c>
      <c r="D149" s="20" t="n">
        <v>14829</v>
      </c>
      <c r="E149" s="20" t="n">
        <v>15088</v>
      </c>
      <c r="F149" s="20" t="n">
        <v>-24548</v>
      </c>
      <c r="G149" s="20" t="n">
        <v>26269</v>
      </c>
      <c r="H149" s="20" t="n">
        <v>-23111</v>
      </c>
      <c r="I149" s="20" t="n">
        <v>-5504</v>
      </c>
      <c r="J149" s="20" t="n">
        <v>11698</v>
      </c>
      <c r="K149" s="20" t="n">
        <v>26221</v>
      </c>
      <c r="L149" s="20" t="n">
        <v>5002</v>
      </c>
      <c r="M149" s="20" t="n">
        <v>5445</v>
      </c>
      <c r="N149" s="20" t="n">
        <v>-11740</v>
      </c>
      <c r="T149" s="20" t="n">
        <v>17427</v>
      </c>
      <c r="U149" s="20" t="n">
        <v>5407</v>
      </c>
      <c r="V149" s="20" t="n">
        <v>14829</v>
      </c>
      <c r="W149" s="20" t="n">
        <v>-23111</v>
      </c>
      <c r="X149" s="20" t="n">
        <v>5002</v>
      </c>
    </row>
    <row r="150">
      <c r="A150" s="18" t="inlineStr">
        <is>
          <t>퇴직급여 조정액</t>
        </is>
      </c>
      <c r="C150" s="20" t="n">
        <v>-39</v>
      </c>
      <c r="D150" s="20" t="n">
        <v>3175</v>
      </c>
      <c r="E150" s="20" t="n">
        <v>-85</v>
      </c>
      <c r="F150" s="20" t="n">
        <v>-144</v>
      </c>
      <c r="G150" s="20" t="n">
        <v>-107</v>
      </c>
      <c r="H150" s="20" t="n">
        <v>-346</v>
      </c>
      <c r="I150" s="20" t="n">
        <v>-189</v>
      </c>
      <c r="J150" s="20" t="n">
        <v>-117</v>
      </c>
      <c r="K150" s="20" t="n">
        <v>-115</v>
      </c>
      <c r="L150" s="20" t="n">
        <v>4470</v>
      </c>
      <c r="M150" s="20" t="n">
        <v>-206</v>
      </c>
      <c r="N150" s="20" t="n">
        <v>-179</v>
      </c>
      <c r="T150" s="20" t="n">
        <v>-1236</v>
      </c>
      <c r="U150" s="20" t="n">
        <v>-1947</v>
      </c>
      <c r="V150" s="20" t="n">
        <v>3175</v>
      </c>
      <c r="W150" s="20" t="n">
        <v>-346</v>
      </c>
      <c r="X150" s="20" t="n">
        <v>4470</v>
      </c>
    </row>
    <row r="151">
      <c r="A151" s="18" t="inlineStr">
        <is>
          <t>지분법 적용회사 지분 해당액</t>
        </is>
      </c>
      <c r="C151" s="20" t="n">
        <v>106</v>
      </c>
      <c r="D151" s="20" t="n">
        <v>448</v>
      </c>
      <c r="E151" s="20" t="n">
        <v>217</v>
      </c>
      <c r="F151" s="20" t="n">
        <v>-452</v>
      </c>
      <c r="G151" s="20" t="n">
        <v>289</v>
      </c>
      <c r="H151" s="20" t="n">
        <v>-200</v>
      </c>
      <c r="I151" s="20" t="n">
        <v>-124</v>
      </c>
      <c r="J151" s="20" t="n">
        <v>-17</v>
      </c>
      <c r="K151" s="20" t="n">
        <v>152</v>
      </c>
      <c r="L151" s="20" t="n">
        <v>-124</v>
      </c>
      <c r="M151" s="20" t="n">
        <v>52</v>
      </c>
      <c r="N151" s="20" t="n">
        <v>-160</v>
      </c>
      <c r="T151" s="20" t="n">
        <v>1690</v>
      </c>
      <c r="U151" s="20" t="n">
        <v>796</v>
      </c>
      <c r="V151" s="20" t="n">
        <v>448</v>
      </c>
      <c r="W151" s="20" t="n">
        <v>-200</v>
      </c>
      <c r="X151" s="20" t="n">
        <v>-124</v>
      </c>
    </row>
    <row r="152">
      <c r="A152" s="18" t="inlineStr">
        <is>
          <t>기타포괄손익 합계</t>
        </is>
      </c>
      <c r="C152" s="20" t="n">
        <v>-16937</v>
      </c>
      <c r="D152" s="20" t="n">
        <v>26681</v>
      </c>
      <c r="E152" s="20" t="n">
        <v>15690</v>
      </c>
      <c r="F152" s="20" t="n">
        <v>-33977</v>
      </c>
      <c r="G152" s="20" t="n">
        <v>27281</v>
      </c>
      <c r="H152" s="20" t="n">
        <v>-29360</v>
      </c>
      <c r="I152" s="20" t="n">
        <v>-6308</v>
      </c>
      <c r="J152" s="20" t="n">
        <v>16644</v>
      </c>
      <c r="K152" s="20" t="n">
        <v>24334</v>
      </c>
      <c r="L152" s="20" t="n">
        <v>3223</v>
      </c>
      <c r="M152" s="20" t="n">
        <v>10006</v>
      </c>
      <c r="N152" s="20" t="n">
        <v>-7752</v>
      </c>
      <c r="T152" s="20" t="n">
        <v>17632</v>
      </c>
      <c r="U152" s="20" t="n">
        <v>8291</v>
      </c>
      <c r="V152" s="20" t="n">
        <v>26681</v>
      </c>
      <c r="W152" s="20" t="n">
        <v>-29360</v>
      </c>
      <c r="X152" s="20" t="n">
        <v>3223</v>
      </c>
    </row>
    <row r="153">
      <c r="A153" s="9" t="inlineStr">
        <is>
          <t>포괄이익</t>
        </is>
      </c>
      <c r="C153" s="12" t="n">
        <v>-9208</v>
      </c>
      <c r="D153" s="12" t="n">
        <v>41278</v>
      </c>
      <c r="E153" s="12" t="n">
        <v>30398</v>
      </c>
      <c r="F153" s="12" t="n">
        <v>-33675</v>
      </c>
      <c r="G153" s="12" t="n">
        <v>36686</v>
      </c>
      <c r="H153" s="12" t="n">
        <v>-13416</v>
      </c>
      <c r="I153" s="12" t="n">
        <v>482</v>
      </c>
      <c r="J153" s="12" t="n">
        <v>24586</v>
      </c>
      <c r="K153" s="12" t="n">
        <v>37855</v>
      </c>
      <c r="L153" s="12" t="n">
        <v>17249</v>
      </c>
      <c r="M153" s="12" t="n">
        <v>16201</v>
      </c>
      <c r="N153" s="12" t="n">
        <v>-638</v>
      </c>
      <c r="T153" s="12" t="n">
        <v>25953</v>
      </c>
      <c r="U153" s="12" t="n">
        <v>22680</v>
      </c>
      <c r="V153" s="12" t="n">
        <v>41278</v>
      </c>
      <c r="W153" s="12" t="n">
        <v>-13416</v>
      </c>
      <c r="X153" s="12" t="n">
        <v>17249</v>
      </c>
    </row>
    <row r="154">
      <c r="A154" s="9" t="inlineStr">
        <is>
          <t>지배주주 포괄이익</t>
        </is>
      </c>
      <c r="C154" s="12" t="n">
        <v>-8821</v>
      </c>
      <c r="D154" s="12" t="n">
        <v>36603</v>
      </c>
      <c r="E154" s="12" t="n">
        <v>23293</v>
      </c>
      <c r="F154" s="12" t="n">
        <v>-31543</v>
      </c>
      <c r="G154" s="12" t="n">
        <v>29238</v>
      </c>
      <c r="H154" s="12" t="n">
        <v>-9962</v>
      </c>
      <c r="I154" s="12" t="n">
        <v>-695</v>
      </c>
      <c r="J154" s="12" t="n">
        <v>18797</v>
      </c>
      <c r="K154" s="12" t="n">
        <v>27945</v>
      </c>
      <c r="L154" s="12" t="n">
        <v>14624</v>
      </c>
      <c r="M154" s="12" t="n">
        <v>13167</v>
      </c>
      <c r="N154" s="12" t="n">
        <v>-26</v>
      </c>
      <c r="T154" s="12" t="n">
        <v>20437</v>
      </c>
      <c r="U154" s="12" t="n">
        <v>19274</v>
      </c>
      <c r="V154" s="12" t="n">
        <v>36603</v>
      </c>
      <c r="W154" s="12" t="n">
        <v>-9962</v>
      </c>
      <c r="X154" s="12" t="n">
        <v>14624</v>
      </c>
    </row>
    <row r="155">
      <c r="A155" s="9" t="inlineStr">
        <is>
          <t>비지배주주 포괄이익</t>
        </is>
      </c>
      <c r="C155" s="12" t="n">
        <v>-386</v>
      </c>
      <c r="D155" s="12" t="n">
        <v>4674</v>
      </c>
      <c r="E155" s="12" t="n">
        <v>7105</v>
      </c>
      <c r="F155" s="12" t="n">
        <v>-2133</v>
      </c>
      <c r="G155" s="12" t="n">
        <v>7449</v>
      </c>
      <c r="H155" s="12" t="n">
        <v>-3455</v>
      </c>
      <c r="I155" s="12" t="n">
        <v>1178</v>
      </c>
      <c r="J155" s="12" t="n">
        <v>5787</v>
      </c>
      <c r="K155" s="12" t="n">
        <v>9910</v>
      </c>
      <c r="L155" s="12" t="n">
        <v>2625</v>
      </c>
      <c r="M155" s="12" t="n">
        <v>3034</v>
      </c>
      <c r="N155" s="12" t="n">
        <v>-613</v>
      </c>
      <c r="T155" s="12" t="n">
        <v>5516</v>
      </c>
      <c r="U155" s="12" t="n">
        <v>3405</v>
      </c>
      <c r="V155" s="12" t="n">
        <v>4674</v>
      </c>
      <c r="W155" s="12" t="n">
        <v>-3455</v>
      </c>
      <c r="X155" s="12" t="n">
        <v>2625</v>
      </c>
    </row>
    <row r="157">
      <c r="A157" s="16" t="inlineStr">
        <is>
          <t>부문 · 전 항목</t>
        </is>
      </c>
      <c r="B157" s="42" t="inlineStr">
        <is>
          <t>부문 · 항목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2024.3Q</t>
        </is>
      </c>
      <c r="D158" s="5" t="inlineStr">
        <is>
          <t>2024.4Q</t>
        </is>
      </c>
      <c r="E158" s="5" t="inlineStr">
        <is>
          <t>2025.1Q</t>
        </is>
      </c>
      <c r="F158" s="5" t="inlineStr">
        <is>
          <t>2025.2Q</t>
        </is>
      </c>
      <c r="G158" s="5" t="inlineStr">
        <is>
          <t>2025.3Q</t>
        </is>
      </c>
      <c r="H158" s="5" t="inlineStr">
        <is>
          <t>2025.4Q</t>
        </is>
      </c>
      <c r="I158" s="5" t="inlineStr">
        <is>
          <t>2026.1Q</t>
        </is>
      </c>
      <c r="J158" s="5" t="inlineStr">
        <is>
          <t>2026.2Q</t>
        </is>
      </c>
      <c r="K158" s="5" t="inlineStr">
        <is>
          <t>2026.3Q</t>
        </is>
      </c>
      <c r="L158" s="5" t="inlineStr">
        <is>
          <t>2026.4Q</t>
        </is>
      </c>
      <c r="M158" s="5" t="inlineStr">
        <is>
          <t>2027.1Q</t>
        </is>
      </c>
      <c r="N158" s="5" t="inlineStr">
        <is>
          <t>2027.2Q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18" t="inlineStr">
        <is>
          <t>AutomotiveEquipmentBusinessReportableSegmentsMember · 외부 고객 매출</t>
        </is>
      </c>
      <c r="C159" s="20" t="n">
        <v>106506</v>
      </c>
      <c r="D159" s="20" t="n">
        <v>95500</v>
      </c>
      <c r="E159" s="20" t="n">
        <v>104438</v>
      </c>
      <c r="F159" s="20" t="n">
        <v>104749</v>
      </c>
      <c r="G159" s="20" t="n">
        <v>113698</v>
      </c>
      <c r="H159" s="20" t="n">
        <v>115588</v>
      </c>
      <c r="I159" s="20" t="n">
        <v>102632</v>
      </c>
      <c r="J159" s="20" t="n">
        <v>110730</v>
      </c>
      <c r="K159" s="20" t="n">
        <v>114172</v>
      </c>
      <c r="L159" s="20" t="n">
        <v>117681</v>
      </c>
      <c r="M159" s="20" t="n">
        <v>111139</v>
      </c>
      <c r="N159" s="20" t="n">
        <v>115257</v>
      </c>
      <c r="V159" s="20" t="n">
        <v>95500</v>
      </c>
      <c r="W159" s="20" t="n">
        <v>115588</v>
      </c>
      <c r="X159" s="20" t="n">
        <v>117681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ElectricComponentsBusinessReportableSegmentsMember · 외부 고객 매출</t>
        </is>
      </c>
      <c r="C161" s="20" t="n">
        <v>5424</v>
      </c>
      <c r="D161" s="20" t="n">
        <v>5095</v>
      </c>
      <c r="E161" s="20" t="n">
        <v>4831</v>
      </c>
      <c r="F161" s="20" t="n">
        <v>4762</v>
      </c>
      <c r="G161" s="20" t="n">
        <v>4795</v>
      </c>
      <c r="H161" s="20" t="n">
        <v>4956</v>
      </c>
      <c r="I161" s="20" t="n">
        <v>4598</v>
      </c>
      <c r="J161" s="20" t="n">
        <v>4927</v>
      </c>
      <c r="K161" s="20" t="n">
        <v>4970</v>
      </c>
      <c r="L161" s="20" t="n">
        <v>5861</v>
      </c>
      <c r="M161" s="20" t="n">
        <v>5180</v>
      </c>
      <c r="N161" s="20" t="n">
        <v>5282</v>
      </c>
      <c r="V161" s="20" t="n">
        <v>5095</v>
      </c>
      <c r="W161" s="20" t="n">
        <v>4956</v>
      </c>
      <c r="X161" s="20" t="n">
        <v>5861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AppliedElectronicProductsBusinessReportableSegmentsMember · 외부 고객 매출</t>
        </is>
      </c>
      <c r="C163" s="20" t="n">
        <v>17299</v>
      </c>
      <c r="E163" s="20" t="n">
        <v>12166</v>
      </c>
      <c r="F163" s="20" t="n">
        <v>13040</v>
      </c>
      <c r="G163" s="20" t="n">
        <v>13415</v>
      </c>
      <c r="I163" s="20" t="n">
        <v>12607</v>
      </c>
      <c r="J163" s="20" t="n">
        <v>12974</v>
      </c>
      <c r="K163" s="20" t="n">
        <v>12668</v>
      </c>
      <c r="M163" s="20" t="n">
        <v>29535</v>
      </c>
      <c r="N163" s="20" t="n">
        <v>36684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</row>
    <row r="165">
      <c r="A165" s="18" t="inlineStr">
        <is>
          <t>기타 · 외부 고객 매출</t>
        </is>
      </c>
      <c r="C165" s="20" t="n">
        <v>7</v>
      </c>
      <c r="E165" s="20" t="n">
        <v>4</v>
      </c>
      <c r="F165" s="20" t="n">
        <v>-4</v>
      </c>
      <c r="G165" s="20" t="n">
        <v>2</v>
      </c>
      <c r="I165" s="20" t="n">
        <v>0</v>
      </c>
      <c r="J165" s="20" t="n">
        <v>4</v>
      </c>
      <c r="K165" s="20" t="n">
        <v>3</v>
      </c>
      <c r="M165" s="20" t="n">
        <v>0</v>
      </c>
      <c r="N165" s="20" t="n">
        <v>13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</row>
    <row r="167">
      <c r="A167" s="18" t="inlineStr">
        <is>
          <t>조정액 · 외부 고객 매출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18" t="inlineStr">
        <is>
          <t>EntityTotalMember · 외부 고객 매출</t>
        </is>
      </c>
      <c r="E168" s="20" t="n">
        <v>121441</v>
      </c>
      <c r="I168" s="20" t="n">
        <v>119838</v>
      </c>
      <c r="M168" s="20" t="n">
        <v>145856</v>
      </c>
    </row>
    <row r="169">
      <c r="A169" s="9" t="inlineStr">
        <is>
          <t>외부 고객 매출</t>
        </is>
      </c>
      <c r="C169" s="12" t="n">
        <v>129235</v>
      </c>
      <c r="D169" s="12" t="n">
        <v>116999</v>
      </c>
      <c r="E169" s="12" t="n">
        <v>121441</v>
      </c>
      <c r="F169" s="12" t="n">
        <v>122546</v>
      </c>
      <c r="G169" s="12" t="n">
        <v>131910</v>
      </c>
      <c r="H169" s="12" t="n">
        <v>133668</v>
      </c>
      <c r="V169" s="12" t="n">
        <v>116999</v>
      </c>
      <c r="W169" s="12" t="n">
        <v>133668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</row>
    <row r="171">
      <c r="A171" s="18" t="inlineStr">
        <is>
          <t>AutomotiveEquipmentBusinessReportableSegmentsMember · 부문 간 내부매출·대체</t>
        </is>
      </c>
      <c r="C171" s="20" t="n">
        <v>352</v>
      </c>
      <c r="D171" s="20" t="n">
        <v>322</v>
      </c>
      <c r="E171" s="20" t="n">
        <v>193</v>
      </c>
      <c r="F171" s="20" t="n">
        <v>613</v>
      </c>
      <c r="G171" s="20" t="n">
        <v>441</v>
      </c>
      <c r="H171" s="20" t="n">
        <v>409</v>
      </c>
      <c r="I171" s="20" t="n">
        <v>426</v>
      </c>
      <c r="J171" s="20" t="n">
        <v>449</v>
      </c>
      <c r="K171" s="20" t="n">
        <v>576</v>
      </c>
      <c r="L171" s="20" t="n">
        <v>472</v>
      </c>
      <c r="M171" s="20" t="n">
        <v>847</v>
      </c>
      <c r="N171" s="20" t="n">
        <v>3185</v>
      </c>
      <c r="V171" s="20" t="n">
        <v>322</v>
      </c>
      <c r="W171" s="20" t="n">
        <v>409</v>
      </c>
      <c r="X171" s="20" t="n">
        <v>472</v>
      </c>
    </row>
    <row r="172">
      <c r="A172" s="18" t="inlineStr">
        <is>
          <t>ElectricComponentsBusinessReportableSegmentsMember · 부문 간 내부매출·대체</t>
        </is>
      </c>
      <c r="C172" s="20" t="n">
        <v>4451</v>
      </c>
      <c r="D172" s="20" t="n">
        <v>3772</v>
      </c>
      <c r="E172" s="20" t="n">
        <v>4177</v>
      </c>
      <c r="F172" s="20" t="n">
        <v>4286</v>
      </c>
      <c r="G172" s="20" t="n">
        <v>4776</v>
      </c>
      <c r="H172" s="20" t="n">
        <v>4481</v>
      </c>
      <c r="I172" s="20" t="n">
        <v>4588</v>
      </c>
      <c r="J172" s="20" t="n">
        <v>4771</v>
      </c>
      <c r="K172" s="20" t="n">
        <v>4807</v>
      </c>
      <c r="L172" s="20" t="n">
        <v>4801</v>
      </c>
      <c r="M172" s="20" t="n">
        <v>5264</v>
      </c>
      <c r="N172" s="20" t="n">
        <v>5859</v>
      </c>
      <c r="V172" s="20" t="n">
        <v>3772</v>
      </c>
      <c r="W172" s="20" t="n">
        <v>4481</v>
      </c>
      <c r="X172" s="20" t="n">
        <v>4801</v>
      </c>
    </row>
    <row r="173">
      <c r="A173" s="18" t="inlineStr">
        <is>
          <t>AppliedElectronicProductsBusinessReportableSegmentsMember · 부문 간 내부매출·대체</t>
        </is>
      </c>
      <c r="C173" s="20" t="n">
        <v>16158</v>
      </c>
      <c r="E173" s="20" t="n">
        <v>15940</v>
      </c>
      <c r="F173" s="20" t="n">
        <v>16636</v>
      </c>
      <c r="G173" s="20" t="n">
        <v>15969</v>
      </c>
      <c r="I173" s="20" t="n">
        <v>14992</v>
      </c>
      <c r="J173" s="20" t="n">
        <v>15487</v>
      </c>
      <c r="K173" s="20" t="n">
        <v>14468</v>
      </c>
      <c r="M173" s="20" t="n">
        <v>18871</v>
      </c>
      <c r="N173" s="20" t="n">
        <v>17331</v>
      </c>
    </row>
    <row r="174">
      <c r="A174" s="18" t="inlineStr">
        <is>
          <t>기타 · 부문 간 내부매출·대체</t>
        </is>
      </c>
      <c r="C174" s="20" t="n">
        <v>873</v>
      </c>
      <c r="E174" s="20" t="n">
        <v>800</v>
      </c>
      <c r="F174" s="20" t="n">
        <v>608</v>
      </c>
      <c r="G174" s="20" t="n">
        <v>910</v>
      </c>
      <c r="I174" s="20" t="n">
        <v>729</v>
      </c>
      <c r="J174" s="20" t="n">
        <v>764</v>
      </c>
      <c r="K174" s="20" t="n">
        <v>986</v>
      </c>
      <c r="M174" s="20" t="n">
        <v>898</v>
      </c>
      <c r="N174" s="20" t="n">
        <v>976</v>
      </c>
    </row>
    <row r="175">
      <c r="A175" s="18" t="inlineStr">
        <is>
          <t>조정액 · 부문 간 내부매출·대체</t>
        </is>
      </c>
      <c r="C175" s="20" t="n">
        <v>-21835</v>
      </c>
      <c r="D175" s="20" t="n">
        <v>-18390</v>
      </c>
      <c r="E175" s="20" t="n">
        <v>-21112</v>
      </c>
      <c r="F175" s="20" t="n">
        <v>-22143</v>
      </c>
      <c r="G175" s="20" t="n">
        <v>-22095</v>
      </c>
      <c r="H175" s="20" t="n">
        <v>-21758</v>
      </c>
      <c r="I175" s="20" t="n">
        <v>-20737</v>
      </c>
      <c r="J175" s="20" t="n">
        <v>-21472</v>
      </c>
      <c r="K175" s="20" t="n">
        <v>-20836</v>
      </c>
      <c r="L175" s="20" t="n">
        <v>-20739</v>
      </c>
      <c r="M175" s="20" t="n">
        <v>-25881</v>
      </c>
      <c r="N175" s="20" t="n">
        <v>-27351</v>
      </c>
      <c r="V175" s="20" t="n">
        <v>-18390</v>
      </c>
      <c r="W175" s="20" t="n">
        <v>-21758</v>
      </c>
      <c r="X175" s="20" t="n">
        <v>-20739</v>
      </c>
    </row>
    <row r="176">
      <c r="A176" s="18" t="inlineStr">
        <is>
          <t>EntityTotalMember · 부문 간 내부매출·대체</t>
        </is>
      </c>
      <c r="E176" s="20" t="n">
        <v>0</v>
      </c>
      <c r="I176" s="20" t="n">
        <v>0</v>
      </c>
      <c r="M176" s="20" t="n">
        <v>0</v>
      </c>
    </row>
    <row r="177">
      <c r="A177" s="18" t="inlineStr">
        <is>
          <t>부문 간 내부매출·대체</t>
        </is>
      </c>
      <c r="C177" s="20" t="n">
        <v>0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V177" s="20" t="n">
        <v>0</v>
      </c>
      <c r="W177" s="20" t="n">
        <v>0</v>
      </c>
    </row>
    <row r="178">
      <c r="A178" s="18" t="inlineStr">
        <is>
          <t>AutomotiveEquipmentBusinessReportableSegmentsMember · 계</t>
        </is>
      </c>
      <c r="C178" s="20" t="n">
        <v>106858</v>
      </c>
      <c r="D178" s="20" t="n">
        <v>95822</v>
      </c>
      <c r="E178" s="20" t="n">
        <v>104632</v>
      </c>
      <c r="F178" s="20" t="n">
        <v>105361</v>
      </c>
      <c r="G178" s="20" t="n">
        <v>114139</v>
      </c>
      <c r="H178" s="20" t="n">
        <v>115998</v>
      </c>
      <c r="I178" s="20" t="n">
        <v>103059</v>
      </c>
      <c r="J178" s="20" t="n">
        <v>111179</v>
      </c>
      <c r="K178" s="20" t="n">
        <v>114748</v>
      </c>
      <c r="L178" s="20" t="n">
        <v>118153</v>
      </c>
      <c r="M178" s="20" t="n">
        <v>111986</v>
      </c>
      <c r="N178" s="20" t="n">
        <v>118443</v>
      </c>
      <c r="V178" s="20" t="n">
        <v>95822</v>
      </c>
      <c r="W178" s="20" t="n">
        <v>115998</v>
      </c>
      <c r="X178" s="20" t="n">
        <v>118153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ElectricComponentsBusinessReportableSegmentsMember · 계</t>
        </is>
      </c>
      <c r="C180" s="20" t="n">
        <v>9875</v>
      </c>
      <c r="D180" s="20" t="n">
        <v>8867</v>
      </c>
      <c r="E180" s="20" t="n">
        <v>9009</v>
      </c>
      <c r="F180" s="20" t="n">
        <v>9048</v>
      </c>
      <c r="G180" s="20" t="n">
        <v>9570</v>
      </c>
      <c r="H180" s="20" t="n">
        <v>9438</v>
      </c>
      <c r="I180" s="20" t="n">
        <v>9186</v>
      </c>
      <c r="J180" s="20" t="n">
        <v>9699</v>
      </c>
      <c r="K180" s="20" t="n">
        <v>9777</v>
      </c>
      <c r="L180" s="20" t="n">
        <v>10661</v>
      </c>
      <c r="M180" s="20" t="n">
        <v>10444</v>
      </c>
      <c r="N180" s="20" t="n">
        <v>11142</v>
      </c>
      <c r="V180" s="20" t="n">
        <v>8867</v>
      </c>
      <c r="W180" s="20" t="n">
        <v>9438</v>
      </c>
      <c r="X180" s="20" t="n">
        <v>10661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AppliedElectronicProductsBusinessReportableSegmentsMember · 계</t>
        </is>
      </c>
      <c r="C182" s="20" t="n">
        <v>33456</v>
      </c>
      <c r="E182" s="20" t="n">
        <v>28106</v>
      </c>
      <c r="F182" s="20" t="n">
        <v>29677</v>
      </c>
      <c r="G182" s="20" t="n">
        <v>29383</v>
      </c>
      <c r="I182" s="20" t="n">
        <v>27600</v>
      </c>
      <c r="J182" s="20" t="n">
        <v>28461</v>
      </c>
      <c r="K182" s="20" t="n">
        <v>27136</v>
      </c>
      <c r="M182" s="20" t="n">
        <v>48407</v>
      </c>
      <c r="N182" s="20" t="n">
        <v>54015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</row>
    <row r="184">
      <c r="A184" s="18" t="inlineStr">
        <is>
          <t>기타 · 계</t>
        </is>
      </c>
      <c r="C184" s="20" t="n">
        <v>879</v>
      </c>
      <c r="E184" s="20" t="n">
        <v>804</v>
      </c>
      <c r="F184" s="20" t="n">
        <v>604</v>
      </c>
      <c r="G184" s="20" t="n">
        <v>912</v>
      </c>
      <c r="I184" s="20" t="n">
        <v>729</v>
      </c>
      <c r="J184" s="20" t="n">
        <v>769</v>
      </c>
      <c r="K184" s="20" t="n">
        <v>989</v>
      </c>
      <c r="M184" s="20" t="n">
        <v>898</v>
      </c>
      <c r="N184" s="20" t="n">
        <v>990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</row>
    <row r="186">
      <c r="A186" s="18" t="inlineStr">
        <is>
          <t>조정액 · 계</t>
        </is>
      </c>
      <c r="C186" s="20" t="n">
        <v>-21835</v>
      </c>
      <c r="D186" s="20" t="n">
        <v>-18390</v>
      </c>
      <c r="E186" s="20" t="n">
        <v>-21112</v>
      </c>
      <c r="F186" s="20" t="n">
        <v>-22143</v>
      </c>
      <c r="G186" s="20" t="n">
        <v>-22095</v>
      </c>
      <c r="H186" s="20" t="n">
        <v>-21758</v>
      </c>
      <c r="I186" s="20" t="n">
        <v>-20737</v>
      </c>
      <c r="J186" s="20" t="n">
        <v>-21472</v>
      </c>
      <c r="K186" s="20" t="n">
        <v>-20836</v>
      </c>
      <c r="L186" s="20" t="n">
        <v>-20739</v>
      </c>
      <c r="M186" s="20" t="n">
        <v>-25881</v>
      </c>
      <c r="N186" s="20" t="n">
        <v>-27351</v>
      </c>
      <c r="V186" s="20" t="n">
        <v>-18390</v>
      </c>
      <c r="W186" s="20" t="n">
        <v>-21758</v>
      </c>
      <c r="X186" s="20" t="n">
        <v>-20739</v>
      </c>
    </row>
    <row r="187">
      <c r="A187" s="18" t="inlineStr">
        <is>
          <t>EntityTotalMember · 계</t>
        </is>
      </c>
      <c r="E187" s="20" t="n">
        <v>121441</v>
      </c>
      <c r="I187" s="20" t="n">
        <v>119838</v>
      </c>
      <c r="M187" s="20" t="n">
        <v>145856</v>
      </c>
    </row>
    <row r="188">
      <c r="A188" s="9" t="inlineStr">
        <is>
          <t>계</t>
        </is>
      </c>
      <c r="C188" s="12" t="n">
        <v>129235</v>
      </c>
      <c r="D188" s="12" t="n">
        <v>116999</v>
      </c>
      <c r="E188" s="12" t="n">
        <v>121441</v>
      </c>
      <c r="F188" s="12" t="n">
        <v>122546</v>
      </c>
      <c r="G188" s="12" t="n">
        <v>131910</v>
      </c>
      <c r="H188" s="12" t="n">
        <v>133668</v>
      </c>
      <c r="V188" s="12" t="n">
        <v>116999</v>
      </c>
      <c r="W188" s="12" t="n">
        <v>133668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</row>
    <row r="190">
      <c r="A190" s="18" t="inlineStr">
        <is>
          <t>AutomotiveEquipmentBusinessReportableSegmentsMember · 부문 이익</t>
        </is>
      </c>
      <c r="C190" s="20" t="n">
        <v>9896</v>
      </c>
      <c r="D190" s="20" t="n">
        <v>5440</v>
      </c>
      <c r="E190" s="20" t="n">
        <v>9507</v>
      </c>
      <c r="F190" s="20" t="n">
        <v>8869</v>
      </c>
      <c r="G190" s="20" t="n">
        <v>13268</v>
      </c>
      <c r="H190" s="20" t="n">
        <v>15322</v>
      </c>
      <c r="I190" s="20" t="n">
        <v>9425</v>
      </c>
      <c r="J190" s="20" t="n">
        <v>9376</v>
      </c>
      <c r="K190" s="20" t="n">
        <v>10688</v>
      </c>
      <c r="L190" s="20" t="n">
        <v>15448</v>
      </c>
      <c r="M190" s="20" t="n">
        <v>10025</v>
      </c>
      <c r="N190" s="20" t="n">
        <v>10866</v>
      </c>
      <c r="V190" s="20" t="n">
        <v>5440</v>
      </c>
      <c r="W190" s="20" t="n">
        <v>15322</v>
      </c>
      <c r="X190" s="20" t="n">
        <v>15448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IF(OR(C190="",C178=""),"",IF(C178&lt;=0,"",IFERROR(C190/C178,"")))</f>
        <v/>
      </c>
      <c r="D191" s="15">
        <f>IF(OR(D190="",D178=""),"",IF(D178&lt;=0,"",IFERROR(D190/D178,"")))</f>
        <v/>
      </c>
      <c r="E191" s="15">
        <f>IF(OR(E190="",E178=""),"",IF(E178&lt;=0,"",IFERROR(E190/E178,"")))</f>
        <v/>
      </c>
      <c r="F191" s="15">
        <f>IF(OR(F190="",F178=""),"",IF(F178&lt;=0,"",IFERROR(F190/F178,"")))</f>
        <v/>
      </c>
      <c r="G191" s="15">
        <f>IF(OR(G190="",G178=""),"",IF(G178&lt;=0,"",IFERROR(G190/G178,"")))</f>
        <v/>
      </c>
      <c r="H191" s="15">
        <f>IF(OR(H190="",H178=""),"",IF(H178&lt;=0,"",IFERROR(H190/H178,"")))</f>
        <v/>
      </c>
      <c r="I191" s="15">
        <f>IF(OR(I190="",I178=""),"",IF(I178&lt;=0,"",IFERROR(I190/I178,"")))</f>
        <v/>
      </c>
      <c r="J191" s="15">
        <f>IF(OR(J190="",J178=""),"",IF(J178&lt;=0,"",IFERROR(J190/J178,"")))</f>
        <v/>
      </c>
      <c r="K191" s="15">
        <f>IF(OR(K190="",K178=""),"",IF(K178&lt;=0,"",IFERROR(K190/K178,"")))</f>
        <v/>
      </c>
      <c r="L191" s="15">
        <f>IF(OR(L190="",L178=""),"",IF(L178&lt;=0,"",IFERROR(L190/L178,"")))</f>
        <v/>
      </c>
      <c r="M191" s="15">
        <f>IF(OR(M190="",M178=""),"",IF(M178&lt;=0,"",IFERROR(M190/M178,"")))</f>
        <v/>
      </c>
      <c r="N191" s="15">
        <f>IF(OR(N190="",N178=""),"",IF(N178&lt;=0,"",IFERROR(N190/N178,"")))</f>
        <v/>
      </c>
      <c r="V191" s="15">
        <f>IF(OR(V190="",V178=""),"",IF(V178&lt;=0,"",IFERROR(V190/V178,"")))</f>
        <v/>
      </c>
      <c r="W191" s="15">
        <f>IF(OR(W190="",W178=""),"",IF(W178&lt;=0,"",IFERROR(W190/W178,"")))</f>
        <v/>
      </c>
      <c r="X191" s="15">
        <f>IF(OR(X190="",X178=""),"",IF(X178&lt;=0,"",IFERROR(X190/X178,"")))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ElectricComponentsBusinessReportableSegmentsMember · 부문 이익</t>
        </is>
      </c>
      <c r="C193" s="20" t="n">
        <v>955</v>
      </c>
      <c r="D193" s="20" t="n">
        <v>1250</v>
      </c>
      <c r="E193" s="20" t="n">
        <v>469</v>
      </c>
      <c r="F193" s="20" t="n">
        <v>769</v>
      </c>
      <c r="G193" s="20" t="n">
        <v>932</v>
      </c>
      <c r="H193" s="20" t="n">
        <v>324</v>
      </c>
      <c r="I193" s="20" t="n">
        <v>1094</v>
      </c>
      <c r="J193" s="20" t="n">
        <v>965</v>
      </c>
      <c r="K193" s="20" t="n">
        <v>782</v>
      </c>
      <c r="L193" s="20" t="n">
        <v>43</v>
      </c>
      <c r="M193" s="20" t="n">
        <v>1322</v>
      </c>
      <c r="N193" s="20" t="n">
        <v>713</v>
      </c>
      <c r="V193" s="20" t="n">
        <v>1250</v>
      </c>
      <c r="W193" s="20" t="n">
        <v>324</v>
      </c>
      <c r="X193" s="20" t="n">
        <v>43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IF(OR(C193="",C180=""),"",IF(C180&lt;=0,"",IFERROR(C193/C180,"")))</f>
        <v/>
      </c>
      <c r="D194" s="15">
        <f>IF(OR(D193="",D180=""),"",IF(D180&lt;=0,"",IFERROR(D193/D180,"")))</f>
        <v/>
      </c>
      <c r="E194" s="15">
        <f>IF(OR(E193="",E180=""),"",IF(E180&lt;=0,"",IFERROR(E193/E180,"")))</f>
        <v/>
      </c>
      <c r="F194" s="15">
        <f>IF(OR(F193="",F180=""),"",IF(F180&lt;=0,"",IFERROR(F193/F180,"")))</f>
        <v/>
      </c>
      <c r="G194" s="15">
        <f>IF(OR(G193="",G180=""),"",IF(G180&lt;=0,"",IFERROR(G193/G180,"")))</f>
        <v/>
      </c>
      <c r="H194" s="15">
        <f>IF(OR(H193="",H180=""),"",IF(H180&lt;=0,"",IFERROR(H193/H180,"")))</f>
        <v/>
      </c>
      <c r="I194" s="15">
        <f>IF(OR(I193="",I180=""),"",IF(I180&lt;=0,"",IFERROR(I193/I180,"")))</f>
        <v/>
      </c>
      <c r="J194" s="15">
        <f>IF(OR(J193="",J180=""),"",IF(J180&lt;=0,"",IFERROR(J193/J180,"")))</f>
        <v/>
      </c>
      <c r="K194" s="15">
        <f>IF(OR(K193="",K180=""),"",IF(K180&lt;=0,"",IFERROR(K193/K180,"")))</f>
        <v/>
      </c>
      <c r="L194" s="15">
        <f>IF(OR(L193="",L180=""),"",IF(L180&lt;=0,"",IFERROR(L193/L180,"")))</f>
        <v/>
      </c>
      <c r="M194" s="15">
        <f>IF(OR(M193="",M180=""),"",IF(M180&lt;=0,"",IFERROR(M193/M180,"")))</f>
        <v/>
      </c>
      <c r="N194" s="15">
        <f>IF(OR(N193="",N180=""),"",IF(N180&lt;=0,"",IFERROR(N193/N180,"")))</f>
        <v/>
      </c>
      <c r="V194" s="15">
        <f>IF(OR(V193="",V180=""),"",IF(V180&lt;=0,"",IFERROR(V193/V180,"")))</f>
        <v/>
      </c>
      <c r="W194" s="15">
        <f>IF(OR(W193="",W180=""),"",IF(W180&lt;=0,"",IFERROR(W193/W180,"")))</f>
        <v/>
      </c>
      <c r="X194" s="15">
        <f>IF(OR(X193="",X180=""),"",IF(X180&lt;=0,"",IFERROR(X193/X180,"")))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J195" s="15">
        <f>IF(OR(J193="",F193=""),"",IF(F193&lt;=0,"",IFERROR(J193/F193-1,"")))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N195" s="15">
        <f>IF(OR(N193="",J193=""),"",IF(J193&lt;=0,"",IFERROR(N193/J193-1,"")))</f>
        <v/>
      </c>
      <c r="V195" s="15">
        <f>IF(OR(V193="",U193=""),"",IF(U193&lt;=0,"",IFERROR(V193/U193-1,"")))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AppliedElectronicProductsBusinessReportableSegmentsMember · 부문 이익</t>
        </is>
      </c>
      <c r="C196" s="20" t="n">
        <v>4063</v>
      </c>
      <c r="E196" s="20" t="n">
        <v>1647</v>
      </c>
      <c r="F196" s="20" t="n">
        <v>2433</v>
      </c>
      <c r="G196" s="20" t="n">
        <v>2287</v>
      </c>
      <c r="I196" s="20" t="n">
        <v>2148</v>
      </c>
      <c r="J196" s="20" t="n">
        <v>2551</v>
      </c>
      <c r="K196" s="20" t="n">
        <v>1976</v>
      </c>
      <c r="M196" s="20" t="n">
        <v>1268</v>
      </c>
      <c r="N196" s="20" t="n">
        <v>3040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IF(OR(C196="",C182=""),"",IF(C182&lt;=0,"",IFERROR(C196/C182,"")))</f>
        <v/>
      </c>
      <c r="E197" s="15">
        <f>IF(OR(E196="",E182=""),"",IF(E182&lt;=0,"",IFERROR(E196/E182,"")))</f>
        <v/>
      </c>
      <c r="F197" s="15">
        <f>IF(OR(F196="",F182=""),"",IF(F182&lt;=0,"",IFERROR(F196/F182,"")))</f>
        <v/>
      </c>
      <c r="G197" s="15">
        <f>IF(OR(G196="",G182=""),"",IF(G182&lt;=0,"",IFERROR(G196/G182,"")))</f>
        <v/>
      </c>
      <c r="I197" s="15">
        <f>IF(OR(I196="",I182=""),"",IF(I182&lt;=0,"",IFERROR(I196/I182,"")))</f>
        <v/>
      </c>
      <c r="J197" s="15">
        <f>IF(OR(J196="",J182=""),"",IF(J182&lt;=0,"",IFERROR(J196/J182,"")))</f>
        <v/>
      </c>
      <c r="K197" s="15">
        <f>IF(OR(K196="",K182=""),"",IF(K182&lt;=0,"",IFERROR(K196/K182,"")))</f>
        <v/>
      </c>
      <c r="M197" s="15">
        <f>IF(OR(M196="",M182=""),"",IF(M182&lt;=0,"",IFERROR(M196/M182,"")))</f>
        <v/>
      </c>
      <c r="N197" s="15">
        <f>IF(OR(N196="",N182=""),"",IF(N182&lt;=0,"",IFERROR(N196/N182,"")))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</row>
    <row r="199">
      <c r="A199" s="18" t="inlineStr">
        <is>
          <t>기타 · 부문 이익</t>
        </is>
      </c>
      <c r="C199" s="20" t="n">
        <v>-7</v>
      </c>
      <c r="E199" s="20" t="n">
        <v>40</v>
      </c>
      <c r="F199" s="20" t="n">
        <v>-61</v>
      </c>
      <c r="G199" s="20" t="n">
        <v>44</v>
      </c>
      <c r="I199" s="20" t="n">
        <v>7</v>
      </c>
      <c r="J199" s="20" t="n">
        <v>30</v>
      </c>
      <c r="K199" s="20" t="n">
        <v>52</v>
      </c>
      <c r="M199" s="20" t="n">
        <v>21</v>
      </c>
      <c r="N199" s="20" t="n">
        <v>42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IF(OR(C199="",C184=""),"",IF(C184&lt;=0,"",IFERROR(C199/C184,"")))</f>
        <v/>
      </c>
      <c r="E200" s="15">
        <f>IF(OR(E199="",E184=""),"",IF(E184&lt;=0,"",IFERROR(E199/E184,"")))</f>
        <v/>
      </c>
      <c r="F200" s="15">
        <f>IF(OR(F199="",F184=""),"",IF(F184&lt;=0,"",IFERROR(F199/F184,"")))</f>
        <v/>
      </c>
      <c r="G200" s="15">
        <f>IF(OR(G199="",G184=""),"",IF(G184&lt;=0,"",IFERROR(G199/G184,"")))</f>
        <v/>
      </c>
      <c r="I200" s="15">
        <f>IF(OR(I199="",I184=""),"",IF(I184&lt;=0,"",IFERROR(I199/I184,"")))</f>
        <v/>
      </c>
      <c r="J200" s="15">
        <f>IF(OR(J199="",J184=""),"",IF(J184&lt;=0,"",IFERROR(J199/J184,"")))</f>
        <v/>
      </c>
      <c r="K200" s="15">
        <f>IF(OR(K199="",K184=""),"",IF(K184&lt;=0,"",IFERROR(K199/K184,"")))</f>
        <v/>
      </c>
      <c r="M200" s="15">
        <f>IF(OR(M199="",M184=""),"",IF(M184&lt;=0,"",IFERROR(M199/M184,"")))</f>
        <v/>
      </c>
      <c r="N200" s="15">
        <f>IF(OR(N199="",N184=""),"",IF(N184&lt;=0,"",IFERROR(N199/N184,"")))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</row>
    <row r="202">
      <c r="A202" s="18" t="inlineStr">
        <is>
          <t>조정액 · 부문 이익</t>
        </is>
      </c>
      <c r="C202" s="20" t="n">
        <v>-1570</v>
      </c>
      <c r="D202" s="20" t="n">
        <v>-2063</v>
      </c>
      <c r="E202" s="20" t="n">
        <v>-2129</v>
      </c>
      <c r="F202" s="20" t="n">
        <v>-2347</v>
      </c>
      <c r="G202" s="20" t="n">
        <v>-2780</v>
      </c>
      <c r="H202" s="20" t="n">
        <v>-2082</v>
      </c>
      <c r="I202" s="20" t="n">
        <v>-4069</v>
      </c>
      <c r="J202" s="20" t="n">
        <v>-3067</v>
      </c>
      <c r="K202" s="20" t="n">
        <v>-3374</v>
      </c>
      <c r="L202" s="20" t="n">
        <v>-4062</v>
      </c>
      <c r="M202" s="20" t="n">
        <v>-3877</v>
      </c>
      <c r="N202" s="20" t="n">
        <v>-5016</v>
      </c>
      <c r="V202" s="20" t="n">
        <v>-2063</v>
      </c>
      <c r="W202" s="20" t="n">
        <v>-2082</v>
      </c>
      <c r="X202" s="20" t="n">
        <v>-4062</v>
      </c>
    </row>
    <row r="203">
      <c r="A203" s="18" t="inlineStr">
        <is>
          <t>EntityTotalMember · 부문 이익</t>
        </is>
      </c>
      <c r="E203" s="20" t="n">
        <v>9535</v>
      </c>
      <c r="I203" s="20" t="n">
        <v>8607</v>
      </c>
      <c r="M203" s="20" t="n">
        <v>8760</v>
      </c>
    </row>
    <row r="204">
      <c r="A204" s="9" t="inlineStr">
        <is>
          <t>부문 이익</t>
        </is>
      </c>
      <c r="C204" s="12" t="n">
        <v>13337</v>
      </c>
      <c r="D204" s="12" t="n">
        <v>8420</v>
      </c>
      <c r="E204" s="12" t="n">
        <v>9535</v>
      </c>
      <c r="F204" s="12" t="n">
        <v>9662</v>
      </c>
      <c r="G204" s="12" t="n">
        <v>13752</v>
      </c>
      <c r="H204" s="12" t="n">
        <v>16053</v>
      </c>
      <c r="V204" s="12" t="n">
        <v>8420</v>
      </c>
      <c r="W204" s="12" t="n">
        <v>16053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IF(OR(C204="",C169=""),"",IF(C169&lt;=0,"",IFERROR(C204/C169,"")))</f>
        <v/>
      </c>
      <c r="D205" s="15">
        <f>IF(OR(D204="",D169=""),"",IF(D169&lt;=0,"",IFERROR(D204/D169,"")))</f>
        <v/>
      </c>
      <c r="E205" s="15">
        <f>IF(OR(E204="",E169=""),"",IF(E169&lt;=0,"",IFERROR(E204/E169,"")))</f>
        <v/>
      </c>
      <c r="F205" s="15">
        <f>IF(OR(F204="",F169=""),"",IF(F169&lt;=0,"",IFERROR(F204/F169,"")))</f>
        <v/>
      </c>
      <c r="G205" s="15">
        <f>IF(OR(G204="",G169=""),"",IF(G169&lt;=0,"",IFERROR(G204/G169,"")))</f>
        <v/>
      </c>
      <c r="H205" s="15">
        <f>IF(OR(H204="",H169=""),"",IF(H169&lt;=0,"",IFERROR(H204/H169,"")))</f>
        <v/>
      </c>
      <c r="V205" s="15">
        <f>IF(OR(V204="",V169=""),"",IF(V169&lt;=0,"",IFERROR(V204/V169,"")))</f>
        <v/>
      </c>
      <c r="W205" s="15">
        <f>IF(OR(W204="",W169=""),"",IF(W169&lt;=0,"",IFERROR(W204/W169,"")))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</row>
    <row r="208">
      <c r="A208" s="16" t="inlineStr">
        <is>
          <t>현금흐름표 · 전 항목</t>
        </is>
      </c>
      <c r="B208" s="42" t="inlineStr">
        <is>
          <t>분기 = 결산기 첫날부터 누계(공시 그대로)</t>
        </is>
      </c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</row>
    <row r="209">
      <c r="A209" s="5" t="inlineStr">
        <is>
          <t>항목</t>
        </is>
      </c>
      <c r="B209" s="5" t="inlineStr">
        <is>
          <t>참고</t>
        </is>
      </c>
      <c r="C209" s="5" t="inlineStr">
        <is>
          <t>2024.3Q</t>
        </is>
      </c>
      <c r="D209" s="5" t="inlineStr">
        <is>
          <t>2024.4Q</t>
        </is>
      </c>
      <c r="E209" s="5" t="inlineStr">
        <is>
          <t>2025.1Q</t>
        </is>
      </c>
      <c r="F209" s="5" t="inlineStr">
        <is>
          <t>2025.2Q</t>
        </is>
      </c>
      <c r="G209" s="5" t="inlineStr">
        <is>
          <t>2025.3Q</t>
        </is>
      </c>
      <c r="H209" s="5" t="inlineStr">
        <is>
          <t>2025.4Q</t>
        </is>
      </c>
      <c r="I209" s="5" t="inlineStr">
        <is>
          <t>2026.1Q</t>
        </is>
      </c>
      <c r="J209" s="5" t="inlineStr">
        <is>
          <t>2026.2Q</t>
        </is>
      </c>
      <c r="K209" s="5" t="inlineStr">
        <is>
          <t>2026.3Q</t>
        </is>
      </c>
      <c r="L209" s="5" t="inlineStr">
        <is>
          <t>2026.4Q</t>
        </is>
      </c>
      <c r="M209" s="5" t="inlineStr">
        <is>
          <t>2027.1Q</t>
        </is>
      </c>
      <c r="N209" s="5" t="inlineStr">
        <is>
          <t>2027.2Q</t>
        </is>
      </c>
      <c r="O209" s="5" t="inlineStr">
        <is>
          <t>2017</t>
        </is>
      </c>
      <c r="P209" s="5" t="inlineStr">
        <is>
          <t>2018</t>
        </is>
      </c>
      <c r="Q209" s="5" t="inlineStr">
        <is>
          <t>2019</t>
        </is>
      </c>
      <c r="R209" s="5" t="inlineStr">
        <is>
          <t>2020</t>
        </is>
      </c>
      <c r="S209" s="5" t="inlineStr">
        <is>
          <t>2021</t>
        </is>
      </c>
      <c r="T209" s="5" t="inlineStr">
        <is>
          <t>2022</t>
        </is>
      </c>
      <c r="U209" s="5" t="inlineStr">
        <is>
          <t>2023</t>
        </is>
      </c>
      <c r="V209" s="5" t="inlineStr">
        <is>
          <t>2024</t>
        </is>
      </c>
      <c r="W209" s="5" t="inlineStr">
        <is>
          <t>2025</t>
        </is>
      </c>
      <c r="X209" s="5" t="inlineStr">
        <is>
          <t>2026</t>
        </is>
      </c>
      <c r="Y209" s="5" t="inlineStr">
        <is>
          <t>2027(MW)</t>
        </is>
      </c>
      <c r="Z209" s="5" t="inlineStr">
        <is>
          <t>2028(MW)</t>
        </is>
      </c>
      <c r="AA209" s="5" t="inlineStr">
        <is>
          <t>2029(MW)</t>
        </is>
      </c>
      <c r="AB209" s="5" t="inlineStr">
        <is>
          <t>2030(MW)</t>
        </is>
      </c>
      <c r="AC209" s="5" t="inlineStr">
        <is>
          <t>2031(MW)</t>
        </is>
      </c>
    </row>
    <row r="210">
      <c r="A210" s="9" t="inlineStr">
        <is>
          <t>법인세차감전 순이익</t>
        </is>
      </c>
      <c r="D210" s="12" t="n">
        <v>43018</v>
      </c>
      <c r="F210" s="12" t="n">
        <v>20912</v>
      </c>
      <c r="H210" s="12" t="n">
        <v>53030</v>
      </c>
      <c r="J210" s="12" t="n">
        <v>20753</v>
      </c>
      <c r="L210" s="12" t="n">
        <v>56204</v>
      </c>
      <c r="N210" s="12" t="n">
        <v>19545</v>
      </c>
      <c r="O210" s="12" t="n">
        <v>43944</v>
      </c>
      <c r="P210" s="12" t="n">
        <v>53585</v>
      </c>
      <c r="Q210" s="12" t="n">
        <v>59716</v>
      </c>
      <c r="R210" s="12" t="n">
        <v>28624</v>
      </c>
      <c r="S210" s="12" t="n">
        <v>37663</v>
      </c>
      <c r="T210" s="12" t="n">
        <v>35774</v>
      </c>
      <c r="U210" s="12" t="n">
        <v>44889</v>
      </c>
      <c r="V210" s="12" t="n">
        <v>43018</v>
      </c>
      <c r="W210" s="12" t="n">
        <v>53030</v>
      </c>
      <c r="X210" s="12" t="n">
        <v>56204</v>
      </c>
    </row>
    <row r="211">
      <c r="A211" s="18" t="inlineStr">
        <is>
          <t>감가상각비</t>
        </is>
      </c>
      <c r="D211" s="20" t="n">
        <v>37044</v>
      </c>
      <c r="F211" s="20" t="n">
        <v>22275</v>
      </c>
      <c r="H211" s="20" t="n">
        <v>43683</v>
      </c>
      <c r="J211" s="20" t="n">
        <v>20152</v>
      </c>
      <c r="L211" s="20" t="n">
        <v>41815</v>
      </c>
      <c r="N211" s="20" t="n">
        <v>24624</v>
      </c>
      <c r="O211" s="20" t="n">
        <v>31956</v>
      </c>
      <c r="P211" s="20" t="n">
        <v>33981</v>
      </c>
      <c r="Q211" s="20" t="n">
        <v>33465</v>
      </c>
      <c r="R211" s="20" t="n">
        <v>31624</v>
      </c>
      <c r="S211" s="20" t="n">
        <v>33425</v>
      </c>
      <c r="T211" s="20" t="n">
        <v>36317</v>
      </c>
      <c r="U211" s="20" t="n">
        <v>41613</v>
      </c>
      <c r="V211" s="20" t="n">
        <v>37044</v>
      </c>
      <c r="W211" s="20" t="n">
        <v>43683</v>
      </c>
      <c r="X211" s="20" t="n">
        <v>41815</v>
      </c>
    </row>
    <row r="212">
      <c r="A212" s="18" t="inlineStr">
        <is>
          <t>영업권 상각</t>
        </is>
      </c>
      <c r="J212" s="20" t="n">
        <v>122</v>
      </c>
      <c r="N212" s="20" t="n">
        <v>1106</v>
      </c>
    </row>
    <row r="213">
      <c r="A213" s="18" t="inlineStr">
        <is>
          <t>손상차손</t>
        </is>
      </c>
      <c r="D213" s="20" t="n">
        <v>4454</v>
      </c>
      <c r="F213" s="20" t="n">
        <v>6180</v>
      </c>
      <c r="H213" s="20" t="n">
        <v>8094</v>
      </c>
      <c r="J213" s="20" t="n">
        <v>760</v>
      </c>
      <c r="L213" s="20" t="n">
        <v>2328</v>
      </c>
      <c r="N213" s="20" t="n">
        <v>0</v>
      </c>
      <c r="T213" s="20" t="n">
        <v>0</v>
      </c>
      <c r="U213" s="20" t="n">
        <v>822</v>
      </c>
      <c r="V213" s="20" t="n">
        <v>4454</v>
      </c>
      <c r="W213" s="20" t="n">
        <v>8094</v>
      </c>
      <c r="X213" s="20" t="n">
        <v>2328</v>
      </c>
    </row>
    <row r="214">
      <c r="A214" s="18" t="inlineStr">
        <is>
          <t>부의 영업권 발생이익</t>
        </is>
      </c>
      <c r="D214" s="20" t="n">
        <v>0</v>
      </c>
      <c r="F214" s="20" t="n">
        <v>-10060</v>
      </c>
      <c r="H214" s="20" t="n">
        <v>-10060</v>
      </c>
      <c r="J214" s="20" t="n">
        <v>0</v>
      </c>
      <c r="L214" s="20" t="n">
        <v>0</v>
      </c>
      <c r="V214" s="20" t="n">
        <v>0</v>
      </c>
      <c r="W214" s="20" t="n">
        <v>-10060</v>
      </c>
      <c r="X214" s="20" t="n">
        <v>0</v>
      </c>
    </row>
    <row r="215">
      <c r="A215" s="18" t="inlineStr">
        <is>
          <t>대손충당금 증감</t>
        </is>
      </c>
      <c r="D215" s="20" t="n">
        <v>9</v>
      </c>
      <c r="F215" s="20" t="n">
        <v>-3</v>
      </c>
      <c r="H215" s="20" t="n">
        <v>28</v>
      </c>
      <c r="J215" s="20" t="n">
        <v>15</v>
      </c>
      <c r="L215" s="20" t="n">
        <v>-5</v>
      </c>
      <c r="N215" s="20" t="n">
        <v>1</v>
      </c>
      <c r="O215" s="20" t="n">
        <v>-8</v>
      </c>
      <c r="P215" s="20" t="n">
        <v>-5</v>
      </c>
      <c r="Q215" s="20" t="n">
        <v>-4</v>
      </c>
      <c r="R215" s="20" t="n">
        <v>0</v>
      </c>
      <c r="S215" s="20" t="n">
        <v>2</v>
      </c>
      <c r="T215" s="20" t="n">
        <v>22</v>
      </c>
      <c r="U215" s="20" t="n">
        <v>-27</v>
      </c>
      <c r="V215" s="20" t="n">
        <v>9</v>
      </c>
      <c r="W215" s="20" t="n">
        <v>28</v>
      </c>
      <c r="X215" s="20" t="n">
        <v>-5</v>
      </c>
    </row>
    <row r="216">
      <c r="A216" s="18" t="inlineStr">
        <is>
          <t>상여충당금 증감</t>
        </is>
      </c>
      <c r="D216" s="20" t="n">
        <v>-132</v>
      </c>
      <c r="F216" s="20" t="n">
        <v>917</v>
      </c>
      <c r="H216" s="20" t="n">
        <v>787</v>
      </c>
      <c r="J216" s="20" t="n">
        <v>-16</v>
      </c>
      <c r="L216" s="20" t="n">
        <v>142</v>
      </c>
      <c r="N216" s="20" t="n">
        <v>638</v>
      </c>
      <c r="O216" s="20" t="n">
        <v>444</v>
      </c>
      <c r="P216" s="20" t="n">
        <v>1110</v>
      </c>
      <c r="Q216" s="20" t="n">
        <v>306</v>
      </c>
      <c r="R216" s="20" t="n">
        <v>-357</v>
      </c>
      <c r="S216" s="20" t="n">
        <v>-198</v>
      </c>
      <c r="T216" s="20" t="n">
        <v>23</v>
      </c>
      <c r="U216" s="20" t="n">
        <v>346</v>
      </c>
      <c r="V216" s="20" t="n">
        <v>-132</v>
      </c>
      <c r="W216" s="20" t="n">
        <v>787</v>
      </c>
      <c r="X216" s="20" t="n">
        <v>142</v>
      </c>
    </row>
    <row r="217">
      <c r="A217" s="18" t="inlineStr">
        <is>
          <t>제품보증 충당금 증감</t>
        </is>
      </c>
      <c r="D217" s="20" t="n">
        <v>4827</v>
      </c>
      <c r="F217" s="20" t="n">
        <v>-1286</v>
      </c>
      <c r="H217" s="20" t="n">
        <v>-2173</v>
      </c>
      <c r="J217" s="20" t="n">
        <v>425</v>
      </c>
      <c r="L217" s="20" t="n">
        <v>-265</v>
      </c>
      <c r="N217" s="20" t="n">
        <v>-1183</v>
      </c>
      <c r="Q217" s="20" t="n">
        <v>-215</v>
      </c>
      <c r="R217" s="20" t="n">
        <v>16224</v>
      </c>
      <c r="S217" s="20" t="n">
        <v>-7578</v>
      </c>
      <c r="T217" s="20" t="n">
        <v>-23</v>
      </c>
      <c r="U217" s="20" t="n">
        <v>-6099</v>
      </c>
      <c r="V217" s="20" t="n">
        <v>4827</v>
      </c>
      <c r="W217" s="20" t="n">
        <v>-2173</v>
      </c>
      <c r="X217" s="20" t="n">
        <v>-265</v>
      </c>
    </row>
    <row r="218">
      <c r="A218" s="18" t="inlineStr">
        <is>
          <t>퇴직급여부채 증감</t>
        </is>
      </c>
      <c r="D218" s="20" t="n">
        <v>-1259</v>
      </c>
      <c r="F218" s="20" t="n">
        <v>833</v>
      </c>
      <c r="H218" s="20" t="n">
        <v>-172</v>
      </c>
      <c r="J218" s="20" t="n">
        <v>-510</v>
      </c>
      <c r="L218" s="20" t="n">
        <v>-981</v>
      </c>
      <c r="N218" s="20" t="n">
        <v>-1183</v>
      </c>
      <c r="O218" s="20" t="n">
        <v>-112</v>
      </c>
      <c r="P218" s="20" t="n">
        <v>-593</v>
      </c>
      <c r="Q218" s="20" t="n">
        <v>-519</v>
      </c>
      <c r="R218" s="20" t="n">
        <v>706</v>
      </c>
      <c r="S218" s="20" t="n">
        <v>-351</v>
      </c>
      <c r="T218" s="20" t="n">
        <v>-1656</v>
      </c>
      <c r="U218" s="20" t="n">
        <v>-1772</v>
      </c>
      <c r="V218" s="20" t="n">
        <v>-1259</v>
      </c>
      <c r="W218" s="20" t="n">
        <v>-172</v>
      </c>
      <c r="X218" s="20" t="n">
        <v>-981</v>
      </c>
    </row>
    <row r="219">
      <c r="A219" s="18" t="inlineStr">
        <is>
          <t>이자·배당금 수익</t>
        </is>
      </c>
      <c r="D219" s="20" t="n">
        <v>-7288</v>
      </c>
      <c r="F219" s="20" t="n">
        <v>-4194</v>
      </c>
      <c r="H219" s="20" t="n">
        <v>-8450</v>
      </c>
      <c r="J219" s="20" t="n">
        <v>-3354</v>
      </c>
      <c r="L219" s="20" t="n">
        <v>-7749</v>
      </c>
      <c r="N219" s="20" t="n">
        <v>-3429</v>
      </c>
      <c r="O219" s="20" t="n">
        <v>-1372</v>
      </c>
      <c r="P219" s="20" t="n">
        <v>-1710</v>
      </c>
      <c r="Q219" s="20" t="n">
        <v>-2366</v>
      </c>
      <c r="R219" s="20" t="n">
        <v>-2734</v>
      </c>
      <c r="S219" s="20" t="n">
        <v>-2601</v>
      </c>
      <c r="T219" s="20" t="n">
        <v>-3261</v>
      </c>
      <c r="U219" s="20" t="n">
        <v>-4557</v>
      </c>
      <c r="V219" s="20" t="n">
        <v>-7288</v>
      </c>
      <c r="W219" s="20" t="n">
        <v>-8450</v>
      </c>
      <c r="X219" s="20" t="n">
        <v>-7749</v>
      </c>
    </row>
    <row r="220">
      <c r="A220" s="18" t="inlineStr">
        <is>
          <t>이자비용</t>
        </is>
      </c>
      <c r="D220" s="20" t="n">
        <v>176</v>
      </c>
      <c r="F220" s="20" t="n">
        <v>137</v>
      </c>
      <c r="H220" s="20" t="n">
        <v>419</v>
      </c>
      <c r="J220" s="20" t="n">
        <v>293</v>
      </c>
      <c r="L220" s="20" t="n">
        <v>898</v>
      </c>
      <c r="N220" s="20" t="n">
        <v>1390</v>
      </c>
      <c r="O220" s="20" t="n">
        <v>179</v>
      </c>
      <c r="P220" s="20" t="n">
        <v>125</v>
      </c>
      <c r="Q220" s="20" t="n">
        <v>143</v>
      </c>
      <c r="R220" s="20" t="n">
        <v>247</v>
      </c>
      <c r="S220" s="20" t="n">
        <v>97</v>
      </c>
      <c r="T220" s="20" t="n">
        <v>90</v>
      </c>
      <c r="U220" s="20" t="n">
        <v>181</v>
      </c>
      <c r="V220" s="20" t="n">
        <v>176</v>
      </c>
      <c r="W220" s="20" t="n">
        <v>419</v>
      </c>
      <c r="X220" s="20" t="n">
        <v>898</v>
      </c>
    </row>
    <row r="221">
      <c r="A221" s="18" t="inlineStr">
        <is>
          <t>지분법손익</t>
        </is>
      </c>
      <c r="D221" s="20" t="n">
        <v>-3476</v>
      </c>
      <c r="F221" s="20" t="n">
        <v>-181</v>
      </c>
      <c r="H221" s="20" t="n">
        <v>-428</v>
      </c>
      <c r="J221" s="20" t="n">
        <v>-453</v>
      </c>
      <c r="L221" s="20" t="n">
        <v>-1052</v>
      </c>
      <c r="N221" s="20" t="n">
        <v>-533</v>
      </c>
      <c r="O221" s="20" t="n">
        <v>-1748</v>
      </c>
      <c r="P221" s="20" t="n">
        <v>-2486</v>
      </c>
      <c r="Q221" s="20" t="n">
        <v>-3067</v>
      </c>
      <c r="R221" s="20" t="n">
        <v>-2907</v>
      </c>
      <c r="S221" s="20" t="n">
        <v>-1303</v>
      </c>
      <c r="T221" s="20" t="n">
        <v>-2089</v>
      </c>
      <c r="U221" s="20" t="n">
        <v>-3123</v>
      </c>
      <c r="V221" s="20" t="n">
        <v>-3476</v>
      </c>
      <c r="W221" s="20" t="n">
        <v>-428</v>
      </c>
      <c r="X221" s="20" t="n">
        <v>-1052</v>
      </c>
    </row>
    <row r="222">
      <c r="A222" s="18" t="inlineStr">
        <is>
          <t>단계적 취득 차손익</t>
        </is>
      </c>
      <c r="D222" s="20" t="n">
        <v>0</v>
      </c>
      <c r="F222" s="20" t="n">
        <v>1130</v>
      </c>
      <c r="H222" s="20" t="n">
        <v>1130</v>
      </c>
      <c r="J222" s="20" t="n">
        <v>0</v>
      </c>
      <c r="L222" s="20" t="n">
        <v>0</v>
      </c>
      <c r="V222" s="20" t="n">
        <v>0</v>
      </c>
      <c r="W222" s="20" t="n">
        <v>1130</v>
      </c>
      <c r="X222" s="20" t="n">
        <v>0</v>
      </c>
    </row>
    <row r="223">
      <c r="A223" s="18" t="inlineStr">
        <is>
          <t>고정자산 제각·매각손익</t>
        </is>
      </c>
      <c r="D223" s="20" t="n">
        <v>3600</v>
      </c>
      <c r="F223" s="20" t="n">
        <v>2242</v>
      </c>
      <c r="H223" s="20" t="n">
        <v>2403</v>
      </c>
      <c r="J223" s="20" t="n">
        <v>268</v>
      </c>
      <c r="L223" s="20" t="n">
        <v>1233</v>
      </c>
      <c r="N223" s="20" t="n">
        <v>322</v>
      </c>
      <c r="O223" s="20" t="n">
        <v>1767</v>
      </c>
      <c r="P223" s="20" t="n">
        <v>1893</v>
      </c>
      <c r="Q223" s="20" t="n">
        <v>1298</v>
      </c>
      <c r="R223" s="20" t="n">
        <v>1409</v>
      </c>
      <c r="S223" s="20" t="n">
        <v>1402</v>
      </c>
      <c r="T223" s="20" t="n">
        <v>1477</v>
      </c>
      <c r="U223" s="20" t="n">
        <v>1039</v>
      </c>
      <c r="V223" s="20" t="n">
        <v>3600</v>
      </c>
      <c r="W223" s="20" t="n">
        <v>2403</v>
      </c>
      <c r="X223" s="20" t="n">
        <v>1233</v>
      </c>
    </row>
    <row r="224">
      <c r="A224" s="18" t="inlineStr">
        <is>
          <t>투자유가증권 매각손익</t>
        </is>
      </c>
      <c r="D224" s="20" t="n">
        <v>-6221</v>
      </c>
      <c r="H224" s="20" t="n">
        <v>-3480</v>
      </c>
      <c r="J224" s="20" t="n">
        <v>0</v>
      </c>
      <c r="L224" s="20" t="n">
        <v>-9853</v>
      </c>
      <c r="N224" s="20" t="n">
        <v>-1271</v>
      </c>
      <c r="S224" s="20" t="n">
        <v>-9</v>
      </c>
      <c r="T224" s="20" t="n">
        <v>-536</v>
      </c>
      <c r="U224" s="20" t="n">
        <v>-2153</v>
      </c>
      <c r="V224" s="20" t="n">
        <v>-6221</v>
      </c>
      <c r="W224" s="20" t="n">
        <v>-3480</v>
      </c>
      <c r="X224" s="20" t="n">
        <v>-9853</v>
      </c>
    </row>
    <row r="225">
      <c r="A225" s="18" t="inlineStr">
        <is>
          <t>투자유가증권 평가손익</t>
        </is>
      </c>
      <c r="R225" s="20" t="n">
        <v>0</v>
      </c>
      <c r="S225" s="20" t="n">
        <v>503</v>
      </c>
      <c r="T225" s="20" t="n">
        <v>0</v>
      </c>
    </row>
    <row r="226">
      <c r="A226" s="18" t="inlineStr">
        <is>
          <t>조기 특별퇴직금</t>
        </is>
      </c>
      <c r="R226" s="20" t="n">
        <v>0</v>
      </c>
      <c r="S226" s="20" t="n">
        <v>1476</v>
      </c>
      <c r="T226" s="20" t="n">
        <v>0</v>
      </c>
    </row>
    <row r="227">
      <c r="A227" s="18" t="inlineStr">
        <is>
          <t>특별퇴직금</t>
        </is>
      </c>
      <c r="D227" s="20" t="n">
        <v>0</v>
      </c>
      <c r="F227" s="20" t="n">
        <v>1258</v>
      </c>
      <c r="H227" s="20" t="n">
        <v>2836</v>
      </c>
      <c r="J227" s="20" t="n">
        <v>168</v>
      </c>
      <c r="L227" s="20" t="n">
        <v>673</v>
      </c>
      <c r="N227" s="20" t="n">
        <v>637</v>
      </c>
      <c r="V227" s="20" t="n">
        <v>0</v>
      </c>
      <c r="W227" s="20" t="n">
        <v>2836</v>
      </c>
      <c r="X227" s="20" t="n">
        <v>673</v>
      </c>
    </row>
    <row r="228">
      <c r="A228" s="18" t="inlineStr">
        <is>
          <t>해외 자회사 송금사기 손실</t>
        </is>
      </c>
      <c r="D228" s="20" t="n">
        <v>3452</v>
      </c>
      <c r="H228" s="20" t="n">
        <v>0</v>
      </c>
      <c r="U228" s="20" t="n">
        <v>0</v>
      </c>
      <c r="V228" s="20" t="n">
        <v>3452</v>
      </c>
      <c r="W228" s="20" t="n">
        <v>0</v>
      </c>
    </row>
    <row r="229">
      <c r="A229" s="18" t="inlineStr">
        <is>
          <t>매출채권 증감</t>
        </is>
      </c>
      <c r="D229" s="20" t="n">
        <v>607</v>
      </c>
      <c r="F229" s="20" t="n">
        <v>9410</v>
      </c>
      <c r="H229" s="20" t="n">
        <v>7561</v>
      </c>
      <c r="J229" s="20" t="n">
        <v>-2892</v>
      </c>
      <c r="L229" s="20" t="n">
        <v>-2739</v>
      </c>
      <c r="N229" s="20" t="n">
        <v>9955</v>
      </c>
      <c r="O229" s="20" t="n">
        <v>-7213</v>
      </c>
      <c r="P229" s="20" t="n">
        <v>-1763</v>
      </c>
      <c r="Q229" s="20" t="n">
        <v>3931</v>
      </c>
      <c r="R229" s="20" t="n">
        <v>14228</v>
      </c>
      <c r="S229" s="20" t="n">
        <v>-9373</v>
      </c>
      <c r="T229" s="20" t="n">
        <v>3019</v>
      </c>
      <c r="U229" s="20" t="n">
        <v>704</v>
      </c>
      <c r="V229" s="20" t="n">
        <v>607</v>
      </c>
      <c r="W229" s="20" t="n">
        <v>7561</v>
      </c>
      <c r="X229" s="20" t="n">
        <v>-2739</v>
      </c>
    </row>
    <row r="230">
      <c r="A230" s="18" t="inlineStr">
        <is>
          <t>재고자산 증감</t>
        </is>
      </c>
      <c r="D230" s="20" t="n">
        <v>-6298</v>
      </c>
      <c r="F230" s="20" t="n">
        <v>3086</v>
      </c>
      <c r="H230" s="20" t="n">
        <v>3373</v>
      </c>
      <c r="J230" s="20" t="n">
        <v>-578</v>
      </c>
      <c r="L230" s="20" t="n">
        <v>3699</v>
      </c>
      <c r="N230" s="20" t="n">
        <v>-14411</v>
      </c>
      <c r="O230" s="20" t="n">
        <v>2039</v>
      </c>
      <c r="P230" s="20" t="n">
        <v>-292</v>
      </c>
      <c r="Q230" s="20" t="n">
        <v>591</v>
      </c>
      <c r="R230" s="20" t="n">
        <v>-5115</v>
      </c>
      <c r="S230" s="20" t="n">
        <v>-1084</v>
      </c>
      <c r="T230" s="20" t="n">
        <v>-11323</v>
      </c>
      <c r="U230" s="20" t="n">
        <v>5012</v>
      </c>
      <c r="V230" s="20" t="n">
        <v>-6298</v>
      </c>
      <c r="W230" s="20" t="n">
        <v>3373</v>
      </c>
      <c r="X230" s="20" t="n">
        <v>3699</v>
      </c>
    </row>
    <row r="231">
      <c r="A231" s="18" t="inlineStr">
        <is>
          <t>매입채무 증감</t>
        </is>
      </c>
      <c r="D231" s="20" t="n">
        <v>-1234</v>
      </c>
      <c r="F231" s="20" t="n">
        <v>-6378</v>
      </c>
      <c r="H231" s="20" t="n">
        <v>-5605</v>
      </c>
      <c r="J231" s="20" t="n">
        <v>2258</v>
      </c>
      <c r="L231" s="20" t="n">
        <v>-689</v>
      </c>
      <c r="N231" s="20" t="n">
        <v>6107</v>
      </c>
      <c r="O231" s="20" t="n">
        <v>4496</v>
      </c>
      <c r="P231" s="20" t="n">
        <v>6034</v>
      </c>
      <c r="Q231" s="20" t="n">
        <v>-12780</v>
      </c>
      <c r="R231" s="20" t="n">
        <v>-5161</v>
      </c>
      <c r="S231" s="20" t="n">
        <v>3844</v>
      </c>
      <c r="T231" s="20" t="n">
        <v>-2781</v>
      </c>
      <c r="U231" s="20" t="n">
        <v>-3581</v>
      </c>
      <c r="V231" s="20" t="n">
        <v>-1234</v>
      </c>
      <c r="W231" s="20" t="n">
        <v>-5605</v>
      </c>
      <c r="X231" s="20" t="n">
        <v>-689</v>
      </c>
    </row>
    <row r="232">
      <c r="A232" s="18" t="inlineStr">
        <is>
          <t>기타</t>
        </is>
      </c>
      <c r="D232" s="20" t="n">
        <v>-1346</v>
      </c>
      <c r="F232" s="20" t="n">
        <v>-11745</v>
      </c>
      <c r="H232" s="20" t="n">
        <v>-17099</v>
      </c>
      <c r="J232" s="20" t="n">
        <v>167</v>
      </c>
      <c r="L232" s="20" t="n">
        <v>2754</v>
      </c>
      <c r="N232" s="20" t="n">
        <v>-996</v>
      </c>
      <c r="O232" s="20" t="n">
        <v>-1537</v>
      </c>
      <c r="P232" s="20" t="n">
        <v>4054</v>
      </c>
      <c r="Q232" s="20" t="n">
        <v>-6215</v>
      </c>
      <c r="R232" s="20" t="n">
        <v>-4098</v>
      </c>
      <c r="S232" s="20" t="n">
        <v>-2955</v>
      </c>
      <c r="T232" s="20" t="n">
        <v>-13910</v>
      </c>
      <c r="U232" s="20" t="n">
        <v>7531</v>
      </c>
      <c r="V232" s="20" t="n">
        <v>-1346</v>
      </c>
      <c r="W232" s="20" t="n">
        <v>-17099</v>
      </c>
      <c r="X232" s="20" t="n">
        <v>2754</v>
      </c>
    </row>
    <row r="233">
      <c r="A233" s="18" t="inlineStr">
        <is>
          <t>소계</t>
        </is>
      </c>
      <c r="D233" s="20" t="n">
        <v>69934</v>
      </c>
      <c r="F233" s="20" t="n">
        <v>34534</v>
      </c>
      <c r="H233" s="20" t="n">
        <v>75878</v>
      </c>
      <c r="J233" s="20" t="n">
        <v>37579</v>
      </c>
      <c r="L233" s="20" t="n">
        <v>86415</v>
      </c>
      <c r="N233" s="20" t="n">
        <v>41318</v>
      </c>
      <c r="O233" s="20" t="n">
        <v>72834</v>
      </c>
      <c r="P233" s="20" t="n">
        <v>93932</v>
      </c>
      <c r="Q233" s="20" t="n">
        <v>74285</v>
      </c>
      <c r="R233" s="20" t="n">
        <v>72691</v>
      </c>
      <c r="S233" s="20" t="n">
        <v>52957</v>
      </c>
      <c r="T233" s="20" t="n">
        <v>41141</v>
      </c>
      <c r="U233" s="20" t="n">
        <v>80825</v>
      </c>
      <c r="V233" s="20" t="n">
        <v>69934</v>
      </c>
      <c r="W233" s="20" t="n">
        <v>75878</v>
      </c>
      <c r="X233" s="20" t="n">
        <v>86415</v>
      </c>
    </row>
    <row r="234">
      <c r="A234" s="18" t="inlineStr">
        <is>
          <t>이자·배당금 수취</t>
        </is>
      </c>
      <c r="D234" s="20" t="n">
        <v>9574</v>
      </c>
      <c r="F234" s="20" t="n">
        <v>5654</v>
      </c>
      <c r="H234" s="20" t="n">
        <v>8124</v>
      </c>
      <c r="J234" s="20" t="n">
        <v>3927</v>
      </c>
      <c r="L234" s="20" t="n">
        <v>7414</v>
      </c>
      <c r="N234" s="20" t="n">
        <v>4979</v>
      </c>
      <c r="O234" s="20" t="n">
        <v>1756</v>
      </c>
      <c r="P234" s="20" t="n">
        <v>2171</v>
      </c>
      <c r="Q234" s="20" t="n">
        <v>3006</v>
      </c>
      <c r="R234" s="20" t="n">
        <v>3817</v>
      </c>
      <c r="S234" s="20" t="n">
        <v>3275</v>
      </c>
      <c r="T234" s="20" t="n">
        <v>3591</v>
      </c>
      <c r="U234" s="20" t="n">
        <v>4851</v>
      </c>
      <c r="V234" s="20" t="n">
        <v>9574</v>
      </c>
      <c r="W234" s="20" t="n">
        <v>8124</v>
      </c>
      <c r="X234" s="20" t="n">
        <v>7414</v>
      </c>
    </row>
    <row r="235">
      <c r="A235" s="18" t="inlineStr">
        <is>
          <t>이자 지급</t>
        </is>
      </c>
      <c r="D235" s="20" t="n">
        <v>-187</v>
      </c>
      <c r="F235" s="20" t="n">
        <v>-150</v>
      </c>
      <c r="H235" s="20" t="n">
        <v>-337</v>
      </c>
      <c r="J235" s="20" t="n">
        <v>-292</v>
      </c>
      <c r="L235" s="20" t="n">
        <v>-897</v>
      </c>
      <c r="N235" s="20" t="n">
        <v>-1390</v>
      </c>
      <c r="O235" s="20" t="n">
        <v>-175</v>
      </c>
      <c r="P235" s="20" t="n">
        <v>-147</v>
      </c>
      <c r="Q235" s="20" t="n">
        <v>-186</v>
      </c>
      <c r="R235" s="20" t="n">
        <v>-122</v>
      </c>
      <c r="S235" s="20" t="n">
        <v>-75</v>
      </c>
      <c r="T235" s="20" t="n">
        <v>-112</v>
      </c>
      <c r="U235" s="20" t="n">
        <v>-171</v>
      </c>
      <c r="V235" s="20" t="n">
        <v>-187</v>
      </c>
      <c r="W235" s="20" t="n">
        <v>-337</v>
      </c>
      <c r="X235" s="20" t="n">
        <v>-897</v>
      </c>
    </row>
    <row r="236">
      <c r="A236" s="18" t="inlineStr">
        <is>
          <t>소송 관련 손실 지급액</t>
        </is>
      </c>
      <c r="P236" s="20" t="n">
        <v>0</v>
      </c>
      <c r="Q236" s="20" t="n">
        <v>-2214</v>
      </c>
      <c r="R236" s="20" t="n">
        <v>0</v>
      </c>
    </row>
    <row r="237">
      <c r="A237" s="18" t="inlineStr">
        <is>
          <t>조기 특별퇴직금 지급액</t>
        </is>
      </c>
      <c r="R237" s="20" t="n">
        <v>0</v>
      </c>
      <c r="S237" s="20" t="n">
        <v>-980</v>
      </c>
      <c r="T237" s="20" t="n">
        <v>-495</v>
      </c>
      <c r="U237" s="20" t="n">
        <v>0</v>
      </c>
    </row>
    <row r="238">
      <c r="A238" s="18" t="inlineStr">
        <is>
          <t>법인세 납부</t>
        </is>
      </c>
      <c r="D238" s="20" t="n">
        <v>-10316</v>
      </c>
      <c r="F238" s="20" t="n">
        <v>-7955</v>
      </c>
      <c r="H238" s="20" t="n">
        <v>-14252</v>
      </c>
      <c r="J238" s="20" t="n">
        <v>-5651</v>
      </c>
      <c r="L238" s="20" t="n">
        <v>-13913</v>
      </c>
      <c r="N238" s="20" t="n">
        <v>-7678</v>
      </c>
      <c r="O238" s="20" t="n">
        <v>-9477</v>
      </c>
      <c r="P238" s="20" t="n">
        <v>-13599</v>
      </c>
      <c r="Q238" s="20" t="n">
        <v>-13787</v>
      </c>
      <c r="R238" s="20" t="n">
        <v>-13174</v>
      </c>
      <c r="S238" s="20" t="n">
        <v>-8533</v>
      </c>
      <c r="T238" s="20" t="n">
        <v>-7241</v>
      </c>
      <c r="U238" s="20" t="n">
        <v>-9230</v>
      </c>
      <c r="V238" s="20" t="n">
        <v>-10316</v>
      </c>
      <c r="W238" s="20" t="n">
        <v>-14252</v>
      </c>
      <c r="X238" s="20" t="n">
        <v>-13913</v>
      </c>
    </row>
    <row r="239">
      <c r="A239" s="18" t="inlineStr">
        <is>
          <t>특별퇴직금 지급액</t>
        </is>
      </c>
      <c r="D239" s="20" t="n">
        <v>0</v>
      </c>
      <c r="F239" s="20" t="n">
        <v>-1258</v>
      </c>
      <c r="H239" s="20" t="n">
        <v>-2836</v>
      </c>
      <c r="J239" s="20" t="n">
        <v>-168</v>
      </c>
      <c r="L239" s="20" t="n">
        <v>-673</v>
      </c>
      <c r="N239" s="20" t="n">
        <v>-637</v>
      </c>
      <c r="V239" s="20" t="n">
        <v>0</v>
      </c>
      <c r="W239" s="20" t="n">
        <v>-2836</v>
      </c>
      <c r="X239" s="20" t="n">
        <v>-673</v>
      </c>
    </row>
    <row r="240">
      <c r="A240" s="18" t="inlineStr">
        <is>
          <t>해외 자회사 송금사기 손실 지급액</t>
        </is>
      </c>
      <c r="D240" s="20" t="n">
        <v>-3452</v>
      </c>
      <c r="H240" s="20" t="n">
        <v>0</v>
      </c>
      <c r="U240" s="20" t="n">
        <v>0</v>
      </c>
      <c r="V240" s="20" t="n">
        <v>-3452</v>
      </c>
      <c r="W240" s="20" t="n">
        <v>0</v>
      </c>
    </row>
    <row r="241">
      <c r="A241" s="9" t="inlineStr">
        <is>
          <t>영업활동 현금흐름</t>
        </is>
      </c>
      <c r="D241" s="12" t="n">
        <v>65552</v>
      </c>
      <c r="F241" s="12" t="n">
        <v>30823</v>
      </c>
      <c r="H241" s="12" t="n">
        <v>66577</v>
      </c>
      <c r="J241" s="12" t="n">
        <v>35394</v>
      </c>
      <c r="L241" s="12" t="n">
        <v>78344</v>
      </c>
      <c r="N241" s="12" t="n">
        <v>36590</v>
      </c>
      <c r="O241" s="12" t="n">
        <v>64937</v>
      </c>
      <c r="P241" s="12" t="n">
        <v>82357</v>
      </c>
      <c r="Q241" s="12" t="n">
        <v>61102</v>
      </c>
      <c r="R241" s="12" t="n">
        <v>63211</v>
      </c>
      <c r="S241" s="12" t="n">
        <v>46643</v>
      </c>
      <c r="T241" s="12" t="n">
        <v>36881</v>
      </c>
      <c r="U241" s="12" t="n">
        <v>76275</v>
      </c>
      <c r="V241" s="12" t="n">
        <v>65552</v>
      </c>
      <c r="W241" s="12" t="n">
        <v>66577</v>
      </c>
      <c r="X241" s="12" t="n">
        <v>78344</v>
      </c>
    </row>
    <row r="242">
      <c r="A242" s="18" t="inlineStr">
        <is>
          <t>정기예금 예입</t>
        </is>
      </c>
      <c r="D242" s="20" t="n">
        <v>-66580</v>
      </c>
      <c r="F242" s="20" t="n">
        <v>-66382</v>
      </c>
      <c r="H242" s="20" t="n">
        <v>-132389</v>
      </c>
      <c r="J242" s="20" t="n">
        <v>-59330</v>
      </c>
      <c r="L242" s="20" t="n">
        <v>-126705</v>
      </c>
      <c r="N242" s="20" t="n">
        <v>-58373</v>
      </c>
      <c r="O242" s="20" t="n">
        <v>-18859</v>
      </c>
      <c r="P242" s="20" t="n">
        <v>-18805</v>
      </c>
      <c r="Q242" s="20" t="n">
        <v>-25857</v>
      </c>
      <c r="R242" s="20" t="n">
        <v>-35621</v>
      </c>
      <c r="S242" s="20" t="n">
        <v>-55451</v>
      </c>
      <c r="T242" s="20" t="n">
        <v>-48206</v>
      </c>
      <c r="U242" s="20" t="n">
        <v>-62651</v>
      </c>
      <c r="V242" s="20" t="n">
        <v>-66580</v>
      </c>
      <c r="W242" s="20" t="n">
        <v>-132389</v>
      </c>
      <c r="X242" s="20" t="n">
        <v>-126705</v>
      </c>
    </row>
    <row r="243">
      <c r="A243" s="18" t="inlineStr">
        <is>
          <t>정기예금 인출</t>
        </is>
      </c>
      <c r="D243" s="20" t="n">
        <v>63361</v>
      </c>
      <c r="F243" s="20" t="n">
        <v>59932</v>
      </c>
      <c r="H243" s="20" t="n">
        <v>119945</v>
      </c>
      <c r="J243" s="20" t="n">
        <v>60399</v>
      </c>
      <c r="L243" s="20" t="n">
        <v>137876</v>
      </c>
      <c r="N243" s="20" t="n">
        <v>72939</v>
      </c>
      <c r="O243" s="20" t="n">
        <v>9284</v>
      </c>
      <c r="P243" s="20" t="n">
        <v>13820</v>
      </c>
      <c r="Q243" s="20" t="n">
        <v>24446</v>
      </c>
      <c r="R243" s="20" t="n">
        <v>23905</v>
      </c>
      <c r="S243" s="20" t="n">
        <v>45198</v>
      </c>
      <c r="T243" s="20" t="n">
        <v>55511</v>
      </c>
      <c r="U243" s="20" t="n">
        <v>59940</v>
      </c>
      <c r="V243" s="20" t="n">
        <v>63361</v>
      </c>
      <c r="W243" s="20" t="n">
        <v>119945</v>
      </c>
      <c r="X243" s="20" t="n">
        <v>137876</v>
      </c>
    </row>
    <row r="244">
      <c r="A244" s="18" t="inlineStr">
        <is>
          <t>장기 정기예금 예입 지출</t>
        </is>
      </c>
      <c r="D244" s="20" t="n">
        <v>0</v>
      </c>
      <c r="F244" s="20" t="n">
        <v>-9816</v>
      </c>
      <c r="H244" s="20" t="n">
        <v>-8444</v>
      </c>
      <c r="J244" s="20" t="n">
        <v>0</v>
      </c>
      <c r="L244" s="20" t="n">
        <v>0</v>
      </c>
      <c r="N244" s="20" t="n">
        <v>-1182</v>
      </c>
      <c r="V244" s="20" t="n">
        <v>0</v>
      </c>
      <c r="W244" s="20" t="n">
        <v>-8444</v>
      </c>
      <c r="X244" s="20" t="n">
        <v>0</v>
      </c>
    </row>
    <row r="245">
      <c r="A245" s="18" t="inlineStr">
        <is>
          <t>유가증권 취득</t>
        </is>
      </c>
      <c r="D245" s="20" t="n">
        <v>-1999</v>
      </c>
      <c r="H245" s="20" t="n">
        <v>0</v>
      </c>
      <c r="U245" s="20" t="n">
        <v>0</v>
      </c>
      <c r="V245" s="20" t="n">
        <v>-1999</v>
      </c>
      <c r="W245" s="20" t="n">
        <v>0</v>
      </c>
    </row>
    <row r="246">
      <c r="A246" s="18" t="inlineStr">
        <is>
          <t>유형자산 취득(설비투자)</t>
        </is>
      </c>
      <c r="D246" s="20" t="n">
        <v>-25059</v>
      </c>
      <c r="F246" s="20" t="n">
        <v>-20551</v>
      </c>
      <c r="H246" s="20" t="n">
        <v>-43783</v>
      </c>
      <c r="J246" s="20" t="n">
        <v>-26094</v>
      </c>
      <c r="L246" s="20" t="n">
        <v>-55260</v>
      </c>
      <c r="N246" s="20" t="n">
        <v>-26794</v>
      </c>
      <c r="O246" s="20" t="n">
        <v>-35451</v>
      </c>
      <c r="P246" s="20" t="n">
        <v>-33135</v>
      </c>
      <c r="Q246" s="20" t="n">
        <v>-35492</v>
      </c>
      <c r="R246" s="20" t="n">
        <v>-40320</v>
      </c>
      <c r="S246" s="20" t="n">
        <v>-29372</v>
      </c>
      <c r="T246" s="20" t="n">
        <v>-28443</v>
      </c>
      <c r="U246" s="20" t="n">
        <v>-35441</v>
      </c>
      <c r="V246" s="20" t="n">
        <v>-25059</v>
      </c>
      <c r="W246" s="20" t="n">
        <v>-43783</v>
      </c>
      <c r="X246" s="20" t="n">
        <v>-55260</v>
      </c>
    </row>
    <row r="247">
      <c r="A247" s="18" t="inlineStr">
        <is>
          <t>유형자산 매각</t>
        </is>
      </c>
      <c r="D247" s="20" t="n">
        <v>138</v>
      </c>
      <c r="F247" s="20" t="n">
        <v>51</v>
      </c>
      <c r="H247" s="20" t="n">
        <v>479</v>
      </c>
      <c r="J247" s="20" t="n">
        <v>75</v>
      </c>
      <c r="L247" s="20" t="n">
        <v>122</v>
      </c>
      <c r="N247" s="20" t="n">
        <v>254</v>
      </c>
      <c r="O247" s="20" t="n">
        <v>503</v>
      </c>
      <c r="P247" s="20" t="n">
        <v>912</v>
      </c>
      <c r="Q247" s="20" t="n">
        <v>686</v>
      </c>
      <c r="R247" s="20" t="n">
        <v>151</v>
      </c>
      <c r="S247" s="20" t="n">
        <v>207</v>
      </c>
      <c r="T247" s="20" t="n">
        <v>105</v>
      </c>
      <c r="U247" s="20" t="n">
        <v>167</v>
      </c>
      <c r="V247" s="20" t="n">
        <v>138</v>
      </c>
      <c r="W247" s="20" t="n">
        <v>479</v>
      </c>
      <c r="X247" s="20" t="n">
        <v>122</v>
      </c>
    </row>
    <row r="248">
      <c r="A248" s="18" t="inlineStr">
        <is>
          <t>무형자산 취득</t>
        </is>
      </c>
      <c r="D248" s="20" t="n">
        <v>-2039</v>
      </c>
      <c r="F248" s="20" t="n">
        <v>-670</v>
      </c>
      <c r="H248" s="20" t="n">
        <v>-1839</v>
      </c>
      <c r="J248" s="20" t="n">
        <v>-469</v>
      </c>
      <c r="L248" s="20" t="n">
        <v>-2346</v>
      </c>
      <c r="N248" s="20" t="n">
        <v>-846</v>
      </c>
      <c r="O248" s="20" t="n">
        <v>-1136</v>
      </c>
      <c r="P248" s="20" t="n">
        <v>-969</v>
      </c>
      <c r="Q248" s="20" t="n">
        <v>-1650</v>
      </c>
      <c r="R248" s="20" t="n">
        <v>-1701</v>
      </c>
      <c r="S248" s="20" t="n">
        <v>-1820</v>
      </c>
      <c r="T248" s="20" t="n">
        <v>-461</v>
      </c>
      <c r="U248" s="20" t="n">
        <v>-824</v>
      </c>
      <c r="V248" s="20" t="n">
        <v>-2039</v>
      </c>
      <c r="W248" s="20" t="n">
        <v>-1839</v>
      </c>
      <c r="X248" s="20" t="n">
        <v>-2346</v>
      </c>
    </row>
    <row r="249">
      <c r="A249" s="18" t="inlineStr">
        <is>
          <t>무형자산 매각 수입</t>
        </is>
      </c>
      <c r="D249" s="20" t="n">
        <v>0</v>
      </c>
      <c r="H249" s="20" t="n">
        <v>400</v>
      </c>
      <c r="L249" s="20" t="n">
        <v>0</v>
      </c>
      <c r="V249" s="20" t="n">
        <v>0</v>
      </c>
      <c r="W249" s="20" t="n">
        <v>400</v>
      </c>
      <c r="X249" s="20" t="n">
        <v>0</v>
      </c>
    </row>
    <row r="250">
      <c r="A250" s="18" t="inlineStr">
        <is>
          <t>투자유가증권 취득</t>
        </is>
      </c>
      <c r="D250" s="20" t="n">
        <v>-2627</v>
      </c>
      <c r="H250" s="20" t="n">
        <v>0</v>
      </c>
      <c r="O250" s="20" t="n">
        <v>-1422</v>
      </c>
      <c r="P250" s="20" t="n">
        <v>-761</v>
      </c>
      <c r="Q250" s="20" t="n">
        <v>-579</v>
      </c>
      <c r="R250" s="20" t="n">
        <v>-190</v>
      </c>
      <c r="S250" s="20" t="n">
        <v>0</v>
      </c>
      <c r="T250" s="20" t="n">
        <v>0</v>
      </c>
      <c r="U250" s="20" t="n">
        <v>-19775</v>
      </c>
      <c r="V250" s="20" t="n">
        <v>-2627</v>
      </c>
      <c r="W250" s="20" t="n">
        <v>0</v>
      </c>
    </row>
    <row r="251">
      <c r="A251" s="18" t="inlineStr">
        <is>
          <t>유가증권·투자유가증권 매각·상환 수입</t>
        </is>
      </c>
      <c r="D251" s="20" t="n">
        <v>7200</v>
      </c>
      <c r="F251" s="20" t="n">
        <v>0</v>
      </c>
      <c r="H251" s="20" t="n">
        <v>6269</v>
      </c>
      <c r="J251" s="20" t="n">
        <v>1</v>
      </c>
      <c r="L251" s="20" t="n">
        <v>11780</v>
      </c>
      <c r="N251" s="20" t="n">
        <v>1402</v>
      </c>
      <c r="O251" s="20" t="n">
        <v>48</v>
      </c>
      <c r="P251" s="20" t="n">
        <v>10</v>
      </c>
      <c r="Q251" s="20" t="n">
        <v>288</v>
      </c>
      <c r="R251" s="20" t="n">
        <v>0</v>
      </c>
      <c r="S251" s="20" t="n">
        <v>209</v>
      </c>
      <c r="T251" s="20" t="n">
        <v>1854</v>
      </c>
      <c r="U251" s="20" t="n">
        <v>2685</v>
      </c>
      <c r="V251" s="20" t="n">
        <v>7200</v>
      </c>
      <c r="W251" s="20" t="n">
        <v>6269</v>
      </c>
      <c r="X251" s="20" t="n">
        <v>11780</v>
      </c>
    </row>
    <row r="252">
      <c r="A252" s="18" t="inlineStr">
        <is>
          <t>연결범위 변경 자회사 주식 취득</t>
        </is>
      </c>
      <c r="D252" s="20" t="n">
        <v>0</v>
      </c>
      <c r="H252" s="20" t="n">
        <v>-5420</v>
      </c>
      <c r="J252" s="20" t="n">
        <v>0</v>
      </c>
      <c r="L252" s="20" t="n">
        <v>-4516</v>
      </c>
      <c r="N252" s="20" t="n">
        <v>-60709</v>
      </c>
      <c r="Q252" s="20" t="n">
        <v>0</v>
      </c>
      <c r="R252" s="20" t="n">
        <v>-4079</v>
      </c>
      <c r="S252" s="20" t="n">
        <v>0</v>
      </c>
      <c r="V252" s="20" t="n">
        <v>0</v>
      </c>
      <c r="W252" s="20" t="n">
        <v>-5420</v>
      </c>
      <c r="X252" s="20" t="n">
        <v>-4516</v>
      </c>
    </row>
    <row r="253">
      <c r="A253" s="18" t="inlineStr">
        <is>
          <t>연결범위 변경 자회사 주식 취득(수입)</t>
        </is>
      </c>
      <c r="D253" s="20" t="n">
        <v>0</v>
      </c>
      <c r="F253" s="20" t="n">
        <v>8214</v>
      </c>
      <c r="H253" s="20" t="n">
        <v>8214</v>
      </c>
      <c r="J253" s="20" t="n">
        <v>0</v>
      </c>
      <c r="L253" s="20" t="n">
        <v>0</v>
      </c>
      <c r="V253" s="20" t="n">
        <v>0</v>
      </c>
      <c r="W253" s="20" t="n">
        <v>8214</v>
      </c>
      <c r="X253" s="20" t="n">
        <v>0</v>
      </c>
    </row>
    <row r="254">
      <c r="A254" s="18" t="inlineStr">
        <is>
          <t>장기선급비용 지출</t>
        </is>
      </c>
      <c r="D254" s="20" t="n">
        <v>-4280</v>
      </c>
      <c r="F254" s="20" t="n">
        <v>-3939</v>
      </c>
      <c r="H254" s="20" t="n">
        <v>-8301</v>
      </c>
      <c r="J254" s="20" t="n">
        <v>-5081</v>
      </c>
      <c r="L254" s="20" t="n">
        <v>-9237</v>
      </c>
      <c r="N254" s="20" t="n">
        <v>-5716</v>
      </c>
      <c r="U254" s="20" t="n">
        <v>-410</v>
      </c>
      <c r="V254" s="20" t="n">
        <v>-4280</v>
      </c>
      <c r="W254" s="20" t="n">
        <v>-8301</v>
      </c>
      <c r="X254" s="20" t="n">
        <v>-9237</v>
      </c>
    </row>
    <row r="255">
      <c r="A255" s="18" t="inlineStr">
        <is>
          <t>기타</t>
        </is>
      </c>
      <c r="D255" s="20" t="n">
        <v>327</v>
      </c>
      <c r="F255" s="20" t="n">
        <v>-712</v>
      </c>
      <c r="H255" s="20" t="n">
        <v>-4</v>
      </c>
      <c r="J255" s="20" t="n">
        <v>-644</v>
      </c>
      <c r="L255" s="20" t="n">
        <v>-614</v>
      </c>
      <c r="N255" s="20" t="n">
        <v>-910</v>
      </c>
      <c r="O255" s="20" t="n">
        <v>-859</v>
      </c>
      <c r="P255" s="20" t="n">
        <v>-518</v>
      </c>
      <c r="Q255" s="20" t="n">
        <v>-434</v>
      </c>
      <c r="R255" s="20" t="n">
        <v>-538</v>
      </c>
      <c r="S255" s="20" t="n">
        <v>-622</v>
      </c>
      <c r="T255" s="20" t="n">
        <v>-618</v>
      </c>
      <c r="U255" s="20" t="n">
        <v>-116</v>
      </c>
      <c r="V255" s="20" t="n">
        <v>327</v>
      </c>
      <c r="W255" s="20" t="n">
        <v>-4</v>
      </c>
      <c r="X255" s="20" t="n">
        <v>-614</v>
      </c>
    </row>
    <row r="256">
      <c r="A256" s="9" t="inlineStr">
        <is>
          <t>투자활동 현금흐름</t>
        </is>
      </c>
      <c r="D256" s="12" t="n">
        <v>-31559</v>
      </c>
      <c r="F256" s="12" t="n">
        <v>-33874</v>
      </c>
      <c r="H256" s="12" t="n">
        <v>-64871</v>
      </c>
      <c r="J256" s="12" t="n">
        <v>-31144</v>
      </c>
      <c r="L256" s="12" t="n">
        <v>-48901</v>
      </c>
      <c r="N256" s="12" t="n">
        <v>-79937</v>
      </c>
      <c r="O256" s="12" t="n">
        <v>-47893</v>
      </c>
      <c r="P256" s="12" t="n">
        <v>-39447</v>
      </c>
      <c r="Q256" s="12" t="n">
        <v>-38593</v>
      </c>
      <c r="R256" s="12" t="n">
        <v>-58394</v>
      </c>
      <c r="S256" s="12" t="n">
        <v>-41651</v>
      </c>
      <c r="T256" s="12" t="n">
        <v>-20257</v>
      </c>
      <c r="U256" s="12" t="n">
        <v>-56426</v>
      </c>
      <c r="V256" s="12" t="n">
        <v>-31559</v>
      </c>
      <c r="W256" s="12" t="n">
        <v>-64871</v>
      </c>
      <c r="X256" s="12" t="n">
        <v>-48901</v>
      </c>
    </row>
    <row r="257">
      <c r="A257" s="18" t="inlineStr">
        <is>
          <t>단기차입금 순증감</t>
        </is>
      </c>
      <c r="F257" s="20" t="n">
        <v>0</v>
      </c>
      <c r="H257" s="20" t="n">
        <v>0</v>
      </c>
      <c r="J257" s="20" t="n">
        <v>46700</v>
      </c>
      <c r="L257" s="20" t="n">
        <v>76700</v>
      </c>
      <c r="N257" s="20" t="n">
        <v>62000</v>
      </c>
      <c r="O257" s="20" t="n">
        <v>-1498</v>
      </c>
      <c r="P257" s="20" t="n">
        <v>-3820</v>
      </c>
      <c r="Q257" s="20" t="n">
        <v>544</v>
      </c>
      <c r="R257" s="20" t="n">
        <v>-6051</v>
      </c>
      <c r="S257" s="20" t="n">
        <v>0</v>
      </c>
      <c r="W257" s="20" t="n">
        <v>0</v>
      </c>
      <c r="X257" s="20" t="n">
        <v>76700</v>
      </c>
    </row>
    <row r="258">
      <c r="A258" s="18" t="inlineStr">
        <is>
          <t>사채 발행</t>
        </is>
      </c>
      <c r="D258" s="20" t="n">
        <v>0</v>
      </c>
      <c r="F258" s="20" t="n">
        <v>19904</v>
      </c>
      <c r="H258" s="20" t="n">
        <v>39807</v>
      </c>
      <c r="J258" s="20" t="n">
        <v>0</v>
      </c>
      <c r="L258" s="20" t="n">
        <v>0</v>
      </c>
      <c r="Q258" s="20" t="n">
        <v>0</v>
      </c>
      <c r="R258" s="20" t="n">
        <v>10000</v>
      </c>
      <c r="S258" s="20" t="n">
        <v>0</v>
      </c>
      <c r="V258" s="20" t="n">
        <v>0</v>
      </c>
      <c r="W258" s="20" t="n">
        <v>39807</v>
      </c>
      <c r="X258" s="20" t="n">
        <v>0</v>
      </c>
    </row>
    <row r="259">
      <c r="A259" s="18" t="inlineStr">
        <is>
          <t>사채 상환</t>
        </is>
      </c>
      <c r="D259" s="20" t="n">
        <v>0</v>
      </c>
      <c r="F259" s="20" t="n">
        <v>-10000</v>
      </c>
      <c r="H259" s="20" t="n">
        <v>-10000</v>
      </c>
      <c r="J259" s="20" t="n">
        <v>0</v>
      </c>
      <c r="L259" s="20" t="n">
        <v>0</v>
      </c>
      <c r="Q259" s="20" t="n">
        <v>0</v>
      </c>
      <c r="R259" s="20" t="n">
        <v>-10000</v>
      </c>
      <c r="S259" s="20" t="n">
        <v>0</v>
      </c>
      <c r="V259" s="20" t="n">
        <v>0</v>
      </c>
      <c r="W259" s="20" t="n">
        <v>-10000</v>
      </c>
      <c r="X259" s="20" t="n">
        <v>0</v>
      </c>
    </row>
    <row r="260">
      <c r="A260" s="18" t="inlineStr">
        <is>
          <t>장기차입금 상환</t>
        </is>
      </c>
      <c r="J260" s="20" t="n">
        <v>0</v>
      </c>
      <c r="N260" s="20" t="n">
        <v>-516</v>
      </c>
    </row>
    <row r="261">
      <c r="A261" s="18" t="inlineStr">
        <is>
          <t>자기주식 취득</t>
        </is>
      </c>
      <c r="D261" s="20" t="n">
        <v>-14740</v>
      </c>
      <c r="F261" s="20" t="n">
        <v>-7838</v>
      </c>
      <c r="H261" s="20" t="n">
        <v>-30004</v>
      </c>
      <c r="J261" s="20" t="n">
        <v>-55788</v>
      </c>
      <c r="L261" s="20" t="n">
        <v>-80004</v>
      </c>
      <c r="N261" s="20" t="n">
        <v>-2</v>
      </c>
      <c r="O261" s="20" t="n">
        <v>-2860</v>
      </c>
      <c r="P261" s="20" t="n">
        <v>-6159</v>
      </c>
      <c r="Q261" s="20" t="n">
        <v>-3006</v>
      </c>
      <c r="R261" s="20" t="n">
        <v>-5004</v>
      </c>
      <c r="S261" s="20" t="n">
        <v>-4004</v>
      </c>
      <c r="T261" s="20" t="n">
        <v>-2003</v>
      </c>
      <c r="U261" s="20" t="n">
        <v>-5270</v>
      </c>
      <c r="V261" s="20" t="n">
        <v>-14740</v>
      </c>
      <c r="W261" s="20" t="n">
        <v>-30004</v>
      </c>
      <c r="X261" s="20" t="n">
        <v>-80004</v>
      </c>
    </row>
    <row r="262">
      <c r="A262" s="18" t="inlineStr">
        <is>
          <t>자기주식 매각</t>
        </is>
      </c>
      <c r="D262" s="20" t="n">
        <v>22</v>
      </c>
      <c r="H262" s="20" t="n">
        <v>18</v>
      </c>
      <c r="J262" s="20" t="n">
        <v>0</v>
      </c>
      <c r="L262" s="20" t="n">
        <v>91</v>
      </c>
      <c r="N262" s="20" t="n">
        <v>320</v>
      </c>
      <c r="T262" s="20" t="n">
        <v>84</v>
      </c>
      <c r="U262" s="20" t="n">
        <v>19015</v>
      </c>
      <c r="V262" s="20" t="n">
        <v>22</v>
      </c>
      <c r="W262" s="20" t="n">
        <v>18</v>
      </c>
      <c r="X262" s="20" t="n">
        <v>91</v>
      </c>
    </row>
    <row r="263">
      <c r="A263" s="18" t="inlineStr">
        <is>
          <t>자사주 취득용 금전신탁 지출</t>
        </is>
      </c>
      <c r="T263" s="20" t="n">
        <v>0</v>
      </c>
      <c r="U263" s="20" t="n">
        <v>-4741</v>
      </c>
    </row>
    <row r="264">
      <c r="A264" s="18" t="inlineStr">
        <is>
          <t>자사주 취득용 금전신탁 증감액</t>
        </is>
      </c>
      <c r="D264" s="20" t="n">
        <v>4741</v>
      </c>
      <c r="F264" s="20" t="n">
        <v>-2169</v>
      </c>
      <c r="H264" s="20" t="n">
        <v>0</v>
      </c>
      <c r="J264" s="20" t="n">
        <v>-9019</v>
      </c>
      <c r="N264" s="20" t="n">
        <v>0</v>
      </c>
      <c r="U264" s="20" t="n">
        <v>-4741</v>
      </c>
      <c r="V264" s="20" t="n">
        <v>4741</v>
      </c>
      <c r="W264" s="20" t="n">
        <v>0</v>
      </c>
    </row>
    <row r="265">
      <c r="A265" s="18" t="inlineStr">
        <is>
          <t>배당금 지급</t>
        </is>
      </c>
      <c r="D265" s="20" t="n">
        <v>-8568</v>
      </c>
      <c r="F265" s="20" t="n">
        <v>-4489</v>
      </c>
      <c r="H265" s="20" t="n">
        <v>-9531</v>
      </c>
      <c r="J265" s="20" t="n">
        <v>-5963</v>
      </c>
      <c r="L265" s="20" t="n">
        <v>-12366</v>
      </c>
      <c r="N265" s="20" t="n">
        <v>-6750</v>
      </c>
      <c r="O265" s="20" t="n">
        <v>-5822</v>
      </c>
      <c r="P265" s="20" t="n">
        <v>-6451</v>
      </c>
      <c r="Q265" s="20" t="n">
        <v>-8044</v>
      </c>
      <c r="R265" s="20" t="n">
        <v>-8158</v>
      </c>
      <c r="S265" s="20" t="n">
        <v>-6459</v>
      </c>
      <c r="T265" s="20" t="n">
        <v>-8027</v>
      </c>
      <c r="U265" s="20" t="n">
        <v>-7998</v>
      </c>
      <c r="V265" s="20" t="n">
        <v>-8568</v>
      </c>
      <c r="W265" s="20" t="n">
        <v>-9531</v>
      </c>
      <c r="X265" s="20" t="n">
        <v>-12366</v>
      </c>
    </row>
    <row r="266">
      <c r="A266" s="18" t="inlineStr">
        <is>
          <t>비지배주주 배당금 지급</t>
        </is>
      </c>
      <c r="D266" s="20" t="n">
        <v>-6004</v>
      </c>
      <c r="F266" s="20" t="n">
        <v>-2693</v>
      </c>
      <c r="H266" s="20" t="n">
        <v>-2693</v>
      </c>
      <c r="J266" s="20" t="n">
        <v>-6604</v>
      </c>
      <c r="L266" s="20" t="n">
        <v>-14981</v>
      </c>
      <c r="N266" s="20" t="n">
        <v>-8925</v>
      </c>
      <c r="O266" s="20" t="n">
        <v>-990</v>
      </c>
      <c r="P266" s="20" t="n">
        <v>-1180</v>
      </c>
      <c r="Q266" s="20" t="n">
        <v>-1688</v>
      </c>
      <c r="R266" s="20" t="n">
        <v>-2139</v>
      </c>
      <c r="S266" s="20" t="n">
        <v>-1861</v>
      </c>
      <c r="T266" s="20" t="n">
        <v>-2509</v>
      </c>
      <c r="U266" s="20" t="n">
        <v>-4084</v>
      </c>
      <c r="V266" s="20" t="n">
        <v>-6004</v>
      </c>
      <c r="W266" s="20" t="n">
        <v>-2693</v>
      </c>
      <c r="X266" s="20" t="n">
        <v>-14981</v>
      </c>
    </row>
    <row r="267">
      <c r="A267" s="18" t="inlineStr">
        <is>
          <t>연결범위 변경 없는 자회사 주식 취득</t>
        </is>
      </c>
      <c r="D267" s="20" t="n">
        <v>0</v>
      </c>
      <c r="F267" s="20" t="n">
        <v>-3162</v>
      </c>
      <c r="H267" s="20" t="n">
        <v>-6825</v>
      </c>
      <c r="J267" s="20" t="n">
        <v>-403</v>
      </c>
      <c r="L267" s="20" t="n">
        <v>-403</v>
      </c>
      <c r="N267" s="20" t="n">
        <v>0</v>
      </c>
      <c r="V267" s="20" t="n">
        <v>0</v>
      </c>
      <c r="W267" s="20" t="n">
        <v>-6825</v>
      </c>
      <c r="X267" s="20" t="n">
        <v>-403</v>
      </c>
    </row>
    <row r="268">
      <c r="A268" s="18" t="inlineStr">
        <is>
          <t>기타</t>
        </is>
      </c>
      <c r="D268" s="20" t="n">
        <v>-1404</v>
      </c>
      <c r="F268" s="20" t="n">
        <v>-810</v>
      </c>
      <c r="H268" s="20" t="n">
        <v>-739</v>
      </c>
      <c r="J268" s="20" t="n">
        <v>-128</v>
      </c>
      <c r="L268" s="20" t="n">
        <v>-748</v>
      </c>
      <c r="N268" s="20" t="n">
        <v>-1021</v>
      </c>
      <c r="O268" s="20" t="n">
        <v>-88</v>
      </c>
      <c r="P268" s="20" t="n">
        <v>164</v>
      </c>
      <c r="Q268" s="20" t="n">
        <v>25</v>
      </c>
      <c r="R268" s="20" t="n">
        <v>-372</v>
      </c>
      <c r="S268" s="20" t="n">
        <v>-695</v>
      </c>
      <c r="T268" s="20" t="n">
        <v>-1028</v>
      </c>
      <c r="U268" s="20" t="n">
        <v>-742</v>
      </c>
      <c r="V268" s="20" t="n">
        <v>-1404</v>
      </c>
      <c r="W268" s="20" t="n">
        <v>-739</v>
      </c>
      <c r="X268" s="20" t="n">
        <v>-748</v>
      </c>
    </row>
    <row r="269">
      <c r="A269" s="9" t="inlineStr">
        <is>
          <t>재무활동 현금흐름</t>
        </is>
      </c>
      <c r="D269" s="12" t="n">
        <v>-25955</v>
      </c>
      <c r="F269" s="12" t="n">
        <v>-11259</v>
      </c>
      <c r="H269" s="12" t="n">
        <v>-19968</v>
      </c>
      <c r="J269" s="12" t="n">
        <v>-31207</v>
      </c>
      <c r="L269" s="12" t="n">
        <v>-31712</v>
      </c>
      <c r="N269" s="12" t="n">
        <v>45104</v>
      </c>
      <c r="O269" s="12" t="n">
        <v>-11260</v>
      </c>
      <c r="P269" s="12" t="n">
        <v>-17446</v>
      </c>
      <c r="Q269" s="12" t="n">
        <v>-12169</v>
      </c>
      <c r="R269" s="12" t="n">
        <v>-21726</v>
      </c>
      <c r="S269" s="12" t="n">
        <v>-13021</v>
      </c>
      <c r="T269" s="12" t="n">
        <v>-13485</v>
      </c>
      <c r="U269" s="12" t="n">
        <v>-3821</v>
      </c>
      <c r="V269" s="12" t="n">
        <v>-25955</v>
      </c>
      <c r="W269" s="12" t="n">
        <v>-19968</v>
      </c>
      <c r="X269" s="12" t="n">
        <v>-31712</v>
      </c>
    </row>
    <row r="270">
      <c r="A270" s="18" t="inlineStr">
        <is>
          <t>현금성자산 환산차이</t>
        </is>
      </c>
      <c r="D270" s="20" t="n">
        <v>8210</v>
      </c>
      <c r="F270" s="20" t="n">
        <v>-1527</v>
      </c>
      <c r="H270" s="20" t="n">
        <v>-423</v>
      </c>
      <c r="J270" s="20" t="n">
        <v>849</v>
      </c>
      <c r="L270" s="20" t="n">
        <v>9751</v>
      </c>
      <c r="N270" s="20" t="n">
        <v>-1105</v>
      </c>
      <c r="O270" s="20" t="n">
        <v>-1621</v>
      </c>
      <c r="P270" s="20" t="n">
        <v>-352</v>
      </c>
      <c r="Q270" s="20" t="n">
        <v>336</v>
      </c>
      <c r="R270" s="20" t="n">
        <v>-4039</v>
      </c>
      <c r="S270" s="20" t="n">
        <v>4251</v>
      </c>
      <c r="T270" s="20" t="n">
        <v>7466</v>
      </c>
      <c r="U270" s="20" t="n">
        <v>2849</v>
      </c>
      <c r="V270" s="20" t="n">
        <v>8210</v>
      </c>
      <c r="W270" s="20" t="n">
        <v>-423</v>
      </c>
      <c r="X270" s="20" t="n">
        <v>9751</v>
      </c>
    </row>
    <row r="271">
      <c r="A271" s="18" t="inlineStr">
        <is>
          <t>현금성자산 증감</t>
        </is>
      </c>
      <c r="D271" s="20" t="n">
        <v>16248</v>
      </c>
      <c r="F271" s="20" t="n">
        <v>-15837</v>
      </c>
      <c r="H271" s="20" t="n">
        <v>-18687</v>
      </c>
      <c r="J271" s="20" t="n">
        <v>-26107</v>
      </c>
      <c r="L271" s="20" t="n">
        <v>7482</v>
      </c>
      <c r="N271" s="20" t="n">
        <v>652</v>
      </c>
      <c r="O271" s="20" t="n">
        <v>4161</v>
      </c>
      <c r="P271" s="20" t="n">
        <v>25109</v>
      </c>
      <c r="Q271" s="20" t="n">
        <v>10676</v>
      </c>
      <c r="R271" s="20" t="n">
        <v>-20949</v>
      </c>
      <c r="S271" s="20" t="n">
        <v>-3777</v>
      </c>
      <c r="T271" s="20" t="n">
        <v>10604</v>
      </c>
      <c r="U271" s="20" t="n">
        <v>18877</v>
      </c>
      <c r="V271" s="20" t="n">
        <v>16248</v>
      </c>
      <c r="W271" s="20" t="n">
        <v>-18687</v>
      </c>
      <c r="X271" s="20" t="n">
        <v>7482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6923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377450</v>
      </c>
      <c r="D5" s="12" t="n">
        <v>389028</v>
      </c>
      <c r="E5" s="12" t="n">
        <v>411141</v>
      </c>
      <c r="F5" s="12" t="n">
        <v>458800</v>
      </c>
      <c r="G5" s="12" t="n">
        <v>442256</v>
      </c>
      <c r="H5" s="11" t="n">
        <v>299295</v>
      </c>
      <c r="I5" s="12" t="n">
        <v>321435</v>
      </c>
      <c r="J5" s="12" t="n">
        <v>358610</v>
      </c>
      <c r="K5" s="12" t="n">
        <v>390038</v>
      </c>
      <c r="L5" s="12" t="n">
        <v>411141</v>
      </c>
    </row>
    <row r="6">
      <c r="A6" s="18" t="inlineStr">
        <is>
          <t>현금및현금성자산</t>
        </is>
      </c>
      <c r="B6" s="10" t="n"/>
      <c r="C6" s="19" t="n">
        <v>195424</v>
      </c>
      <c r="D6" s="20" t="n">
        <v>201941</v>
      </c>
      <c r="E6" s="20" t="n">
        <v>226985</v>
      </c>
      <c r="F6" s="20" t="n">
        <v>240779</v>
      </c>
      <c r="G6" s="20" t="n">
        <v>218876</v>
      </c>
      <c r="H6" s="19" t="n">
        <v>150454</v>
      </c>
      <c r="I6" s="20" t="n">
        <v>173408</v>
      </c>
      <c r="J6" s="20" t="n">
        <v>194642</v>
      </c>
      <c r="K6" s="20" t="n">
        <v>219514</v>
      </c>
      <c r="L6" s="20" t="n">
        <v>226985</v>
      </c>
    </row>
    <row r="7">
      <c r="A7" s="18" t="inlineStr">
        <is>
          <t>단기금융상품</t>
        </is>
      </c>
      <c r="B7" s="10" t="n"/>
      <c r="C7" s="19" t="n">
        <v>100</v>
      </c>
      <c r="D7" s="20" t="n">
        <v>100</v>
      </c>
      <c r="E7" s="20" t="n">
        <v>0</v>
      </c>
      <c r="F7" s="20" t="n"/>
      <c r="G7" s="20" t="n">
        <v>300</v>
      </c>
      <c r="H7" s="19" t="n">
        <v>300</v>
      </c>
      <c r="I7" s="20" t="n">
        <v>0</v>
      </c>
      <c r="J7" s="20" t="n">
        <v>3998</v>
      </c>
      <c r="K7" s="20" t="n">
        <v>100</v>
      </c>
      <c r="L7" s="20" t="n">
        <v>0</v>
      </c>
    </row>
    <row r="8">
      <c r="A8" s="18" t="inlineStr">
        <is>
          <t>매출채권</t>
        </is>
      </c>
      <c r="B8" s="10" t="n"/>
      <c r="C8" s="19" t="n">
        <v>79617</v>
      </c>
      <c r="D8" s="20" t="n">
        <v>81050</v>
      </c>
      <c r="E8" s="20" t="n">
        <v>84360</v>
      </c>
      <c r="F8" s="20" t="n">
        <v>92871</v>
      </c>
      <c r="G8" s="20" t="n">
        <v>97452</v>
      </c>
      <c r="H8" s="19" t="n">
        <v>68027</v>
      </c>
      <c r="I8" s="20" t="n">
        <v>70317</v>
      </c>
      <c r="J8" s="20" t="n">
        <v>75060</v>
      </c>
      <c r="K8" s="20" t="n">
        <v>77368</v>
      </c>
      <c r="L8" s="20" t="n">
        <v>84360</v>
      </c>
    </row>
    <row r="9">
      <c r="A9" s="18" t="inlineStr">
        <is>
          <t>재고자산</t>
        </is>
      </c>
      <c r="B9" s="10" t="n"/>
      <c r="C9" s="19" t="n">
        <v>55732</v>
      </c>
      <c r="D9" s="20" t="n">
        <v>59929</v>
      </c>
      <c r="E9" s="20" t="n">
        <v>56427</v>
      </c>
      <c r="F9" s="20" t="n">
        <v>80093</v>
      </c>
      <c r="G9" s="20" t="n">
        <v>83887</v>
      </c>
      <c r="H9" s="19" t="n">
        <v>49308</v>
      </c>
      <c r="I9" s="20" t="n">
        <v>46226</v>
      </c>
      <c r="J9" s="20" t="n">
        <v>55521</v>
      </c>
      <c r="K9" s="20" t="n">
        <v>55498</v>
      </c>
      <c r="L9" s="20" t="n">
        <v>56427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376550</v>
      </c>
      <c r="D11" s="12" t="n">
        <v>390288</v>
      </c>
      <c r="E11" s="12" t="n">
        <v>399234</v>
      </c>
      <c r="F11" s="12" t="n">
        <v>473637</v>
      </c>
      <c r="G11" s="12" t="n">
        <v>492390</v>
      </c>
      <c r="H11" s="11" t="n">
        <v>286086</v>
      </c>
      <c r="I11" s="12" t="n">
        <v>308175</v>
      </c>
      <c r="J11" s="12" t="n">
        <v>349653</v>
      </c>
      <c r="K11" s="12" t="n">
        <v>359566</v>
      </c>
      <c r="L11" s="12" t="n">
        <v>399234</v>
      </c>
    </row>
    <row r="12">
      <c r="A12" s="18" t="inlineStr">
        <is>
          <t>유형자산</t>
        </is>
      </c>
      <c r="B12" s="10" t="n"/>
      <c r="C12" s="19" t="n">
        <v>243158</v>
      </c>
      <c r="D12" s="20" t="n">
        <v>257627</v>
      </c>
      <c r="E12" s="20" t="n">
        <v>263285</v>
      </c>
      <c r="F12" s="20" t="n">
        <v>277210</v>
      </c>
      <c r="G12" s="20" t="n">
        <v>276655</v>
      </c>
      <c r="H12" s="19" t="n">
        <v>194890</v>
      </c>
      <c r="I12" s="20" t="n">
        <v>194889</v>
      </c>
      <c r="J12" s="20" t="n">
        <v>190840</v>
      </c>
      <c r="K12" s="20" t="n">
        <v>235606</v>
      </c>
      <c r="L12" s="20" t="n">
        <v>263285</v>
      </c>
    </row>
    <row r="13">
      <c r="A13" s="18" t="inlineStr">
        <is>
          <t>무형자산</t>
        </is>
      </c>
      <c r="B13" s="10" t="n"/>
      <c r="C13" s="19" t="n">
        <v>9445</v>
      </c>
      <c r="D13" s="20" t="n">
        <v>9461</v>
      </c>
      <c r="E13" s="20" t="n">
        <v>13318</v>
      </c>
      <c r="F13" s="20" t="n">
        <v>66007</v>
      </c>
      <c r="G13" s="20" t="n">
        <v>77956</v>
      </c>
      <c r="H13" s="19" t="n">
        <v>8930</v>
      </c>
      <c r="I13" s="20" t="n">
        <v>8069</v>
      </c>
      <c r="J13" s="20" t="n">
        <v>8825</v>
      </c>
      <c r="K13" s="20" t="n">
        <v>10003</v>
      </c>
      <c r="L13" s="20" t="n">
        <v>13318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754001</v>
      </c>
      <c r="D16" s="12" t="n">
        <v>779316</v>
      </c>
      <c r="E16" s="12" t="n">
        <v>810375</v>
      </c>
      <c r="F16" s="12" t="n">
        <v>932437</v>
      </c>
      <c r="G16" s="12" t="n">
        <v>934647</v>
      </c>
      <c r="H16" s="11" t="n">
        <v>585382</v>
      </c>
      <c r="I16" s="12" t="n">
        <v>629611</v>
      </c>
      <c r="J16" s="12" t="n">
        <v>708264</v>
      </c>
      <c r="K16" s="12" t="n">
        <v>749605</v>
      </c>
      <c r="L16" s="12" t="n">
        <v>810375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137603</v>
      </c>
      <c r="D18" s="12" t="n">
        <v>158629</v>
      </c>
      <c r="E18" s="12" t="n">
        <v>176302</v>
      </c>
      <c r="F18" s="12" t="n">
        <v>273766</v>
      </c>
      <c r="G18" s="12" t="n">
        <v>261343</v>
      </c>
      <c r="H18" s="11" t="n">
        <v>74641</v>
      </c>
      <c r="I18" s="12" t="n">
        <v>69849</v>
      </c>
      <c r="J18" s="12" t="n">
        <v>97708</v>
      </c>
      <c r="K18" s="12" t="n">
        <v>91015</v>
      </c>
      <c r="L18" s="12" t="n">
        <v>176302</v>
      </c>
    </row>
    <row r="19">
      <c r="A19" s="18" t="inlineStr">
        <is>
          <t>매입채무</t>
        </is>
      </c>
      <c r="B19" s="10" t="n"/>
      <c r="C19" s="19" t="n">
        <v>40620</v>
      </c>
      <c r="D19" s="20" t="n">
        <v>45552</v>
      </c>
      <c r="E19" s="20" t="n">
        <v>40598</v>
      </c>
      <c r="F19" s="20" t="n">
        <v>55505</v>
      </c>
      <c r="G19" s="20" t="n">
        <v>55230</v>
      </c>
      <c r="H19" s="19" t="n">
        <v>39246</v>
      </c>
      <c r="I19" s="20" t="n">
        <v>37902</v>
      </c>
      <c r="J19" s="20" t="n">
        <v>40575</v>
      </c>
      <c r="K19" s="20" t="n">
        <v>40995</v>
      </c>
      <c r="L19" s="20" t="n">
        <v>40598</v>
      </c>
    </row>
    <row r="20">
      <c r="A20" s="18" t="inlineStr">
        <is>
          <t>단기차입금</t>
        </is>
      </c>
      <c r="B20" s="10" t="n"/>
      <c r="C20" s="19" t="n">
        <v>46700</v>
      </c>
      <c r="D20" s="20" t="n">
        <v>62700</v>
      </c>
      <c r="E20" s="20" t="n">
        <v>76700</v>
      </c>
      <c r="F20" s="20" t="n">
        <v>146701</v>
      </c>
      <c r="G20" s="20" t="n">
        <v>138700</v>
      </c>
      <c r="H20" s="19" t="n">
        <v>3059</v>
      </c>
      <c r="I20" s="20" t="n">
        <v>2100</v>
      </c>
      <c r="J20" s="20" t="n">
        <v>3262</v>
      </c>
      <c r="K20" s="20" t="n">
        <v>0</v>
      </c>
      <c r="L20" s="20" t="n">
        <v>76700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>
        <v>0</v>
      </c>
      <c r="F21" s="20" t="n">
        <v>1032</v>
      </c>
      <c r="G21" s="20" t="n">
        <v>1032</v>
      </c>
      <c r="H21" s="19" t="n">
        <v>0</v>
      </c>
      <c r="I21" s="20" t="n">
        <v>0</v>
      </c>
      <c r="J21" s="20" t="n">
        <v>10000</v>
      </c>
      <c r="K21" s="20" t="n">
        <v>0</v>
      </c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62167</v>
      </c>
      <c r="D23" s="12" t="n">
        <v>62240</v>
      </c>
      <c r="E23" s="12" t="n">
        <v>61574</v>
      </c>
      <c r="F23" s="12" t="n">
        <v>84476</v>
      </c>
      <c r="G23" s="12" t="n">
        <v>100520</v>
      </c>
      <c r="H23" s="11" t="n">
        <v>21779</v>
      </c>
      <c r="I23" s="12" t="n">
        <v>23633</v>
      </c>
      <c r="J23" s="12" t="n">
        <v>21193</v>
      </c>
      <c r="K23" s="12" t="n">
        <v>59682</v>
      </c>
      <c r="L23" s="12" t="n">
        <v>61574</v>
      </c>
    </row>
    <row r="24">
      <c r="A24" s="18" t="inlineStr">
        <is>
          <t>장기차입금</t>
        </is>
      </c>
      <c r="B24" s="10" t="n"/>
      <c r="C24" s="19" t="n"/>
      <c r="D24" s="20" t="n"/>
      <c r="E24" s="20" t="n">
        <v>0</v>
      </c>
      <c r="F24" s="20" t="n">
        <v>13568</v>
      </c>
      <c r="G24" s="20" t="n">
        <v>13052</v>
      </c>
      <c r="H24" s="19" t="n"/>
      <c r="I24" s="20" t="n">
        <v>0</v>
      </c>
      <c r="J24" s="20" t="n">
        <v>5228</v>
      </c>
      <c r="K24" s="20" t="n">
        <v>5190</v>
      </c>
      <c r="L24" s="20" t="n">
        <v>0</v>
      </c>
    </row>
    <row r="25">
      <c r="A25" s="18" t="inlineStr">
        <is>
          <t>사채</t>
        </is>
      </c>
      <c r="B25" s="10" t="n"/>
      <c r="C25" s="19" t="n">
        <v>40000</v>
      </c>
      <c r="D25" s="20" t="n">
        <v>40000</v>
      </c>
      <c r="E25" s="20" t="n">
        <v>40000</v>
      </c>
      <c r="F25" s="20" t="n">
        <v>40000</v>
      </c>
      <c r="G25" s="20" t="n">
        <v>40000</v>
      </c>
      <c r="H25" s="19" t="n">
        <v>10000</v>
      </c>
      <c r="I25" s="20" t="n">
        <v>10000</v>
      </c>
      <c r="J25" s="20" t="n">
        <v>0</v>
      </c>
      <c r="K25" s="20" t="n">
        <v>40000</v>
      </c>
      <c r="L25" s="20" t="n">
        <v>40000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199770</v>
      </c>
      <c r="D27" s="12" t="n">
        <v>220870</v>
      </c>
      <c r="E27" s="12" t="n">
        <v>237877</v>
      </c>
      <c r="F27" s="12" t="n">
        <v>358242</v>
      </c>
      <c r="G27" s="12" t="n">
        <v>361864</v>
      </c>
      <c r="H27" s="11" t="n">
        <v>96420</v>
      </c>
      <c r="I27" s="12" t="n">
        <v>93483</v>
      </c>
      <c r="J27" s="12" t="n">
        <v>118901</v>
      </c>
      <c r="K27" s="12" t="n">
        <v>150698</v>
      </c>
      <c r="L27" s="12" t="n">
        <v>237877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442132</v>
      </c>
      <c r="D31" s="12" t="n">
        <v>444914</v>
      </c>
      <c r="E31" s="12" t="n">
        <v>454214</v>
      </c>
      <c r="F31" s="12" t="n">
        <v>460882</v>
      </c>
      <c r="G31" s="12" t="n">
        <v>461100</v>
      </c>
      <c r="H31" s="11" t="n">
        <v>434462</v>
      </c>
      <c r="I31" s="12" t="n">
        <v>476218</v>
      </c>
      <c r="J31" s="12" t="n">
        <v>524410</v>
      </c>
      <c r="K31" s="12" t="n">
        <v>485500</v>
      </c>
      <c r="L31" s="12" t="n">
        <v>454214</v>
      </c>
    </row>
    <row r="32">
      <c r="A32" s="18" t="inlineStr">
        <is>
          <t>자본금</t>
        </is>
      </c>
      <c r="B32" s="10" t="n"/>
      <c r="C32" s="19" t="n">
        <v>30514</v>
      </c>
      <c r="D32" s="20" t="n">
        <v>30514</v>
      </c>
      <c r="E32" s="20" t="n">
        <v>30514</v>
      </c>
      <c r="F32" s="20" t="n">
        <v>30514</v>
      </c>
      <c r="G32" s="20" t="n">
        <v>30514</v>
      </c>
      <c r="H32" s="19" t="n">
        <v>30514</v>
      </c>
      <c r="I32" s="20" t="n">
        <v>30514</v>
      </c>
      <c r="J32" s="20" t="n">
        <v>30514</v>
      </c>
      <c r="K32" s="20" t="n">
        <v>30514</v>
      </c>
      <c r="L32" s="20" t="n">
        <v>30514</v>
      </c>
    </row>
    <row r="33">
      <c r="A33" s="18" t="inlineStr">
        <is>
          <t>이익잉여금</t>
        </is>
      </c>
      <c r="B33" s="10" t="n"/>
      <c r="C33" s="19" t="n">
        <v>362588</v>
      </c>
      <c r="D33" s="20" t="n">
        <v>367391</v>
      </c>
      <c r="E33" s="20" t="n">
        <v>300711</v>
      </c>
      <c r="F33" s="20" t="n">
        <v>298116</v>
      </c>
      <c r="G33" s="20" t="n">
        <v>302778</v>
      </c>
      <c r="H33" s="19" t="n">
        <v>354782</v>
      </c>
      <c r="I33" s="20" t="n">
        <v>373682</v>
      </c>
      <c r="J33" s="20" t="n">
        <v>386872</v>
      </c>
      <c r="K33" s="20" t="n">
        <v>358372</v>
      </c>
      <c r="L33" s="20" t="n">
        <v>300711</v>
      </c>
    </row>
    <row r="34">
      <c r="A34" s="18" t="inlineStr">
        <is>
          <t>비지배지분</t>
        </is>
      </c>
      <c r="B34" s="10" t="n"/>
      <c r="C34" s="19" t="n">
        <v>111696</v>
      </c>
      <c r="D34" s="20" t="n">
        <v>113132</v>
      </c>
      <c r="E34" s="20" t="n">
        <v>117970</v>
      </c>
      <c r="F34" s="20" t="n">
        <v>113046</v>
      </c>
      <c r="G34" s="20" t="n">
        <v>111440</v>
      </c>
      <c r="H34" s="19" t="n">
        <v>54022</v>
      </c>
      <c r="I34" s="20" t="n">
        <v>59485</v>
      </c>
      <c r="J34" s="20" t="n">
        <v>64564</v>
      </c>
      <c r="K34" s="20" t="n">
        <v>113014</v>
      </c>
      <c r="L34" s="20" t="n">
        <v>117970</v>
      </c>
    </row>
    <row r="35">
      <c r="A35" s="9" t="inlineStr">
        <is>
          <t>자본총계</t>
        </is>
      </c>
      <c r="B35" s="10" t="n"/>
      <c r="C35" s="11" t="n">
        <v>554230</v>
      </c>
      <c r="D35" s="12" t="n">
        <v>558445</v>
      </c>
      <c r="E35" s="12" t="n">
        <v>572498</v>
      </c>
      <c r="F35" s="12" t="n">
        <v>574194</v>
      </c>
      <c r="G35" s="12" t="n">
        <v>572782</v>
      </c>
      <c r="H35" s="11" t="n">
        <v>488962</v>
      </c>
      <c r="I35" s="12" t="n">
        <v>536128</v>
      </c>
      <c r="J35" s="12" t="n">
        <v>589362</v>
      </c>
      <c r="K35" s="12" t="n">
        <v>598906</v>
      </c>
      <c r="L35" s="12" t="n">
        <v>572498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71148</v>
      </c>
      <c r="D37" s="12" t="n"/>
      <c r="E37" s="12" t="n">
        <v>78344</v>
      </c>
      <c r="F37" s="12" t="n"/>
      <c r="G37" s="12" t="n">
        <v>79540</v>
      </c>
      <c r="H37" s="11" t="n">
        <v>36881</v>
      </c>
      <c r="I37" s="12" t="n">
        <v>76275</v>
      </c>
      <c r="J37" s="12" t="n">
        <v>65552</v>
      </c>
      <c r="K37" s="12" t="n">
        <v>66577</v>
      </c>
      <c r="L37" s="12" t="n">
        <v>78344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50964</v>
      </c>
      <c r="D38" s="20" t="n"/>
      <c r="E38" s="20" t="n">
        <v>57606</v>
      </c>
      <c r="F38" s="20" t="n"/>
      <c r="G38" s="20" t="n">
        <v>58683</v>
      </c>
      <c r="H38" s="19" t="n">
        <v>28904</v>
      </c>
      <c r="I38" s="20" t="n">
        <v>36265</v>
      </c>
      <c r="J38" s="20" t="n">
        <v>27098</v>
      </c>
      <c r="K38" s="20" t="n">
        <v>45622</v>
      </c>
      <c r="L38" s="20" t="n">
        <v>57606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11005</v>
      </c>
      <c r="D40" s="20" t="n"/>
      <c r="E40" s="20" t="n">
        <v>12366</v>
      </c>
      <c r="F40" s="20" t="n"/>
      <c r="G40" s="20" t="n">
        <v>13153</v>
      </c>
      <c r="H40" s="19" t="n">
        <v>8027</v>
      </c>
      <c r="I40" s="20" t="n">
        <v>7998</v>
      </c>
      <c r="J40" s="20" t="n">
        <v>8568</v>
      </c>
      <c r="K40" s="20" t="n">
        <v>9531</v>
      </c>
      <c r="L40" s="20" t="n">
        <v>12366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IFERROR(IF((IF(COUNT('연간'!G62:J62)&lt;4,"",SUM('연간'!G62:J62)))&lt;=0,"적자",C28/(IF(COUNT('연간'!G62:J62)&lt;4,"",SUM('연간'!G62:J62)))),"")</f>
        <v/>
      </c>
      <c r="D49" s="47">
        <f>IFERROR(IF((IF(COUNT('연간'!H62:K62)&lt;4,"",SUM('연간'!H62:K62)))&lt;=0,"적자",D28/(IF(COUNT('연간'!H62:K62)&lt;4,"",SUM('연간'!H62:K62)))),"")</f>
        <v/>
      </c>
      <c r="E49" s="47">
        <f>IFERROR(IF((IF(COUNT('연간'!I62:L62)&lt;4,"",SUM('연간'!I62:L62)))&lt;=0,"적자",E28/(IF(COUNT('연간'!I62:L62)&lt;4,"",SUM('연간'!I62:L62)))),"")</f>
        <v/>
      </c>
      <c r="F49" s="47">
        <f>IFERROR(IF((IF(COUNT('연간'!J62:M62)&lt;4,"",SUM('연간'!J62:M62)))&lt;=0,"적자",F28/(IF(COUNT('연간'!J62:M62)&lt;4,"",SUM('연간'!J62:M62)))),"")</f>
        <v/>
      </c>
      <c r="G49" s="47">
        <f>IFERROR(IF((IF(COUNT('연간'!K62:N62)&lt;4,"",SUM('연간'!K62:N62)))&lt;=0,"적자",G28/(IF(COUNT('연간'!K62:N62)&lt;4,"",SUM('연간'!K62:N62)))),"")</f>
        <v/>
      </c>
      <c r="H49" s="46">
        <f>IFERROR(IF(('연간'!T62)&lt;=0,"적자",H28/('연간'!T62)),"")</f>
        <v/>
      </c>
      <c r="I49" s="47">
        <f>IFERROR(IF(('연간'!U62)&lt;=0,"적자",I28/('연간'!U62)),"")</f>
        <v/>
      </c>
      <c r="J49" s="47">
        <f>IFERROR(IF(('연간'!V62)&lt;=0,"적자",J28/('연간'!V62)),"")</f>
        <v/>
      </c>
      <c r="K49" s="47">
        <f>IFERROR(IF(('연간'!W62)&lt;=0,"적자",K28/('연간'!W62)),"")</f>
        <v/>
      </c>
      <c r="L49" s="47">
        <f>IFERROR(IF(('연간'!X62)&lt;=0,"적자",L28/('연간'!X62)),"")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IFERROR((IF(COUNT('연간'!G62:J62)&lt;4,"",SUM('연간'!G62:J62)))/C31,"")</f>
        <v/>
      </c>
      <c r="D51" s="36">
        <f>IFERROR((IF(COUNT('연간'!H62:K62)&lt;4,"",SUM('연간'!H62:K62)))/D31,"")</f>
        <v/>
      </c>
      <c r="E51" s="36">
        <f>IFERROR((IF(COUNT('연간'!I62:L62)&lt;4,"",SUM('연간'!I62:L62)))/E31,"")</f>
        <v/>
      </c>
      <c r="F51" s="36">
        <f>IFERROR((IF(COUNT('연간'!J62:M62)&lt;4,"",SUM('연간'!J62:M62)))/F31,"")</f>
        <v/>
      </c>
      <c r="G51" s="36">
        <f>IFERROR((IF(COUNT('연간'!K62:N62)&lt;4,"",SUM('연간'!K62:N62)))/G31,"")</f>
        <v/>
      </c>
      <c r="H51" s="35">
        <f>IFERROR(('연간'!T62)/H31,"")</f>
        <v/>
      </c>
      <c r="I51" s="36">
        <f>IFERROR(('연간'!U62)/I31,"")</f>
        <v/>
      </c>
      <c r="J51" s="36">
        <f>IFERROR(('연간'!V62)/J31,"")</f>
        <v/>
      </c>
      <c r="K51" s="36">
        <f>IFERROR(('연간'!W62)/K31,"")</f>
        <v/>
      </c>
      <c r="L51" s="36">
        <f>IFERROR(('연간'!X62)/L31,"")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IFERROR((IF(COUNT('연간'!G61:J61)&lt;4,"",SUM('연간'!G61:J61)))/C16,"")</f>
        <v/>
      </c>
      <c r="D52" s="36">
        <f>IFERROR((IF(COUNT('연간'!H61:K61)&lt;4,"",SUM('연간'!H61:K61)))/D16,"")</f>
        <v/>
      </c>
      <c r="E52" s="36">
        <f>IFERROR((IF(COUNT('연간'!I61:L61)&lt;4,"",SUM('연간'!I61:L61)))/E16,"")</f>
        <v/>
      </c>
      <c r="F52" s="36">
        <f>IFERROR((IF(COUNT('연간'!J61:M61)&lt;4,"",SUM('연간'!J61:M61)))/F16,"")</f>
        <v/>
      </c>
      <c r="G52" s="36">
        <f>IFERROR((IF(COUNT('연간'!K61:N61)&lt;4,"",SUM('연간'!K61:N61)))/G16,"")</f>
        <v/>
      </c>
      <c r="H52" s="35">
        <f>IFERROR(('연간'!T61)/H16,"")</f>
        <v/>
      </c>
      <c r="I52" s="36">
        <f>IFERROR(('연간'!U61)/I16,"")</f>
        <v/>
      </c>
      <c r="J52" s="36">
        <f>IFERROR(('연간'!V61)/J16,"")</f>
        <v/>
      </c>
      <c r="K52" s="36">
        <f>IFERROR(('연간'!W61)/K16,"")</f>
        <v/>
      </c>
      <c r="L52" s="36">
        <f>IFERROR(('연간'!X61)/L16,"")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IFERROR((IF(COUNT('연간'!G30:J30)&lt;4,"",SUM('연간'!G30:J30)))/(IF(COUNT('연간'!G4:J4)&lt;4,"",SUM('연간'!G4:J4))),"")</f>
        <v/>
      </c>
      <c r="D54" s="36">
        <f>IFERROR((IF(COUNT('연간'!H30:K30)&lt;4,"",SUM('연간'!H30:K30)))/(IF(COUNT('연간'!H4:K4)&lt;4,"",SUM('연간'!H4:K4))),"")</f>
        <v/>
      </c>
      <c r="E54" s="36">
        <f>IFERROR((IF(COUNT('연간'!I30:L30)&lt;4,"",SUM('연간'!I30:L30)))/(IF(COUNT('연간'!I4:L4)&lt;4,"",SUM('연간'!I4:L4))),"")</f>
        <v/>
      </c>
      <c r="F54" s="36">
        <f>IFERROR((IF(COUNT('연간'!J30:M30)&lt;4,"",SUM('연간'!J30:M30)))/(IF(COUNT('연간'!J4:M4)&lt;4,"",SUM('연간'!J4:M4))),"")</f>
        <v/>
      </c>
      <c r="G54" s="36">
        <f>IFERROR((IF(COUNT('연간'!K30:N30)&lt;4,"",SUM('연간'!K30:N30)))/(IF(COUNT('연간'!K4:N4)&lt;4,"",SUM('연간'!K4:N4))),"")</f>
        <v/>
      </c>
      <c r="H54" s="35">
        <f>IFERROR(('연간'!T30)/('연간'!T4),"")</f>
        <v/>
      </c>
      <c r="I54" s="36">
        <f>IFERROR(('연간'!U30)/('연간'!U4),"")</f>
        <v/>
      </c>
      <c r="J54" s="36">
        <f>IFERROR(('연간'!V30)/('연간'!V4),"")</f>
        <v/>
      </c>
      <c r="K54" s="36">
        <f>IFERROR(('연간'!W30)/('연간'!W4),"")</f>
        <v/>
      </c>
      <c r="L54" s="36">
        <f>IFERROR(('연간'!X30)/('연간'!X4),"")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IFERROR((IF(COUNT('연간'!G61:J61)&lt;4,"",SUM('연간'!G61:J61)))/(IF(COUNT('연간'!G4:J4)&lt;4,"",SUM('연간'!G4:J4))),"")</f>
        <v/>
      </c>
      <c r="D56" s="36">
        <f>IFERROR((IF(COUNT('연간'!H61:K61)&lt;4,"",SUM('연간'!H61:K61)))/(IF(COUNT('연간'!H4:K4)&lt;4,"",SUM('연간'!H4:K4))),"")</f>
        <v/>
      </c>
      <c r="E56" s="36">
        <f>IFERROR((IF(COUNT('연간'!I61:L61)&lt;4,"",SUM('연간'!I61:L61)))/(IF(COUNT('연간'!I4:L4)&lt;4,"",SUM('연간'!I4:L4))),"")</f>
        <v/>
      </c>
      <c r="F56" s="36">
        <f>IFERROR((IF(COUNT('연간'!J61:M61)&lt;4,"",SUM('연간'!J61:M61)))/(IF(COUNT('연간'!J4:M4)&lt;4,"",SUM('연간'!J4:M4))),"")</f>
        <v/>
      </c>
      <c r="G56" s="36">
        <f>IFERROR((IF(COUNT('연간'!K61:N61)&lt;4,"",SUM('연간'!K61:N61)))/(IF(COUNT('연간'!K4:N4)&lt;4,"",SUM('연간'!K4:N4))),"")</f>
        <v/>
      </c>
      <c r="H56" s="35">
        <f>IFERROR(('연간'!T61)/('연간'!T4),"")</f>
        <v/>
      </c>
      <c r="I56" s="36">
        <f>IFERROR(('연간'!U61)/('연간'!U4),"")</f>
        <v/>
      </c>
      <c r="J56" s="36">
        <f>IFERROR(('연간'!V61)/('연간'!V4),"")</f>
        <v/>
      </c>
      <c r="K56" s="36">
        <f>IFERROR(('연간'!W61)/('연간'!W4),"")</f>
        <v/>
      </c>
      <c r="L56" s="36">
        <f>IFERROR(('연간'!X61)/('연간'!X4),"")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IF(C37="","",IFERROR(C37/(IF(COUNT('연간'!G61:J61)&lt;4,"",SUM('연간'!G61:J61))),""))</f>
        <v/>
      </c>
      <c r="D64" s="31">
        <f>IF(D37="","",IFERROR(D37/(IF(COUNT('연간'!H61:K61)&lt;4,"",SUM('연간'!H61:K61))),""))</f>
        <v/>
      </c>
      <c r="E64" s="31">
        <f>IF(E37="","",IFERROR(E37/(IF(COUNT('연간'!I61:L61)&lt;4,"",SUM('연간'!I61:L61))),""))</f>
        <v/>
      </c>
      <c r="F64" s="31">
        <f>IF(F37="","",IFERROR(F37/(IF(COUNT('연간'!J61:M61)&lt;4,"",SUM('연간'!J61:M61))),""))</f>
        <v/>
      </c>
      <c r="G64" s="31">
        <f>IF(G37="","",IFERROR(G37/(IF(COUNT('연간'!K61:N61)&lt;4,"",SUM('연간'!K61:N61))),""))</f>
        <v/>
      </c>
      <c r="H64" s="30">
        <f>IF(H37="","",IFERROR(H37/('연간'!T61),""))</f>
        <v/>
      </c>
      <c r="I64" s="31">
        <f>IF(I37="","",IFERROR(I37/('연간'!U61),""))</f>
        <v/>
      </c>
      <c r="J64" s="31">
        <f>IF(J37="","",IFERROR(J37/('연간'!V61),""))</f>
        <v/>
      </c>
      <c r="K64" s="31">
        <f>IF(K37="","",IFERROR(K37/('연간'!W61),""))</f>
        <v/>
      </c>
      <c r="L64" s="31">
        <f>IF(L37="","",IFERROR(L37/('연간'!X61),""))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IF(C40="","",IFERROR(C40/(IF(COUNT('연간'!G62:J62)&lt;4,"",SUM('연간'!G62:J62))),""))</f>
        <v/>
      </c>
      <c r="D67" s="36">
        <f>IF(D40="","",IFERROR(D40/(IF(COUNT('연간'!H62:K62)&lt;4,"",SUM('연간'!H62:K62))),""))</f>
        <v/>
      </c>
      <c r="E67" s="36">
        <f>IF(E40="","",IFERROR(E40/(IF(COUNT('연간'!I62:L62)&lt;4,"",SUM('연간'!I62:L62))),""))</f>
        <v/>
      </c>
      <c r="F67" s="36">
        <f>IF(F40="","",IFERROR(F40/(IF(COUNT('연간'!J62:M62)&lt;4,"",SUM('연간'!J62:M62))),""))</f>
        <v/>
      </c>
      <c r="G67" s="36">
        <f>IF(G40="","",IFERROR(G40/(IF(COUNT('연간'!K62:N62)&lt;4,"",SUM('연간'!K62:N62))),""))</f>
        <v/>
      </c>
      <c r="H67" s="35">
        <f>IF(H40="","",IFERROR(H40/('연간'!T62),""))</f>
        <v/>
      </c>
      <c r="I67" s="36">
        <f>IF(I40="","",IFERROR(I40/('연간'!U62),""))</f>
        <v/>
      </c>
      <c r="J67" s="36">
        <f>IF(J40="","",IFERROR(J40/('연간'!V62),""))</f>
        <v/>
      </c>
      <c r="K67" s="36">
        <f>IF(K40="","",IFERROR(K40/('연간'!W62),""))</f>
        <v/>
      </c>
      <c r="L67" s="36">
        <f>IF(L40="","",IFERROR(L40/('연간'!X62),""))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195424</v>
      </c>
      <c r="D71" s="20" t="n">
        <v>201941</v>
      </c>
      <c r="E71" s="20" t="n">
        <v>226985</v>
      </c>
      <c r="F71" s="20" t="n">
        <v>240779</v>
      </c>
      <c r="G71" s="20" t="n">
        <v>218876</v>
      </c>
      <c r="H71" s="20" t="n">
        <v>150454</v>
      </c>
      <c r="I71" s="20" t="n">
        <v>173408</v>
      </c>
      <c r="J71" s="20" t="n">
        <v>194642</v>
      </c>
      <c r="K71" s="20" t="n">
        <v>219514</v>
      </c>
      <c r="L71" s="20" t="n">
        <v>226985</v>
      </c>
    </row>
    <row r="72">
      <c r="A72" s="18" t="inlineStr">
        <is>
          <t>받을어음</t>
        </is>
      </c>
      <c r="E72" s="20" t="n">
        <v>2</v>
      </c>
      <c r="H72" s="20" t="n">
        <v>49</v>
      </c>
      <c r="I72" s="20" t="n">
        <v>118</v>
      </c>
      <c r="J72" s="20" t="n">
        <v>42</v>
      </c>
      <c r="K72" s="20" t="n">
        <v>5</v>
      </c>
      <c r="L72" s="20" t="n">
        <v>2</v>
      </c>
    </row>
    <row r="73">
      <c r="A73" s="18" t="inlineStr">
        <is>
          <t>전자기록채권</t>
        </is>
      </c>
      <c r="E73" s="20" t="n">
        <v>848</v>
      </c>
      <c r="H73" s="20" t="n">
        <v>815</v>
      </c>
      <c r="I73" s="20" t="n">
        <v>674</v>
      </c>
      <c r="J73" s="20" t="n">
        <v>566</v>
      </c>
      <c r="K73" s="20" t="n">
        <v>567</v>
      </c>
      <c r="L73" s="20" t="n">
        <v>848</v>
      </c>
    </row>
    <row r="74">
      <c r="A74" s="18" t="inlineStr">
        <is>
          <t>매출채권</t>
        </is>
      </c>
      <c r="E74" s="20" t="n">
        <v>40357</v>
      </c>
      <c r="H74" s="20" t="n">
        <v>31422</v>
      </c>
      <c r="I74" s="20" t="n">
        <v>35755</v>
      </c>
      <c r="J74" s="20" t="n">
        <v>39477</v>
      </c>
      <c r="K74" s="20" t="n">
        <v>37047</v>
      </c>
      <c r="L74" s="20" t="n">
        <v>40357</v>
      </c>
    </row>
    <row r="75">
      <c r="A75" s="18" t="inlineStr">
        <is>
          <t>받을어음·매출채권</t>
        </is>
      </c>
      <c r="C75" s="20" t="n">
        <v>79617</v>
      </c>
      <c r="D75" s="20" t="n">
        <v>81050</v>
      </c>
      <c r="E75" s="20" t="n">
        <v>84360</v>
      </c>
      <c r="H75" s="20" t="n">
        <v>68027</v>
      </c>
      <c r="I75" s="20" t="n">
        <v>70317</v>
      </c>
      <c r="J75" s="20" t="n">
        <v>75060</v>
      </c>
      <c r="K75" s="20" t="n">
        <v>77368</v>
      </c>
      <c r="L75" s="20" t="n">
        <v>84360</v>
      </c>
    </row>
    <row r="76">
      <c r="A76" s="18" t="inlineStr">
        <is>
          <t>받을어음·매출채권·계약자산</t>
        </is>
      </c>
      <c r="E76" s="20" t="n">
        <v>84360</v>
      </c>
      <c r="F76" s="20" t="n">
        <v>92871</v>
      </c>
      <c r="G76" s="20" t="n">
        <v>97452</v>
      </c>
      <c r="L76" s="20" t="n">
        <v>84360</v>
      </c>
    </row>
    <row r="77">
      <c r="A77" s="18" t="inlineStr">
        <is>
          <t>유가증권</t>
        </is>
      </c>
      <c r="C77" s="20" t="n">
        <v>100</v>
      </c>
      <c r="D77" s="20" t="n">
        <v>100</v>
      </c>
      <c r="E77" s="20" t="n">
        <v>0</v>
      </c>
      <c r="G77" s="20" t="n">
        <v>300</v>
      </c>
      <c r="H77" s="20" t="n">
        <v>300</v>
      </c>
      <c r="I77" s="20" t="n">
        <v>0</v>
      </c>
      <c r="J77" s="20" t="n">
        <v>3998</v>
      </c>
      <c r="K77" s="20" t="n">
        <v>100</v>
      </c>
      <c r="L77" s="20" t="n">
        <v>0</v>
      </c>
    </row>
    <row r="78">
      <c r="A78" s="18" t="inlineStr">
        <is>
          <t>재고자산</t>
        </is>
      </c>
      <c r="C78" s="20" t="n">
        <v>55732</v>
      </c>
      <c r="D78" s="20" t="n">
        <v>59929</v>
      </c>
      <c r="E78" s="20" t="n">
        <v>56427</v>
      </c>
      <c r="F78" s="20" t="n">
        <v>80093</v>
      </c>
      <c r="G78" s="20" t="n">
        <v>83887</v>
      </c>
      <c r="H78" s="20" t="n">
        <v>49308</v>
      </c>
      <c r="I78" s="20" t="n">
        <v>46226</v>
      </c>
      <c r="J78" s="20" t="n">
        <v>55521</v>
      </c>
      <c r="K78" s="20" t="n">
        <v>55498</v>
      </c>
      <c r="L78" s="20" t="n">
        <v>56427</v>
      </c>
    </row>
    <row r="79">
      <c r="A79" s="18" t="inlineStr">
        <is>
          <t>단기대여금</t>
        </is>
      </c>
      <c r="E79" s="20" t="n">
        <v>15377</v>
      </c>
      <c r="H79" s="20" t="n">
        <v>11577</v>
      </c>
      <c r="I79" s="20" t="n">
        <v>6104</v>
      </c>
      <c r="J79" s="20" t="n">
        <v>6389</v>
      </c>
      <c r="K79" s="20" t="n">
        <v>13509</v>
      </c>
      <c r="L79" s="20" t="n">
        <v>15377</v>
      </c>
    </row>
    <row r="80">
      <c r="A80" s="18" t="inlineStr">
        <is>
          <t>기타</t>
        </is>
      </c>
      <c r="C80" s="20" t="n">
        <v>46647</v>
      </c>
      <c r="D80" s="20" t="n">
        <v>46083</v>
      </c>
      <c r="E80" s="20" t="n">
        <v>43423</v>
      </c>
      <c r="F80" s="20" t="n">
        <v>45145</v>
      </c>
      <c r="G80" s="20" t="n">
        <v>41827</v>
      </c>
      <c r="H80" s="20" t="n">
        <v>31240</v>
      </c>
      <c r="I80" s="20" t="n">
        <v>31490</v>
      </c>
      <c r="J80" s="20" t="n">
        <v>29406</v>
      </c>
      <c r="K80" s="20" t="n">
        <v>37611</v>
      </c>
      <c r="L80" s="20" t="n">
        <v>43423</v>
      </c>
    </row>
    <row r="81">
      <c r="A81" s="18" t="inlineStr">
        <is>
          <t>대손충당금</t>
        </is>
      </c>
      <c r="C81" s="20" t="n">
        <v>-72</v>
      </c>
      <c r="D81" s="20" t="n">
        <v>-77</v>
      </c>
      <c r="E81" s="20" t="n">
        <v>-54</v>
      </c>
      <c r="F81" s="20" t="n">
        <v>-89</v>
      </c>
      <c r="G81" s="20" t="n">
        <v>-87</v>
      </c>
      <c r="H81" s="20" t="n">
        <v>-34</v>
      </c>
      <c r="I81" s="20" t="n">
        <v>-7</v>
      </c>
      <c r="J81" s="20" t="n">
        <v>-17</v>
      </c>
      <c r="K81" s="20" t="n">
        <v>-54</v>
      </c>
      <c r="L81" s="20" t="n">
        <v>-54</v>
      </c>
    </row>
    <row r="82">
      <c r="A82" s="9" t="inlineStr">
        <is>
          <t>유동자산 합계</t>
        </is>
      </c>
      <c r="C82" s="12" t="n">
        <v>377450</v>
      </c>
      <c r="D82" s="12" t="n">
        <v>389028</v>
      </c>
      <c r="E82" s="12" t="n">
        <v>411141</v>
      </c>
      <c r="F82" s="12" t="n">
        <v>458800</v>
      </c>
      <c r="G82" s="12" t="n">
        <v>442256</v>
      </c>
      <c r="H82" s="12" t="n">
        <v>299295</v>
      </c>
      <c r="I82" s="12" t="n">
        <v>321435</v>
      </c>
      <c r="J82" s="12" t="n">
        <v>358610</v>
      </c>
      <c r="K82" s="12" t="n">
        <v>390038</v>
      </c>
      <c r="L82" s="12" t="n">
        <v>411141</v>
      </c>
    </row>
    <row r="83">
      <c r="A83" s="18" t="inlineStr">
        <is>
          <t>건물</t>
        </is>
      </c>
      <c r="H83" s="20" t="n">
        <v>33032</v>
      </c>
    </row>
    <row r="84">
      <c r="A84" s="18" t="inlineStr">
        <is>
          <t>구축물</t>
        </is>
      </c>
      <c r="H84" s="20" t="n">
        <v>1189</v>
      </c>
    </row>
    <row r="85">
      <c r="A85" s="18" t="inlineStr">
        <is>
          <t>기계장치</t>
        </is>
      </c>
      <c r="H85" s="20" t="n">
        <v>14690</v>
      </c>
    </row>
    <row r="86">
      <c r="A86" s="18" t="inlineStr">
        <is>
          <t>차량운반구</t>
        </is>
      </c>
      <c r="H86" s="20" t="n">
        <v>39</v>
      </c>
    </row>
    <row r="87">
      <c r="A87" s="18" t="inlineStr">
        <is>
          <t>건물</t>
        </is>
      </c>
      <c r="E87" s="20" t="n">
        <v>37653</v>
      </c>
      <c r="H87" s="20" t="n">
        <v>33032</v>
      </c>
      <c r="I87" s="20" t="n">
        <v>31270</v>
      </c>
      <c r="J87" s="20" t="n">
        <v>32798</v>
      </c>
      <c r="K87" s="20" t="n">
        <v>32689</v>
      </c>
      <c r="L87" s="20" t="n">
        <v>37653</v>
      </c>
    </row>
    <row r="88">
      <c r="A88" s="18" t="inlineStr">
        <is>
          <t>구축물</t>
        </is>
      </c>
      <c r="E88" s="20" t="n">
        <v>1214</v>
      </c>
      <c r="H88" s="20" t="n">
        <v>1189</v>
      </c>
      <c r="I88" s="20" t="n">
        <v>1067</v>
      </c>
      <c r="J88" s="20" t="n">
        <v>1167</v>
      </c>
      <c r="K88" s="20" t="n">
        <v>1139</v>
      </c>
      <c r="L88" s="20" t="n">
        <v>1214</v>
      </c>
    </row>
    <row r="89">
      <c r="A89" s="18" t="inlineStr">
        <is>
          <t>기계장치</t>
        </is>
      </c>
      <c r="E89" s="20" t="n">
        <v>24248</v>
      </c>
      <c r="H89" s="20" t="n">
        <v>14690</v>
      </c>
      <c r="I89" s="20" t="n">
        <v>13289</v>
      </c>
      <c r="J89" s="20" t="n">
        <v>14122</v>
      </c>
      <c r="K89" s="20" t="n">
        <v>13872</v>
      </c>
      <c r="L89" s="20" t="n">
        <v>24248</v>
      </c>
    </row>
    <row r="90">
      <c r="A90" s="18" t="inlineStr">
        <is>
          <t>차량운반구</t>
        </is>
      </c>
      <c r="E90" s="20" t="n">
        <v>143</v>
      </c>
      <c r="H90" s="20" t="n">
        <v>39</v>
      </c>
      <c r="I90" s="20" t="n">
        <v>31</v>
      </c>
      <c r="J90" s="20" t="n">
        <v>46</v>
      </c>
      <c r="K90" s="20" t="n">
        <v>55</v>
      </c>
      <c r="L90" s="20" t="n">
        <v>143</v>
      </c>
    </row>
    <row r="91">
      <c r="A91" s="18" t="inlineStr">
        <is>
          <t>공구·기구·비품</t>
        </is>
      </c>
      <c r="E91" s="20" t="n">
        <v>6191</v>
      </c>
      <c r="H91" s="20" t="n">
        <v>10774</v>
      </c>
      <c r="I91" s="20" t="n">
        <v>8308</v>
      </c>
      <c r="J91" s="20" t="n">
        <v>4484</v>
      </c>
      <c r="K91" s="20" t="n">
        <v>5078</v>
      </c>
      <c r="L91" s="20" t="n">
        <v>6191</v>
      </c>
    </row>
    <row r="92">
      <c r="A92" s="18" t="inlineStr">
        <is>
          <t>건물·구축물(순액)</t>
        </is>
      </c>
      <c r="C92" s="20" t="n">
        <v>79179</v>
      </c>
      <c r="D92" s="20" t="n">
        <v>81059</v>
      </c>
      <c r="E92" s="20" t="n">
        <v>81489</v>
      </c>
      <c r="F92" s="20" t="n">
        <v>91078</v>
      </c>
      <c r="G92" s="20" t="n">
        <v>88971</v>
      </c>
      <c r="H92" s="20" t="n">
        <v>74891</v>
      </c>
      <c r="I92" s="20" t="n">
        <v>73148</v>
      </c>
      <c r="J92" s="20" t="n">
        <v>74909</v>
      </c>
      <c r="K92" s="20" t="n">
        <v>78208</v>
      </c>
      <c r="L92" s="20" t="n">
        <v>81489</v>
      </c>
    </row>
    <row r="93">
      <c r="A93" s="18" t="inlineStr">
        <is>
          <t>기계장치·운반구(순액)</t>
        </is>
      </c>
      <c r="C93" s="20" t="n">
        <v>80138</v>
      </c>
      <c r="D93" s="20" t="n">
        <v>91518</v>
      </c>
      <c r="E93" s="20" t="n">
        <v>97832</v>
      </c>
      <c r="F93" s="20" t="n">
        <v>99655</v>
      </c>
      <c r="G93" s="20" t="n">
        <v>101630</v>
      </c>
      <c r="H93" s="20" t="n">
        <v>62365</v>
      </c>
      <c r="I93" s="20" t="n">
        <v>63908</v>
      </c>
      <c r="J93" s="20" t="n">
        <v>65901</v>
      </c>
      <c r="K93" s="20" t="n">
        <v>78381</v>
      </c>
      <c r="L93" s="20" t="n">
        <v>97832</v>
      </c>
    </row>
    <row r="94">
      <c r="A94" s="18" t="inlineStr">
        <is>
          <t>공구·기구·비품(순액)</t>
        </is>
      </c>
      <c r="C94" s="20" t="n">
        <v>15829</v>
      </c>
      <c r="D94" s="20" t="n">
        <v>17354</v>
      </c>
      <c r="E94" s="20" t="n">
        <v>17969</v>
      </c>
      <c r="F94" s="20" t="n">
        <v>18360</v>
      </c>
      <c r="G94" s="20" t="n">
        <v>17777</v>
      </c>
      <c r="H94" s="20" t="n">
        <v>24101</v>
      </c>
      <c r="I94" s="20" t="n">
        <v>22671</v>
      </c>
      <c r="J94" s="20" t="n">
        <v>14883</v>
      </c>
      <c r="K94" s="20" t="n">
        <v>16714</v>
      </c>
      <c r="L94" s="20" t="n">
        <v>17969</v>
      </c>
    </row>
    <row r="95">
      <c r="A95" s="18" t="inlineStr">
        <is>
          <t>토지</t>
        </is>
      </c>
      <c r="C95" s="20" t="n">
        <v>26098</v>
      </c>
      <c r="D95" s="20" t="n">
        <v>26680</v>
      </c>
      <c r="E95" s="20" t="n">
        <v>26541</v>
      </c>
      <c r="F95" s="20" t="n">
        <v>30409</v>
      </c>
      <c r="G95" s="20" t="n">
        <v>30514</v>
      </c>
      <c r="H95" s="20" t="n">
        <v>15238</v>
      </c>
      <c r="I95" s="20" t="n">
        <v>14795</v>
      </c>
      <c r="J95" s="20" t="n">
        <v>14963</v>
      </c>
      <c r="K95" s="20" t="n">
        <v>25774</v>
      </c>
      <c r="L95" s="20" t="n">
        <v>26541</v>
      </c>
    </row>
    <row r="96">
      <c r="A96" s="18" t="inlineStr">
        <is>
          <t>리스자산</t>
        </is>
      </c>
      <c r="E96" s="20" t="n">
        <v>731</v>
      </c>
      <c r="H96" s="20" t="n">
        <v>324</v>
      </c>
      <c r="I96" s="20" t="n">
        <v>378</v>
      </c>
      <c r="J96" s="20" t="n">
        <v>333</v>
      </c>
      <c r="K96" s="20" t="n">
        <v>724</v>
      </c>
      <c r="L96" s="20" t="n">
        <v>731</v>
      </c>
    </row>
    <row r="97">
      <c r="A97" s="18" t="inlineStr">
        <is>
          <t>리스자산(순액)</t>
        </is>
      </c>
      <c r="C97" s="20" t="n">
        <v>2792</v>
      </c>
      <c r="D97" s="20" t="n">
        <v>2712</v>
      </c>
      <c r="E97" s="20" t="n">
        <v>2556</v>
      </c>
      <c r="F97" s="20" t="n">
        <v>3590</v>
      </c>
      <c r="G97" s="20" t="n">
        <v>3283</v>
      </c>
      <c r="H97" s="20" t="n">
        <v>2398</v>
      </c>
      <c r="I97" s="20" t="n">
        <v>3429</v>
      </c>
      <c r="J97" s="20" t="n">
        <v>3110</v>
      </c>
      <c r="K97" s="20" t="n">
        <v>2997</v>
      </c>
      <c r="L97" s="20" t="n">
        <v>2556</v>
      </c>
    </row>
    <row r="98">
      <c r="A98" s="18" t="inlineStr">
        <is>
          <t>건설중인자산</t>
        </is>
      </c>
      <c r="C98" s="20" t="n">
        <v>39119</v>
      </c>
      <c r="D98" s="20" t="n">
        <v>38301</v>
      </c>
      <c r="E98" s="20" t="n">
        <v>36897</v>
      </c>
      <c r="F98" s="20" t="n">
        <v>34115</v>
      </c>
      <c r="G98" s="20" t="n">
        <v>34478</v>
      </c>
      <c r="H98" s="20" t="n">
        <v>15894</v>
      </c>
      <c r="I98" s="20" t="n">
        <v>16936</v>
      </c>
      <c r="J98" s="20" t="n">
        <v>17072</v>
      </c>
      <c r="K98" s="20" t="n">
        <v>33529</v>
      </c>
      <c r="L98" s="20" t="n">
        <v>36897</v>
      </c>
    </row>
    <row r="99">
      <c r="A99" s="18" t="inlineStr">
        <is>
          <t>유형자산 합계</t>
        </is>
      </c>
      <c r="C99" s="20" t="n">
        <v>243158</v>
      </c>
      <c r="D99" s="20" t="n">
        <v>257627</v>
      </c>
      <c r="E99" s="20" t="n">
        <v>263285</v>
      </c>
      <c r="F99" s="20" t="n">
        <v>277210</v>
      </c>
      <c r="G99" s="20" t="n">
        <v>276655</v>
      </c>
      <c r="H99" s="20" t="n">
        <v>194890</v>
      </c>
      <c r="I99" s="20" t="n">
        <v>194889</v>
      </c>
      <c r="J99" s="20" t="n">
        <v>190840</v>
      </c>
      <c r="K99" s="20" t="n">
        <v>235606</v>
      </c>
      <c r="L99" s="20" t="n">
        <v>263285</v>
      </c>
    </row>
    <row r="100">
      <c r="A100" s="18" t="inlineStr">
        <is>
          <t>소프트웨어</t>
        </is>
      </c>
      <c r="E100" s="20" t="n">
        <v>2404</v>
      </c>
      <c r="H100" s="20" t="n">
        <v>2055</v>
      </c>
      <c r="I100" s="20" t="n">
        <v>1493</v>
      </c>
      <c r="J100" s="20" t="n">
        <v>1503</v>
      </c>
      <c r="K100" s="20" t="n">
        <v>1979</v>
      </c>
      <c r="L100" s="20" t="n">
        <v>2404</v>
      </c>
    </row>
    <row r="101">
      <c r="A101" s="18" t="inlineStr">
        <is>
          <t>영업권</t>
        </is>
      </c>
      <c r="C101" s="20" t="n">
        <v>3357</v>
      </c>
      <c r="D101" s="20" t="n">
        <v>3101</v>
      </c>
      <c r="E101" s="20" t="n">
        <v>4155</v>
      </c>
      <c r="F101" s="20" t="n">
        <v>58268</v>
      </c>
      <c r="G101" s="20" t="n">
        <v>20465</v>
      </c>
      <c r="H101" s="20" t="n">
        <v>748</v>
      </c>
      <c r="I101" s="20" t="n">
        <v>704</v>
      </c>
      <c r="J101" s="20" t="n">
        <v>673</v>
      </c>
      <c r="K101" s="20" t="n">
        <v>5258</v>
      </c>
      <c r="L101" s="20" t="n">
        <v>4155</v>
      </c>
    </row>
    <row r="102">
      <c r="A102" s="18" t="inlineStr">
        <is>
          <t>기타</t>
        </is>
      </c>
      <c r="C102" s="20" t="n">
        <v>6087</v>
      </c>
      <c r="D102" s="20" t="n">
        <v>6359</v>
      </c>
      <c r="E102" s="20" t="n">
        <v>9163</v>
      </c>
      <c r="F102" s="20" t="n">
        <v>7739</v>
      </c>
      <c r="G102" s="20" t="n">
        <v>57490</v>
      </c>
      <c r="H102" s="20" t="n">
        <v>8181</v>
      </c>
      <c r="I102" s="20" t="n">
        <v>7364</v>
      </c>
      <c r="J102" s="20" t="n">
        <v>8152</v>
      </c>
      <c r="K102" s="20" t="n">
        <v>4745</v>
      </c>
      <c r="L102" s="20" t="n">
        <v>9163</v>
      </c>
    </row>
    <row r="103">
      <c r="A103" s="18" t="inlineStr">
        <is>
          <t>무형자산 합계</t>
        </is>
      </c>
      <c r="C103" s="20" t="n">
        <v>9445</v>
      </c>
      <c r="D103" s="20" t="n">
        <v>9461</v>
      </c>
      <c r="E103" s="20" t="n">
        <v>13318</v>
      </c>
      <c r="F103" s="20" t="n">
        <v>66007</v>
      </c>
      <c r="G103" s="20" t="n">
        <v>77956</v>
      </c>
      <c r="H103" s="20" t="n">
        <v>8930</v>
      </c>
      <c r="I103" s="20" t="n">
        <v>8069</v>
      </c>
      <c r="J103" s="20" t="n">
        <v>8825</v>
      </c>
      <c r="K103" s="20" t="n">
        <v>10003</v>
      </c>
      <c r="L103" s="20" t="n">
        <v>13318</v>
      </c>
    </row>
    <row r="104">
      <c r="A104" s="18" t="inlineStr">
        <is>
          <t>투자유가증권</t>
        </is>
      </c>
      <c r="C104" s="20" t="n">
        <v>84563</v>
      </c>
      <c r="D104" s="20" t="n">
        <v>81135</v>
      </c>
      <c r="E104" s="20" t="n">
        <v>71740</v>
      </c>
      <c r="F104" s="20" t="n">
        <v>80613</v>
      </c>
      <c r="G104" s="20" t="n">
        <v>86246</v>
      </c>
      <c r="H104" s="20" t="n">
        <v>74681</v>
      </c>
      <c r="I104" s="20" t="n">
        <v>98863</v>
      </c>
      <c r="J104" s="20" t="n">
        <v>130901</v>
      </c>
      <c r="K104" s="20" t="n">
        <v>77828</v>
      </c>
      <c r="L104" s="20" t="n">
        <v>71740</v>
      </c>
    </row>
    <row r="105">
      <c r="A105" s="18" t="inlineStr">
        <is>
          <t>관계회사 주식</t>
        </is>
      </c>
      <c r="E105" s="20" t="n">
        <v>36664</v>
      </c>
      <c r="H105" s="20" t="n">
        <v>28015</v>
      </c>
      <c r="I105" s="20" t="n">
        <v>28015</v>
      </c>
      <c r="J105" s="20" t="n">
        <v>28015</v>
      </c>
      <c r="K105" s="20" t="n">
        <v>32189</v>
      </c>
      <c r="L105" s="20" t="n">
        <v>36664</v>
      </c>
    </row>
    <row r="106">
      <c r="A106" s="18" t="inlineStr">
        <is>
          <t>출자금</t>
        </is>
      </c>
      <c r="E106" s="20" t="n">
        <v>220</v>
      </c>
      <c r="H106" s="20" t="n">
        <v>238</v>
      </c>
      <c r="I106" s="20" t="n">
        <v>208</v>
      </c>
      <c r="J106" s="20" t="n">
        <v>195</v>
      </c>
      <c r="K106" s="20" t="n">
        <v>212</v>
      </c>
      <c r="L106" s="20" t="n">
        <v>220</v>
      </c>
    </row>
    <row r="107">
      <c r="A107" s="18" t="inlineStr">
        <is>
          <t>관계회사 출자금</t>
        </is>
      </c>
      <c r="E107" s="20" t="n">
        <v>16573</v>
      </c>
      <c r="H107" s="20" t="n">
        <v>13540</v>
      </c>
      <c r="I107" s="20" t="n">
        <v>13540</v>
      </c>
      <c r="J107" s="20" t="n">
        <v>16573</v>
      </c>
      <c r="K107" s="20" t="n">
        <v>16573</v>
      </c>
      <c r="L107" s="20" t="n">
        <v>16573</v>
      </c>
    </row>
    <row r="108">
      <c r="A108" s="18" t="inlineStr">
        <is>
          <t>장기선급비용</t>
        </is>
      </c>
      <c r="E108" s="20" t="n">
        <v>19092</v>
      </c>
      <c r="H108" s="20" t="n">
        <v>99</v>
      </c>
      <c r="I108" s="20" t="n">
        <v>446</v>
      </c>
      <c r="J108" s="20" t="n">
        <v>4580</v>
      </c>
      <c r="K108" s="20" t="n">
        <v>12619</v>
      </c>
      <c r="L108" s="20" t="n">
        <v>19092</v>
      </c>
    </row>
    <row r="109">
      <c r="A109" s="18" t="inlineStr">
        <is>
          <t>선급연금비용</t>
        </is>
      </c>
      <c r="E109" s="20" t="n">
        <v>3913</v>
      </c>
      <c r="I109" s="20" t="n">
        <v>0</v>
      </c>
      <c r="J109" s="20" t="n">
        <v>82</v>
      </c>
      <c r="K109" s="20" t="n">
        <v>1972</v>
      </c>
      <c r="L109" s="20" t="n">
        <v>3913</v>
      </c>
    </row>
    <row r="110">
      <c r="A110" s="18" t="inlineStr">
        <is>
          <t>퇴직급여자산</t>
        </is>
      </c>
      <c r="C110" s="20" t="n">
        <v>7018</v>
      </c>
      <c r="D110" s="20" t="n">
        <v>7267</v>
      </c>
      <c r="E110" s="20" t="n">
        <v>14145</v>
      </c>
      <c r="F110" s="20" t="n">
        <v>14379</v>
      </c>
      <c r="G110" s="20" t="n">
        <v>14565</v>
      </c>
      <c r="H110" s="20" t="n">
        <v>890</v>
      </c>
      <c r="I110" s="20" t="n">
        <v>584</v>
      </c>
      <c r="J110" s="20" t="n">
        <v>5383</v>
      </c>
      <c r="K110" s="20" t="n">
        <v>6508</v>
      </c>
      <c r="L110" s="20" t="n">
        <v>14145</v>
      </c>
    </row>
    <row r="111">
      <c r="A111" s="18" t="inlineStr">
        <is>
          <t>이연법인세자산</t>
        </is>
      </c>
      <c r="C111" s="20" t="n">
        <v>6372</v>
      </c>
      <c r="D111" s="20" t="n">
        <v>6815</v>
      </c>
      <c r="E111" s="20" t="n">
        <v>8632</v>
      </c>
      <c r="F111" s="20" t="n">
        <v>8711</v>
      </c>
      <c r="G111" s="20" t="n">
        <v>8886</v>
      </c>
      <c r="H111" s="20" t="n">
        <v>2772</v>
      </c>
      <c r="I111" s="20" t="n">
        <v>2645</v>
      </c>
      <c r="J111" s="20" t="n">
        <v>4489</v>
      </c>
      <c r="K111" s="20" t="n">
        <v>7036</v>
      </c>
      <c r="L111" s="20" t="n">
        <v>8632</v>
      </c>
    </row>
    <row r="112">
      <c r="A112" s="18" t="inlineStr">
        <is>
          <t>기타</t>
        </is>
      </c>
      <c r="C112" s="20" t="n">
        <v>25992</v>
      </c>
      <c r="D112" s="20" t="n">
        <v>27980</v>
      </c>
      <c r="E112" s="20" t="n">
        <v>28111</v>
      </c>
      <c r="F112" s="20" t="n">
        <v>26714</v>
      </c>
      <c r="G112" s="20" t="n">
        <v>28079</v>
      </c>
      <c r="H112" s="20" t="n">
        <v>3922</v>
      </c>
      <c r="I112" s="20" t="n">
        <v>3123</v>
      </c>
      <c r="J112" s="20" t="n">
        <v>9212</v>
      </c>
      <c r="K112" s="20" t="n">
        <v>22583</v>
      </c>
      <c r="L112" s="20" t="n">
        <v>28111</v>
      </c>
    </row>
    <row r="113">
      <c r="A113" s="18" t="inlineStr">
        <is>
          <t>투자 및 기타자산 합계</t>
        </is>
      </c>
      <c r="C113" s="20" t="n">
        <v>123946</v>
      </c>
      <c r="D113" s="20" t="n">
        <v>123198</v>
      </c>
      <c r="E113" s="20" t="n">
        <v>122630</v>
      </c>
      <c r="F113" s="20" t="n">
        <v>130418</v>
      </c>
      <c r="G113" s="20" t="n">
        <v>137778</v>
      </c>
      <c r="H113" s="20" t="n">
        <v>82265</v>
      </c>
      <c r="I113" s="20" t="n">
        <v>105217</v>
      </c>
      <c r="J113" s="20" t="n">
        <v>149987</v>
      </c>
      <c r="K113" s="20" t="n">
        <v>113956</v>
      </c>
      <c r="L113" s="20" t="n">
        <v>122630</v>
      </c>
    </row>
    <row r="114">
      <c r="A114" s="9" t="inlineStr">
        <is>
          <t>비유동자산 합계</t>
        </is>
      </c>
      <c r="C114" s="12" t="n">
        <v>376550</v>
      </c>
      <c r="D114" s="12" t="n">
        <v>390288</v>
      </c>
      <c r="E114" s="12" t="n">
        <v>399234</v>
      </c>
      <c r="F114" s="12" t="n">
        <v>473637</v>
      </c>
      <c r="G114" s="12" t="n">
        <v>492390</v>
      </c>
      <c r="H114" s="12" t="n">
        <v>286086</v>
      </c>
      <c r="I114" s="12" t="n">
        <v>308175</v>
      </c>
      <c r="J114" s="12" t="n">
        <v>349653</v>
      </c>
      <c r="K114" s="12" t="n">
        <v>359566</v>
      </c>
      <c r="L114" s="12" t="n">
        <v>399234</v>
      </c>
    </row>
    <row r="115">
      <c r="A115" s="9" t="inlineStr">
        <is>
          <t>자산 합계</t>
        </is>
      </c>
      <c r="C115" s="12" t="n">
        <v>754001</v>
      </c>
      <c r="D115" s="12" t="n">
        <v>779316</v>
      </c>
      <c r="E115" s="12" t="n">
        <v>810375</v>
      </c>
      <c r="F115" s="12" t="n">
        <v>932437</v>
      </c>
      <c r="G115" s="12" t="n">
        <v>934647</v>
      </c>
      <c r="H115" s="12" t="n">
        <v>585382</v>
      </c>
      <c r="I115" s="12" t="n">
        <v>629611</v>
      </c>
      <c r="J115" s="12" t="n">
        <v>708264</v>
      </c>
      <c r="K115" s="12" t="n">
        <v>749605</v>
      </c>
      <c r="L115" s="12" t="n">
        <v>810375</v>
      </c>
    </row>
    <row r="116">
      <c r="A116" s="18" t="inlineStr">
        <is>
          <t>지급어음</t>
        </is>
      </c>
      <c r="H116" s="20" t="n">
        <v>0</v>
      </c>
    </row>
    <row r="117">
      <c r="A117" s="18" t="inlineStr">
        <is>
          <t>매입채무</t>
        </is>
      </c>
      <c r="E117" s="20" t="n">
        <v>15732</v>
      </c>
      <c r="H117" s="20" t="n">
        <v>15380</v>
      </c>
      <c r="I117" s="20" t="n">
        <v>15529</v>
      </c>
      <c r="J117" s="20" t="n">
        <v>18497</v>
      </c>
      <c r="K117" s="20" t="n">
        <v>15379</v>
      </c>
      <c r="L117" s="20" t="n">
        <v>15732</v>
      </c>
    </row>
    <row r="118">
      <c r="A118" s="18" t="inlineStr">
        <is>
          <t>지급어음·매입채무</t>
        </is>
      </c>
      <c r="C118" s="20" t="n">
        <v>40620</v>
      </c>
      <c r="D118" s="20" t="n">
        <v>45552</v>
      </c>
      <c r="E118" s="20" t="n">
        <v>40598</v>
      </c>
      <c r="F118" s="20" t="n">
        <v>55505</v>
      </c>
      <c r="G118" s="20" t="n">
        <v>55230</v>
      </c>
      <c r="H118" s="20" t="n">
        <v>39246</v>
      </c>
      <c r="I118" s="20" t="n">
        <v>37902</v>
      </c>
      <c r="J118" s="20" t="n">
        <v>40575</v>
      </c>
      <c r="K118" s="20" t="n">
        <v>40995</v>
      </c>
      <c r="L118" s="20" t="n">
        <v>40598</v>
      </c>
    </row>
    <row r="119">
      <c r="A119" s="18" t="inlineStr">
        <is>
          <t>1년 내 상환 예정 사채</t>
        </is>
      </c>
      <c r="I119" s="20" t="n">
        <v>0</v>
      </c>
      <c r="J119" s="20" t="n">
        <v>10000</v>
      </c>
      <c r="K119" s="20" t="n">
        <v>0</v>
      </c>
    </row>
    <row r="120">
      <c r="A120" s="18" t="inlineStr">
        <is>
          <t>단기차입금</t>
        </is>
      </c>
      <c r="C120" s="20" t="n">
        <v>46700</v>
      </c>
      <c r="D120" s="20" t="n">
        <v>62700</v>
      </c>
      <c r="E120" s="20" t="n">
        <v>76700</v>
      </c>
      <c r="F120" s="20" t="n">
        <v>146701</v>
      </c>
      <c r="G120" s="20" t="n">
        <v>138700</v>
      </c>
      <c r="H120" s="20" t="n">
        <v>3059</v>
      </c>
      <c r="I120" s="20" t="n">
        <v>2100</v>
      </c>
      <c r="J120" s="20" t="n">
        <v>3262</v>
      </c>
      <c r="K120" s="20" t="n">
        <v>0</v>
      </c>
      <c r="L120" s="20" t="n">
        <v>76700</v>
      </c>
    </row>
    <row r="121">
      <c r="A121" s="18" t="inlineStr">
        <is>
          <t>1년 내 상환 장기차입금</t>
        </is>
      </c>
      <c r="E121" s="20" t="n">
        <v>0</v>
      </c>
      <c r="F121" s="20" t="n">
        <v>1032</v>
      </c>
      <c r="G121" s="20" t="n">
        <v>1032</v>
      </c>
      <c r="H121" s="20" t="n">
        <v>0</v>
      </c>
      <c r="L121" s="20" t="n">
        <v>0</v>
      </c>
    </row>
    <row r="122">
      <c r="A122" s="18" t="inlineStr">
        <is>
          <t>리스부채</t>
        </is>
      </c>
      <c r="C122" s="20" t="n">
        <v>1715</v>
      </c>
      <c r="D122" s="20" t="n">
        <v>1730</v>
      </c>
      <c r="E122" s="20" t="n">
        <v>1867</v>
      </c>
      <c r="F122" s="20" t="n">
        <v>2131</v>
      </c>
      <c r="G122" s="20" t="n">
        <v>2035</v>
      </c>
      <c r="H122" s="20" t="n">
        <v>802</v>
      </c>
      <c r="I122" s="20" t="n">
        <v>1348</v>
      </c>
      <c r="J122" s="20" t="n">
        <v>1489</v>
      </c>
      <c r="K122" s="20" t="n">
        <v>1619</v>
      </c>
      <c r="L122" s="20" t="n">
        <v>1867</v>
      </c>
    </row>
    <row r="123">
      <c r="A123" s="18" t="inlineStr">
        <is>
          <t>미지급금</t>
        </is>
      </c>
      <c r="E123" s="20" t="n">
        <v>7493</v>
      </c>
      <c r="H123" s="20" t="n">
        <v>3143</v>
      </c>
      <c r="I123" s="20" t="n">
        <v>3565</v>
      </c>
      <c r="J123" s="20" t="n">
        <v>7070</v>
      </c>
      <c r="K123" s="20" t="n">
        <v>10906</v>
      </c>
      <c r="L123" s="20" t="n">
        <v>7493</v>
      </c>
    </row>
    <row r="124">
      <c r="A124" s="18" t="inlineStr">
        <is>
          <t>미지급비용</t>
        </is>
      </c>
      <c r="E124" s="20" t="n">
        <v>4986</v>
      </c>
      <c r="H124" s="20" t="n">
        <v>4067</v>
      </c>
      <c r="I124" s="20" t="n">
        <v>3289</v>
      </c>
      <c r="J124" s="20" t="n">
        <v>5028</v>
      </c>
      <c r="K124" s="20" t="n">
        <v>5602</v>
      </c>
      <c r="L124" s="20" t="n">
        <v>4986</v>
      </c>
    </row>
    <row r="125">
      <c r="A125" s="18" t="inlineStr">
        <is>
          <t>미지급법인세</t>
        </is>
      </c>
      <c r="C125" s="20" t="n">
        <v>5379</v>
      </c>
      <c r="D125" s="20" t="n">
        <v>3538</v>
      </c>
      <c r="E125" s="20" t="n">
        <v>4509</v>
      </c>
      <c r="F125" s="20" t="n">
        <v>4636</v>
      </c>
      <c r="G125" s="20" t="n">
        <v>4487</v>
      </c>
      <c r="H125" s="20" t="n">
        <v>3153</v>
      </c>
      <c r="I125" s="20" t="n">
        <v>3234</v>
      </c>
      <c r="J125" s="20" t="n">
        <v>4949</v>
      </c>
      <c r="K125" s="20" t="n">
        <v>4535</v>
      </c>
      <c r="L125" s="20" t="n">
        <v>4509</v>
      </c>
    </row>
    <row r="126">
      <c r="A126" s="18" t="inlineStr">
        <is>
          <t>제품보증 충당금</t>
        </is>
      </c>
      <c r="C126" s="20" t="n">
        <v>7790</v>
      </c>
      <c r="D126" s="20" t="n">
        <v>7148</v>
      </c>
      <c r="E126" s="20" t="n">
        <v>7201</v>
      </c>
      <c r="F126" s="20" t="n">
        <v>7016</v>
      </c>
      <c r="G126" s="20" t="n">
        <v>6303</v>
      </c>
      <c r="H126" s="20" t="n">
        <v>10478</v>
      </c>
      <c r="I126" s="20" t="n">
        <v>4522</v>
      </c>
      <c r="J126" s="20" t="n">
        <v>9474</v>
      </c>
      <c r="K126" s="20" t="n">
        <v>7360</v>
      </c>
      <c r="L126" s="20" t="n">
        <v>7201</v>
      </c>
    </row>
    <row r="127">
      <c r="A127" s="18" t="inlineStr">
        <is>
          <t>상여충당금</t>
        </is>
      </c>
      <c r="C127" s="20" t="n">
        <v>5785</v>
      </c>
      <c r="D127" s="20" t="n">
        <v>4117</v>
      </c>
      <c r="E127" s="20" t="n">
        <v>6132</v>
      </c>
      <c r="F127" s="20" t="n">
        <v>4421</v>
      </c>
      <c r="G127" s="20" t="n">
        <v>7420</v>
      </c>
      <c r="H127" s="20" t="n">
        <v>4650</v>
      </c>
      <c r="I127" s="20" t="n">
        <v>5087</v>
      </c>
      <c r="J127" s="20" t="n">
        <v>5115</v>
      </c>
      <c r="K127" s="20" t="n">
        <v>5892</v>
      </c>
      <c r="L127" s="20" t="n">
        <v>6132</v>
      </c>
    </row>
    <row r="128">
      <c r="A128" s="18" t="inlineStr">
        <is>
          <t>임원 상여충당금</t>
        </is>
      </c>
      <c r="C128" s="20" t="n">
        <v>168</v>
      </c>
      <c r="D128" s="20" t="n">
        <v>239</v>
      </c>
      <c r="E128" s="20" t="n">
        <v>273</v>
      </c>
      <c r="F128" s="20" t="n">
        <v>89</v>
      </c>
      <c r="G128" s="20" t="n">
        <v>160</v>
      </c>
      <c r="H128" s="20" t="n">
        <v>177</v>
      </c>
      <c r="I128" s="20" t="n">
        <v>342</v>
      </c>
      <c r="J128" s="20" t="n">
        <v>276</v>
      </c>
      <c r="K128" s="20" t="n">
        <v>286</v>
      </c>
      <c r="L128" s="20" t="n">
        <v>273</v>
      </c>
    </row>
    <row r="129">
      <c r="A129" s="18" t="inlineStr">
        <is>
          <t>특별퇴직충당금</t>
        </is>
      </c>
      <c r="J129" s="20" t="n">
        <v>0</v>
      </c>
    </row>
    <row r="130">
      <c r="A130" s="18" t="inlineStr">
        <is>
          <t>기타 충당금</t>
        </is>
      </c>
      <c r="E130" s="20" t="n">
        <v>0</v>
      </c>
      <c r="I130" s="20" t="n">
        <v>0</v>
      </c>
      <c r="J130" s="20" t="n">
        <v>7</v>
      </c>
      <c r="K130" s="20" t="n">
        <v>7</v>
      </c>
      <c r="L130" s="20" t="n">
        <v>0</v>
      </c>
    </row>
    <row r="131">
      <c r="A131" s="18" t="inlineStr">
        <is>
          <t>기타</t>
        </is>
      </c>
      <c r="C131" s="20" t="n">
        <v>29442</v>
      </c>
      <c r="D131" s="20" t="n">
        <v>33603</v>
      </c>
      <c r="E131" s="20" t="n">
        <v>39018</v>
      </c>
      <c r="F131" s="20" t="n">
        <v>52231</v>
      </c>
      <c r="G131" s="20" t="n">
        <v>45975</v>
      </c>
      <c r="H131" s="20" t="n">
        <v>16131</v>
      </c>
      <c r="I131" s="20" t="n">
        <v>17412</v>
      </c>
      <c r="J131" s="20" t="n">
        <v>25826</v>
      </c>
      <c r="K131" s="20" t="n">
        <v>30325</v>
      </c>
      <c r="L131" s="20" t="n">
        <v>39018</v>
      </c>
    </row>
    <row r="132">
      <c r="A132" s="9" t="inlineStr">
        <is>
          <t>유동부채 합계</t>
        </is>
      </c>
      <c r="C132" s="12" t="n">
        <v>137603</v>
      </c>
      <c r="D132" s="12" t="n">
        <v>158629</v>
      </c>
      <c r="E132" s="12" t="n">
        <v>176302</v>
      </c>
      <c r="F132" s="12" t="n">
        <v>273766</v>
      </c>
      <c r="G132" s="12" t="n">
        <v>261343</v>
      </c>
      <c r="H132" s="12" t="n">
        <v>74641</v>
      </c>
      <c r="I132" s="12" t="n">
        <v>69849</v>
      </c>
      <c r="J132" s="12" t="n">
        <v>97708</v>
      </c>
      <c r="K132" s="12" t="n">
        <v>91015</v>
      </c>
      <c r="L132" s="12" t="n">
        <v>176302</v>
      </c>
    </row>
    <row r="133">
      <c r="A133" s="18" t="inlineStr">
        <is>
          <t>사채</t>
        </is>
      </c>
      <c r="C133" s="20" t="n">
        <v>40000</v>
      </c>
      <c r="D133" s="20" t="n">
        <v>40000</v>
      </c>
      <c r="E133" s="20" t="n">
        <v>40000</v>
      </c>
      <c r="F133" s="20" t="n">
        <v>40000</v>
      </c>
      <c r="G133" s="20" t="n">
        <v>40000</v>
      </c>
      <c r="H133" s="20" t="n">
        <v>10000</v>
      </c>
      <c r="I133" s="20" t="n">
        <v>10000</v>
      </c>
      <c r="J133" s="20" t="n">
        <v>0</v>
      </c>
      <c r="K133" s="20" t="n">
        <v>40000</v>
      </c>
      <c r="L133" s="20" t="n">
        <v>40000</v>
      </c>
    </row>
    <row r="134">
      <c r="A134" s="18" t="inlineStr">
        <is>
          <t>리스부채</t>
        </is>
      </c>
      <c r="C134" s="20" t="n">
        <v>2758</v>
      </c>
      <c r="D134" s="20" t="n">
        <v>2594</v>
      </c>
      <c r="E134" s="20" t="n">
        <v>2343</v>
      </c>
      <c r="F134" s="20" t="n">
        <v>3261</v>
      </c>
      <c r="G134" s="20" t="n">
        <v>2873</v>
      </c>
      <c r="H134" s="20" t="n">
        <v>1780</v>
      </c>
      <c r="I134" s="20" t="n">
        <v>2820</v>
      </c>
      <c r="J134" s="20" t="n">
        <v>2788</v>
      </c>
      <c r="K134" s="20" t="n">
        <v>2956</v>
      </c>
      <c r="L134" s="20" t="n">
        <v>2343</v>
      </c>
    </row>
    <row r="135">
      <c r="A135" s="18" t="inlineStr">
        <is>
          <t>장기차입금</t>
        </is>
      </c>
      <c r="E135" s="20" t="n">
        <v>0</v>
      </c>
      <c r="F135" s="20" t="n">
        <v>13568</v>
      </c>
      <c r="G135" s="20" t="n">
        <v>13052</v>
      </c>
      <c r="I135" s="20" t="n">
        <v>0</v>
      </c>
      <c r="J135" s="20" t="n">
        <v>5228</v>
      </c>
      <c r="K135" s="20" t="n">
        <v>5190</v>
      </c>
      <c r="L135" s="20" t="n">
        <v>0</v>
      </c>
    </row>
    <row r="136">
      <c r="A136" s="18" t="inlineStr">
        <is>
          <t>장기 미지급 법인세</t>
        </is>
      </c>
      <c r="E136" s="20" t="n">
        <v>63</v>
      </c>
      <c r="F136" s="20" t="n">
        <v>0</v>
      </c>
      <c r="G136" s="20" t="n">
        <v>0</v>
      </c>
      <c r="K136" s="20" t="n">
        <v>0</v>
      </c>
      <c r="L136" s="20" t="n">
        <v>63</v>
      </c>
    </row>
    <row r="137">
      <c r="A137" s="18" t="inlineStr">
        <is>
          <t>이연법인세부채</t>
        </is>
      </c>
      <c r="C137" s="20" t="n">
        <v>14874</v>
      </c>
      <c r="D137" s="20" t="n">
        <v>14712</v>
      </c>
      <c r="E137" s="20" t="n">
        <v>14300</v>
      </c>
      <c r="F137" s="20" t="n">
        <v>15388</v>
      </c>
      <c r="G137" s="20" t="n">
        <v>32620</v>
      </c>
      <c r="H137" s="20" t="n">
        <v>8356</v>
      </c>
      <c r="I137" s="20" t="n">
        <v>7820</v>
      </c>
      <c r="J137" s="20" t="n">
        <v>16534</v>
      </c>
      <c r="K137" s="20" t="n">
        <v>13024</v>
      </c>
      <c r="L137" s="20" t="n">
        <v>14300</v>
      </c>
    </row>
    <row r="138">
      <c r="A138" s="18" t="inlineStr">
        <is>
          <t>퇴직급여충당금</t>
        </is>
      </c>
      <c r="H138" s="20" t="n">
        <v>2148</v>
      </c>
      <c r="I138" s="20" t="n">
        <v>952</v>
      </c>
      <c r="J138" s="20" t="n">
        <v>0</v>
      </c>
    </row>
    <row r="139">
      <c r="A139" s="18" t="inlineStr">
        <is>
          <t>임원 퇴직위로 충당금</t>
        </is>
      </c>
      <c r="C139" s="20" t="n">
        <v>25</v>
      </c>
      <c r="D139" s="20" t="n">
        <v>26</v>
      </c>
      <c r="E139" s="20" t="n">
        <v>27</v>
      </c>
      <c r="F139" s="20" t="n">
        <v>155</v>
      </c>
      <c r="G139" s="20" t="n">
        <v>155</v>
      </c>
      <c r="H139" s="20" t="n">
        <v>51</v>
      </c>
      <c r="I139" s="20" t="n">
        <v>53</v>
      </c>
      <c r="J139" s="20" t="n">
        <v>58</v>
      </c>
      <c r="K139" s="20" t="n">
        <v>24</v>
      </c>
      <c r="L139" s="20" t="n">
        <v>27</v>
      </c>
    </row>
    <row r="140">
      <c r="A140" s="18" t="inlineStr">
        <is>
          <t>기타 충당금</t>
        </is>
      </c>
      <c r="C140" s="20" t="n">
        <v>28</v>
      </c>
      <c r="D140" s="20" t="n">
        <v>28</v>
      </c>
      <c r="E140" s="20" t="n">
        <v>28</v>
      </c>
      <c r="F140" s="20" t="n">
        <v>28</v>
      </c>
      <c r="G140" s="20" t="n">
        <v>28</v>
      </c>
      <c r="H140" s="20" t="n">
        <v>0</v>
      </c>
      <c r="I140" s="20" t="n">
        <v>274</v>
      </c>
      <c r="J140" s="20" t="n">
        <v>28</v>
      </c>
      <c r="K140" s="20" t="n">
        <v>28</v>
      </c>
      <c r="L140" s="20" t="n">
        <v>28</v>
      </c>
    </row>
    <row r="141">
      <c r="A141" s="18" t="inlineStr">
        <is>
          <t>퇴직급여부채</t>
        </is>
      </c>
      <c r="C141" s="20" t="n">
        <v>3307</v>
      </c>
      <c r="D141" s="20" t="n">
        <v>3537</v>
      </c>
      <c r="E141" s="20" t="n">
        <v>3614</v>
      </c>
      <c r="F141" s="20" t="n">
        <v>9648</v>
      </c>
      <c r="G141" s="20" t="n">
        <v>9462</v>
      </c>
      <c r="H141" s="20" t="n">
        <v>950</v>
      </c>
      <c r="I141" s="20" t="n">
        <v>2011</v>
      </c>
      <c r="J141" s="20" t="n">
        <v>1134</v>
      </c>
      <c r="K141" s="20" t="n">
        <v>2980</v>
      </c>
      <c r="L141" s="20" t="n">
        <v>3614</v>
      </c>
    </row>
    <row r="142">
      <c r="A142" s="18" t="inlineStr">
        <is>
          <t>자산복구부채</t>
        </is>
      </c>
      <c r="C142" s="20" t="n">
        <v>585</v>
      </c>
      <c r="D142" s="20" t="n">
        <v>595</v>
      </c>
      <c r="E142" s="20" t="n">
        <v>607</v>
      </c>
      <c r="F142" s="20" t="n">
        <v>745</v>
      </c>
      <c r="G142" s="20" t="n">
        <v>725</v>
      </c>
      <c r="H142" s="20" t="n">
        <v>494</v>
      </c>
      <c r="I142" s="20" t="n">
        <v>496</v>
      </c>
      <c r="J142" s="20" t="n">
        <v>478</v>
      </c>
      <c r="K142" s="20" t="n">
        <v>483</v>
      </c>
      <c r="L142" s="20" t="n">
        <v>607</v>
      </c>
    </row>
    <row r="143">
      <c r="A143" s="18" t="inlineStr">
        <is>
          <t>기타</t>
        </is>
      </c>
      <c r="C143" s="20" t="n">
        <v>588</v>
      </c>
      <c r="D143" s="20" t="n">
        <v>746</v>
      </c>
      <c r="E143" s="20" t="n">
        <v>590</v>
      </c>
      <c r="F143" s="20" t="n">
        <v>1680</v>
      </c>
      <c r="G143" s="20" t="n">
        <v>1602</v>
      </c>
      <c r="H143" s="20" t="n">
        <v>145</v>
      </c>
      <c r="I143" s="20" t="n">
        <v>155</v>
      </c>
      <c r="J143" s="20" t="n">
        <v>170</v>
      </c>
      <c r="K143" s="20" t="n">
        <v>184</v>
      </c>
      <c r="L143" s="20" t="n">
        <v>590</v>
      </c>
    </row>
    <row r="144">
      <c r="A144" s="9" t="inlineStr">
        <is>
          <t>비유동부채 합계</t>
        </is>
      </c>
      <c r="C144" s="12" t="n">
        <v>62167</v>
      </c>
      <c r="D144" s="12" t="n">
        <v>62240</v>
      </c>
      <c r="E144" s="12" t="n">
        <v>61574</v>
      </c>
      <c r="F144" s="12" t="n">
        <v>84476</v>
      </c>
      <c r="G144" s="12" t="n">
        <v>100520</v>
      </c>
      <c r="H144" s="12" t="n">
        <v>21779</v>
      </c>
      <c r="I144" s="12" t="n">
        <v>23633</v>
      </c>
      <c r="J144" s="12" t="n">
        <v>21193</v>
      </c>
      <c r="K144" s="12" t="n">
        <v>59682</v>
      </c>
      <c r="L144" s="12" t="n">
        <v>61574</v>
      </c>
    </row>
    <row r="145">
      <c r="A145" s="9" t="inlineStr">
        <is>
          <t>부채 합계</t>
        </is>
      </c>
      <c r="C145" s="12" t="n">
        <v>199770</v>
      </c>
      <c r="D145" s="12" t="n">
        <v>220870</v>
      </c>
      <c r="E145" s="12" t="n">
        <v>237877</v>
      </c>
      <c r="F145" s="12" t="n">
        <v>358242</v>
      </c>
      <c r="G145" s="12" t="n">
        <v>361864</v>
      </c>
      <c r="H145" s="12" t="n">
        <v>96420</v>
      </c>
      <c r="I145" s="12" t="n">
        <v>93483</v>
      </c>
      <c r="J145" s="12" t="n">
        <v>118901</v>
      </c>
      <c r="K145" s="12" t="n">
        <v>150698</v>
      </c>
      <c r="L145" s="12" t="n">
        <v>237877</v>
      </c>
    </row>
    <row r="146">
      <c r="A146" s="18" t="inlineStr">
        <is>
          <t>자본금</t>
        </is>
      </c>
      <c r="C146" s="20" t="n">
        <v>30514</v>
      </c>
      <c r="D146" s="20" t="n">
        <v>30514</v>
      </c>
      <c r="E146" s="20" t="n">
        <v>30514</v>
      </c>
      <c r="F146" s="20" t="n">
        <v>30514</v>
      </c>
      <c r="G146" s="20" t="n">
        <v>30514</v>
      </c>
      <c r="H146" s="20" t="n">
        <v>30514</v>
      </c>
      <c r="I146" s="20" t="n">
        <v>30514</v>
      </c>
      <c r="J146" s="20" t="n">
        <v>30514</v>
      </c>
      <c r="K146" s="20" t="n">
        <v>30514</v>
      </c>
      <c r="L146" s="20" t="n">
        <v>30514</v>
      </c>
    </row>
    <row r="147">
      <c r="A147" s="18" t="inlineStr">
        <is>
          <t>자본준비금</t>
        </is>
      </c>
      <c r="E147" s="20" t="n">
        <v>29825</v>
      </c>
      <c r="H147" s="20" t="n">
        <v>29825</v>
      </c>
      <c r="I147" s="20" t="n">
        <v>29825</v>
      </c>
      <c r="J147" s="20" t="n">
        <v>29825</v>
      </c>
      <c r="K147" s="20" t="n">
        <v>29825</v>
      </c>
      <c r="L147" s="20" t="n">
        <v>29825</v>
      </c>
    </row>
    <row r="148">
      <c r="A148" s="18" t="inlineStr">
        <is>
          <t>자본잉여금</t>
        </is>
      </c>
      <c r="C148" s="20" t="n">
        <v>19172</v>
      </c>
      <c r="D148" s="20" t="n">
        <v>19172</v>
      </c>
      <c r="E148" s="20" t="n">
        <v>19228</v>
      </c>
      <c r="F148" s="20" t="n">
        <v>19228</v>
      </c>
      <c r="G148" s="20" t="n">
        <v>19217</v>
      </c>
      <c r="H148" s="20" t="n">
        <v>29869</v>
      </c>
      <c r="I148" s="20" t="n">
        <v>29852</v>
      </c>
      <c r="J148" s="20" t="n">
        <v>29669</v>
      </c>
      <c r="K148" s="20" t="n">
        <v>19097</v>
      </c>
      <c r="L148" s="20" t="n">
        <v>19228</v>
      </c>
    </row>
    <row r="149">
      <c r="A149" s="18" t="inlineStr">
        <is>
          <t>이익준비금</t>
        </is>
      </c>
      <c r="E149" s="20" t="n">
        <v>3201</v>
      </c>
      <c r="H149" s="20" t="n">
        <v>3201</v>
      </c>
      <c r="I149" s="20" t="n">
        <v>3201</v>
      </c>
      <c r="J149" s="20" t="n">
        <v>3201</v>
      </c>
      <c r="K149" s="20" t="n">
        <v>3201</v>
      </c>
      <c r="L149" s="20" t="n">
        <v>3201</v>
      </c>
    </row>
    <row r="150">
      <c r="A150" s="18" t="inlineStr">
        <is>
          <t>고정자산 압축적립금</t>
        </is>
      </c>
      <c r="E150" s="20" t="n">
        <v>1277</v>
      </c>
      <c r="H150" s="20" t="n">
        <v>1289</v>
      </c>
      <c r="I150" s="20" t="n">
        <v>1289</v>
      </c>
      <c r="J150" s="20" t="n">
        <v>1289</v>
      </c>
      <c r="K150" s="20" t="n">
        <v>1277</v>
      </c>
      <c r="L150" s="20" t="n">
        <v>1277</v>
      </c>
    </row>
    <row r="151">
      <c r="A151" s="18" t="inlineStr">
        <is>
          <t>별도적립금</t>
        </is>
      </c>
      <c r="E151" s="20" t="n">
        <v>22320</v>
      </c>
      <c r="H151" s="20" t="n">
        <v>22320</v>
      </c>
      <c r="I151" s="20" t="n">
        <v>22320</v>
      </c>
      <c r="J151" s="20" t="n">
        <v>22320</v>
      </c>
      <c r="K151" s="20" t="n">
        <v>22320</v>
      </c>
      <c r="L151" s="20" t="n">
        <v>22320</v>
      </c>
    </row>
    <row r="152">
      <c r="A152" s="18" t="inlineStr">
        <is>
          <t>이월이익잉여금</t>
        </is>
      </c>
      <c r="E152" s="20" t="n">
        <v>56216</v>
      </c>
      <c r="H152" s="20" t="n">
        <v>127501</v>
      </c>
      <c r="I152" s="20" t="n">
        <v>143561</v>
      </c>
      <c r="J152" s="20" t="n">
        <v>149202</v>
      </c>
      <c r="K152" s="20" t="n">
        <v>105128</v>
      </c>
      <c r="L152" s="20" t="n">
        <v>56216</v>
      </c>
    </row>
    <row r="153">
      <c r="A153" s="18" t="inlineStr">
        <is>
          <t>이익잉여금</t>
        </is>
      </c>
      <c r="C153" s="20" t="n">
        <v>362588</v>
      </c>
      <c r="D153" s="20" t="n">
        <v>367391</v>
      </c>
      <c r="E153" s="20" t="n">
        <v>300711</v>
      </c>
      <c r="F153" s="20" t="n">
        <v>298116</v>
      </c>
      <c r="G153" s="20" t="n">
        <v>302778</v>
      </c>
      <c r="H153" s="20" t="n">
        <v>354782</v>
      </c>
      <c r="I153" s="20" t="n">
        <v>373682</v>
      </c>
      <c r="J153" s="20" t="n">
        <v>386872</v>
      </c>
      <c r="K153" s="20" t="n">
        <v>358372</v>
      </c>
      <c r="L153" s="20" t="n">
        <v>300711</v>
      </c>
    </row>
    <row r="154">
      <c r="A154" s="18" t="inlineStr">
        <is>
          <t>자기주식</t>
        </is>
      </c>
      <c r="C154" s="20" t="n">
        <v>-63267</v>
      </c>
      <c r="D154" s="20" t="n">
        <v>-82030</v>
      </c>
      <c r="E154" s="20" t="n">
        <v>-9282</v>
      </c>
      <c r="F154" s="20" t="n">
        <v>-9045</v>
      </c>
      <c r="G154" s="20" t="n">
        <v>-8936</v>
      </c>
      <c r="H154" s="20" t="n">
        <v>-32313</v>
      </c>
      <c r="I154" s="20" t="n">
        <v>-18938</v>
      </c>
      <c r="J154" s="20" t="n">
        <v>-28862</v>
      </c>
      <c r="K154" s="20" t="n">
        <v>-7668</v>
      </c>
      <c r="L154" s="20" t="n">
        <v>-9282</v>
      </c>
    </row>
    <row r="155">
      <c r="A155" s="9" t="inlineStr">
        <is>
          <t>주주자본 합계</t>
        </is>
      </c>
      <c r="C155" s="12" t="n">
        <v>349009</v>
      </c>
      <c r="D155" s="12" t="n">
        <v>335049</v>
      </c>
      <c r="E155" s="12" t="n">
        <v>341173</v>
      </c>
      <c r="F155" s="12" t="n">
        <v>338814</v>
      </c>
      <c r="G155" s="12" t="n">
        <v>343573</v>
      </c>
      <c r="H155" s="12" t="n">
        <v>382854</v>
      </c>
      <c r="I155" s="12" t="n">
        <v>415111</v>
      </c>
      <c r="J155" s="12" t="n">
        <v>418194</v>
      </c>
      <c r="K155" s="12" t="n">
        <v>400316</v>
      </c>
      <c r="L155" s="12" t="n">
        <v>341173</v>
      </c>
    </row>
    <row r="156">
      <c r="A156" s="18" t="inlineStr">
        <is>
          <t>기타유가증권 평가차액</t>
        </is>
      </c>
      <c r="C156" s="20" t="n">
        <v>36304</v>
      </c>
      <c r="D156" s="20" t="n">
        <v>34363</v>
      </c>
      <c r="E156" s="20" t="n">
        <v>28299</v>
      </c>
      <c r="F156" s="20" t="n">
        <v>33015</v>
      </c>
      <c r="G156" s="20" t="n">
        <v>37327</v>
      </c>
      <c r="H156" s="20" t="n">
        <v>25658</v>
      </c>
      <c r="I156" s="20" t="n">
        <v>26163</v>
      </c>
      <c r="J156" s="20" t="n">
        <v>44860</v>
      </c>
      <c r="K156" s="20" t="n">
        <v>31735</v>
      </c>
      <c r="L156" s="20" t="n">
        <v>28299</v>
      </c>
    </row>
    <row r="157">
      <c r="A157" s="18" t="inlineStr">
        <is>
          <t>해외사업환산조정</t>
        </is>
      </c>
      <c r="C157" s="20" t="n">
        <v>54668</v>
      </c>
      <c r="D157" s="20" t="n">
        <v>73467</v>
      </c>
      <c r="E157" s="20" t="n">
        <v>78231</v>
      </c>
      <c r="F157" s="20" t="n">
        <v>82747</v>
      </c>
      <c r="G157" s="20" t="n">
        <v>74071</v>
      </c>
      <c r="H157" s="20" t="n">
        <v>23739</v>
      </c>
      <c r="I157" s="20" t="n">
        <v>34898</v>
      </c>
      <c r="J157" s="20" t="n">
        <v>58233</v>
      </c>
      <c r="K157" s="20" t="n">
        <v>51001</v>
      </c>
      <c r="L157" s="20" t="n">
        <v>78231</v>
      </c>
    </row>
    <row r="158">
      <c r="A158" s="18" t="inlineStr">
        <is>
          <t>퇴직급여 조정누계액</t>
        </is>
      </c>
      <c r="C158" s="20" t="n">
        <v>2149</v>
      </c>
      <c r="D158" s="20" t="n">
        <v>2033</v>
      </c>
      <c r="E158" s="20" t="n">
        <v>6509</v>
      </c>
      <c r="F158" s="20" t="n">
        <v>6304</v>
      </c>
      <c r="G158" s="20" t="n">
        <v>6125</v>
      </c>
      <c r="H158" s="20" t="n">
        <v>2209</v>
      </c>
      <c r="I158" s="20" t="n">
        <v>44</v>
      </c>
      <c r="J158" s="20" t="n">
        <v>3122</v>
      </c>
      <c r="K158" s="20" t="n">
        <v>2445</v>
      </c>
      <c r="L158" s="20" t="n">
        <v>6509</v>
      </c>
    </row>
    <row r="159">
      <c r="A159" s="18" t="inlineStr">
        <is>
          <t>기타포괄손익누계액 합계</t>
        </is>
      </c>
      <c r="C159" s="20" t="n">
        <v>93122</v>
      </c>
      <c r="D159" s="20" t="n">
        <v>109864</v>
      </c>
      <c r="E159" s="20" t="n">
        <v>113040</v>
      </c>
      <c r="F159" s="20" t="n">
        <v>122067</v>
      </c>
      <c r="G159" s="20" t="n">
        <v>117525</v>
      </c>
      <c r="H159" s="20" t="n">
        <v>51607</v>
      </c>
      <c r="I159" s="20" t="n">
        <v>61106</v>
      </c>
      <c r="J159" s="20" t="n">
        <v>106215</v>
      </c>
      <c r="K159" s="20" t="n">
        <v>85183</v>
      </c>
      <c r="L159" s="20" t="n">
        <v>113040</v>
      </c>
    </row>
    <row r="160">
      <c r="A160" s="18" t="inlineStr">
        <is>
          <t>신주예약권</t>
        </is>
      </c>
      <c r="C160" s="20" t="n">
        <v>402</v>
      </c>
      <c r="D160" s="20" t="n">
        <v>399</v>
      </c>
      <c r="E160" s="20" t="n">
        <v>314</v>
      </c>
      <c r="F160" s="20" t="n">
        <v>266</v>
      </c>
      <c r="G160" s="20" t="n">
        <v>242</v>
      </c>
      <c r="H160" s="20" t="n">
        <v>478</v>
      </c>
      <c r="I160" s="20" t="n">
        <v>425</v>
      </c>
      <c r="J160" s="20" t="n">
        <v>388</v>
      </c>
      <c r="K160" s="20" t="n">
        <v>392</v>
      </c>
      <c r="L160" s="20" t="n">
        <v>314</v>
      </c>
    </row>
    <row r="161">
      <c r="A161" s="18" t="inlineStr">
        <is>
          <t>비지배지분</t>
        </is>
      </c>
      <c r="C161" s="20" t="n">
        <v>111696</v>
      </c>
      <c r="D161" s="20" t="n">
        <v>113132</v>
      </c>
      <c r="E161" s="20" t="n">
        <v>117970</v>
      </c>
      <c r="F161" s="20" t="n">
        <v>113046</v>
      </c>
      <c r="G161" s="20" t="n">
        <v>111440</v>
      </c>
      <c r="H161" s="20" t="n">
        <v>54022</v>
      </c>
      <c r="I161" s="20" t="n">
        <v>59485</v>
      </c>
      <c r="J161" s="20" t="n">
        <v>64564</v>
      </c>
      <c r="K161" s="20" t="n">
        <v>113014</v>
      </c>
      <c r="L161" s="20" t="n">
        <v>117970</v>
      </c>
    </row>
    <row r="162">
      <c r="A162" s="9" t="inlineStr">
        <is>
          <t>순자산 합계</t>
        </is>
      </c>
      <c r="C162" s="12" t="n">
        <v>554230</v>
      </c>
      <c r="D162" s="12" t="n">
        <v>558445</v>
      </c>
      <c r="E162" s="12" t="n">
        <v>572498</v>
      </c>
      <c r="F162" s="12" t="n">
        <v>574194</v>
      </c>
      <c r="G162" s="12" t="n">
        <v>572782</v>
      </c>
      <c r="H162" s="12" t="n">
        <v>488962</v>
      </c>
      <c r="I162" s="12" t="n">
        <v>536128</v>
      </c>
      <c r="J162" s="12" t="n">
        <v>589362</v>
      </c>
      <c r="K162" s="12" t="n">
        <v>598906</v>
      </c>
      <c r="L162" s="12" t="n">
        <v>572498</v>
      </c>
    </row>
    <row r="163">
      <c r="A163" s="9" t="inlineStr">
        <is>
          <t>부채·순자산 합계</t>
        </is>
      </c>
      <c r="C163" s="12" t="n">
        <v>754001</v>
      </c>
      <c r="D163" s="12" t="n">
        <v>779316</v>
      </c>
      <c r="E163" s="12" t="n">
        <v>810375</v>
      </c>
      <c r="F163" s="12" t="n">
        <v>932437</v>
      </c>
      <c r="G163" s="12" t="n">
        <v>934647</v>
      </c>
      <c r="H163" s="12" t="n">
        <v>585382</v>
      </c>
      <c r="I163" s="12" t="n">
        <v>629611</v>
      </c>
      <c r="J163" s="12" t="n">
        <v>708264</v>
      </c>
      <c r="K163" s="12" t="n">
        <v>749605</v>
      </c>
      <c r="L163" s="12" t="n">
        <v>810375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2026-10-26</t>
        </is>
      </c>
      <c r="B4" t="inlineStr">
        <is>
          <t>2027년 3월 결산기 ２분기 결산단신</t>
        </is>
      </c>
      <c r="C4" t="inlineStr">
        <is>
          <t>https://www2.jpx.co.jp/disc/69230/140120261026555712.pdf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https://www2.jpx.co.jp/disc/69230/140120260617572880.pdf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https://www2.jpx.co.jp/disc/69230/140120260511523103.pdf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https://www2.jpx.co.jp/disc/69230/140120260127539527.pdf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https://www2.jpx.co.jp/disc/69230/140120251023577866.pdf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https://www2.jpx.co.jp/disc/69230/140120250724519577.pdf</t>
        </is>
      </c>
    </row>
    <row r="10">
      <c r="A10" t="inlineStr">
        <is>
          <t>2025-04-24</t>
        </is>
      </c>
      <c r="B10" t="inlineStr">
        <is>
          <t>2025년 3월 결산기 연간 결산단신</t>
        </is>
      </c>
      <c r="C10" t="inlineStr">
        <is>
          <t>https://www2.jpx.co.jp/disc/69230/140120250424522721.pdf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https://www2.jpx.co.jp/disc/69230/140120250128556574.pdf</t>
        </is>
      </c>
    </row>
    <row r="12">
      <c r="A12" t="inlineStr">
        <is>
          <t>2024-10-28</t>
        </is>
      </c>
      <c r="B12" t="inlineStr">
        <is>
          <t>2025년 3월 결산기 ２분기 결산단신</t>
        </is>
      </c>
      <c r="C12" t="inlineStr">
        <is>
          <t>https://www2.jpx.co.jp/disc/69230/140120240925588438.pdf</t>
        </is>
      </c>
    </row>
    <row r="13">
      <c r="A13" t="inlineStr">
        <is>
          <t>2024-07-29</t>
        </is>
      </c>
      <c r="B13" t="inlineStr">
        <is>
          <t>2025년 3월 결산기 1분기 결산단신</t>
        </is>
      </c>
      <c r="C13" t="inlineStr">
        <is>
          <t>https://www2.jpx.co.jp/disc/69230/140120240627540144.pdf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https://www2.jpx.co.jp/disc/69230/140120240325559183.pdf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https://www2.jpx.co.jp/disc/69230/140120231226509390.pdf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https://www2.jpx.co.jp/disc/69230/140120230926558470.pdf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https://www2.jpx.co.jp/disc/69230/140120230630515814.pdf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https://www2.jpx.co.jp/disc/69230/140120230322534326.pdf</t>
        </is>
      </c>
    </row>
    <row r="19">
      <c r="A19" t="inlineStr">
        <is>
          <t>2023-01-30</t>
        </is>
      </c>
      <c r="B19" t="inlineStr">
        <is>
          <t>2023년 3월 결산기 3분기 결산단신</t>
        </is>
      </c>
      <c r="C19" t="inlineStr">
        <is>
          <t>https://www2.jpx.co.jp/disc/69230/140120221222582185.pdf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https://www2.jpx.co.jp/disc/69230/140120220323509229.pdf</t>
        </is>
      </c>
    </row>
    <row r="21">
      <c r="A21" t="inlineStr">
        <is>
          <t>2021-04-26</t>
        </is>
      </c>
      <c r="B21" t="inlineStr">
        <is>
          <t>2021년 3월 결산기 연간 결산단신</t>
        </is>
      </c>
      <c r="C21" t="inlineStr">
        <is>
          <t>https://www2.jpx.co.jp/disc/69230/140120210317480152.pdf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https://www2.jpx.co.jp/disc/69230/140120200331487538.pdf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https://www2.jpx.co.jp/disc/69230/140120190413404408.pdf</t>
        </is>
      </c>
    </row>
    <row r="24">
      <c r="A24" t="inlineStr">
        <is>
          <t>2018-04-25</t>
        </is>
      </c>
      <c r="B24" t="inlineStr">
        <is>
          <t>연간 결산단신</t>
        </is>
      </c>
      <c r="C24" t="inlineStr">
        <is>
          <t>https://www2.jpx.co.jp/disc/69230/140120180321494213.pdf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2026-10-26T10:58:17Z</dcterms:created>
  <dcterms:modified xmlns:dcterms="http://purl.org/dc/terms/" xmlns:xsi="http://www.w3.org/2001/XMLSchema-instance" xsi:type="dcterms:W3CDTF">2026-10-26T10:58:18Z</dcterms:modified>
</cp:coreProperties>
</file>